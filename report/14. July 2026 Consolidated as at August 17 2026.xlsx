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7256" windowHeight="6636" activeTab="2"/>
  </bookViews>
  <sheets>
    <sheet sheetId="1" name="Uncovered Branches" state="visible" r:id="rId4"/>
    <sheet sheetId="9" name="Category Detail by District" state="visible" r:id="rId5"/>
    <sheet sheetId="2" name="Monthly Summary Report" state="visible" r:id="rId6"/>
  </sheets>
  <calcPr calcId="171027"/>
</workbook>
</file>

<file path=xl/sharedStrings.xml><?xml version="1.0" encoding="utf-8"?>
<sst xmlns="http://schemas.openxmlformats.org/spreadsheetml/2006/main" count="273" uniqueCount="123">
  <si>
    <t>NIB International Bank S.C</t>
  </si>
  <si>
    <t xml:space="preserve">Internal Control Division </t>
  </si>
  <si>
    <t xml:space="preserve">                               Lists of Branches that failed to cover in the monthly internal Control Reports</t>
  </si>
  <si>
    <t>As of july,2026</t>
  </si>
  <si>
    <t>Ser. No</t>
  </si>
  <si>
    <t>Name of  Branches</t>
  </si>
  <si>
    <t>Name of  Districts</t>
  </si>
  <si>
    <t>Reasons for failing to uncover in the monthly internal Control Reports</t>
  </si>
  <si>
    <t>22 Megenagna</t>
  </si>
  <si>
    <t>East</t>
  </si>
  <si>
    <t>resign</t>
  </si>
  <si>
    <t>Sheger menefesha</t>
  </si>
  <si>
    <t>North</t>
  </si>
  <si>
    <t>maturnity leave</t>
  </si>
  <si>
    <t>Habte giorgis</t>
  </si>
  <si>
    <t>Salo Gora</t>
  </si>
  <si>
    <t>South</t>
  </si>
  <si>
    <t>Sick Leave</t>
  </si>
  <si>
    <t>Asko</t>
  </si>
  <si>
    <t>West</t>
  </si>
  <si>
    <t>Moyale</t>
  </si>
  <si>
    <t>Hawassa</t>
  </si>
  <si>
    <t>Controllers not assigned</t>
  </si>
  <si>
    <t>Adare</t>
  </si>
  <si>
    <t>Alamura</t>
  </si>
  <si>
    <t>Tabor</t>
  </si>
  <si>
    <t>Nib Halal</t>
  </si>
  <si>
    <t>Controllers has not given access right</t>
  </si>
  <si>
    <t>Metema</t>
  </si>
  <si>
    <t>B-Dar</t>
  </si>
  <si>
    <t>Agarfa</t>
  </si>
  <si>
    <t>Adama</t>
  </si>
  <si>
    <t>Goro Bale</t>
  </si>
  <si>
    <t>Goba</t>
  </si>
  <si>
    <t>Woreka</t>
  </si>
  <si>
    <t>Jara</t>
  </si>
  <si>
    <t>Woleshe</t>
  </si>
  <si>
    <t>Durame</t>
  </si>
  <si>
    <t>Hossaena</t>
  </si>
  <si>
    <t xml:space="preserve">Promoted to Branch Manager Position </t>
  </si>
  <si>
    <t>Hosaena Batena</t>
  </si>
  <si>
    <t>Maternity leave</t>
  </si>
  <si>
    <t>Bonosha</t>
  </si>
  <si>
    <t>He is on forced leave</t>
  </si>
  <si>
    <t>Bombe</t>
  </si>
  <si>
    <t>Without reason</t>
  </si>
  <si>
    <t>Wachamo univ</t>
  </si>
  <si>
    <t xml:space="preserve">Internal control not assigned </t>
  </si>
  <si>
    <t>Halal Gubre</t>
  </si>
  <si>
    <t>Wolkite</t>
  </si>
  <si>
    <t>Wolk Univ</t>
  </si>
  <si>
    <t>Quwante</t>
  </si>
  <si>
    <t>Newly assigned</t>
  </si>
  <si>
    <t>Afatess</t>
  </si>
  <si>
    <t>Dire Dawa</t>
  </si>
  <si>
    <t xml:space="preserve">Jijiga </t>
  </si>
  <si>
    <t>Jijiga Shebele</t>
  </si>
  <si>
    <t>Hirna</t>
  </si>
  <si>
    <t>Chiro</t>
  </si>
  <si>
    <t>Awebere</t>
  </si>
  <si>
    <t>Aweday</t>
  </si>
  <si>
    <t>Togochale Sub Branch</t>
  </si>
  <si>
    <t>Havana</t>
  </si>
  <si>
    <t>Gelmeshira</t>
  </si>
  <si>
    <t>Kefira</t>
  </si>
  <si>
    <t>Nekemte</t>
  </si>
  <si>
    <t>Jimma</t>
  </si>
  <si>
    <t>Maturnity Leave</t>
  </si>
  <si>
    <t>Mettu</t>
  </si>
  <si>
    <t>Annual Leave</t>
  </si>
  <si>
    <t>Gambella</t>
  </si>
  <si>
    <t>Controller not Assigned</t>
  </si>
  <si>
    <t>Agaro</t>
  </si>
  <si>
    <t xml:space="preserve">Bedele </t>
  </si>
  <si>
    <t>Bishishe</t>
  </si>
  <si>
    <t>Dimma</t>
  </si>
  <si>
    <t>Limu Genet</t>
  </si>
  <si>
    <t>Bambasi</t>
  </si>
  <si>
    <t>Tarcha</t>
  </si>
  <si>
    <t>Dembidolo</t>
  </si>
  <si>
    <t>Mendi</t>
  </si>
  <si>
    <t>Masha</t>
  </si>
  <si>
    <t>Bako</t>
  </si>
  <si>
    <t>Monthly Controllers report as at July 2026</t>
  </si>
  <si>
    <t>SN</t>
  </si>
  <si>
    <t>Total No. of Branches</t>
  </si>
  <si>
    <t>District</t>
  </si>
  <si>
    <t xml:space="preserve">ATM Cases </t>
  </si>
  <si>
    <t xml:space="preserve">IT Case </t>
  </si>
  <si>
    <t>No. of zero balance  account</t>
  </si>
  <si>
    <t>No. of  inactive balance account</t>
  </si>
  <si>
    <t>Cheque Book case</t>
  </si>
  <si>
    <t xml:space="preserve">Others Case </t>
  </si>
  <si>
    <t>Status of the irregularities</t>
  </si>
  <si>
    <t xml:space="preserve">Mismatch </t>
  </si>
  <si>
    <t xml:space="preserve">Long outstanding </t>
  </si>
  <si>
    <t>Total unrectified</t>
  </si>
  <si>
    <t>Rectified</t>
  </si>
  <si>
    <t>unrectified Balance</t>
  </si>
  <si>
    <t>rectified percetage</t>
  </si>
  <si>
    <t>A</t>
  </si>
  <si>
    <t>B</t>
  </si>
  <si>
    <t>Unrectified</t>
  </si>
  <si>
    <t>F</t>
  </si>
  <si>
    <t>G</t>
  </si>
  <si>
    <t>Bahi Dar</t>
  </si>
  <si>
    <t>Dessie</t>
  </si>
  <si>
    <t>DIREDAWA</t>
  </si>
  <si>
    <t>Mekelle</t>
  </si>
  <si>
    <t>TOTAL</t>
  </si>
  <si>
    <t>Current</t>
  </si>
  <si>
    <t>Previous</t>
  </si>
  <si>
    <t>Weekly rectification</t>
  </si>
  <si>
    <t>Monthly Controllers report as at july 2026</t>
  </si>
  <si>
    <t>No. of zero balance account</t>
  </si>
  <si>
    <t xml:space="preserve">Others Case No </t>
  </si>
  <si>
    <t>Amount involved in Birr</t>
  </si>
  <si>
    <t>No. of  Branches not dispatched</t>
  </si>
  <si>
    <t>No. of  Branches Dispatched reports</t>
  </si>
  <si>
    <t>Total No. of cases</t>
  </si>
  <si>
    <t>D</t>
  </si>
  <si>
    <t>E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</si>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</sst>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_);_(* (#,##0);_(* &quot;-&quot;??_);_(@_)"/>
    <numFmt numFmtId="165" formatCode="_(* #,##0.00_);_(* (#,##0.00);_(* &quot;-&quot;??_);_(@_)"/>
  </numFmts>
  <fonts count="15" x14ac:knownFonts="1">
    <font>
      <color theme="1"/>
      <family val="2"/>
      <scheme val="minor"/>
      <sz val="11"/>
      <name val="Calibri"/>
    </font>
    <font>
      <b/>
      <i/>
      <family val="1"/>
      <scheme val="major"/>
      <sz val="11"/>
      <name val="Cambria"/>
    </font>
    <font>
      <family val="1"/>
      <scheme val="major"/>
      <sz val="11"/>
      <name val="Cambria"/>
    </font>
    <font>
      <b/>
      <i/>
      <color theme="1"/>
      <family val="1"/>
      <scheme val="major"/>
      <sz val="10"/>
      <name val="Cambria"/>
    </font>
    <font>
      <b/>
      <i/>
      <family val="1"/>
      <scheme val="major"/>
      <sz val="10"/>
      <name val="Cambria"/>
    </font>
    <font>
      <b/>
      <i/>
      <color rgb="FF000000"/>
      <family val="1"/>
      <scheme val="major"/>
      <sz val="10"/>
      <name val="Cambria"/>
    </font>
    <font>
      <b/>
      <i/>
      <family val="1"/>
      <scheme val="major"/>
      <sz val="14"/>
      <name val="Cambria"/>
    </font>
    <font>
      <b/>
      <i/>
      <color theme="1"/>
      <family val="1"/>
      <scheme val="major"/>
      <sz val="11"/>
      <name val="Cambria"/>
    </font>
    <font>
      <b/>
      <i/>
      <color theme="1"/>
      <family val="1"/>
      <scheme val="major"/>
      <sz val="12"/>
      <name val="Cambria"/>
    </font>
    <font>
      <i/>
      <color theme="1"/>
      <family val="1"/>
      <scheme val="major"/>
      <sz val="10"/>
      <name val="Cambria"/>
    </font>
    <font>
      <i/>
      <color theme="1"/>
      <family val="1"/>
      <scheme val="major"/>
      <sz val="11"/>
      <name val="Cambria"/>
    </font>
    <font>
      <b/>
      <color theme="1"/>
      <family val="1"/>
      <scheme val="major"/>
      <sz val="11"/>
      <name val="Cambria"/>
    </font>
    <font>
      <b/>
      <color theme="1"/>
      <family val="2"/>
      <scheme val="minor"/>
      <sz val="11"/>
      <name val="Calibri"/>
    </font>
    <font>
      <i/>
      <family val="1"/>
      <scheme val="major"/>
      <sz val="10"/>
      <name val="Cambria"/>
    </font>
    <font>
      <i/>
      <family val="1"/>
      <scheme val="major"/>
      <sz val="11"/>
      <name val="Cambri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/>
    <xf numFmtId="0" fontId="3" fillId="0" borderId="2" xfId="0" applyFont="1" applyBorder="1" applyAlignment="1">
      <alignment horizontal="left"/>
    </xf>
    <xf numFmtId="0" fontId="4" fillId="0" borderId="2" xfId="0" applyFont="1" applyBorder="1" applyAlignment="1">
      <alignment vertical="center"/>
    </xf>
    <xf numFmtId="164" fontId="4" fillId="2" borderId="2" xfId="0" applyNumberFormat="1" applyFont="1" applyFill="1" applyBorder="1" applyAlignment="1">
      <alignment horizontal="left"/>
    </xf>
    <xf numFmtId="0" fontId="5" fillId="2" borderId="2" xfId="0" applyFont="1" applyFill="1" applyBorder="1"/>
    <xf numFmtId="0" fontId="4" fillId="0" borderId="2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7" fillId="3" borderId="6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 wrapText="1"/>
    </xf>
    <xf numFmtId="0" fontId="7" fillId="3" borderId="11" xfId="0" applyFont="1" applyFill="1" applyBorder="1" applyAlignment="1">
      <alignment horizontal="center" wrapText="1"/>
    </xf>
    <xf numFmtId="0" fontId="8" fillId="3" borderId="11" xfId="0" applyFont="1" applyFill="1" applyBorder="1" applyAlignment="1">
      <alignment horizontal="center" wrapText="1"/>
    </xf>
    <xf numFmtId="164" fontId="8" fillId="3" borderId="11" xfId="0" applyNumberFormat="1" applyFont="1" applyFill="1" applyBorder="1" applyAlignment="1">
      <alignment horizontal="center" wrapText="1"/>
    </xf>
    <xf numFmtId="164" fontId="8" fillId="3" borderId="10" xfId="0" applyNumberFormat="1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wrapText="1"/>
    </xf>
    <xf numFmtId="0" fontId="8" fillId="3" borderId="6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 wrapText="1"/>
    </xf>
    <xf numFmtId="0" fontId="8" fillId="3" borderId="8" xfId="0" applyFont="1" applyFill="1" applyBorder="1" applyAlignment="1">
      <alignment horizontal="center" wrapText="1"/>
    </xf>
    <xf numFmtId="0" fontId="8" fillId="3" borderId="12" xfId="0" applyFont="1" applyFill="1" applyBorder="1" applyAlignment="1">
      <alignment horizontal="center"/>
    </xf>
    <xf numFmtId="0" fontId="8" fillId="3" borderId="13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 wrapText="1"/>
    </xf>
    <xf numFmtId="0" fontId="7" fillId="3" borderId="5" xfId="0" applyFont="1" applyFill="1" applyBorder="1" applyAlignment="1">
      <alignment horizontal="center" wrapText="1"/>
    </xf>
    <xf numFmtId="0" fontId="8" fillId="3" borderId="5" xfId="0" applyFont="1" applyFill="1" applyBorder="1" applyAlignment="1">
      <alignment horizontal="center" wrapText="1"/>
    </xf>
    <xf numFmtId="164" fontId="8" fillId="3" borderId="5" xfId="0" applyNumberFormat="1" applyFont="1" applyFill="1" applyBorder="1" applyAlignment="1">
      <alignment horizontal="center" wrapText="1"/>
    </xf>
    <xf numFmtId="164" fontId="8" fillId="3" borderId="13" xfId="0" applyNumberFormat="1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/>
    </xf>
    <xf numFmtId="164" fontId="9" fillId="2" borderId="2" xfId="0" applyNumberFormat="1" applyFont="1" applyFill="1" applyBorder="1"/>
    <xf numFmtId="165" fontId="10" fillId="2" borderId="4" xfId="0" applyNumberFormat="1" applyFont="1" applyFill="1" applyBorder="1"/>
    <xf numFmtId="165" fontId="10" fillId="2" borderId="2" xfId="0" applyNumberFormat="1" applyFont="1" applyFill="1" applyBorder="1"/>
    <xf numFmtId="9" fontId="10" fillId="2" borderId="2" xfId="0" applyNumberFormat="1" applyFont="1" applyFill="1" applyBorder="1"/>
    <xf numFmtId="165" fontId="10" fillId="2" borderId="2" xfId="0" applyNumberFormat="1" applyFont="1" applyFill="1" applyBorder="1" applyAlignment="1">
      <alignment wrapText="1"/>
    </xf>
    <xf numFmtId="12" fontId="10" fillId="2" borderId="4" xfId="0" applyNumberFormat="1" applyFont="1" applyFill="1" applyBorder="1"/>
    <xf numFmtId="165" fontId="9" fillId="2" borderId="2" xfId="0" applyNumberFormat="1" applyFont="1" applyFill="1" applyBorder="1"/>
    <xf numFmtId="165" fontId="9" fillId="2" borderId="4" xfId="0" applyNumberFormat="1" applyFont="1" applyFill="1" applyBorder="1"/>
    <xf numFmtId="0" fontId="10" fillId="4" borderId="2" xfId="0" applyFont="1" applyFill="1" applyBorder="1"/>
    <xf numFmtId="165" fontId="11" fillId="4" borderId="2" xfId="0" applyNumberFormat="1" applyFont="1" applyFill="1" applyBorder="1"/>
    <xf numFmtId="0" fontId="11" fillId="4" borderId="2" xfId="0" applyFont="1" applyFill="1" applyBorder="1" applyAlignment="1">
      <alignment horizontal="center"/>
    </xf>
    <xf numFmtId="165" fontId="11" fillId="4" borderId="2" xfId="0" applyNumberFormat="1" applyFont="1" applyFill="1" applyBorder="1" applyAlignment="1">
      <alignment horizontal="center"/>
    </xf>
    <xf numFmtId="165" fontId="10" fillId="4" borderId="2" xfId="0" applyNumberFormat="1" applyFont="1" applyFill="1" applyBorder="1"/>
    <xf numFmtId="9" fontId="10" fillId="4" borderId="2" xfId="0" applyNumberFormat="1" applyFont="1" applyFill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7" fillId="3" borderId="2" xfId="0" applyFont="1" applyFill="1" applyBorder="1" applyAlignment="1">
      <alignment horizontal="center" wrapText="1"/>
    </xf>
    <xf numFmtId="165" fontId="0" fillId="0" borderId="2" xfId="0" applyNumberFormat="1" applyBorder="1"/>
    <xf numFmtId="165" fontId="12" fillId="0" borderId="2" xfId="0" applyNumberFormat="1" applyFont="1" applyBorder="1"/>
    <xf numFmtId="0" fontId="7" fillId="3" borderId="2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 wrapText="1"/>
    </xf>
    <xf numFmtId="164" fontId="8" fillId="3" borderId="2" xfId="0" applyNumberFormat="1" applyFont="1" applyFill="1" applyBorder="1" applyAlignment="1">
      <alignment horizontal="center" wrapText="1"/>
    </xf>
    <xf numFmtId="0" fontId="8" fillId="3" borderId="2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165" fontId="0" fillId="2" borderId="2" xfId="0" applyNumberFormat="1" applyFill="1" applyBorder="1"/>
    <xf numFmtId="164" fontId="13" fillId="2" borderId="2" xfId="0" applyNumberFormat="1" applyFont="1" applyFill="1" applyBorder="1"/>
    <xf numFmtId="165" fontId="14" fillId="2" borderId="4" xfId="0" applyNumberFormat="1" applyFont="1" applyFill="1" applyBorder="1"/>
    <xf numFmtId="165" fontId="14" fillId="2" borderId="2" xfId="0" applyNumberFormat="1" applyFont="1" applyFill="1" applyBorder="1"/>
    <xf numFmtId="164" fontId="9" fillId="2" borderId="2" xfId="0" applyNumberFormat="1" applyFont="1" applyFill="1" applyBorder="1" applyAlignment="1">
      <alignment horizontal="center"/>
    </xf>
    <xf numFmtId="165" fontId="10" fillId="2" borderId="2" xfId="0" applyNumberFormat="1" applyFont="1" applyFill="1" applyBorder="1" applyAlignment="1">
      <alignment horizontal="center"/>
    </xf>
    <xf numFmtId="165" fontId="10" fillId="2" borderId="2" xfId="0" applyNumberFormat="1" applyFont="1" applyFill="1" applyBorder="1" applyAlignment="1">
      <alignment horizontal="left"/>
    </xf>
    <xf numFmtId="0" fontId="10" fillId="2" borderId="2" xfId="0" applyFont="1" applyFill="1" applyBorder="1"/>
    <xf numFmtId="165" fontId="11" fillId="2" borderId="2" xfId="0" applyNumberFormat="1" applyFont="1" applyFill="1" applyBorder="1"/>
    <xf numFmtId="0" fontId="11" fillId="2" borderId="2" xfId="0" applyFont="1" applyFill="1" applyBorder="1" applyAlignment="1">
      <alignment horizontal="center"/>
    </xf>
    <xf numFmtId="165" fontId="7" fillId="2" borderId="2" xfId="0" applyNumberFormat="1" applyFont="1" applyFill="1" applyBorder="1"/>
    <xf numFmtId="165" fontId="11" fillId="2" borderId="2" xfId="0" applyNumberFormat="1" applyFont="1" applyFill="1" applyBorder="1" applyAlignment="1">
      <alignment horizontal="center"/>
    </xf>
    <xf numFmtId="9" fontId="7" fillId="2" borderId="2" xfId="0" applyNumberFormat="1" applyFont="1" applyFill="1" applyBorder="1"/>
    <xf numFmtId="165" fontId="12" fillId="2" borderId="2" xfId="0" applyNumberFormat="1" applyFont="1" applyFill="1" applyBorder="1"/>
    <xf numFmtId="0" fontId="0" fillId="4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9.xml"/><Relationship Id="rId6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Views>
    <sheetView workbookViewId="0" zoomScale="100" zoomScaleNormal="100">
      <selection activeCell="C18" sqref="C18"/>
    </sheetView>
  </sheetViews>
  <sheetFormatPr defaultRowHeight="14.4" outlineLevelRow="0" outlineLevelCol="0" x14ac:dyDescent="0.3" customHeight="1"/>
  <cols>
    <col min="2" max="3" width="18.33203125" customWidth="1"/>
    <col min="4" max="4" width="24.5546875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 t="s">
        <v>1</v>
      </c>
      <c r="B2" s="1"/>
      <c r="C2" s="1"/>
      <c r="D2" s="1"/>
    </row>
    <row r="3" spans="1:4" x14ac:dyDescent="0.25">
      <c r="A3" s="1" t="s">
        <v>2</v>
      </c>
      <c r="B3" s="1"/>
      <c r="C3" s="1"/>
      <c r="D3" s="1"/>
    </row>
    <row r="4" spans="1:4" x14ac:dyDescent="0.25">
      <c r="A4" s="1" t="s">
        <v>3</v>
      </c>
      <c r="B4" s="1"/>
      <c r="C4" s="1"/>
      <c r="D4" s="1"/>
    </row>
    <row r="5" spans="1:4" x14ac:dyDescent="0.25">
      <c r="A5" s="2" t="s">
        <v>4</v>
      </c>
      <c r="B5" s="3" t="s">
        <v>5</v>
      </c>
      <c r="C5" s="3" t="s">
        <v>6</v>
      </c>
      <c r="D5" s="3" t="s">
        <v>7</v>
      </c>
    </row>
    <row r="6" spans="1:4" x14ac:dyDescent="0.25">
      <c r="A6" s="4"/>
      <c r="B6" s="3"/>
      <c r="C6" s="3"/>
      <c r="D6" s="3"/>
    </row>
    <row r="7" spans="1:4" x14ac:dyDescent="0.25">
      <c r="A7" s="5"/>
      <c r="B7" s="2"/>
      <c r="C7" s="2"/>
      <c r="D7" s="2"/>
    </row>
    <row r="8" spans="1:4" x14ac:dyDescent="0.25">
      <c r="A8" s="6">
        <v>1</v>
      </c>
      <c r="B8" s="7" t="s">
        <v>8</v>
      </c>
      <c r="C8" s="8" t="s">
        <v>9</v>
      </c>
      <c r="D8" s="9" t="s">
        <v>10</v>
      </c>
    </row>
    <row r="9" spans="1:4" x14ac:dyDescent="0.25">
      <c r="A9" s="6">
        <v>2</v>
      </c>
      <c r="B9" s="10" t="s">
        <v>11</v>
      </c>
      <c r="C9" s="10" t="s">
        <v>12</v>
      </c>
      <c r="D9" s="11" t="s">
        <v>13</v>
      </c>
    </row>
    <row r="10" spans="1:4" x14ac:dyDescent="0.25">
      <c r="A10" s="6">
        <v>3</v>
      </c>
      <c r="B10" s="10" t="s">
        <v>14</v>
      </c>
      <c r="C10" s="10" t="s">
        <v>12</v>
      </c>
      <c r="D10" s="11" t="s">
        <v>13</v>
      </c>
    </row>
    <row r="11" spans="1:4" x14ac:dyDescent="0.25">
      <c r="A11" s="6">
        <v>4</v>
      </c>
      <c r="B11" s="7" t="s">
        <v>15</v>
      </c>
      <c r="C11" s="8" t="s">
        <v>16</v>
      </c>
      <c r="D11" s="7" t="s">
        <v>17</v>
      </c>
    </row>
    <row r="12" spans="1:4" x14ac:dyDescent="0.25">
      <c r="A12" s="6">
        <v>5</v>
      </c>
      <c r="B12" s="7" t="s">
        <v>18</v>
      </c>
      <c r="C12" s="8" t="s">
        <v>19</v>
      </c>
      <c r="D12" s="7" t="s">
        <v>17</v>
      </c>
    </row>
    <row r="13" spans="1:4" x14ac:dyDescent="0.25">
      <c r="A13" s="6">
        <v>6</v>
      </c>
      <c r="B13" s="7" t="s">
        <v>20</v>
      </c>
      <c r="C13" s="8" t="s">
        <v>21</v>
      </c>
      <c r="D13" s="7" t="s">
        <v>22</v>
      </c>
    </row>
    <row r="14" spans="1:4" x14ac:dyDescent="0.25">
      <c r="A14" s="6">
        <v>7</v>
      </c>
      <c r="B14" s="7" t="s">
        <v>23</v>
      </c>
      <c r="C14" s="8" t="s">
        <v>21</v>
      </c>
      <c r="D14" s="11" t="s">
        <v>13</v>
      </c>
    </row>
    <row r="15" spans="1:4" x14ac:dyDescent="0.25">
      <c r="A15" s="6">
        <v>8</v>
      </c>
      <c r="B15" s="7" t="s">
        <v>24</v>
      </c>
      <c r="C15" s="8" t="s">
        <v>21</v>
      </c>
      <c r="D15" s="11" t="s">
        <v>13</v>
      </c>
    </row>
    <row r="16" spans="1:4" x14ac:dyDescent="0.25">
      <c r="A16" s="6">
        <v>9</v>
      </c>
      <c r="B16" s="7" t="s">
        <v>25</v>
      </c>
      <c r="C16" s="8" t="s">
        <v>21</v>
      </c>
      <c r="D16" s="11" t="s">
        <v>13</v>
      </c>
    </row>
    <row r="17" spans="1:4" x14ac:dyDescent="0.25">
      <c r="A17" s="6">
        <v>10</v>
      </c>
      <c r="B17" s="7" t="s">
        <v>26</v>
      </c>
      <c r="C17" s="8" t="s">
        <v>21</v>
      </c>
      <c r="D17" s="7" t="s">
        <v>27</v>
      </c>
    </row>
    <row r="18" spans="1:4" x14ac:dyDescent="0.25">
      <c r="A18" s="6">
        <v>11</v>
      </c>
      <c r="B18" s="7" t="s">
        <v>28</v>
      </c>
      <c r="C18" s="8" t="s">
        <v>29</v>
      </c>
      <c r="D18" s="7" t="s">
        <v>17</v>
      </c>
    </row>
    <row r="19" spans="1:4" x14ac:dyDescent="0.25">
      <c r="A19" s="6">
        <v>12</v>
      </c>
      <c r="B19" s="7" t="s">
        <v>30</v>
      </c>
      <c r="C19" s="8" t="s">
        <v>31</v>
      </c>
      <c r="D19" s="7" t="s">
        <v>22</v>
      </c>
    </row>
    <row r="20" spans="1:4" x14ac:dyDescent="0.25">
      <c r="A20" s="6">
        <v>13</v>
      </c>
      <c r="B20" s="7" t="s">
        <v>32</v>
      </c>
      <c r="C20" s="8" t="s">
        <v>31</v>
      </c>
      <c r="D20" s="7" t="s">
        <v>22</v>
      </c>
    </row>
    <row r="21" spans="1:4" x14ac:dyDescent="0.25">
      <c r="A21" s="6">
        <v>14</v>
      </c>
      <c r="B21" s="7" t="s">
        <v>33</v>
      </c>
      <c r="C21" s="8" t="s">
        <v>31</v>
      </c>
      <c r="D21" s="7" t="s">
        <v>22</v>
      </c>
    </row>
    <row r="22" spans="1:4" x14ac:dyDescent="0.25">
      <c r="A22" s="6">
        <v>15</v>
      </c>
      <c r="B22" s="7" t="s">
        <v>34</v>
      </c>
      <c r="C22" s="8" t="s">
        <v>31</v>
      </c>
      <c r="D22" s="7" t="s">
        <v>22</v>
      </c>
    </row>
    <row r="23" spans="1:4" x14ac:dyDescent="0.25">
      <c r="A23" s="6">
        <v>16</v>
      </c>
      <c r="B23" s="7" t="s">
        <v>35</v>
      </c>
      <c r="C23" s="8" t="s">
        <v>31</v>
      </c>
      <c r="D23" s="7" t="s">
        <v>22</v>
      </c>
    </row>
    <row r="24" spans="1:4" x14ac:dyDescent="0.25">
      <c r="A24" s="6">
        <v>17</v>
      </c>
      <c r="B24" s="7" t="s">
        <v>36</v>
      </c>
      <c r="C24" s="8" t="s">
        <v>31</v>
      </c>
      <c r="D24" s="7" t="s">
        <v>22</v>
      </c>
    </row>
    <row r="25" spans="1:4" x14ac:dyDescent="0.25">
      <c r="A25" s="6">
        <v>18</v>
      </c>
      <c r="B25" s="7" t="s">
        <v>37</v>
      </c>
      <c r="C25" s="8" t="s">
        <v>38</v>
      </c>
      <c r="D25" s="9" t="s">
        <v>39</v>
      </c>
    </row>
    <row r="26" spans="1:4" x14ac:dyDescent="0.25">
      <c r="A26" s="6">
        <v>19</v>
      </c>
      <c r="B26" s="7" t="s">
        <v>40</v>
      </c>
      <c r="C26" s="8" t="s">
        <v>38</v>
      </c>
      <c r="D26" s="9" t="s">
        <v>41</v>
      </c>
    </row>
    <row r="27" spans="1:4" x14ac:dyDescent="0.25">
      <c r="A27" s="6">
        <v>20</v>
      </c>
      <c r="B27" s="7" t="s">
        <v>42</v>
      </c>
      <c r="C27" s="8" t="s">
        <v>38</v>
      </c>
      <c r="D27" s="9" t="s">
        <v>43</v>
      </c>
    </row>
    <row r="28" spans="1:4" x14ac:dyDescent="0.25">
      <c r="A28" s="6">
        <v>21</v>
      </c>
      <c r="B28" s="7" t="s">
        <v>44</v>
      </c>
      <c r="C28" s="8" t="s">
        <v>38</v>
      </c>
      <c r="D28" s="12" t="s">
        <v>45</v>
      </c>
    </row>
    <row r="29" spans="1:4" x14ac:dyDescent="0.25">
      <c r="A29" s="6">
        <v>22</v>
      </c>
      <c r="B29" s="7" t="s">
        <v>46</v>
      </c>
      <c r="C29" s="8" t="s">
        <v>38</v>
      </c>
      <c r="D29" s="9" t="s">
        <v>47</v>
      </c>
    </row>
    <row r="30" spans="1:4" x14ac:dyDescent="0.25">
      <c r="A30" s="6">
        <v>23</v>
      </c>
      <c r="B30" s="7" t="s">
        <v>48</v>
      </c>
      <c r="C30" s="8" t="s">
        <v>49</v>
      </c>
      <c r="D30" s="7" t="s">
        <v>17</v>
      </c>
    </row>
    <row r="31" spans="1:4" x14ac:dyDescent="0.25">
      <c r="A31" s="6">
        <v>24</v>
      </c>
      <c r="B31" s="7" t="s">
        <v>50</v>
      </c>
      <c r="C31" s="8" t="s">
        <v>49</v>
      </c>
      <c r="D31" s="7" t="s">
        <v>22</v>
      </c>
    </row>
    <row r="32" spans="1:4" x14ac:dyDescent="0.25">
      <c r="A32" s="6">
        <v>25</v>
      </c>
      <c r="B32" s="7" t="s">
        <v>51</v>
      </c>
      <c r="C32" s="8" t="s">
        <v>49</v>
      </c>
      <c r="D32" s="7" t="s">
        <v>52</v>
      </c>
    </row>
    <row r="33" spans="1:4" x14ac:dyDescent="0.25">
      <c r="A33" s="6">
        <v>26</v>
      </c>
      <c r="B33" s="7" t="s">
        <v>53</v>
      </c>
      <c r="C33" s="8" t="s">
        <v>54</v>
      </c>
      <c r="D33" s="7" t="s">
        <v>22</v>
      </c>
    </row>
    <row r="34" spans="1:4" x14ac:dyDescent="0.25">
      <c r="A34" s="6">
        <v>27</v>
      </c>
      <c r="B34" s="7" t="s">
        <v>55</v>
      </c>
      <c r="C34" s="8" t="s">
        <v>54</v>
      </c>
      <c r="D34" s="7" t="s">
        <v>22</v>
      </c>
    </row>
    <row r="35" spans="1:4" x14ac:dyDescent="0.25">
      <c r="A35" s="6">
        <v>28</v>
      </c>
      <c r="B35" s="7" t="s">
        <v>56</v>
      </c>
      <c r="C35" s="8" t="s">
        <v>54</v>
      </c>
      <c r="D35" s="7" t="s">
        <v>22</v>
      </c>
    </row>
    <row r="36" spans="1:4" x14ac:dyDescent="0.25">
      <c r="A36" s="6">
        <v>29</v>
      </c>
      <c r="B36" s="7" t="s">
        <v>57</v>
      </c>
      <c r="C36" s="8" t="s">
        <v>54</v>
      </c>
      <c r="D36" s="7" t="s">
        <v>22</v>
      </c>
    </row>
    <row r="37" spans="1:4" x14ac:dyDescent="0.25">
      <c r="A37" s="6">
        <v>30</v>
      </c>
      <c r="B37" s="7" t="s">
        <v>58</v>
      </c>
      <c r="C37" s="8" t="s">
        <v>54</v>
      </c>
      <c r="D37" s="7" t="s">
        <v>22</v>
      </c>
    </row>
    <row r="38" spans="1:4" x14ac:dyDescent="0.25">
      <c r="A38" s="6">
        <v>31</v>
      </c>
      <c r="B38" s="7" t="s">
        <v>59</v>
      </c>
      <c r="C38" s="8" t="s">
        <v>54</v>
      </c>
      <c r="D38" s="7" t="s">
        <v>22</v>
      </c>
    </row>
    <row r="39" spans="1:4" x14ac:dyDescent="0.25">
      <c r="A39" s="6">
        <v>32</v>
      </c>
      <c r="B39" s="7" t="s">
        <v>60</v>
      </c>
      <c r="C39" s="8" t="s">
        <v>54</v>
      </c>
      <c r="D39" s="7" t="s">
        <v>22</v>
      </c>
    </row>
    <row r="40" spans="1:4" x14ac:dyDescent="0.25">
      <c r="A40" s="6">
        <v>33</v>
      </c>
      <c r="B40" s="7" t="s">
        <v>61</v>
      </c>
      <c r="C40" s="8" t="s">
        <v>54</v>
      </c>
      <c r="D40" s="7" t="s">
        <v>22</v>
      </c>
    </row>
    <row r="41" spans="1:4" x14ac:dyDescent="0.25">
      <c r="A41" s="6">
        <v>34</v>
      </c>
      <c r="B41" s="7" t="s">
        <v>62</v>
      </c>
      <c r="C41" s="8" t="s">
        <v>54</v>
      </c>
      <c r="D41" s="7" t="s">
        <v>22</v>
      </c>
    </row>
    <row r="42" spans="1:4" x14ac:dyDescent="0.25">
      <c r="A42" s="6">
        <v>35</v>
      </c>
      <c r="B42" s="7" t="s">
        <v>63</v>
      </c>
      <c r="C42" s="8" t="s">
        <v>54</v>
      </c>
      <c r="D42" s="7" t="s">
        <v>22</v>
      </c>
    </row>
    <row r="43" spans="1:4" x14ac:dyDescent="0.25">
      <c r="A43" s="6">
        <v>36</v>
      </c>
      <c r="B43" s="7" t="s">
        <v>64</v>
      </c>
      <c r="C43" s="8" t="s">
        <v>54</v>
      </c>
      <c r="D43" s="7" t="s">
        <v>22</v>
      </c>
    </row>
    <row r="44" spans="1:4" x14ac:dyDescent="0.25">
      <c r="A44" s="6">
        <v>37</v>
      </c>
      <c r="B44" s="10" t="s">
        <v>65</v>
      </c>
      <c r="C44" s="8" t="s">
        <v>66</v>
      </c>
      <c r="D44" s="11" t="s">
        <v>67</v>
      </c>
    </row>
    <row r="45" spans="1:4" x14ac:dyDescent="0.25">
      <c r="A45" s="6">
        <v>38</v>
      </c>
      <c r="B45" s="10" t="s">
        <v>68</v>
      </c>
      <c r="C45" s="8" t="s">
        <v>66</v>
      </c>
      <c r="D45" s="11" t="s">
        <v>69</v>
      </c>
    </row>
    <row r="46" spans="1:4" x14ac:dyDescent="0.25">
      <c r="A46" s="6">
        <v>39</v>
      </c>
      <c r="B46" s="10" t="s">
        <v>70</v>
      </c>
      <c r="C46" s="8" t="s">
        <v>66</v>
      </c>
      <c r="D46" s="11" t="s">
        <v>71</v>
      </c>
    </row>
    <row r="47" spans="1:4" x14ac:dyDescent="0.25">
      <c r="A47" s="6">
        <v>40</v>
      </c>
      <c r="B47" s="10" t="s">
        <v>72</v>
      </c>
      <c r="C47" s="8" t="s">
        <v>66</v>
      </c>
      <c r="D47" s="11" t="s">
        <v>71</v>
      </c>
    </row>
    <row r="48" spans="1:4" x14ac:dyDescent="0.25">
      <c r="A48" s="6">
        <v>41</v>
      </c>
      <c r="B48" s="10" t="s">
        <v>73</v>
      </c>
      <c r="C48" s="8" t="s">
        <v>66</v>
      </c>
      <c r="D48" s="11" t="s">
        <v>71</v>
      </c>
    </row>
    <row r="49" spans="1:4" x14ac:dyDescent="0.25">
      <c r="A49" s="6">
        <v>42</v>
      </c>
      <c r="B49" s="10" t="s">
        <v>74</v>
      </c>
      <c r="C49" s="8" t="s">
        <v>66</v>
      </c>
      <c r="D49" s="11" t="s">
        <v>71</v>
      </c>
    </row>
    <row r="50" spans="1:4" x14ac:dyDescent="0.25">
      <c r="A50" s="6">
        <v>43</v>
      </c>
      <c r="B50" s="10" t="s">
        <v>75</v>
      </c>
      <c r="C50" s="8" t="s">
        <v>66</v>
      </c>
      <c r="D50" s="11" t="s">
        <v>71</v>
      </c>
    </row>
    <row r="51" spans="1:4" x14ac:dyDescent="0.25">
      <c r="A51" s="6">
        <v>44</v>
      </c>
      <c r="B51" s="10" t="s">
        <v>76</v>
      </c>
      <c r="C51" s="8" t="s">
        <v>66</v>
      </c>
      <c r="D51" s="11" t="s">
        <v>71</v>
      </c>
    </row>
    <row r="52" spans="1:4" x14ac:dyDescent="0.25">
      <c r="A52" s="6">
        <v>45</v>
      </c>
      <c r="B52" s="10" t="s">
        <v>77</v>
      </c>
      <c r="C52" s="8" t="s">
        <v>66</v>
      </c>
      <c r="D52" s="11" t="s">
        <v>71</v>
      </c>
    </row>
    <row r="53" spans="1:4" x14ac:dyDescent="0.25">
      <c r="A53" s="6">
        <v>46</v>
      </c>
      <c r="B53" s="10" t="s">
        <v>78</v>
      </c>
      <c r="C53" s="8" t="s">
        <v>66</v>
      </c>
      <c r="D53" s="11" t="s">
        <v>71</v>
      </c>
    </row>
    <row r="54" spans="1:4" x14ac:dyDescent="0.25">
      <c r="A54" s="6">
        <v>47</v>
      </c>
      <c r="B54" s="10" t="s">
        <v>79</v>
      </c>
      <c r="C54" s="8" t="s">
        <v>66</v>
      </c>
      <c r="D54" s="11" t="s">
        <v>71</v>
      </c>
    </row>
    <row r="55" spans="1:4" x14ac:dyDescent="0.25">
      <c r="A55" s="6">
        <v>48</v>
      </c>
      <c r="B55" s="10" t="s">
        <v>80</v>
      </c>
      <c r="C55" s="8" t="s">
        <v>66</v>
      </c>
      <c r="D55" s="11" t="s">
        <v>71</v>
      </c>
    </row>
    <row r="56" spans="1:4" x14ac:dyDescent="0.25">
      <c r="A56" s="6">
        <v>49</v>
      </c>
      <c r="B56" s="10" t="s">
        <v>81</v>
      </c>
      <c r="C56" s="8" t="s">
        <v>66</v>
      </c>
      <c r="D56" s="11" t="s">
        <v>71</v>
      </c>
    </row>
    <row r="57" spans="1:4" x14ac:dyDescent="0.25">
      <c r="A57" s="6">
        <v>50</v>
      </c>
      <c r="B57" s="10" t="s">
        <v>82</v>
      </c>
      <c r="C57" s="8" t="s">
        <v>66</v>
      </c>
      <c r="D57" s="11" t="s">
        <v>71</v>
      </c>
    </row>
  </sheetData>
  <mergeCells count="8">
    <mergeCell ref="A1:D1"/>
    <mergeCell ref="A2:D2"/>
    <mergeCell ref="A3:D3"/>
    <mergeCell ref="A4:D4"/>
    <mergeCell ref="A5:A7"/>
    <mergeCell ref="B5:B7"/>
    <mergeCell ref="C5:C7"/>
    <mergeCell ref="D5:D7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zoomScale="100" zoomScaleNormal="100">
      <selection activeCell="D3" sqref="D3"/>
    </sheetView>
  </sheetViews>
  <sheetFormatPr defaultRowHeight="14.4" outlineLevelRow="0" outlineLevelCol="0" x14ac:dyDescent="0.3" customHeight="1"/>
  <cols>
    <col min="4" max="4" width="15" customWidth="1"/>
    <col min="5" max="5" width="13.88671875" customWidth="1"/>
    <col min="6" max="6" width="13" customWidth="1"/>
    <col min="7" max="7" width="12.33203125" customWidth="1"/>
    <col min="8" max="8" width="13.88671875" customWidth="1"/>
    <col min="9" max="9" width="11.33203125" customWidth="1"/>
    <col min="10" max="10" width="11.5546875" customWidth="1"/>
    <col min="11" max="11" width="22.33203125" customWidth="1"/>
    <col min="12" max="12" width="13.44140625" customWidth="1"/>
    <col min="17" max="17" width="16.109375" customWidth="1"/>
  </cols>
  <sheetData>
    <row r="1" ht="17.4" customHeight="1" spans="1:17" x14ac:dyDescent="0.25">
      <c r="A1" s="13" t="s">
        <v>113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x14ac:dyDescent="0.25">
      <c r="A2" s="43" t="s">
        <v>84</v>
      </c>
      <c r="B2" s="42" t="s">
        <v>85</v>
      </c>
      <c r="C2" s="43" t="s">
        <v>86</v>
      </c>
      <c r="D2" s="63" t="s">
        <v>87</v>
      </c>
      <c r="E2" s="63"/>
      <c r="F2" s="64" t="s">
        <v>88</v>
      </c>
      <c r="G2" s="60" t="s">
        <v>114</v>
      </c>
      <c r="H2" s="60" t="s">
        <v>90</v>
      </c>
      <c r="I2" s="65" t="s">
        <v>91</v>
      </c>
      <c r="J2" s="66" t="s">
        <v>115</v>
      </c>
      <c r="K2" s="42" t="s">
        <v>116</v>
      </c>
      <c r="L2" s="43" t="s">
        <v>93</v>
      </c>
      <c r="M2" s="43"/>
      <c r="N2" s="43"/>
      <c r="O2" s="42" t="s">
        <v>117</v>
      </c>
      <c r="P2" s="42" t="s">
        <v>118</v>
      </c>
      <c r="Q2" s="42" t="s">
        <v>119</v>
      </c>
    </row>
    <row r="3" ht="40.2" customHeight="1" spans="1:17" x14ac:dyDescent="0.25">
      <c r="A3" s="43"/>
      <c r="B3" s="42"/>
      <c r="C3" s="43"/>
      <c r="D3" s="67" t="s">
        <v>94</v>
      </c>
      <c r="E3" s="65" t="s">
        <v>95</v>
      </c>
      <c r="F3" s="68"/>
      <c r="G3" s="60"/>
      <c r="H3" s="60"/>
      <c r="I3" s="65"/>
      <c r="J3" s="66"/>
      <c r="K3" s="42"/>
      <c r="L3" s="43" t="s">
        <v>102</v>
      </c>
      <c r="M3" s="43" t="s">
        <v>97</v>
      </c>
      <c r="N3" s="42" t="s">
        <v>99</v>
      </c>
      <c r="O3" s="42"/>
      <c r="P3" s="42"/>
      <c r="Q3" s="42"/>
    </row>
    <row r="4" spans="1:17" x14ac:dyDescent="0.25">
      <c r="A4" s="43"/>
      <c r="B4" s="43" t="s">
        <v>100</v>
      </c>
      <c r="C4" s="43" t="s">
        <v>101</v>
      </c>
      <c r="D4" s="42"/>
      <c r="E4" s="42"/>
      <c r="F4" s="42"/>
      <c r="G4" s="42"/>
      <c r="H4" s="42"/>
      <c r="I4" s="42"/>
      <c r="J4" s="42" t="s">
        <v>120</v>
      </c>
      <c r="K4" s="42" t="s">
        <v>121</v>
      </c>
      <c r="L4" s="43" t="s">
        <v>103</v>
      </c>
      <c r="M4" s="43" t="s">
        <v>104</v>
      </c>
      <c r="N4" s="43"/>
      <c r="O4" s="42" t="s">
        <v>122</v>
      </c>
      <c r="P4" s="42" t="s">
        <v>122</v>
      </c>
      <c r="Q4" s="42"/>
    </row>
    <row r="5" spans="1:17" x14ac:dyDescent="0.25">
      <c r="A5" s="44">
        <v>1</v>
      </c>
      <c r="B5" s="45">
        <v>49</v>
      </c>
      <c r="C5" s="45" t="s">
        <v>9</v>
      </c>
      <c r="D5" s="45" t="e">
        <f>'Category Detail by District'!D5</f>
        <v>#REF!</v>
      </c>
      <c r="E5" s="45" t="e">
        <f>'Category Detail by District'!F5</f>
        <v>#REF!</v>
      </c>
      <c r="F5" s="45" t="e">
        <f>'Category Detail by District'!H5</f>
        <v>#REF!</v>
      </c>
      <c r="G5" s="45" t="e">
        <f>'Category Detail by District'!J5</f>
        <v>#REF!</v>
      </c>
      <c r="H5" s="45" t="e">
        <f>'Category Detail by District'!L5</f>
        <v>#REF!</v>
      </c>
      <c r="I5" s="45" t="e">
        <f>'Category Detail by District'!N5</f>
        <v>#REF!</v>
      </c>
      <c r="J5" s="46" t="e">
        <f>'Category Detail by District'!P5</f>
        <v>#REF!</v>
      </c>
      <c r="K5" s="46" t="e">
        <f>#REF!</f>
        <v>#REF!</v>
      </c>
      <c r="L5" s="46" t="e">
        <f>D5+E5+F5+G5+H5+I5+J5</f>
        <v>#REF!</v>
      </c>
      <c r="M5" s="46" t="e">
        <f>'Category Detail by District'!Q5</f>
        <v>#REF!</v>
      </c>
      <c r="N5" s="47" t="e">
        <f>M5/J5</f>
        <v>#REF!</v>
      </c>
      <c r="O5" s="46">
        <v>1</v>
      </c>
      <c r="P5" s="46">
        <f>B5-O5</f>
        <v>48</v>
      </c>
      <c r="Q5" s="69" t="e">
        <f>D5+E5+F5+G5+H5+I5+J5</f>
        <v>#REF!</v>
      </c>
    </row>
    <row r="6" spans="1:17" x14ac:dyDescent="0.25">
      <c r="A6" s="44">
        <v>2</v>
      </c>
      <c r="B6" s="48">
        <v>42</v>
      </c>
      <c r="C6" s="46" t="s">
        <v>12</v>
      </c>
      <c r="D6" s="45" t="e">
        <f>'Category Detail by District'!D6</f>
        <v>#REF!</v>
      </c>
      <c r="E6" s="45" t="e">
        <f>'Category Detail by District'!F6</f>
        <v>#REF!</v>
      </c>
      <c r="F6" s="45" t="e">
        <f>'Category Detail by District'!H6</f>
        <v>#REF!</v>
      </c>
      <c r="G6" s="45" t="e">
        <f>'Category Detail by District'!J6</f>
        <v>#REF!</v>
      </c>
      <c r="H6" s="45" t="e">
        <f>'Category Detail by District'!L6</f>
        <v>#REF!</v>
      </c>
      <c r="I6" s="45" t="e">
        <f>'Category Detail by District'!N6</f>
        <v>#REF!</v>
      </c>
      <c r="J6" s="46" t="e">
        <f>'Category Detail by District'!P6</f>
        <v>#REF!</v>
      </c>
      <c r="K6" s="46" t="e">
        <f>#REF!</f>
        <v>#REF!</v>
      </c>
      <c r="L6" s="46" t="e">
        <f t="shared" ref="L6:L18" si="0">D6+E6+F6+G6+H6+I6+J6</f>
        <v>#REF!</v>
      </c>
      <c r="M6" s="46" t="e">
        <f>'Category Detail by District'!Q6</f>
        <v>#REF!</v>
      </c>
      <c r="N6" s="47" t="e">
        <f t="shared" ref="N6:N18" si="1">M6/J6</f>
        <v>#REF!</v>
      </c>
      <c r="O6" s="46">
        <v>2</v>
      </c>
      <c r="P6" s="46">
        <f t="shared" ref="P6:P18" si="2">B6-O6</f>
        <v>40</v>
      </c>
      <c r="Q6" s="69" t="e">
        <f t="shared" ref="Q6:Q18" si="3">D6+E6+F6+G6+H6+I6+J6</f>
        <v>#REF!</v>
      </c>
    </row>
    <row r="7" spans="1:17" x14ac:dyDescent="0.25">
      <c r="A7" s="70">
        <v>3</v>
      </c>
      <c r="B7" s="71">
        <v>57</v>
      </c>
      <c r="C7" s="71" t="s">
        <v>16</v>
      </c>
      <c r="D7" s="45" t="e">
        <f>'Category Detail by District'!D7</f>
        <v>#REF!</v>
      </c>
      <c r="E7" s="45" t="e">
        <f>'Category Detail by District'!F7</f>
        <v>#REF!</v>
      </c>
      <c r="F7" s="45" t="e">
        <f>'Category Detail by District'!H7</f>
        <v>#REF!</v>
      </c>
      <c r="G7" s="45" t="e">
        <f>'Category Detail by District'!J7</f>
        <v>#REF!</v>
      </c>
      <c r="H7" s="45" t="e">
        <f>'Category Detail by District'!L7</f>
        <v>#REF!</v>
      </c>
      <c r="I7" s="45" t="e">
        <f>'Category Detail by District'!N7</f>
        <v>#REF!</v>
      </c>
      <c r="J7" s="46" t="e">
        <f>'Category Detail by District'!P7</f>
        <v>#REF!</v>
      </c>
      <c r="K7" s="71" t="e">
        <f>#REF!</f>
        <v>#REF!</v>
      </c>
      <c r="L7" s="46" t="e">
        <f t="shared" si="0"/>
        <v>#REF!</v>
      </c>
      <c r="M7" s="46" t="e">
        <f>'Category Detail by District'!Q7</f>
        <v>#REF!</v>
      </c>
      <c r="N7" s="47" t="e">
        <f t="shared" si="1"/>
        <v>#REF!</v>
      </c>
      <c r="O7" s="71">
        <v>1</v>
      </c>
      <c r="P7" s="72">
        <f t="shared" si="2"/>
        <v>56</v>
      </c>
      <c r="Q7" s="69" t="e">
        <f t="shared" si="3"/>
        <v>#REF!</v>
      </c>
    </row>
    <row r="8" spans="1:17" x14ac:dyDescent="0.25">
      <c r="A8" s="44">
        <v>4</v>
      </c>
      <c r="B8" s="46">
        <v>57</v>
      </c>
      <c r="C8" s="46" t="s">
        <v>19</v>
      </c>
      <c r="D8" s="45" t="e">
        <f>'Category Detail by District'!D8</f>
        <v>#REF!</v>
      </c>
      <c r="E8" s="45" t="e">
        <f>'Category Detail by District'!F8</f>
        <v>#REF!</v>
      </c>
      <c r="F8" s="45" t="e">
        <f>'Category Detail by District'!H8</f>
        <v>#REF!</v>
      </c>
      <c r="G8" s="45" t="e">
        <f>'Category Detail by District'!J8</f>
        <v>#REF!</v>
      </c>
      <c r="H8" s="45" t="e">
        <f>'Category Detail by District'!L8</f>
        <v>#REF!</v>
      </c>
      <c r="I8" s="45" t="e">
        <f>'Category Detail by District'!N8</f>
        <v>#REF!</v>
      </c>
      <c r="J8" s="46" t="e">
        <f>'Category Detail by District'!P8</f>
        <v>#REF!</v>
      </c>
      <c r="K8" s="46" t="e">
        <f>#REF!</f>
        <v>#REF!</v>
      </c>
      <c r="L8" s="46" t="e">
        <f t="shared" si="0"/>
        <v>#REF!</v>
      </c>
      <c r="M8" s="46" t="e">
        <f>'Category Detail by District'!Q8</f>
        <v>#REF!</v>
      </c>
      <c r="N8" s="47" t="e">
        <f t="shared" si="1"/>
        <v>#REF!</v>
      </c>
      <c r="O8" s="46">
        <v>1</v>
      </c>
      <c r="P8" s="46">
        <f t="shared" si="2"/>
        <v>56</v>
      </c>
      <c r="Q8" s="69" t="e">
        <f t="shared" si="3"/>
        <v>#REF!</v>
      </c>
    </row>
    <row r="9" spans="1:17" x14ac:dyDescent="0.25">
      <c r="A9" s="44">
        <v>5</v>
      </c>
      <c r="B9" s="46">
        <v>33</v>
      </c>
      <c r="C9" s="50" t="s">
        <v>31</v>
      </c>
      <c r="D9" s="45" t="e">
        <f>'Category Detail by District'!D9</f>
        <v>#REF!</v>
      </c>
      <c r="E9" s="45" t="e">
        <f>'Category Detail by District'!F9</f>
        <v>#REF!</v>
      </c>
      <c r="F9" s="45" t="e">
        <f>'Category Detail by District'!H9</f>
        <v>#REF!</v>
      </c>
      <c r="G9" s="45" t="e">
        <f>'Category Detail by District'!J9</f>
        <v>#REF!</v>
      </c>
      <c r="H9" s="45" t="e">
        <f>'Category Detail by District'!L9</f>
        <v>#REF!</v>
      </c>
      <c r="I9" s="45" t="e">
        <f>'Category Detail by District'!N9</f>
        <v>#REF!</v>
      </c>
      <c r="J9" s="46" t="e">
        <f>'Category Detail by District'!P9</f>
        <v>#REF!</v>
      </c>
      <c r="K9" s="72" t="e">
        <f>#REF!</f>
        <v>#REF!</v>
      </c>
      <c r="L9" s="46" t="e">
        <f t="shared" si="0"/>
        <v>#REF!</v>
      </c>
      <c r="M9" s="46" t="e">
        <f>'Category Detail by District'!Q9</f>
        <v>#REF!</v>
      </c>
      <c r="N9" s="47" t="e">
        <f t="shared" si="1"/>
        <v>#REF!</v>
      </c>
      <c r="O9" s="46">
        <v>6</v>
      </c>
      <c r="P9" s="46">
        <f t="shared" si="2"/>
        <v>27</v>
      </c>
      <c r="Q9" s="69" t="e">
        <f t="shared" si="3"/>
        <v>#REF!</v>
      </c>
    </row>
    <row r="10" spans="1:17" x14ac:dyDescent="0.25">
      <c r="A10" s="44">
        <v>6</v>
      </c>
      <c r="B10" s="46">
        <v>25</v>
      </c>
      <c r="C10" s="46" t="s">
        <v>105</v>
      </c>
      <c r="D10" s="45" t="e">
        <f>'Category Detail by District'!D10</f>
        <v>#REF!</v>
      </c>
      <c r="E10" s="45" t="e">
        <f>'Category Detail by District'!F10</f>
        <v>#REF!</v>
      </c>
      <c r="F10" s="45" t="e">
        <f>'Category Detail by District'!H10</f>
        <v>#REF!</v>
      </c>
      <c r="G10" s="45" t="e">
        <f>'Category Detail by District'!J10</f>
        <v>#REF!</v>
      </c>
      <c r="H10" s="45" t="e">
        <f>'Category Detail by District'!L10</f>
        <v>#REF!</v>
      </c>
      <c r="I10" s="45" t="e">
        <f>'Category Detail by District'!N10</f>
        <v>#REF!</v>
      </c>
      <c r="J10" s="46" t="e">
        <f>'Category Detail by District'!P10</f>
        <v>#REF!</v>
      </c>
      <c r="K10" s="46" t="e">
        <f>#REF!</f>
        <v>#REF!</v>
      </c>
      <c r="L10" s="46" t="e">
        <f t="shared" si="0"/>
        <v>#REF!</v>
      </c>
      <c r="M10" s="46" t="e">
        <f>'Category Detail by District'!Q10</f>
        <v>#REF!</v>
      </c>
      <c r="N10" s="47" t="e">
        <f t="shared" si="1"/>
        <v>#REF!</v>
      </c>
      <c r="O10" s="46">
        <v>1</v>
      </c>
      <c r="P10" s="46">
        <f t="shared" si="2"/>
        <v>24</v>
      </c>
      <c r="Q10" s="69" t="e">
        <f t="shared" si="3"/>
        <v>#REF!</v>
      </c>
    </row>
    <row r="11" spans="1:17" x14ac:dyDescent="0.25">
      <c r="A11" s="73">
        <v>7</v>
      </c>
      <c r="B11" s="74">
        <v>11</v>
      </c>
      <c r="C11" s="75" t="s">
        <v>106</v>
      </c>
      <c r="D11" s="45" t="e">
        <f>'Category Detail by District'!D11</f>
        <v>#REF!</v>
      </c>
      <c r="E11" s="45" t="e">
        <f>'Category Detail by District'!F11</f>
        <v>#REF!</v>
      </c>
      <c r="F11" s="45" t="e">
        <f>'Category Detail by District'!H11</f>
        <v>#REF!</v>
      </c>
      <c r="G11" s="45" t="e">
        <f>'Category Detail by District'!J11</f>
        <v>#REF!</v>
      </c>
      <c r="H11" s="45" t="e">
        <f>'Category Detail by District'!L11</f>
        <v>#REF!</v>
      </c>
      <c r="I11" s="45" t="e">
        <f>'Category Detail by District'!N11</f>
        <v>#REF!</v>
      </c>
      <c r="J11" s="46" t="e">
        <f>'Category Detail by District'!P11</f>
        <v>#REF!</v>
      </c>
      <c r="K11" s="74" t="e">
        <f>#REF!</f>
        <v>#REF!</v>
      </c>
      <c r="L11" s="46" t="e">
        <f t="shared" si="0"/>
        <v>#REF!</v>
      </c>
      <c r="M11" s="46" t="e">
        <f>'Category Detail by District'!Q11</f>
        <v>#REF!</v>
      </c>
      <c r="N11" s="47" t="e">
        <f t="shared" si="1"/>
        <v>#REF!</v>
      </c>
      <c r="O11" s="74"/>
      <c r="P11" s="74">
        <f t="shared" si="2"/>
        <v>11</v>
      </c>
      <c r="Q11" s="69" t="e">
        <f t="shared" si="3"/>
        <v>#REF!</v>
      </c>
    </row>
    <row r="12" spans="1:17" x14ac:dyDescent="0.25">
      <c r="A12" s="44">
        <v>8</v>
      </c>
      <c r="B12" s="45">
        <v>18</v>
      </c>
      <c r="C12" s="51" t="s">
        <v>107</v>
      </c>
      <c r="D12" s="45" t="e">
        <f>'Category Detail by District'!D12</f>
        <v>#REF!</v>
      </c>
      <c r="E12" s="45" t="e">
        <f>'Category Detail by District'!F12</f>
        <v>#REF!</v>
      </c>
      <c r="F12" s="45" t="e">
        <f>'Category Detail by District'!H12</f>
        <v>#REF!</v>
      </c>
      <c r="G12" s="45" t="e">
        <f>'Category Detail by District'!J12</f>
        <v>#REF!</v>
      </c>
      <c r="H12" s="45" t="e">
        <f>'Category Detail by District'!L12</f>
        <v>#REF!</v>
      </c>
      <c r="I12" s="45" t="e">
        <f>'Category Detail by District'!N12</f>
        <v>#REF!</v>
      </c>
      <c r="J12" s="46" t="e">
        <f>'Category Detail by District'!P12</f>
        <v>#REF!</v>
      </c>
      <c r="K12" s="72" t="e">
        <f>#REF!</f>
        <v>#REF!</v>
      </c>
      <c r="L12" s="46" t="e">
        <f t="shared" si="0"/>
        <v>#REF!</v>
      </c>
      <c r="M12" s="46" t="e">
        <f>'Category Detail by District'!Q12</f>
        <v>#REF!</v>
      </c>
      <c r="N12" s="47" t="e">
        <f t="shared" si="1"/>
        <v>#REF!</v>
      </c>
      <c r="O12" s="46">
        <v>11</v>
      </c>
      <c r="P12" s="46">
        <f t="shared" si="2"/>
        <v>7</v>
      </c>
      <c r="Q12" s="69" t="e">
        <f t="shared" si="3"/>
        <v>#REF!</v>
      </c>
    </row>
    <row r="13" spans="1:17" x14ac:dyDescent="0.25">
      <c r="A13" s="44">
        <v>9</v>
      </c>
      <c r="B13" s="46">
        <v>39</v>
      </c>
      <c r="C13" s="46" t="s">
        <v>21</v>
      </c>
      <c r="D13" s="45" t="e">
        <f>'Category Detail by District'!D13</f>
        <v>#REF!</v>
      </c>
      <c r="E13" s="45" t="e">
        <f>'Category Detail by District'!F13</f>
        <v>#REF!</v>
      </c>
      <c r="F13" s="45" t="e">
        <f>'Category Detail by District'!H13</f>
        <v>#REF!</v>
      </c>
      <c r="G13" s="45" t="e">
        <f>'Category Detail by District'!J13</f>
        <v>#REF!</v>
      </c>
      <c r="H13" s="45" t="e">
        <f>'Category Detail by District'!L13</f>
        <v>#REF!</v>
      </c>
      <c r="I13" s="45" t="e">
        <f>'Category Detail by District'!N13</f>
        <v>#REF!</v>
      </c>
      <c r="J13" s="46" t="e">
        <f>'Category Detail by District'!P13</f>
        <v>#REF!</v>
      </c>
      <c r="K13" s="48" t="e">
        <f>#REF!</f>
        <v>#REF!</v>
      </c>
      <c r="L13" s="46" t="e">
        <f t="shared" si="0"/>
        <v>#REF!</v>
      </c>
      <c r="M13" s="46" t="e">
        <f>'Category Detail by District'!Q13</f>
        <v>#REF!</v>
      </c>
      <c r="N13" s="47" t="e">
        <f t="shared" si="1"/>
        <v>#REF!</v>
      </c>
      <c r="O13" s="48">
        <v>5</v>
      </c>
      <c r="P13" s="46">
        <f t="shared" si="2"/>
        <v>34</v>
      </c>
      <c r="Q13" s="69" t="e">
        <f t="shared" si="3"/>
        <v>#REF!</v>
      </c>
    </row>
    <row r="14" spans="1:17" x14ac:dyDescent="0.25">
      <c r="A14" s="44">
        <v>10</v>
      </c>
      <c r="B14" s="46">
        <v>36</v>
      </c>
      <c r="C14" s="50" t="s">
        <v>38</v>
      </c>
      <c r="D14" s="45" t="e">
        <f>'Category Detail by District'!D14</f>
        <v>#REF!</v>
      </c>
      <c r="E14" s="45" t="e">
        <f>'Category Detail by District'!F14</f>
        <v>#REF!</v>
      </c>
      <c r="F14" s="45" t="e">
        <f>'Category Detail by District'!H14</f>
        <v>#REF!</v>
      </c>
      <c r="G14" s="45" t="e">
        <f>'Category Detail by District'!J14</f>
        <v>#REF!</v>
      </c>
      <c r="H14" s="45" t="e">
        <f>'Category Detail by District'!L14</f>
        <v>#REF!</v>
      </c>
      <c r="I14" s="45" t="e">
        <f>'Category Detail by District'!N14</f>
        <v>#REF!</v>
      </c>
      <c r="J14" s="46" t="e">
        <f>'Category Detail by District'!P14</f>
        <v>#REF!</v>
      </c>
      <c r="K14" s="48" t="e">
        <f>#REF!</f>
        <v>#REF!</v>
      </c>
      <c r="L14" s="46" t="e">
        <f t="shared" si="0"/>
        <v>#REF!</v>
      </c>
      <c r="M14" s="46" t="e">
        <f>'Category Detail by District'!Q14</f>
        <v>#REF!</v>
      </c>
      <c r="N14" s="47" t="e">
        <f t="shared" si="1"/>
        <v>#REF!</v>
      </c>
      <c r="O14" s="46">
        <v>5</v>
      </c>
      <c r="P14" s="46">
        <f t="shared" si="2"/>
        <v>31</v>
      </c>
      <c r="Q14" s="69" t="e">
        <f t="shared" si="3"/>
        <v>#REF!</v>
      </c>
    </row>
    <row r="15" spans="1:17" x14ac:dyDescent="0.25">
      <c r="A15" s="44">
        <v>11</v>
      </c>
      <c r="B15" s="46">
        <v>26</v>
      </c>
      <c r="C15" s="50" t="s">
        <v>49</v>
      </c>
      <c r="D15" s="45" t="e">
        <f>'Category Detail by District'!D15</f>
        <v>#REF!</v>
      </c>
      <c r="E15" s="45" t="e">
        <f>'Category Detail by District'!F15</f>
        <v>#REF!</v>
      </c>
      <c r="F15" s="45" t="e">
        <f>'Category Detail by District'!H15</f>
        <v>#REF!</v>
      </c>
      <c r="G15" s="45" t="e">
        <f>'Category Detail by District'!J15</f>
        <v>#REF!</v>
      </c>
      <c r="H15" s="45" t="e">
        <f>'Category Detail by District'!L15</f>
        <v>#REF!</v>
      </c>
      <c r="I15" s="45" t="e">
        <f>'Category Detail by District'!N15</f>
        <v>#REF!</v>
      </c>
      <c r="J15" s="46" t="e">
        <f>'Category Detail by District'!P15</f>
        <v>#REF!</v>
      </c>
      <c r="K15" s="48" t="e">
        <f>#REF!</f>
        <v>#REF!</v>
      </c>
      <c r="L15" s="46" t="e">
        <f t="shared" si="0"/>
        <v>#REF!</v>
      </c>
      <c r="M15" s="46" t="e">
        <f>'Category Detail by District'!Q15</f>
        <v>#REF!</v>
      </c>
      <c r="N15" s="47" t="e">
        <f t="shared" si="1"/>
        <v>#REF!</v>
      </c>
      <c r="O15" s="46">
        <v>3</v>
      </c>
      <c r="P15" s="46">
        <f t="shared" si="2"/>
        <v>23</v>
      </c>
      <c r="Q15" s="69" t="e">
        <f t="shared" si="3"/>
        <v>#REF!</v>
      </c>
    </row>
    <row r="16" spans="1:17" x14ac:dyDescent="0.25">
      <c r="A16" s="44">
        <v>12</v>
      </c>
      <c r="B16" s="46">
        <v>20</v>
      </c>
      <c r="C16" s="50" t="s">
        <v>66</v>
      </c>
      <c r="D16" s="45" t="e">
        <f>'Category Detail by District'!D16</f>
        <v>#REF!</v>
      </c>
      <c r="E16" s="45" t="e">
        <f>'Category Detail by District'!F16</f>
        <v>#REF!</v>
      </c>
      <c r="F16" s="45" t="e">
        <f>'Category Detail by District'!H16</f>
        <v>#REF!</v>
      </c>
      <c r="G16" s="45" t="e">
        <f>'Category Detail by District'!J16</f>
        <v>#REF!</v>
      </c>
      <c r="H16" s="45" t="e">
        <f>'Category Detail by District'!L16</f>
        <v>#REF!</v>
      </c>
      <c r="I16" s="45" t="e">
        <f>'Category Detail by District'!N16</f>
        <v>#REF!</v>
      </c>
      <c r="J16" s="46" t="e">
        <f>'Category Detail by District'!P16</f>
        <v>#REF!</v>
      </c>
      <c r="K16" s="50" t="e">
        <f>#REF!</f>
        <v>#REF!</v>
      </c>
      <c r="L16" s="46" t="e">
        <f t="shared" si="0"/>
        <v>#REF!</v>
      </c>
      <c r="M16" s="46" t="e">
        <f>'Category Detail by District'!Q16</f>
        <v>#REF!</v>
      </c>
      <c r="N16" s="47"/>
      <c r="O16" s="46">
        <v>14</v>
      </c>
      <c r="P16" s="46">
        <f t="shared" si="2"/>
        <v>6</v>
      </c>
      <c r="Q16" s="69" t="e">
        <f t="shared" si="3"/>
        <v>#REF!</v>
      </c>
    </row>
    <row r="17" spans="1:17" x14ac:dyDescent="0.25">
      <c r="A17" s="44">
        <v>13</v>
      </c>
      <c r="B17" s="48">
        <v>11</v>
      </c>
      <c r="C17" s="46" t="s">
        <v>108</v>
      </c>
      <c r="D17" s="45" t="e">
        <f>'Category Detail by District'!D17</f>
        <v>#REF!</v>
      </c>
      <c r="E17" s="45" t="e">
        <f>'Category Detail by District'!F17</f>
        <v>#REF!</v>
      </c>
      <c r="F17" s="45" t="e">
        <f>'Category Detail by District'!H17</f>
        <v>#REF!</v>
      </c>
      <c r="G17" s="45" t="e">
        <f>'Category Detail by District'!J17</f>
        <v>#REF!</v>
      </c>
      <c r="H17" s="45" t="e">
        <f>'Category Detail by District'!L17</f>
        <v>#REF!</v>
      </c>
      <c r="I17" s="45" t="e">
        <f>'Category Detail by District'!N17</f>
        <v>#REF!</v>
      </c>
      <c r="J17" s="46" t="e">
        <f>'Category Detail by District'!P17</f>
        <v>#REF!</v>
      </c>
      <c r="K17" s="46" t="e">
        <f>#REF!</f>
        <v>#REF!</v>
      </c>
      <c r="L17" s="46" t="e">
        <f t="shared" si="0"/>
        <v>#REF!</v>
      </c>
      <c r="M17" s="46" t="e">
        <f>'Category Detail by District'!Q17</f>
        <v>#REF!</v>
      </c>
      <c r="N17" s="47" t="e">
        <f t="shared" si="1"/>
        <v>#REF!</v>
      </c>
      <c r="O17" s="46"/>
      <c r="P17" s="46">
        <f t="shared" si="2"/>
        <v>11</v>
      </c>
      <c r="Q17" s="69" t="e">
        <f t="shared" si="3"/>
        <v>#REF!</v>
      </c>
    </row>
    <row r="18" spans="1:17" x14ac:dyDescent="0.25">
      <c r="A18" s="76"/>
      <c r="B18" s="77">
        <f>SUM(B5:B17)</f>
        <v>424</v>
      </c>
      <c r="C18" s="78" t="s">
        <v>109</v>
      </c>
      <c r="D18" s="79" t="e">
        <f t="shared" ref="D18:K18" si="4">SUM(D5:D17)</f>
        <v>#REF!</v>
      </c>
      <c r="E18" s="45" t="e">
        <f>'Category Detail by District'!F18</f>
        <v>#REF!</v>
      </c>
      <c r="F18" s="45" t="e">
        <f>'Category Detail by District'!H18</f>
        <v>#REF!</v>
      </c>
      <c r="G18" s="45" t="e">
        <f>'Category Detail by District'!J18</f>
        <v>#REF!</v>
      </c>
      <c r="H18" s="45" t="e">
        <f>'Category Detail by District'!L18</f>
        <v>#REF!</v>
      </c>
      <c r="I18" s="45" t="e">
        <f>'Category Detail by District'!N18</f>
        <v>#REF!</v>
      </c>
      <c r="J18" s="46" t="e">
        <f>'Category Detail by District'!P18</f>
        <v>#REF!</v>
      </c>
      <c r="K18" s="80" t="e">
        <f t="shared" si="4"/>
        <v>#REF!</v>
      </c>
      <c r="L18" s="46" t="e">
        <f t="shared" si="0"/>
        <v>#REF!</v>
      </c>
      <c r="M18" s="46" t="e">
        <f>'Category Detail by District'!Q18</f>
        <v>#REF!</v>
      </c>
      <c r="N18" s="81" t="e">
        <f t="shared" si="1"/>
        <v>#REF!</v>
      </c>
      <c r="O18" s="80">
        <f>SUM(O5:O17)</f>
        <v>50</v>
      </c>
      <c r="P18" s="79">
        <f t="shared" si="2"/>
        <v>374</v>
      </c>
      <c r="Q18" s="82" t="e">
        <f t="shared" si="3"/>
        <v>#REF!</v>
      </c>
    </row>
    <row r="19" spans="1:17" x14ac:dyDescent="0.25">
      <c r="A19" s="52"/>
      <c r="B19" s="52"/>
      <c r="C19" s="52"/>
      <c r="D19" s="52"/>
      <c r="E19" s="52"/>
      <c r="F19" s="52"/>
      <c r="G19" s="52"/>
      <c r="H19" s="57"/>
      <c r="I19" s="57"/>
      <c r="J19" s="52"/>
      <c r="K19" s="52"/>
      <c r="L19" s="52"/>
      <c r="M19" s="52"/>
      <c r="N19" s="52"/>
      <c r="O19" s="57">
        <f>O18/B18</f>
        <v>0.1179245283018868</v>
      </c>
      <c r="P19" s="57">
        <f>P18/B18</f>
        <v>0.8820754716981132</v>
      </c>
      <c r="Q19" s="83"/>
    </row>
  </sheetData>
  <mergeCells count="15">
    <mergeCell ref="A1:Q1"/>
    <mergeCell ref="D2:E2"/>
    <mergeCell ref="L2:N2"/>
    <mergeCell ref="A2:A3"/>
    <mergeCell ref="B2:B3"/>
    <mergeCell ref="C2:C3"/>
    <mergeCell ref="F2:F3"/>
    <mergeCell ref="G2:G3"/>
    <mergeCell ref="H2:H3"/>
    <mergeCell ref="I2:I3"/>
    <mergeCell ref="J2:J3"/>
    <mergeCell ref="K2:K3"/>
    <mergeCell ref="O2:O3"/>
    <mergeCell ref="P2:P3"/>
    <mergeCell ref="Q2:Q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9"/>
  <sheetViews>
    <sheetView workbookViewId="0" zoomScale="100" zoomScaleNormal="100">
      <selection activeCell="N34" sqref="N34"/>
    </sheetView>
  </sheetViews>
  <sheetFormatPr defaultRowHeight="14.4" outlineLevelRow="0" outlineLevelCol="0" x14ac:dyDescent="0.3" customHeight="1"/>
  <cols>
    <col min="3" max="3" width="14.6640625" customWidth="1"/>
    <col min="4" max="4" width="13.109375" customWidth="1"/>
    <col min="5" max="5" width="14.5546875" customWidth="1"/>
    <col min="6" max="6" width="15" customWidth="1"/>
    <col min="7" max="7" width="16.44140625" customWidth="1"/>
    <col min="8" max="8" width="11.5546875" customWidth="1"/>
    <col min="9" max="9" width="11" customWidth="1"/>
    <col min="10" max="10" width="15.109375" customWidth="1"/>
    <col min="11" max="11" width="11.6640625" customWidth="1"/>
    <col min="12" max="12" width="16" customWidth="1"/>
    <col min="13" max="13" width="13.44140625" customWidth="1"/>
    <col min="14" max="14" width="11.88671875" customWidth="1"/>
    <col min="15" max="15" width="11" customWidth="1"/>
    <col min="16" max="16" width="11.5546875" customWidth="1"/>
    <col min="18" max="18" width="15" customWidth="1"/>
    <col min="19" max="19" width="12.6640625" customWidth="1"/>
    <col min="20" max="20" width="14.33203125" customWidth="1"/>
  </cols>
  <sheetData>
    <row r="1" ht="17.4" customHeight="1" spans="1:21" x14ac:dyDescent="0.25">
      <c r="A1" s="13" t="s">
        <v>83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4" t="s">
        <v>84</v>
      </c>
      <c r="B2" s="15" t="s">
        <v>85</v>
      </c>
      <c r="C2" s="14" t="s">
        <v>86</v>
      </c>
      <c r="D2" s="16" t="s">
        <v>87</v>
      </c>
      <c r="E2" s="17"/>
      <c r="F2" s="17"/>
      <c r="G2" s="18"/>
      <c r="H2" s="19" t="s">
        <v>88</v>
      </c>
      <c r="I2" s="20"/>
      <c r="J2" s="21" t="s">
        <v>89</v>
      </c>
      <c r="K2" s="22"/>
      <c r="L2" s="22" t="s">
        <v>90</v>
      </c>
      <c r="M2" s="22"/>
      <c r="N2" s="23" t="s">
        <v>91</v>
      </c>
      <c r="O2" s="23"/>
      <c r="P2" s="24" t="s">
        <v>92</v>
      </c>
      <c r="Q2" s="25"/>
      <c r="R2" s="26" t="s">
        <v>93</v>
      </c>
      <c r="S2" s="27"/>
      <c r="T2" s="27"/>
      <c r="U2" s="28"/>
    </row>
    <row r="3" ht="40.2" customHeight="1" spans="1:21" x14ac:dyDescent="0.25">
      <c r="A3" s="29"/>
      <c r="B3" s="30"/>
      <c r="C3" s="29"/>
      <c r="D3" s="31" t="s">
        <v>94</v>
      </c>
      <c r="E3" s="32"/>
      <c r="F3" s="33" t="s">
        <v>95</v>
      </c>
      <c r="G3" s="34"/>
      <c r="H3" s="35"/>
      <c r="I3" s="36"/>
      <c r="J3" s="37"/>
      <c r="K3" s="38"/>
      <c r="L3" s="38"/>
      <c r="M3" s="38"/>
      <c r="N3" s="39"/>
      <c r="O3" s="39"/>
      <c r="P3" s="40"/>
      <c r="Q3" s="41"/>
      <c r="R3" s="42" t="s">
        <v>96</v>
      </c>
      <c r="S3" s="43" t="s">
        <v>97</v>
      </c>
      <c r="T3" s="42" t="s">
        <v>98</v>
      </c>
      <c r="U3" s="42" t="s">
        <v>99</v>
      </c>
    </row>
    <row r="4" spans="1:21" x14ac:dyDescent="0.25">
      <c r="A4" s="43"/>
      <c r="B4" s="43" t="s">
        <v>100</v>
      </c>
      <c r="C4" s="43" t="s">
        <v>101</v>
      </c>
      <c r="D4" s="42" t="s">
        <v>102</v>
      </c>
      <c r="E4" s="42" t="s">
        <v>97</v>
      </c>
      <c r="F4" s="42" t="s">
        <v>102</v>
      </c>
      <c r="G4" s="42" t="s">
        <v>97</v>
      </c>
      <c r="H4" s="42" t="s">
        <v>102</v>
      </c>
      <c r="I4" s="42" t="s">
        <v>97</v>
      </c>
      <c r="J4" s="42" t="s">
        <v>102</v>
      </c>
      <c r="K4" s="42" t="s">
        <v>97</v>
      </c>
      <c r="L4" s="42" t="s">
        <v>102</v>
      </c>
      <c r="M4" s="42" t="s">
        <v>97</v>
      </c>
      <c r="N4" s="42" t="s">
        <v>102</v>
      </c>
      <c r="O4" s="42" t="s">
        <v>97</v>
      </c>
      <c r="P4" s="42" t="s">
        <v>102</v>
      </c>
      <c r="Q4" s="42" t="s">
        <v>97</v>
      </c>
      <c r="R4" s="43" t="s">
        <v>103</v>
      </c>
      <c r="S4" s="43" t="s">
        <v>104</v>
      </c>
      <c r="T4" s="43"/>
      <c r="U4" s="43"/>
    </row>
    <row r="5" spans="1:21" x14ac:dyDescent="0.25">
      <c r="A5" s="44">
        <v>1</v>
      </c>
      <c r="B5" s="45">
        <v>49</v>
      </c>
      <c r="C5" s="45" t="s">
        <v>9</v>
      </c>
      <c r="D5" s="45" t="e">
        <f>#REF!</f>
        <v>#REF!</v>
      </c>
      <c r="E5" s="45"/>
      <c r="F5" s="45" t="e">
        <f>#REF!</f>
        <v>#REF!</v>
      </c>
      <c r="G5" s="45"/>
      <c r="H5" s="45" t="e">
        <f>#REF!</f>
        <v>#REF!</v>
      </c>
      <c r="I5" s="45"/>
      <c r="J5" s="45" t="e">
        <f>#REF!</f>
        <v>#REF!</v>
      </c>
      <c r="K5" s="45"/>
      <c r="L5" s="45" t="e">
        <f>#REF!</f>
        <v>#REF!</v>
      </c>
      <c r="M5" s="45"/>
      <c r="N5" s="45" t="e">
        <f>#REF!</f>
        <v>#REF!</v>
      </c>
      <c r="O5" s="45"/>
      <c r="P5" s="45" t="e">
        <f>#REF!</f>
        <v>#REF!</v>
      </c>
      <c r="Q5" s="46" t="e">
        <f>#REF!</f>
        <v>#REF!</v>
      </c>
      <c r="R5" s="46" t="e">
        <f>D5+F5+H5+J5+L5+N5+P5</f>
        <v>#REF!</v>
      </c>
      <c r="S5" s="46" t="e">
        <f>E5+G5+K5+I5+M5+O5+Q5</f>
        <v>#REF!</v>
      </c>
      <c r="T5" s="46" t="e">
        <f>R5-S5</f>
        <v>#REF!</v>
      </c>
      <c r="U5" s="47"/>
    </row>
    <row r="6" spans="1:21" x14ac:dyDescent="0.25">
      <c r="A6" s="44">
        <v>2</v>
      </c>
      <c r="B6" s="48">
        <v>42</v>
      </c>
      <c r="C6" s="46" t="s">
        <v>12</v>
      </c>
      <c r="D6" s="45" t="e">
        <f>#REF!</f>
        <v>#REF!</v>
      </c>
      <c r="E6" s="45"/>
      <c r="F6" s="45" t="e">
        <f>#REF!</f>
        <v>#REF!</v>
      </c>
      <c r="G6" s="45"/>
      <c r="H6" s="45" t="e">
        <f>#REF!</f>
        <v>#REF!</v>
      </c>
      <c r="I6" s="45"/>
      <c r="J6" s="45" t="e">
        <f>#REF!</f>
        <v>#REF!</v>
      </c>
      <c r="K6" s="45"/>
      <c r="L6" s="45" t="e">
        <f>#REF!</f>
        <v>#REF!</v>
      </c>
      <c r="M6" s="45"/>
      <c r="N6" s="45" t="e">
        <f>#REF!</f>
        <v>#REF!</v>
      </c>
      <c r="O6" s="45"/>
      <c r="P6" s="45" t="e">
        <f>#REF!</f>
        <v>#REF!</v>
      </c>
      <c r="Q6" s="46" t="e">
        <f>#REF!</f>
        <v>#REF!</v>
      </c>
      <c r="R6" s="46" t="e">
        <f t="shared" ref="R6:R18" si="0">D6+F6+H6+J6+L6+N6+P6</f>
        <v>#REF!</v>
      </c>
      <c r="S6" s="46" t="e">
        <f>E6+G6+K6+I6+M6+O6+Q6</f>
        <v>#REF!</v>
      </c>
      <c r="T6" s="46" t="e">
        <f t="shared" ref="T6:T17" si="1">R6-S6</f>
        <v>#REF!</v>
      </c>
      <c r="U6" s="47" t="e">
        <f t="shared" ref="U6:U17" si="2">S6/R6</f>
        <v>#REF!</v>
      </c>
    </row>
    <row r="7" spans="1:21" x14ac:dyDescent="0.25">
      <c r="A7" s="44">
        <v>3</v>
      </c>
      <c r="B7" s="45">
        <v>57</v>
      </c>
      <c r="C7" s="45" t="s">
        <v>16</v>
      </c>
      <c r="D7" s="45" t="e">
        <f>#REF!</f>
        <v>#REF!</v>
      </c>
      <c r="E7" s="45"/>
      <c r="F7" s="45" t="e">
        <f>#REF!</f>
        <v>#REF!</v>
      </c>
      <c r="G7" s="45"/>
      <c r="H7" s="45" t="e">
        <f>#REF!</f>
        <v>#REF!</v>
      </c>
      <c r="I7" s="45"/>
      <c r="J7" s="45" t="e">
        <f>#REF!</f>
        <v>#REF!</v>
      </c>
      <c r="K7" s="45"/>
      <c r="L7" s="45" t="e">
        <f>#REF!</f>
        <v>#REF!</v>
      </c>
      <c r="M7" s="45"/>
      <c r="N7" s="45" t="e">
        <f>#REF!</f>
        <v>#REF!</v>
      </c>
      <c r="O7" s="45"/>
      <c r="P7" s="45" t="e">
        <f>#REF!</f>
        <v>#REF!</v>
      </c>
      <c r="Q7" s="46" t="e">
        <f>#REF!</f>
        <v>#REF!</v>
      </c>
      <c r="R7" s="46" t="e">
        <f t="shared" si="0"/>
        <v>#REF!</v>
      </c>
      <c r="S7" s="46" t="e">
        <f>E7+G7+K7+I7+M7+O7+Q7</f>
        <v>#REF!</v>
      </c>
      <c r="T7" s="46" t="e">
        <f t="shared" si="1"/>
        <v>#REF!</v>
      </c>
      <c r="U7" s="47" t="e">
        <f t="shared" si="2"/>
        <v>#REF!</v>
      </c>
    </row>
    <row r="8" spans="1:21" x14ac:dyDescent="0.25">
      <c r="A8" s="44">
        <v>4</v>
      </c>
      <c r="B8" s="46">
        <v>65</v>
      </c>
      <c r="C8" s="46" t="s">
        <v>19</v>
      </c>
      <c r="D8" s="45" t="e">
        <f>#REF!</f>
        <v>#REF!</v>
      </c>
      <c r="E8" s="49"/>
      <c r="F8" s="45" t="e">
        <f>#REF!</f>
        <v>#REF!</v>
      </c>
      <c r="G8" s="45"/>
      <c r="H8" s="45" t="e">
        <f>#REF!</f>
        <v>#REF!</v>
      </c>
      <c r="I8" s="45"/>
      <c r="J8" s="45" t="e">
        <f>#REF!</f>
        <v>#REF!</v>
      </c>
      <c r="K8" s="45"/>
      <c r="L8" s="45" t="e">
        <f>#REF!</f>
        <v>#REF!</v>
      </c>
      <c r="M8" s="45"/>
      <c r="N8" s="45" t="e">
        <f>#REF!</f>
        <v>#REF!</v>
      </c>
      <c r="O8" s="45"/>
      <c r="P8" s="45" t="e">
        <f>#REF!</f>
        <v>#REF!</v>
      </c>
      <c r="Q8" s="46" t="e">
        <f>#REF!</f>
        <v>#REF!</v>
      </c>
      <c r="R8" s="46" t="e">
        <f t="shared" si="0"/>
        <v>#REF!</v>
      </c>
      <c r="S8" s="46" t="e">
        <f t="shared" ref="S8:S17" si="3">E8+G8+K8+I8+M8+O8+Q8</f>
        <v>#REF!</v>
      </c>
      <c r="T8" s="46" t="e">
        <f t="shared" si="1"/>
        <v>#REF!</v>
      </c>
      <c r="U8" s="47" t="e">
        <f t="shared" si="2"/>
        <v>#REF!</v>
      </c>
    </row>
    <row r="9" spans="1:21" x14ac:dyDescent="0.25">
      <c r="A9" s="44">
        <v>5</v>
      </c>
      <c r="B9" s="46">
        <v>33</v>
      </c>
      <c r="C9" s="50" t="s">
        <v>31</v>
      </c>
      <c r="D9" s="45" t="e">
        <f>#REF!</f>
        <v>#REF!</v>
      </c>
      <c r="E9" s="49"/>
      <c r="F9" s="45" t="e">
        <f>#REF!</f>
        <v>#REF!</v>
      </c>
      <c r="G9" s="45"/>
      <c r="H9" s="45" t="e">
        <f>#REF!</f>
        <v>#REF!</v>
      </c>
      <c r="I9" s="45"/>
      <c r="J9" s="45" t="e">
        <f>#REF!</f>
        <v>#REF!</v>
      </c>
      <c r="K9" s="45"/>
      <c r="L9" s="45" t="e">
        <f>#REF!</f>
        <v>#REF!</v>
      </c>
      <c r="M9" s="45"/>
      <c r="N9" s="45" t="e">
        <f>#REF!</f>
        <v>#REF!</v>
      </c>
      <c r="O9" s="45"/>
      <c r="P9" s="45" t="e">
        <f>#REF!</f>
        <v>#REF!</v>
      </c>
      <c r="Q9" s="46" t="e">
        <f>#REF!</f>
        <v>#REF!</v>
      </c>
      <c r="R9" s="46" t="e">
        <f t="shared" si="0"/>
        <v>#REF!</v>
      </c>
      <c r="S9" s="46" t="e">
        <f t="shared" si="3"/>
        <v>#REF!</v>
      </c>
      <c r="T9" s="46" t="e">
        <f t="shared" si="1"/>
        <v>#REF!</v>
      </c>
      <c r="U9" s="47" t="e">
        <f t="shared" si="2"/>
        <v>#REF!</v>
      </c>
    </row>
    <row r="10" spans="1:21" x14ac:dyDescent="0.25">
      <c r="A10" s="44">
        <v>6</v>
      </c>
      <c r="B10" s="46">
        <v>25</v>
      </c>
      <c r="C10" s="46" t="s">
        <v>105</v>
      </c>
      <c r="D10" s="45" t="e">
        <f>#REF!</f>
        <v>#REF!</v>
      </c>
      <c r="E10" s="45"/>
      <c r="F10" s="45" t="e">
        <f>#REF!</f>
        <v>#REF!</v>
      </c>
      <c r="G10" s="45"/>
      <c r="H10" s="45" t="e">
        <f>#REF!</f>
        <v>#REF!</v>
      </c>
      <c r="I10" s="45"/>
      <c r="J10" s="45" t="e">
        <f>#REF!</f>
        <v>#REF!</v>
      </c>
      <c r="K10" s="45"/>
      <c r="L10" s="45" t="e">
        <f>#REF!</f>
        <v>#REF!</v>
      </c>
      <c r="M10" s="45"/>
      <c r="N10" s="45" t="e">
        <f>#REF!</f>
        <v>#REF!</v>
      </c>
      <c r="O10" s="45"/>
      <c r="P10" s="45" t="e">
        <f>#REF!</f>
        <v>#REF!</v>
      </c>
      <c r="Q10" s="46" t="e">
        <f>#REF!</f>
        <v>#REF!</v>
      </c>
      <c r="R10" s="46" t="e">
        <f t="shared" si="0"/>
        <v>#REF!</v>
      </c>
      <c r="S10" s="46" t="e">
        <f t="shared" si="3"/>
        <v>#REF!</v>
      </c>
      <c r="T10" s="46" t="e">
        <f t="shared" si="1"/>
        <v>#REF!</v>
      </c>
      <c r="U10" s="47" t="e">
        <f t="shared" si="2"/>
        <v>#REF!</v>
      </c>
    </row>
    <row r="11" spans="1:21" x14ac:dyDescent="0.25">
      <c r="A11" s="44">
        <v>7</v>
      </c>
      <c r="B11" s="46">
        <v>11</v>
      </c>
      <c r="C11" s="46" t="s">
        <v>106</v>
      </c>
      <c r="D11" s="45" t="e">
        <f>#REF!</f>
        <v>#REF!</v>
      </c>
      <c r="E11" s="45"/>
      <c r="F11" s="45" t="e">
        <f>#REF!</f>
        <v>#REF!</v>
      </c>
      <c r="G11" s="45"/>
      <c r="H11" s="45" t="e">
        <f>#REF!</f>
        <v>#REF!</v>
      </c>
      <c r="I11" s="45"/>
      <c r="J11" s="45" t="e">
        <f>#REF!</f>
        <v>#REF!</v>
      </c>
      <c r="K11" s="45"/>
      <c r="L11" s="45" t="e">
        <f>#REF!</f>
        <v>#REF!</v>
      </c>
      <c r="M11" s="45"/>
      <c r="N11" s="45" t="e">
        <f>#REF!</f>
        <v>#REF!</v>
      </c>
      <c r="O11" s="45"/>
      <c r="P11" s="45" t="e">
        <f>#REF!</f>
        <v>#REF!</v>
      </c>
      <c r="Q11" s="46" t="e">
        <f>#REF!</f>
        <v>#REF!</v>
      </c>
      <c r="R11" s="46" t="e">
        <f t="shared" si="0"/>
        <v>#REF!</v>
      </c>
      <c r="S11" s="46" t="e">
        <f t="shared" si="3"/>
        <v>#REF!</v>
      </c>
      <c r="T11" s="46" t="e">
        <f t="shared" si="1"/>
        <v>#REF!</v>
      </c>
      <c r="U11" s="47" t="e">
        <f t="shared" si="2"/>
        <v>#REF!</v>
      </c>
    </row>
    <row r="12" spans="1:21" x14ac:dyDescent="0.25">
      <c r="A12" s="44">
        <v>8</v>
      </c>
      <c r="B12" s="45">
        <v>17</v>
      </c>
      <c r="C12" s="51" t="s">
        <v>107</v>
      </c>
      <c r="D12" s="45" t="e">
        <f>#REF!</f>
        <v>#REF!</v>
      </c>
      <c r="E12" s="45"/>
      <c r="F12" s="45" t="e">
        <f>#REF!</f>
        <v>#REF!</v>
      </c>
      <c r="G12" s="45"/>
      <c r="H12" s="45" t="e">
        <f>#REF!</f>
        <v>#REF!</v>
      </c>
      <c r="I12" s="45"/>
      <c r="J12" s="45" t="e">
        <f>#REF!</f>
        <v>#REF!</v>
      </c>
      <c r="K12" s="45"/>
      <c r="L12" s="45" t="e">
        <f>#REF!</f>
        <v>#REF!</v>
      </c>
      <c r="M12" s="45"/>
      <c r="N12" s="45" t="e">
        <f>#REF!</f>
        <v>#REF!</v>
      </c>
      <c r="O12" s="45"/>
      <c r="P12" s="45" t="e">
        <f>#REF!</f>
        <v>#REF!</v>
      </c>
      <c r="Q12" s="46" t="e">
        <f>#REF!</f>
        <v>#REF!</v>
      </c>
      <c r="R12" s="46" t="e">
        <f t="shared" si="0"/>
        <v>#REF!</v>
      </c>
      <c r="S12" s="46" t="e">
        <f t="shared" si="3"/>
        <v>#REF!</v>
      </c>
      <c r="T12" s="46" t="e">
        <f t="shared" si="1"/>
        <v>#REF!</v>
      </c>
      <c r="U12" s="47" t="e">
        <f t="shared" si="2"/>
        <v>#REF!</v>
      </c>
    </row>
    <row r="13" spans="1:21" x14ac:dyDescent="0.25">
      <c r="A13" s="44">
        <v>9</v>
      </c>
      <c r="B13" s="46">
        <v>39</v>
      </c>
      <c r="C13" s="46" t="s">
        <v>21</v>
      </c>
      <c r="D13" s="45" t="e">
        <f>#REF!</f>
        <v>#REF!</v>
      </c>
      <c r="E13" s="45"/>
      <c r="F13" s="45" t="e">
        <f>#REF!</f>
        <v>#REF!</v>
      </c>
      <c r="G13" s="45"/>
      <c r="H13" s="45" t="e">
        <f>#REF!</f>
        <v>#REF!</v>
      </c>
      <c r="I13" s="45"/>
      <c r="J13" s="45" t="e">
        <f>#REF!</f>
        <v>#REF!</v>
      </c>
      <c r="K13" s="45"/>
      <c r="L13" s="45" t="e">
        <f>#REF!</f>
        <v>#REF!</v>
      </c>
      <c r="M13" s="45"/>
      <c r="N13" s="45" t="e">
        <f>#REF!</f>
        <v>#REF!</v>
      </c>
      <c r="O13" s="45"/>
      <c r="P13" s="45" t="e">
        <f>#REF!</f>
        <v>#REF!</v>
      </c>
      <c r="Q13" s="46" t="e">
        <f>#REF!</f>
        <v>#REF!</v>
      </c>
      <c r="R13" s="46" t="e">
        <f t="shared" si="0"/>
        <v>#REF!</v>
      </c>
      <c r="S13" s="46" t="e">
        <f t="shared" si="3"/>
        <v>#REF!</v>
      </c>
      <c r="T13" s="46" t="e">
        <f t="shared" si="1"/>
        <v>#REF!</v>
      </c>
      <c r="U13" s="47" t="e">
        <f t="shared" si="2"/>
        <v>#REF!</v>
      </c>
    </row>
    <row r="14" spans="1:21" x14ac:dyDescent="0.25">
      <c r="A14" s="44">
        <v>10</v>
      </c>
      <c r="B14" s="46">
        <v>36</v>
      </c>
      <c r="C14" s="50" t="s">
        <v>38</v>
      </c>
      <c r="D14" s="45" t="e">
        <f>#REF!</f>
        <v>#REF!</v>
      </c>
      <c r="E14" s="49"/>
      <c r="F14" s="45" t="e">
        <f>#REF!</f>
        <v>#REF!</v>
      </c>
      <c r="G14" s="45"/>
      <c r="H14" s="45" t="e">
        <f>#REF!</f>
        <v>#REF!</v>
      </c>
      <c r="I14" s="45"/>
      <c r="J14" s="45" t="e">
        <f>#REF!</f>
        <v>#REF!</v>
      </c>
      <c r="K14" s="45"/>
      <c r="L14" s="45" t="e">
        <f>#REF!</f>
        <v>#REF!</v>
      </c>
      <c r="M14" s="45"/>
      <c r="N14" s="45" t="e">
        <f>#REF!</f>
        <v>#REF!</v>
      </c>
      <c r="O14" s="45"/>
      <c r="P14" s="45" t="e">
        <f>#REF!</f>
        <v>#REF!</v>
      </c>
      <c r="Q14" s="46" t="e">
        <f>#REF!</f>
        <v>#REF!</v>
      </c>
      <c r="R14" s="46" t="e">
        <f t="shared" si="0"/>
        <v>#REF!</v>
      </c>
      <c r="S14" s="46" t="e">
        <f t="shared" si="3"/>
        <v>#REF!</v>
      </c>
      <c r="T14" s="46" t="e">
        <f t="shared" si="1"/>
        <v>#REF!</v>
      </c>
      <c r="U14" s="47" t="e">
        <f t="shared" si="2"/>
        <v>#REF!</v>
      </c>
    </row>
    <row r="15" spans="1:21" x14ac:dyDescent="0.25">
      <c r="A15" s="44">
        <v>11</v>
      </c>
      <c r="B15" s="46">
        <v>26</v>
      </c>
      <c r="C15" s="50" t="s">
        <v>49</v>
      </c>
      <c r="D15" s="45" t="e">
        <f>#REF!</f>
        <v>#REF!</v>
      </c>
      <c r="E15" s="49"/>
      <c r="F15" s="45" t="e">
        <f>#REF!</f>
        <v>#REF!</v>
      </c>
      <c r="G15" s="45"/>
      <c r="H15" s="45" t="e">
        <f>#REF!</f>
        <v>#REF!</v>
      </c>
      <c r="I15" s="45"/>
      <c r="J15" s="45" t="e">
        <f>#REF!</f>
        <v>#REF!</v>
      </c>
      <c r="K15" s="45"/>
      <c r="L15" s="45" t="e">
        <f>#REF!</f>
        <v>#REF!</v>
      </c>
      <c r="M15" s="45"/>
      <c r="N15" s="45" t="e">
        <f>#REF!</f>
        <v>#REF!</v>
      </c>
      <c r="O15" s="45"/>
      <c r="P15" s="45" t="e">
        <f>#REF!</f>
        <v>#REF!</v>
      </c>
      <c r="Q15" s="46" t="e">
        <f>#REF!</f>
        <v>#REF!</v>
      </c>
      <c r="R15" s="46" t="e">
        <f t="shared" si="0"/>
        <v>#REF!</v>
      </c>
      <c r="S15" s="46" t="e">
        <f t="shared" si="3"/>
        <v>#REF!</v>
      </c>
      <c r="T15" s="46" t="e">
        <f t="shared" si="1"/>
        <v>#REF!</v>
      </c>
      <c r="U15" s="47" t="e">
        <f t="shared" si="2"/>
        <v>#REF!</v>
      </c>
    </row>
    <row r="16" spans="1:21" x14ac:dyDescent="0.25">
      <c r="A16" s="44">
        <v>12</v>
      </c>
      <c r="B16" s="46">
        <v>20</v>
      </c>
      <c r="C16" s="50" t="s">
        <v>66</v>
      </c>
      <c r="D16" s="45" t="e">
        <f>#REF!</f>
        <v>#REF!</v>
      </c>
      <c r="E16" s="45"/>
      <c r="F16" s="45" t="e">
        <f>#REF!</f>
        <v>#REF!</v>
      </c>
      <c r="G16" s="45"/>
      <c r="H16" s="45" t="e">
        <f>#REF!</f>
        <v>#REF!</v>
      </c>
      <c r="I16" s="45"/>
      <c r="J16" s="45" t="e">
        <f>#REF!</f>
        <v>#REF!</v>
      </c>
      <c r="K16" s="45"/>
      <c r="L16" s="45" t="e">
        <f>#REF!</f>
        <v>#REF!</v>
      </c>
      <c r="M16" s="45"/>
      <c r="N16" s="45" t="e">
        <f>#REF!</f>
        <v>#REF!</v>
      </c>
      <c r="O16" s="45"/>
      <c r="P16" s="45" t="e">
        <f>#REF!</f>
        <v>#REF!</v>
      </c>
      <c r="Q16" s="46" t="e">
        <f>#REF!</f>
        <v>#REF!</v>
      </c>
      <c r="R16" s="46" t="e">
        <f t="shared" si="0"/>
        <v>#REF!</v>
      </c>
      <c r="S16" s="46" t="e">
        <f t="shared" si="3"/>
        <v>#REF!</v>
      </c>
      <c r="T16" s="46" t="e">
        <f t="shared" si="1"/>
        <v>#REF!</v>
      </c>
      <c r="U16" s="47"/>
    </row>
    <row r="17" spans="1:21" x14ac:dyDescent="0.25">
      <c r="A17" s="44">
        <v>13</v>
      </c>
      <c r="B17" s="48">
        <v>7</v>
      </c>
      <c r="C17" s="46" t="s">
        <v>108</v>
      </c>
      <c r="D17" s="45" t="e">
        <f>#REF!</f>
        <v>#REF!</v>
      </c>
      <c r="E17" s="49"/>
      <c r="F17" s="45" t="e">
        <f>#REF!</f>
        <v>#REF!</v>
      </c>
      <c r="G17" s="45"/>
      <c r="H17" s="45" t="e">
        <f>#REF!</f>
        <v>#REF!</v>
      </c>
      <c r="I17" s="45"/>
      <c r="J17" s="45" t="e">
        <f>#REF!</f>
        <v>#REF!</v>
      </c>
      <c r="K17" s="45"/>
      <c r="L17" s="45" t="e">
        <f>#REF!</f>
        <v>#REF!</v>
      </c>
      <c r="M17" s="45"/>
      <c r="N17" s="45" t="e">
        <f>#REF!</f>
        <v>#REF!</v>
      </c>
      <c r="O17" s="45"/>
      <c r="P17" s="45" t="e">
        <f>#REF!</f>
        <v>#REF!</v>
      </c>
      <c r="Q17" s="46" t="e">
        <f>#REF!</f>
        <v>#REF!</v>
      </c>
      <c r="R17" s="46" t="e">
        <f t="shared" si="0"/>
        <v>#REF!</v>
      </c>
      <c r="S17" s="46" t="e">
        <f t="shared" si="3"/>
        <v>#REF!</v>
      </c>
      <c r="T17" s="46" t="e">
        <f t="shared" si="1"/>
        <v>#REF!</v>
      </c>
      <c r="U17" s="47" t="e">
        <f t="shared" si="2"/>
        <v>#REF!</v>
      </c>
    </row>
    <row r="18" spans="1:21" x14ac:dyDescent="0.25">
      <c r="A18" s="52"/>
      <c r="B18" s="53">
        <f>SUM(B5:B17)</f>
        <v>427</v>
      </c>
      <c r="C18" s="54" t="s">
        <v>109</v>
      </c>
      <c r="D18" s="55" t="e">
        <f t="shared" ref="D18:U18" si="4">SUM(D5:D17)</f>
        <v>#REF!</v>
      </c>
      <c r="E18" s="55">
        <f t="shared" si="4"/>
        <v>0</v>
      </c>
      <c r="F18" s="55" t="e">
        <f t="shared" si="4"/>
        <v>#REF!</v>
      </c>
      <c r="G18" s="55">
        <f t="shared" si="4"/>
        <v>0</v>
      </c>
      <c r="H18" s="55" t="e">
        <f t="shared" si="4"/>
        <v>#REF!</v>
      </c>
      <c r="I18" s="55">
        <f t="shared" si="4"/>
        <v>0</v>
      </c>
      <c r="J18" s="55" t="e">
        <f t="shared" si="4"/>
        <v>#REF!</v>
      </c>
      <c r="K18" s="55">
        <f>SUM(K5:K17)</f>
        <v>0</v>
      </c>
      <c r="L18" s="55" t="e">
        <f>SUM(L5:L17)</f>
        <v>#REF!</v>
      </c>
      <c r="M18" s="55">
        <f t="shared" si="4"/>
        <v>0</v>
      </c>
      <c r="N18" s="55" t="e">
        <f t="shared" si="4"/>
        <v>#REF!</v>
      </c>
      <c r="O18" s="55">
        <f t="shared" si="4"/>
        <v>0</v>
      </c>
      <c r="P18" s="55" t="e">
        <f t="shared" si="4"/>
        <v>#REF!</v>
      </c>
      <c r="Q18" s="55" t="e">
        <f t="shared" si="4"/>
        <v>#REF!</v>
      </c>
      <c r="R18" s="46" t="e">
        <f t="shared" si="0"/>
        <v>#REF!</v>
      </c>
      <c r="S18" s="55" t="e">
        <f t="shared" si="4"/>
        <v>#REF!</v>
      </c>
      <c r="T18" s="55" t="e">
        <f t="shared" si="4"/>
        <v>#REF!</v>
      </c>
      <c r="U18" s="55" t="e">
        <f t="shared" si="4"/>
        <v>#REF!</v>
      </c>
    </row>
    <row r="19" spans="1:21" x14ac:dyDescent="0.25">
      <c r="A19" s="52"/>
      <c r="B19" s="52"/>
      <c r="C19" s="52"/>
      <c r="D19" s="52"/>
      <c r="E19" s="56" t="e">
        <f>D18-E18</f>
        <v>#REF!</v>
      </c>
      <c r="F19" s="52"/>
      <c r="G19" s="56" t="e">
        <f>F18-G18</f>
        <v>#REF!</v>
      </c>
      <c r="H19" s="52"/>
      <c r="I19" s="56" t="e">
        <f>H18-I18</f>
        <v>#REF!</v>
      </c>
      <c r="J19" s="52"/>
      <c r="K19" s="56" t="e">
        <f>J18-K18</f>
        <v>#REF!</v>
      </c>
      <c r="L19" s="52"/>
      <c r="M19" s="56" t="e">
        <f>L18-M18</f>
        <v>#REF!</v>
      </c>
      <c r="N19" s="57"/>
      <c r="O19" s="56" t="e">
        <f>N18-O18</f>
        <v>#REF!</v>
      </c>
      <c r="P19" s="57"/>
      <c r="Q19" s="57" t="e">
        <f>Q18/P18</f>
        <v>#REF!</v>
      </c>
      <c r="R19" s="52"/>
      <c r="S19" s="52"/>
      <c r="T19" s="52"/>
      <c r="U19" s="52"/>
    </row>
    <row r="21" spans="2:8" x14ac:dyDescent="0.25">
      <c r="B21" s="58"/>
      <c r="C21" s="59" t="s">
        <v>110</v>
      </c>
      <c r="D21" s="59"/>
      <c r="E21" s="59" t="s">
        <v>111</v>
      </c>
      <c r="F21" s="59"/>
      <c r="G21" s="58"/>
      <c r="H21" s="58"/>
    </row>
    <row r="22" spans="2:8" x14ac:dyDescent="0.25">
      <c r="B22" s="58"/>
      <c r="C22" s="60" t="s">
        <v>90</v>
      </c>
      <c r="D22" s="60"/>
      <c r="E22" s="60" t="s">
        <v>90</v>
      </c>
      <c r="F22" s="60"/>
      <c r="G22" s="58"/>
      <c r="H22" s="58"/>
    </row>
    <row r="23" spans="2:8" x14ac:dyDescent="0.25">
      <c r="B23" s="58"/>
      <c r="C23" s="60"/>
      <c r="D23" s="60"/>
      <c r="E23" s="60"/>
      <c r="F23" s="60"/>
      <c r="G23" s="59" t="s">
        <v>112</v>
      </c>
      <c r="H23" s="59"/>
    </row>
    <row r="24" spans="2:8" x14ac:dyDescent="0.25">
      <c r="B24" s="58"/>
      <c r="C24" s="42" t="s">
        <v>102</v>
      </c>
      <c r="D24" s="42" t="s">
        <v>97</v>
      </c>
      <c r="E24" s="42" t="s">
        <v>102</v>
      </c>
      <c r="F24" s="42" t="s">
        <v>97</v>
      </c>
      <c r="G24" s="42" t="s">
        <v>102</v>
      </c>
      <c r="H24" s="42" t="s">
        <v>97</v>
      </c>
    </row>
    <row r="25" spans="2:8" x14ac:dyDescent="0.25">
      <c r="B25" s="46" t="s">
        <v>9</v>
      </c>
      <c r="C25" s="61">
        <v>87889</v>
      </c>
      <c r="D25" s="61"/>
      <c r="E25" s="46"/>
      <c r="F25" s="46"/>
      <c r="G25" s="61">
        <f>C25-E25</f>
        <v>87889</v>
      </c>
      <c r="H25" s="61">
        <f>D25-F25</f>
        <v>0</v>
      </c>
    </row>
    <row r="26" spans="2:8" x14ac:dyDescent="0.25">
      <c r="B26" s="46" t="s">
        <v>12</v>
      </c>
      <c r="C26" s="61">
        <v>26252</v>
      </c>
      <c r="D26" s="61"/>
      <c r="E26" s="46"/>
      <c r="F26" s="46"/>
      <c r="G26" s="61">
        <f>C26-E26</f>
        <v>26252</v>
      </c>
      <c r="H26" s="61">
        <f t="shared" ref="H26:H37" si="5">D26-F26</f>
        <v>0</v>
      </c>
    </row>
    <row r="27" spans="2:8" x14ac:dyDescent="0.25">
      <c r="B27" s="46" t="s">
        <v>16</v>
      </c>
      <c r="C27" s="61">
        <v>153290</v>
      </c>
      <c r="D27" s="61"/>
      <c r="E27" s="46"/>
      <c r="F27" s="46"/>
      <c r="G27" s="61">
        <f t="shared" ref="G27:G37" si="6">C27-E27</f>
        <v>153290</v>
      </c>
      <c r="H27" s="61">
        <f t="shared" si="5"/>
        <v>0</v>
      </c>
    </row>
    <row r="28" spans="2:8" x14ac:dyDescent="0.25">
      <c r="B28" s="46" t="s">
        <v>19</v>
      </c>
      <c r="C28" s="61">
        <v>68631</v>
      </c>
      <c r="D28" s="61"/>
      <c r="E28" s="46"/>
      <c r="F28" s="46"/>
      <c r="G28" s="61">
        <f t="shared" si="6"/>
        <v>68631</v>
      </c>
      <c r="H28" s="61">
        <f t="shared" si="5"/>
        <v>0</v>
      </c>
    </row>
    <row r="29" spans="2:8" x14ac:dyDescent="0.25">
      <c r="B29" s="50" t="s">
        <v>31</v>
      </c>
      <c r="C29" s="61">
        <v>86016</v>
      </c>
      <c r="D29" s="61"/>
      <c r="E29" s="46"/>
      <c r="F29" s="46"/>
      <c r="G29" s="61">
        <f t="shared" si="6"/>
        <v>86016</v>
      </c>
      <c r="H29" s="61">
        <f t="shared" si="5"/>
        <v>0</v>
      </c>
    </row>
    <row r="30" spans="2:8" x14ac:dyDescent="0.25">
      <c r="B30" s="46" t="s">
        <v>105</v>
      </c>
      <c r="C30" s="61">
        <v>25540</v>
      </c>
      <c r="D30" s="61"/>
      <c r="E30" s="46"/>
      <c r="F30" s="46"/>
      <c r="G30" s="61">
        <f t="shared" si="6"/>
        <v>25540</v>
      </c>
      <c r="H30" s="61">
        <f t="shared" si="5"/>
        <v>0</v>
      </c>
    </row>
    <row r="31" spans="2:8" x14ac:dyDescent="0.25">
      <c r="B31" s="46" t="s">
        <v>106</v>
      </c>
      <c r="C31" s="61">
        <v>13815</v>
      </c>
      <c r="D31" s="61"/>
      <c r="E31" s="46"/>
      <c r="F31" s="46"/>
      <c r="G31" s="61">
        <f t="shared" si="6"/>
        <v>13815</v>
      </c>
      <c r="H31" s="61">
        <f t="shared" si="5"/>
        <v>0</v>
      </c>
    </row>
    <row r="32" spans="2:8" x14ac:dyDescent="0.25">
      <c r="B32" s="50" t="s">
        <v>107</v>
      </c>
      <c r="C32" s="61">
        <v>24004</v>
      </c>
      <c r="D32" s="61"/>
      <c r="E32" s="46"/>
      <c r="F32" s="46"/>
      <c r="G32" s="61">
        <f t="shared" si="6"/>
        <v>24004</v>
      </c>
      <c r="H32" s="61">
        <f t="shared" si="5"/>
        <v>0</v>
      </c>
    </row>
    <row r="33" spans="2:8" x14ac:dyDescent="0.25">
      <c r="B33" s="46" t="s">
        <v>21</v>
      </c>
      <c r="C33" s="61">
        <v>18486</v>
      </c>
      <c r="D33" s="61"/>
      <c r="E33" s="46"/>
      <c r="F33" s="46"/>
      <c r="G33" s="61">
        <f t="shared" si="6"/>
        <v>18486</v>
      </c>
      <c r="H33" s="61">
        <f t="shared" si="5"/>
        <v>0</v>
      </c>
    </row>
    <row r="34" spans="2:8" x14ac:dyDescent="0.25">
      <c r="B34" s="50" t="s">
        <v>38</v>
      </c>
      <c r="C34" s="61">
        <v>121170</v>
      </c>
      <c r="D34" s="61"/>
      <c r="E34" s="46"/>
      <c r="F34" s="46"/>
      <c r="G34" s="61">
        <f t="shared" si="6"/>
        <v>121170</v>
      </c>
      <c r="H34" s="61">
        <f t="shared" si="5"/>
        <v>0</v>
      </c>
    </row>
    <row r="35" spans="2:8" x14ac:dyDescent="0.25">
      <c r="B35" s="50" t="s">
        <v>49</v>
      </c>
      <c r="C35" s="61">
        <v>53926</v>
      </c>
      <c r="D35" s="61"/>
      <c r="E35" s="46"/>
      <c r="F35" s="46"/>
      <c r="G35" s="61">
        <f t="shared" si="6"/>
        <v>53926</v>
      </c>
      <c r="H35" s="61">
        <f t="shared" si="5"/>
        <v>0</v>
      </c>
    </row>
    <row r="36" spans="2:8" x14ac:dyDescent="0.25">
      <c r="B36" s="50" t="s">
        <v>66</v>
      </c>
      <c r="C36" s="61">
        <v>3261</v>
      </c>
      <c r="D36" s="61"/>
      <c r="E36" s="46"/>
      <c r="F36" s="46"/>
      <c r="G36" s="61">
        <f t="shared" si="6"/>
        <v>3261</v>
      </c>
      <c r="H36" s="61">
        <f t="shared" si="5"/>
        <v>0</v>
      </c>
    </row>
    <row r="37" spans="2:8" x14ac:dyDescent="0.25">
      <c r="B37" s="46" t="s">
        <v>108</v>
      </c>
      <c r="C37" s="61">
        <v>6258</v>
      </c>
      <c r="D37" s="61"/>
      <c r="E37" s="46"/>
      <c r="F37" s="46"/>
      <c r="G37" s="61">
        <f t="shared" si="6"/>
        <v>6258</v>
      </c>
      <c r="H37" s="61">
        <f t="shared" si="5"/>
        <v>0</v>
      </c>
    </row>
    <row r="38" spans="2:8" x14ac:dyDescent="0.25">
      <c r="B38" s="58"/>
      <c r="C38" s="61">
        <f>SUM(C25:C37)</f>
        <v>688538</v>
      </c>
      <c r="D38" s="61">
        <f>SUM(D25:D37)</f>
        <v>0</v>
      </c>
      <c r="E38" s="55"/>
      <c r="F38" s="55"/>
      <c r="G38" s="62">
        <f>SUM(G25:G37)</f>
        <v>688538</v>
      </c>
      <c r="H38" s="62">
        <f>SUM(H25:H37)</f>
        <v>0</v>
      </c>
    </row>
    <row r="39" spans="2:8" x14ac:dyDescent="0.25">
      <c r="B39" s="58"/>
      <c r="C39" s="58"/>
      <c r="D39" s="61">
        <f>C38-D38</f>
        <v>688538</v>
      </c>
      <c r="E39" s="52"/>
      <c r="F39" s="56">
        <f>E38-F38</f>
        <v>0</v>
      </c>
      <c r="G39" s="58"/>
      <c r="H39" s="58"/>
    </row>
  </sheetData>
  <mergeCells count="18">
    <mergeCell ref="A1:U1"/>
    <mergeCell ref="D2:G2"/>
    <mergeCell ref="H2:I3"/>
    <mergeCell ref="J2:K3"/>
    <mergeCell ref="L2:M3"/>
    <mergeCell ref="N2:O3"/>
    <mergeCell ref="P2:Q3"/>
    <mergeCell ref="R2:U2"/>
    <mergeCell ref="A2:A3"/>
    <mergeCell ref="B2:B3"/>
    <mergeCell ref="C2:C3"/>
    <mergeCell ref="D3:E3"/>
    <mergeCell ref="F3:G3"/>
    <mergeCell ref="C21:D21"/>
    <mergeCell ref="E21:F21"/>
    <mergeCell ref="C22:D23"/>
    <mergeCell ref="E22:F23"/>
    <mergeCell ref="G23:H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Uncovered Branches</vt:lpstr>
      <vt:lpstr>Category Detail by District</vt:lpstr>
      <vt:lpstr>Monthly Summary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2006-09-16T00:00:00Z</dcterms:created>
  <dcterms:modified xsi:type="dcterms:W3CDTF">2026-08-31T12:44:51Z</dcterms:modified>
</cp:coreProperties>
</file>
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3040" windowHeight="10380"/>
  </bookViews>
  <sheets>
    <sheet sheetId="1" name="Monthly District History" state="visible" r:id="rId4"/>
    <sheet sheetId="7" name="Monthly District Detail" state="visible" r:id="rId5"/>
    <sheet sheetId="4" name="District Ranking - Other Cases" state="visible" r:id="rId6"/>
    <sheet sheetId="9" name="Weekly Executive Summary" state="visible" r:id="rId7"/>
    <sheet sheetId="10" name="District Ranking - All Cases" state="visible" r:id="rId8"/>
    <sheet sheetId="11" name="Category Performance Summary" state="visible" r:id="rId9"/>
    <sheet sheetId="15" name="Mid-Month District Snapshot" state="visible" r:id="rId10"/>
  </sheets>
  <calcPr calcId="171027"/>
</workbook>
</file>

<file path=xl/sharedStrings.xml><?xml version="1.0" encoding="utf-8"?>
<sst xmlns="http://schemas.openxmlformats.org/spreadsheetml/2006/main" count="1162" uniqueCount="138">
  <si>
    <t>SUMMARIZED IRREGULARITIES</t>
  </si>
  <si>
    <t>As at July 2025</t>
  </si>
  <si>
    <t>SN</t>
  </si>
  <si>
    <t>Total No. of Branches</t>
  </si>
  <si>
    <t>District</t>
  </si>
  <si>
    <t>Others Cases</t>
  </si>
  <si>
    <t>Status of the irregularities</t>
  </si>
  <si>
    <t>Unrectified</t>
  </si>
  <si>
    <t>Rectified</t>
  </si>
  <si>
    <t>rectified percetage</t>
  </si>
  <si>
    <t>A</t>
  </si>
  <si>
    <t>B</t>
  </si>
  <si>
    <t>D</t>
  </si>
  <si>
    <t>E</t>
  </si>
  <si>
    <t>F</t>
  </si>
  <si>
    <t>G</t>
  </si>
  <si>
    <t>Jimma</t>
  </si>
  <si>
    <t>Mekelle</t>
  </si>
  <si>
    <t>North</t>
  </si>
  <si>
    <t>East</t>
  </si>
  <si>
    <t>Hossaena</t>
  </si>
  <si>
    <t>Wolkite</t>
  </si>
  <si>
    <t>Adama</t>
  </si>
  <si>
    <t>South</t>
  </si>
  <si>
    <t>DIREDAWA</t>
  </si>
  <si>
    <t>West</t>
  </si>
  <si>
    <t>Bahi Dar</t>
  </si>
  <si>
    <t>Hawassa</t>
  </si>
  <si>
    <t>Dessie</t>
  </si>
  <si>
    <t>TOTAL</t>
  </si>
  <si>
    <t>As at August 312025</t>
  </si>
  <si>
    <t>As at September 2025</t>
  </si>
  <si>
    <t>As at October 2025</t>
  </si>
  <si>
    <t xml:space="preserve">Others Case No </t>
  </si>
  <si>
    <t>Monthly Controllers report as at November 2025</t>
  </si>
  <si>
    <t>Wolikite</t>
  </si>
  <si>
    <t>Monthly Controllers report as at December 2025</t>
  </si>
  <si>
    <t>Monthly Controllers report as at January 2026</t>
  </si>
  <si>
    <t>Monthly Controllers report as at February 2026</t>
  </si>
  <si>
    <t>Monthly Controllers report as at March 2026</t>
  </si>
  <si>
    <t>Monthly Controllers report as at April 2026</t>
  </si>
  <si>
    <t>Monthly Controllers report as at May 2026</t>
  </si>
  <si>
    <t>Monthly Controllers report as at June 2026</t>
  </si>
  <si>
    <t xml:space="preserve">ATM Cases </t>
  </si>
  <si>
    <t xml:space="preserve">IT Case </t>
  </si>
  <si>
    <t>No. of zerobalance account</t>
  </si>
  <si>
    <t>No. of  inactive balance account</t>
  </si>
  <si>
    <t>Cheque Book case</t>
  </si>
  <si>
    <t>Amount involved in Birr</t>
  </si>
  <si>
    <t>No. of  Branches not dispatched</t>
  </si>
  <si>
    <t>No. of  Branches Dispatched reports</t>
  </si>
  <si>
    <t>Total No. of cases</t>
  </si>
  <si>
    <t xml:space="preserve">Mismatch </t>
  </si>
  <si>
    <t xml:space="preserve">Long outstanding </t>
  </si>
  <si>
    <t>I</t>
  </si>
  <si>
    <t>Monthly Controllers report as at July 2026</t>
  </si>
  <si>
    <t>Internal Audit report</t>
  </si>
  <si>
    <t>Types of cases</t>
  </si>
  <si>
    <t>Total No. of Audited Branches</t>
  </si>
  <si>
    <t>Types of irregularities</t>
  </si>
  <si>
    <t>System case</t>
  </si>
  <si>
    <t>No. of zero &amp; inactive balance account</t>
  </si>
  <si>
    <t>No of ATM cards &amp; PIN mailers were not delivered</t>
  </si>
  <si>
    <t>Absence of mobile banking,wallet customer file.</t>
  </si>
  <si>
    <t>Other cases</t>
  </si>
  <si>
    <t>Rectified percetage</t>
  </si>
  <si>
    <t>C</t>
  </si>
  <si>
    <t>As per the detail</t>
  </si>
  <si>
    <t>9 including district</t>
  </si>
  <si>
    <t>ENTIRE SUMMARIZED IRREGULARITIES AS AT August 24,2026</t>
  </si>
  <si>
    <t>Month</t>
  </si>
  <si>
    <t>July,2025</t>
  </si>
  <si>
    <t>August,2025</t>
  </si>
  <si>
    <t>September,2025</t>
  </si>
  <si>
    <t>October,2025</t>
  </si>
  <si>
    <t>November,2025</t>
  </si>
  <si>
    <t>December,2025</t>
  </si>
  <si>
    <t>January,2026</t>
  </si>
  <si>
    <t>February,2026</t>
  </si>
  <si>
    <t>March,2026</t>
  </si>
  <si>
    <t>April,2026</t>
  </si>
  <si>
    <t>May,2026</t>
  </si>
  <si>
    <t>June,2026</t>
  </si>
  <si>
    <t>July,2026</t>
  </si>
  <si>
    <t>Various internal Audit report</t>
  </si>
  <si>
    <t>INTERNAL CONTROL DIVISION</t>
  </si>
  <si>
    <t>PERFORMANCE REPORT ON  RECTIFICATION OF  THE ENTIRE IRREGULARITIES FROM JULY,2025 UP TO August 24,2026</t>
  </si>
  <si>
    <t xml:space="preserve">Total Others Cases(July 2025-February 2026 </t>
  </si>
  <si>
    <t>Remark</t>
  </si>
  <si>
    <t>Total  outstanding unrectified cases</t>
  </si>
  <si>
    <t>Rank</t>
  </si>
  <si>
    <t>NB: Out of the total 123,788 cases, only 110,220 cases have been rectified, representing 89% of the total cases. Accordingly, 11% of the cases remain unrectified.</t>
  </si>
  <si>
    <t>Covering from July,2025 up to August 24,2026</t>
  </si>
  <si>
    <t>1.Monthly rectification on  other cases</t>
  </si>
  <si>
    <t xml:space="preserve">Others Case </t>
  </si>
  <si>
    <t>unrectified Balance</t>
  </si>
  <si>
    <t>Rectified percetage on total other cases</t>
  </si>
  <si>
    <t>previous week</t>
  </si>
  <si>
    <t>Difference</t>
  </si>
  <si>
    <t>H</t>
  </si>
  <si>
    <t>2.Monthly rectification on  ATM-related cases (mismatches and long-outstanding items)</t>
  </si>
  <si>
    <t>Previous Balance as of July,2025</t>
  </si>
  <si>
    <t>Rectified from July 2025 to March,2026</t>
  </si>
  <si>
    <t>Additional from July 2025 to March,2026</t>
  </si>
  <si>
    <t>Current unrectified Balance as of March,2026</t>
  </si>
  <si>
    <t>J</t>
  </si>
  <si>
    <t>K</t>
  </si>
  <si>
    <t>3.Monthly rectification on  IT-related issues/cases</t>
  </si>
  <si>
    <t xml:space="preserve">IT related  Case </t>
  </si>
  <si>
    <t>4.Monthly rectification on Number of zero-balance</t>
  </si>
  <si>
    <t>No. of zero  balance account</t>
  </si>
  <si>
    <t xml:space="preserve">5.Monthly rectification on Number of  inactive accounts </t>
  </si>
  <si>
    <t>No. of  Inactive  balance account</t>
  </si>
  <si>
    <t>6.Monthly rectification on Cheque book cases (cheques not delivered to customers in a timely manner)</t>
  </si>
  <si>
    <t xml:space="preserve">Difference bn actual cheque report &amp; reported for the purpose of writeoff approval </t>
  </si>
  <si>
    <t>Reported for the purpose of writeoff approval No. of  Cheques</t>
  </si>
  <si>
    <t xml:space="preserve">Total cost reported for the purpose of writeoff </t>
  </si>
  <si>
    <t xml:space="preserve">Actual report of No. of  Cheques </t>
  </si>
  <si>
    <t>EXECUTIVE SUMMARIZED IRREGULARITIES</t>
  </si>
  <si>
    <t>PERFORMANCE REPORT ON  RECTIFICATION OF THE ENTIRE IRREGULARITIES</t>
  </si>
  <si>
    <t>Total Cases</t>
  </si>
  <si>
    <t>Rank in all cases</t>
  </si>
  <si>
    <t>Range of percentage &amp; Gross Percentage as of August 24,2026</t>
  </si>
  <si>
    <t>Percentage ranges</t>
  </si>
  <si>
    <t>Gross percentage</t>
  </si>
  <si>
    <t>Previous week</t>
  </si>
  <si>
    <t>50% up to 99%</t>
  </si>
  <si>
    <t>ATM-related cases (mismatches and long-outstanding items)</t>
  </si>
  <si>
    <t>0% up to 68%</t>
  </si>
  <si>
    <t xml:space="preserve"> IT-related issues/cases</t>
  </si>
  <si>
    <t>9% up to 100%</t>
  </si>
  <si>
    <t>Number of zero-balance</t>
  </si>
  <si>
    <t>1% up to 100%</t>
  </si>
  <si>
    <t xml:space="preserve">Number of  inactive accounts </t>
  </si>
  <si>
    <t>8% up to 80%</t>
  </si>
  <si>
    <t>cheques not delivered to customers</t>
  </si>
  <si>
    <t>14% up to 100%</t>
  </si>
  <si>
    <t>ENTIRE SUMMARIZED IRREGULARITIES AS AT JULY 13,2026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</si>
</sst>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* #,##0_);_(* (#,##0);_(* &quot;-&quot;??_);_(@_)"/>
    <numFmt numFmtId="165" formatCode="_(* #,##0.00_);_(* (#,##0.00);_(* &quot;-&quot;??_);_(@_)"/>
    <numFmt numFmtId="166" formatCode="0.00;[Red]0.00"/>
  </numFmts>
  <fonts count="35" x14ac:knownFonts="1">
    <font>
      <color theme="1"/>
      <family val="2"/>
      <scheme val="minor"/>
      <sz val="11"/>
      <name val="Calibri"/>
    </font>
    <font>
      <b/>
      <i/>
      <family val="1"/>
      <scheme val="major"/>
      <sz val="12"/>
      <name val="Cambria"/>
    </font>
    <font>
      <color theme="1"/>
      <family val="1"/>
      <scheme val="major"/>
      <sz val="12"/>
      <name val="Cambria"/>
    </font>
    <font>
      <b/>
      <i/>
      <color theme="1"/>
      <family val="1"/>
      <scheme val="major"/>
      <sz val="12"/>
      <name val="Cambria"/>
    </font>
    <font>
      <i/>
      <color rgb="FFFF0000"/>
      <family val="1"/>
      <scheme val="major"/>
      <sz val="12"/>
      <name val="Cambria"/>
    </font>
    <font>
      <i/>
      <family val="1"/>
      <scheme val="major"/>
      <sz val="12"/>
      <name val="Cambria"/>
    </font>
    <font>
      <i/>
      <color theme="1"/>
      <family val="1"/>
      <scheme val="major"/>
      <sz val="12"/>
      <name val="Cambria"/>
    </font>
    <font>
      <b/>
      <color theme="1"/>
      <family val="1"/>
      <scheme val="major"/>
      <sz val="12"/>
      <name val="Cambria"/>
    </font>
    <font>
      <b/>
      <color theme="1"/>
      <family val="2"/>
      <scheme val="minor"/>
      <sz val="11"/>
      <name val="Calibri"/>
    </font>
    <font>
      <b/>
      <i/>
      <color theme="1"/>
      <family val="1"/>
      <scheme val="major"/>
      <sz val="10"/>
      <name val="Cambria"/>
    </font>
    <font>
      <i/>
      <color theme="1"/>
      <family val="1"/>
      <scheme val="major"/>
      <sz val="11"/>
      <name val="Cambria"/>
    </font>
    <font>
      <i/>
      <color rgb="FF000000"/>
      <family val="1"/>
      <sz val="11"/>
      <name val="Cambria"/>
    </font>
    <font>
      <i/>
      <color rgb="FF000000"/>
      <family val="1"/>
      <sz val="10"/>
      <name val="Cambria"/>
    </font>
    <font>
      <i/>
      <color theme="1"/>
      <family val="1"/>
      <scheme val="major"/>
      <sz val="10"/>
      <name val="Cambria"/>
    </font>
    <font>
      <i/>
      <family val="1"/>
      <scheme val="major"/>
      <sz val="11"/>
      <name val="Cambria"/>
    </font>
    <font>
      <b/>
      <color theme="1"/>
      <family val="1"/>
      <scheme val="major"/>
      <sz val="11"/>
      <name val="Cambria"/>
    </font>
    <font>
      <b/>
      <i/>
      <family val="1"/>
      <scheme val="major"/>
      <sz val="14"/>
      <name val="Cambria"/>
    </font>
    <font>
      <b/>
      <i/>
      <color theme="0"/>
      <family val="1"/>
      <scheme val="major"/>
      <sz val="10"/>
      <name val="Cambria"/>
    </font>
    <font>
      <color theme="0"/>
      <family val="2"/>
      <scheme val="minor"/>
      <sz val="11"/>
      <name val="Calibri"/>
    </font>
    <font>
      <i/>
      <color theme="0"/>
      <family val="1"/>
      <scheme val="major"/>
      <sz val="11"/>
      <name val="Cambria"/>
    </font>
    <font>
      <b/>
      <i/>
      <color theme="0"/>
      <family val="1"/>
      <scheme val="major"/>
      <sz val="14"/>
      <name val="Cambria"/>
    </font>
    <font>
      <b/>
      <i/>
      <color theme="0"/>
      <family val="1"/>
      <scheme val="major"/>
      <sz val="12"/>
      <name val="Cambria"/>
    </font>
    <font>
      <b/>
      <color theme="0"/>
      <family val="1"/>
      <scheme val="major"/>
      <sz val="11"/>
      <name val="Cambria"/>
    </font>
    <font>
      <i/>
      <family val="1"/>
      <scheme val="major"/>
      <sz val="10"/>
      <name val="Cambria"/>
    </font>
    <font>
      <i/>
      <family val="1"/>
      <sz val="11"/>
      <name val="Cambria"/>
    </font>
    <font>
      <b/>
      <i/>
      <color theme="1"/>
      <family val="1"/>
      <scheme val="major"/>
      <sz val="11"/>
      <name val="Cambria"/>
    </font>
    <font>
      <b/>
      <family val="2"/>
      <scheme val="minor"/>
      <sz val="11"/>
      <name val="Calibri"/>
    </font>
    <font>
      <b/>
      <i/>
      <family val="1"/>
      <scheme val="major"/>
      <sz val="10"/>
      <name val="Cambria"/>
    </font>
    <font>
      <b/>
      <i/>
      <family val="1"/>
      <scheme val="major"/>
      <sz val="11"/>
      <name val="Cambria"/>
    </font>
    <font>
      <i/>
      <color theme="1"/>
      <family val="1"/>
      <scheme val="major"/>
      <sz val="9"/>
      <name val="Cambria"/>
    </font>
    <font>
      <b/>
      <color rgb="FF000000"/>
      <family val="1"/>
      <sz val="12"/>
      <name val="Times New Roman"/>
    </font>
    <font>
      <b/>
      <i/>
      <color rgb="FF000000"/>
      <family val="1"/>
      <sz val="10"/>
      <name val="Cambria"/>
    </font>
    <font>
      <b/>
      <i/>
      <color rgb="FF002060"/>
      <family val="1"/>
      <sz val="10"/>
      <name val="Cambria"/>
    </font>
    <font>
      <i/>
      <color theme="1"/>
      <family val="1"/>
      <sz val="10"/>
      <name val="Cambria"/>
    </font>
    <font>
      <i/>
      <color rgb="FF000000"/>
      <family val="1"/>
      <scheme val="major"/>
      <sz val="11"/>
      <name val="Cambria"/>
    </font>
  </fonts>
  <fills count="1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341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0" fontId="2" fillId="2" borderId="0" xfId="0" applyFont="1" applyFill="1"/>
    <xf numFmtId="0" fontId="1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wrapText="1"/>
    </xf>
    <xf numFmtId="164" fontId="3" fillId="2" borderId="3" xfId="0" applyNumberFormat="1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164" fontId="4" fillId="2" borderId="3" xfId="0" applyNumberFormat="1" applyFont="1" applyFill="1" applyBorder="1"/>
    <xf numFmtId="165" fontId="4" fillId="2" borderId="7" xfId="0" applyNumberFormat="1" applyFont="1" applyFill="1" applyBorder="1"/>
    <xf numFmtId="165" fontId="4" fillId="2" borderId="3" xfId="0" applyNumberFormat="1" applyFont="1" applyFill="1" applyBorder="1"/>
    <xf numFmtId="9" fontId="4" fillId="2" borderId="3" xfId="0" applyNumberFormat="1" applyFont="1" applyFill="1" applyBorder="1"/>
    <xf numFmtId="9" fontId="4" fillId="2" borderId="0" xfId="0" applyNumberFormat="1" applyFont="1" applyFill="1"/>
    <xf numFmtId="164" fontId="5" fillId="2" borderId="3" xfId="0" applyNumberFormat="1" applyFont="1" applyFill="1" applyBorder="1"/>
    <xf numFmtId="165" fontId="5" fillId="2" borderId="3" xfId="0" applyNumberFormat="1" applyFont="1" applyFill="1" applyBorder="1" applyAlignment="1">
      <alignment wrapText="1"/>
    </xf>
    <xf numFmtId="165" fontId="5" fillId="2" borderId="3" xfId="0" applyNumberFormat="1" applyFont="1" applyFill="1" applyBorder="1"/>
    <xf numFmtId="9" fontId="5" fillId="2" borderId="3" xfId="0" applyNumberFormat="1" applyFont="1" applyFill="1" applyBorder="1"/>
    <xf numFmtId="9" fontId="5" fillId="2" borderId="0" xfId="0" applyNumberFormat="1" applyFont="1" applyFill="1"/>
    <xf numFmtId="165" fontId="5" fillId="2" borderId="7" xfId="0" applyNumberFormat="1" applyFont="1" applyFill="1" applyBorder="1" applyAlignment="1">
      <alignment wrapText="1"/>
    </xf>
    <xf numFmtId="165" fontId="5" fillId="2" borderId="7" xfId="0" applyNumberFormat="1" applyFont="1" applyFill="1" applyBorder="1"/>
    <xf numFmtId="165" fontId="5" fillId="3" borderId="3" xfId="0" applyNumberFormat="1" applyFont="1" applyFill="1" applyBorder="1"/>
    <xf numFmtId="165" fontId="0" fillId="2" borderId="0" xfId="0" applyNumberFormat="1" applyFill="1"/>
    <xf numFmtId="9" fontId="0" fillId="2" borderId="0" xfId="0" applyNumberFormat="1" applyFill="1"/>
    <xf numFmtId="0" fontId="6" fillId="2" borderId="3" xfId="0" applyFont="1" applyFill="1" applyBorder="1"/>
    <xf numFmtId="165" fontId="7" fillId="2" borderId="3" xfId="0" applyNumberFormat="1" applyFont="1" applyFill="1" applyBorder="1"/>
    <xf numFmtId="0" fontId="7" fillId="2" borderId="4" xfId="0" applyFont="1" applyFill="1" applyBorder="1"/>
    <xf numFmtId="9" fontId="7" fillId="2" borderId="3" xfId="0" applyNumberFormat="1" applyFont="1" applyFill="1" applyBorder="1"/>
    <xf numFmtId="165" fontId="7" fillId="2" borderId="0" xfId="0" applyNumberFormat="1" applyFont="1" applyFill="1"/>
    <xf numFmtId="165" fontId="6" fillId="2" borderId="3" xfId="0" applyNumberFormat="1" applyFont="1" applyFill="1" applyBorder="1"/>
    <xf numFmtId="9" fontId="6" fillId="2" borderId="3" xfId="0" applyNumberFormat="1" applyFont="1" applyFill="1" applyBorder="1"/>
    <xf numFmtId="165" fontId="6" fillId="2" borderId="0" xfId="0" applyNumberFormat="1" applyFont="1" applyFill="1"/>
    <xf numFmtId="165" fontId="2" fillId="2" borderId="0" xfId="0" applyNumberFormat="1" applyFont="1" applyFill="1"/>
    <xf numFmtId="164" fontId="6" fillId="2" borderId="3" xfId="0" applyNumberFormat="1" applyFont="1" applyFill="1" applyBorder="1"/>
    <xf numFmtId="165" fontId="6" fillId="2" borderId="3" xfId="0" applyNumberFormat="1" applyFont="1" applyFill="1" applyBorder="1" applyAlignment="1">
      <alignment wrapText="1"/>
    </xf>
    <xf numFmtId="9" fontId="6" fillId="2" borderId="0" xfId="0" applyNumberFormat="1" applyFont="1" applyFill="1"/>
    <xf numFmtId="165" fontId="6" fillId="2" borderId="7" xfId="0" applyNumberFormat="1" applyFont="1" applyFill="1" applyBorder="1"/>
    <xf numFmtId="0" fontId="7" fillId="2" borderId="3" xfId="0" applyFont="1" applyFill="1" applyBorder="1" applyAlignment="1">
      <alignment horizontal="center"/>
    </xf>
    <xf numFmtId="165" fontId="7" fillId="2" borderId="3" xfId="0" applyNumberFormat="1" applyFont="1" applyFill="1" applyBorder="1" applyAlignment="1">
      <alignment horizontal="center"/>
    </xf>
    <xf numFmtId="9" fontId="7" fillId="2" borderId="3" xfId="0" applyNumberFormat="1" applyFont="1" applyFill="1" applyBorder="1" applyAlignment="1">
      <alignment horizontal="center"/>
    </xf>
    <xf numFmtId="165" fontId="7" fillId="2" borderId="0" xfId="0" applyNumberFormat="1" applyFont="1" applyFill="1" applyAlignment="1">
      <alignment horizontal="center"/>
    </xf>
    <xf numFmtId="0" fontId="8" fillId="2" borderId="0" xfId="0" applyFont="1" applyFill="1" applyAlignment="1">
      <alignment horizontal="center"/>
    </xf>
    <xf numFmtId="165" fontId="6" fillId="4" borderId="3" xfId="0" applyNumberFormat="1" applyFont="1" applyFill="1" applyBorder="1"/>
    <xf numFmtId="0" fontId="6" fillId="2" borderId="2" xfId="0" applyFont="1" applyFill="1" applyBorder="1"/>
    <xf numFmtId="9" fontId="6" fillId="2" borderId="2" xfId="0" applyNumberFormat="1" applyFont="1" applyFill="1" applyBorder="1"/>
    <xf numFmtId="0" fontId="6" fillId="2" borderId="0" xfId="0" applyFont="1" applyFill="1"/>
    <xf numFmtId="0" fontId="1" fillId="2" borderId="3" xfId="0" applyFont="1" applyFill="1" applyBorder="1" applyAlignment="1">
      <alignment horizontal="center"/>
    </xf>
    <xf numFmtId="0" fontId="1" fillId="2" borderId="0" xfId="0" applyFont="1" applyFill="1"/>
    <xf numFmtId="164" fontId="3" fillId="2" borderId="2" xfId="0" applyNumberFormat="1" applyFont="1" applyFill="1" applyBorder="1" applyAlignment="1">
      <alignment horizontal="center" wrapText="1"/>
    </xf>
    <xf numFmtId="0" fontId="9" fillId="2" borderId="4" xfId="0" applyFont="1" applyFill="1" applyBorder="1" applyAlignment="1">
      <alignment horizontal="center" wrapText="1"/>
    </xf>
    <xf numFmtId="0" fontId="9" fillId="2" borderId="5" xfId="0" applyFont="1" applyFill="1" applyBorder="1" applyAlignment="1">
      <alignment horizontal="center" wrapText="1"/>
    </xf>
    <xf numFmtId="0" fontId="9" fillId="2" borderId="6" xfId="0" applyFont="1" applyFill="1" applyBorder="1" applyAlignment="1">
      <alignment horizontal="center" wrapText="1"/>
    </xf>
    <xf numFmtId="0" fontId="9" fillId="2" borderId="0" xfId="0" applyFont="1" applyFill="1" applyAlignment="1">
      <alignment horizontal="center" wrapText="1"/>
    </xf>
    <xf numFmtId="164" fontId="3" fillId="2" borderId="7" xfId="0" applyNumberFormat="1" applyFont="1" applyFill="1" applyBorder="1" applyAlignment="1">
      <alignment horizontal="center" wrapText="1"/>
    </xf>
    <xf numFmtId="0" fontId="9" fillId="2" borderId="3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 wrapText="1"/>
    </xf>
    <xf numFmtId="165" fontId="10" fillId="2" borderId="7" xfId="0" applyNumberFormat="1" applyFont="1" applyFill="1" applyBorder="1"/>
    <xf numFmtId="165" fontId="10" fillId="2" borderId="3" xfId="0" applyNumberFormat="1" applyFont="1" applyFill="1" applyBorder="1"/>
    <xf numFmtId="165" fontId="11" fillId="5" borderId="3" xfId="0" applyNumberFormat="1" applyFont="1" applyFill="1" applyBorder="1"/>
    <xf numFmtId="9" fontId="10" fillId="2" borderId="3" xfId="0" applyNumberFormat="1" applyFont="1" applyFill="1" applyBorder="1" applyAlignment="1">
      <alignment horizontal="right"/>
    </xf>
    <xf numFmtId="9" fontId="10" fillId="2" borderId="0" xfId="0" applyNumberFormat="1" applyFont="1" applyFill="1" applyAlignment="1">
      <alignment horizontal="right"/>
    </xf>
    <xf numFmtId="165" fontId="10" fillId="2" borderId="3" xfId="0" applyNumberFormat="1" applyFont="1" applyFill="1" applyBorder="1" applyAlignment="1">
      <alignment wrapText="1"/>
    </xf>
    <xf numFmtId="165" fontId="12" fillId="6" borderId="3" xfId="0" applyNumberFormat="1" applyFont="1" applyFill="1" applyBorder="1"/>
    <xf numFmtId="165" fontId="10" fillId="4" borderId="7" xfId="0" applyNumberFormat="1" applyFont="1" applyFill="1" applyBorder="1"/>
    <xf numFmtId="165" fontId="11" fillId="5" borderId="7" xfId="0" applyNumberFormat="1" applyFont="1" applyFill="1" applyBorder="1"/>
    <xf numFmtId="165" fontId="13" fillId="2" borderId="3" xfId="0" applyNumberFormat="1" applyFont="1" applyFill="1" applyBorder="1"/>
    <xf numFmtId="165" fontId="14" fillId="2" borderId="3" xfId="0" applyNumberFormat="1" applyFont="1" applyFill="1" applyBorder="1"/>
    <xf numFmtId="165" fontId="10" fillId="2" borderId="3" xfId="0" applyNumberFormat="1" applyFont="1" applyFill="1" applyBorder="1" applyAlignment="1">
      <alignment horizontal="center"/>
    </xf>
    <xf numFmtId="165" fontId="10" fillId="2" borderId="3" xfId="0" applyNumberFormat="1" applyFont="1" applyFill="1" applyBorder="1" applyAlignment="1">
      <alignment horizontal="left"/>
    </xf>
    <xf numFmtId="165" fontId="13" fillId="2" borderId="7" xfId="0" applyNumberFormat="1" applyFont="1" applyFill="1" applyBorder="1"/>
    <xf numFmtId="165" fontId="15" fillId="2" borderId="3" xfId="0" applyNumberFormat="1" applyFont="1" applyFill="1" applyBorder="1"/>
    <xf numFmtId="0" fontId="15" fillId="2" borderId="3" xfId="0" applyFont="1" applyFill="1" applyBorder="1" applyAlignment="1">
      <alignment horizontal="center"/>
    </xf>
    <xf numFmtId="165" fontId="15" fillId="2" borderId="3" xfId="0" applyNumberFormat="1" applyFont="1" applyFill="1" applyBorder="1" applyAlignment="1">
      <alignment horizontal="center"/>
    </xf>
    <xf numFmtId="9" fontId="15" fillId="2" borderId="3" xfId="0" applyNumberFormat="1" applyFont="1" applyFill="1" applyBorder="1" applyAlignment="1">
      <alignment horizontal="center"/>
    </xf>
    <xf numFmtId="165" fontId="15" fillId="2" borderId="0" xfId="0" applyNumberFormat="1" applyFont="1" applyFill="1" applyAlignment="1">
      <alignment horizontal="center"/>
    </xf>
    <xf numFmtId="165" fontId="6" fillId="2" borderId="2" xfId="0" applyNumberFormat="1" applyFont="1" applyFill="1" applyBorder="1"/>
    <xf numFmtId="0" fontId="16" fillId="2" borderId="3" xfId="0" applyFont="1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6" fillId="2" borderId="0" xfId="0" applyFont="1" applyFill="1"/>
    <xf numFmtId="0" fontId="9" fillId="2" borderId="0" xfId="0" applyFont="1" applyFill="1" applyAlignment="1">
      <alignment horizontal="center"/>
    </xf>
    <xf numFmtId="0" fontId="9" fillId="2" borderId="0" xfId="0" applyFont="1" applyFill="1"/>
    <xf numFmtId="164" fontId="13" fillId="2" borderId="3" xfId="0" applyNumberFormat="1" applyFont="1" applyFill="1" applyBorder="1"/>
    <xf numFmtId="9" fontId="10" fillId="2" borderId="3" xfId="0" applyNumberFormat="1" applyFont="1" applyFill="1" applyBorder="1"/>
    <xf numFmtId="9" fontId="10" fillId="2" borderId="0" xfId="0" applyNumberFormat="1" applyFont="1" applyFill="1"/>
    <xf numFmtId="165" fontId="11" fillId="7" borderId="3" xfId="0" applyNumberFormat="1" applyFont="1" applyFill="1" applyBorder="1"/>
    <xf numFmtId="0" fontId="10" fillId="2" borderId="3" xfId="0" applyFont="1" applyFill="1" applyBorder="1"/>
    <xf numFmtId="0" fontId="10" fillId="2" borderId="0" xfId="0" applyFont="1" applyFill="1"/>
    <xf numFmtId="0" fontId="16" fillId="0" borderId="5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0" fontId="9" fillId="8" borderId="3" xfId="0" applyFont="1" applyFill="1" applyBorder="1" applyAlignment="1">
      <alignment horizontal="center"/>
    </xf>
    <xf numFmtId="0" fontId="9" fillId="8" borderId="3" xfId="0" applyFont="1" applyFill="1" applyBorder="1" applyAlignment="1">
      <alignment horizontal="center" wrapText="1"/>
    </xf>
    <xf numFmtId="164" fontId="3" fillId="8" borderId="2" xfId="0" applyNumberFormat="1" applyFont="1" applyFill="1" applyBorder="1" applyAlignment="1">
      <alignment horizontal="center" wrapText="1"/>
    </xf>
    <xf numFmtId="0" fontId="9" fillId="8" borderId="4" xfId="0" applyFont="1" applyFill="1" applyBorder="1" applyAlignment="1">
      <alignment horizontal="center"/>
    </xf>
    <xf numFmtId="0" fontId="9" fillId="8" borderId="5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/>
    <xf numFmtId="164" fontId="3" fillId="8" borderId="7" xfId="0" applyNumberFormat="1" applyFont="1" applyFill="1" applyBorder="1" applyAlignment="1">
      <alignment horizontal="center" wrapText="1"/>
    </xf>
    <xf numFmtId="0" fontId="17" fillId="0" borderId="0" xfId="0" applyFont="1" applyAlignment="1">
      <alignment horizontal="center" wrapText="1"/>
    </xf>
    <xf numFmtId="9" fontId="19" fillId="0" borderId="0" xfId="0" applyNumberFormat="1" applyFont="1"/>
    <xf numFmtId="0" fontId="19" fillId="0" borderId="0" xfId="0" applyFont="1"/>
    <xf numFmtId="0" fontId="20" fillId="0" borderId="0" xfId="0" applyFont="1" applyAlignment="1">
      <alignment horizontal="center"/>
    </xf>
    <xf numFmtId="0" fontId="20" fillId="0" borderId="0" xfId="0" applyFont="1"/>
    <xf numFmtId="0" fontId="21" fillId="0" borderId="0" xfId="0" applyFont="1" applyAlignment="1">
      <alignment wrapText="1"/>
    </xf>
    <xf numFmtId="164" fontId="13" fillId="0" borderId="3" xfId="0" applyNumberFormat="1" applyFont="1" applyBorder="1"/>
    <xf numFmtId="165" fontId="10" fillId="0" borderId="7" xfId="0" applyNumberFormat="1" applyFont="1" applyBorder="1"/>
    <xf numFmtId="165" fontId="10" fillId="0" borderId="3" xfId="0" applyNumberFormat="1" applyFont="1" applyBorder="1"/>
    <xf numFmtId="165" fontId="11" fillId="0" borderId="3" xfId="0" applyNumberFormat="1" applyFont="1" applyBorder="1"/>
    <xf numFmtId="9" fontId="10" fillId="0" borderId="3" xfId="0" applyNumberFormat="1" applyFont="1" applyBorder="1"/>
    <xf numFmtId="165" fontId="19" fillId="0" borderId="0" xfId="0" applyNumberFormat="1" applyFont="1"/>
    <xf numFmtId="165" fontId="10" fillId="0" borderId="3" xfId="0" applyNumberFormat="1" applyFont="1" applyBorder="1" applyAlignment="1">
      <alignment wrapText="1"/>
    </xf>
    <xf numFmtId="165" fontId="13" fillId="0" borderId="3" xfId="0" applyNumberFormat="1" applyFont="1" applyBorder="1"/>
    <xf numFmtId="165" fontId="10" fillId="0" borderId="3" xfId="0" applyNumberFormat="1" applyFont="1" applyBorder="1" applyAlignment="1">
      <alignment horizontal="center"/>
    </xf>
    <xf numFmtId="165" fontId="10" fillId="0" borderId="3" xfId="0" applyNumberFormat="1" applyFont="1" applyBorder="1" applyAlignment="1">
      <alignment horizontal="left"/>
    </xf>
    <xf numFmtId="165" fontId="13" fillId="0" borderId="7" xfId="0" applyNumberFormat="1" applyFont="1" applyBorder="1"/>
    <xf numFmtId="9" fontId="22" fillId="0" borderId="0" xfId="0" applyNumberFormat="1" applyFont="1" applyAlignment="1">
      <alignment horizontal="center"/>
    </xf>
    <xf numFmtId="165" fontId="22" fillId="0" borderId="0" xfId="0" applyNumberFormat="1" applyFont="1" applyAlignment="1">
      <alignment horizontal="center"/>
    </xf>
    <xf numFmtId="9" fontId="10" fillId="0" borderId="0" xfId="0" applyNumberFormat="1" applyFont="1"/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164" fontId="3" fillId="9" borderId="0" xfId="0" applyNumberFormat="1" applyFont="1" applyFill="1" applyAlignment="1">
      <alignment horizontal="center" wrapText="1"/>
    </xf>
    <xf numFmtId="0" fontId="9" fillId="9" borderId="0" xfId="0" applyFont="1" applyFill="1" applyAlignment="1">
      <alignment horizontal="center" wrapText="1"/>
    </xf>
    <xf numFmtId="0" fontId="9" fillId="9" borderId="0" xfId="0" applyFont="1" applyFill="1" applyAlignment="1">
      <alignment horizontal="center"/>
    </xf>
    <xf numFmtId="0" fontId="9" fillId="0" borderId="0" xfId="0" applyFont="1" applyAlignment="1">
      <alignment horizontal="center" wrapText="1"/>
    </xf>
    <xf numFmtId="164" fontId="13" fillId="9" borderId="3" xfId="0" applyNumberFormat="1" applyFont="1" applyFill="1" applyBorder="1"/>
    <xf numFmtId="165" fontId="10" fillId="9" borderId="7" xfId="0" applyNumberFormat="1" applyFont="1" applyFill="1" applyBorder="1"/>
    <xf numFmtId="165" fontId="10" fillId="0" borderId="0" xfId="0" applyNumberFormat="1" applyFont="1"/>
    <xf numFmtId="165" fontId="10" fillId="9" borderId="0" xfId="0" applyNumberFormat="1" applyFont="1" applyFill="1"/>
    <xf numFmtId="9" fontId="10" fillId="9" borderId="0" xfId="0" applyNumberFormat="1" applyFont="1" applyFill="1"/>
    <xf numFmtId="165" fontId="0" fillId="9" borderId="0" xfId="0" applyNumberFormat="1" applyFill="1"/>
    <xf numFmtId="165" fontId="10" fillId="9" borderId="3" xfId="0" applyNumberFormat="1" applyFont="1" applyFill="1" applyBorder="1" applyAlignment="1">
      <alignment wrapText="1"/>
    </xf>
    <xf numFmtId="165" fontId="10" fillId="9" borderId="3" xfId="0" applyNumberFormat="1" applyFont="1" applyFill="1" applyBorder="1"/>
    <xf numFmtId="164" fontId="23" fillId="9" borderId="3" xfId="0" applyNumberFormat="1" applyFont="1" applyFill="1" applyBorder="1"/>
    <xf numFmtId="165" fontId="14" fillId="9" borderId="7" xfId="0" applyNumberFormat="1" applyFont="1" applyFill="1" applyBorder="1"/>
    <xf numFmtId="165" fontId="14" fillId="0" borderId="0" xfId="0" applyNumberFormat="1" applyFont="1"/>
    <xf numFmtId="165" fontId="14" fillId="9" borderId="0" xfId="0" applyNumberFormat="1" applyFont="1" applyFill="1"/>
    <xf numFmtId="165" fontId="13" fillId="9" borderId="3" xfId="0" applyNumberFormat="1" applyFont="1" applyFill="1" applyBorder="1"/>
    <xf numFmtId="164" fontId="13" fillId="9" borderId="3" xfId="0" applyNumberFormat="1" applyFont="1" applyFill="1" applyBorder="1" applyAlignment="1">
      <alignment horizontal="center"/>
    </xf>
    <xf numFmtId="165" fontId="10" fillId="9" borderId="3" xfId="0" applyNumberFormat="1" applyFont="1" applyFill="1" applyBorder="1" applyAlignment="1">
      <alignment horizontal="center"/>
    </xf>
    <xf numFmtId="165" fontId="10" fillId="9" borderId="3" xfId="0" applyNumberFormat="1" applyFont="1" applyFill="1" applyBorder="1" applyAlignment="1">
      <alignment horizontal="left"/>
    </xf>
    <xf numFmtId="165" fontId="10" fillId="9" borderId="0" xfId="0" applyNumberFormat="1" applyFont="1" applyFill="1" applyAlignment="1">
      <alignment horizontal="center"/>
    </xf>
    <xf numFmtId="165" fontId="13" fillId="9" borderId="7" xfId="0" applyNumberFormat="1" applyFont="1" applyFill="1" applyBorder="1"/>
    <xf numFmtId="165" fontId="10" fillId="9" borderId="0" xfId="0" applyNumberFormat="1" applyFont="1" applyFill="1" applyAlignment="1">
      <alignment wrapText="1"/>
    </xf>
    <xf numFmtId="165" fontId="13" fillId="9" borderId="0" xfId="0" applyNumberFormat="1" applyFont="1" applyFill="1"/>
    <xf numFmtId="0" fontId="10" fillId="9" borderId="3" xfId="0" applyFont="1" applyFill="1" applyBorder="1"/>
    <xf numFmtId="165" fontId="15" fillId="9" borderId="3" xfId="0" applyNumberFormat="1" applyFont="1" applyFill="1" applyBorder="1"/>
    <xf numFmtId="0" fontId="15" fillId="9" borderId="3" xfId="0" applyFont="1" applyFill="1" applyBorder="1" applyAlignment="1">
      <alignment horizontal="center"/>
    </xf>
    <xf numFmtId="165" fontId="15" fillId="9" borderId="3" xfId="0" applyNumberFormat="1" applyFont="1" applyFill="1" applyBorder="1" applyAlignment="1">
      <alignment horizontal="center"/>
    </xf>
    <xf numFmtId="9" fontId="15" fillId="9" borderId="3" xfId="0" applyNumberFormat="1" applyFont="1" applyFill="1" applyBorder="1" applyAlignment="1">
      <alignment horizontal="center"/>
    </xf>
    <xf numFmtId="165" fontId="15" fillId="0" borderId="0" xfId="0" applyNumberFormat="1" applyFont="1" applyAlignment="1">
      <alignment horizontal="center"/>
    </xf>
    <xf numFmtId="165" fontId="15" fillId="9" borderId="0" xfId="0" applyNumberFormat="1" applyFont="1" applyFill="1" applyAlignment="1">
      <alignment horizontal="center"/>
    </xf>
    <xf numFmtId="0" fontId="3" fillId="9" borderId="0" xfId="0" applyFont="1" applyFill="1" applyAlignment="1">
      <alignment horizontal="center" wrapText="1"/>
    </xf>
    <xf numFmtId="165" fontId="11" fillId="10" borderId="7" xfId="0" applyNumberFormat="1" applyFont="1" applyFill="1" applyBorder="1"/>
    <xf numFmtId="165" fontId="11" fillId="11" borderId="0" xfId="0" applyNumberFormat="1" applyFont="1" applyFill="1"/>
    <xf numFmtId="165" fontId="11" fillId="10" borderId="3" xfId="0" applyNumberFormat="1" applyFont="1" applyFill="1" applyBorder="1"/>
    <xf numFmtId="165" fontId="24" fillId="10" borderId="7" xfId="0" applyNumberFormat="1" applyFont="1" applyFill="1" applyBorder="1"/>
    <xf numFmtId="165" fontId="24" fillId="11" borderId="0" xfId="0" applyNumberFormat="1" applyFont="1" applyFill="1"/>
    <xf numFmtId="0" fontId="10" fillId="9" borderId="0" xfId="0" applyFont="1" applyFill="1"/>
    <xf numFmtId="0" fontId="0" fillId="9" borderId="0" xfId="0" applyFill="1"/>
    <xf numFmtId="0" fontId="16" fillId="0" borderId="1" xfId="0" applyFont="1" applyBorder="1" applyAlignment="1">
      <alignment horizontal="center"/>
    </xf>
    <xf numFmtId="165" fontId="11" fillId="11" borderId="0" xfId="0" applyNumberFormat="1" applyFont="1" applyFill="1" applyAlignment="1">
      <alignment horizontal="center"/>
    </xf>
    <xf numFmtId="165" fontId="11" fillId="11" borderId="0" xfId="0" applyNumberFormat="1" applyFont="1" applyFill="1" applyAlignment="1">
      <alignment wrapText="1"/>
    </xf>
    <xf numFmtId="165" fontId="12" fillId="11" borderId="0" xfId="0" applyNumberFormat="1" applyFont="1" applyFill="1"/>
    <xf numFmtId="0" fontId="25" fillId="8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25" fillId="8" borderId="3" xfId="0" applyFont="1" applyFill="1" applyBorder="1" applyAlignment="1">
      <alignment horizontal="center" wrapText="1"/>
    </xf>
    <xf numFmtId="0" fontId="25" fillId="8" borderId="2" xfId="0" applyFont="1" applyFill="1" applyBorder="1" applyAlignment="1">
      <alignment horizontal="center" wrapText="1"/>
    </xf>
    <xf numFmtId="0" fontId="3" fillId="8" borderId="3" xfId="0" applyFont="1" applyFill="1" applyBorder="1" applyAlignment="1">
      <alignment horizontal="center" wrapText="1"/>
    </xf>
    <xf numFmtId="164" fontId="3" fillId="8" borderId="3" xfId="0" applyNumberFormat="1" applyFont="1" applyFill="1" applyBorder="1" applyAlignment="1">
      <alignment horizontal="center" wrapText="1"/>
    </xf>
    <xf numFmtId="0" fontId="3" fillId="8" borderId="3" xfId="0" applyFont="1" applyFill="1" applyBorder="1" applyAlignment="1">
      <alignment horizontal="center"/>
    </xf>
    <xf numFmtId="0" fontId="3" fillId="8" borderId="7" xfId="0" applyFont="1" applyFill="1" applyBorder="1" applyAlignment="1">
      <alignment horizontal="center"/>
    </xf>
    <xf numFmtId="0" fontId="25" fillId="8" borderId="7" xfId="0" applyFont="1" applyFill="1" applyBorder="1" applyAlignment="1">
      <alignment horizontal="center" wrapText="1"/>
    </xf>
    <xf numFmtId="9" fontId="10" fillId="9" borderId="3" xfId="0" applyNumberFormat="1" applyFont="1" applyFill="1" applyBorder="1"/>
    <xf numFmtId="165" fontId="0" fillId="9" borderId="3" xfId="0" applyNumberFormat="1" applyFill="1" applyBorder="1"/>
    <xf numFmtId="165" fontId="24" fillId="10" borderId="3" xfId="0" applyNumberFormat="1" applyFont="1" applyFill="1" applyBorder="1"/>
    <xf numFmtId="165" fontId="11" fillId="10" borderId="3" xfId="0" applyNumberFormat="1" applyFont="1" applyFill="1" applyBorder="1" applyAlignment="1">
      <alignment horizontal="center"/>
    </xf>
    <xf numFmtId="165" fontId="11" fillId="10" borderId="3" xfId="0" applyNumberFormat="1" applyFont="1" applyFill="1" applyBorder="1" applyAlignment="1">
      <alignment wrapText="1"/>
    </xf>
    <xf numFmtId="165" fontId="12" fillId="10" borderId="3" xfId="0" applyNumberFormat="1" applyFont="1" applyFill="1" applyBorder="1"/>
    <xf numFmtId="165" fontId="25" fillId="9" borderId="3" xfId="0" applyNumberFormat="1" applyFont="1" applyFill="1" applyBorder="1"/>
    <xf numFmtId="0" fontId="0" fillId="2" borderId="3" xfId="0" applyFill="1" applyBorder="1"/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vertical="center" wrapText="1"/>
    </xf>
    <xf numFmtId="165" fontId="6" fillId="2" borderId="7" xfId="0" applyNumberFormat="1" applyFont="1" applyFill="1" applyBorder="1" applyAlignment="1">
      <alignment vertical="top" wrapText="1"/>
    </xf>
    <xf numFmtId="165" fontId="6" fillId="2" borderId="7" xfId="0" applyNumberFormat="1" applyFont="1" applyFill="1" applyBorder="1" applyAlignment="1">
      <alignment wrapText="1"/>
    </xf>
    <xf numFmtId="165" fontId="3" fillId="2" borderId="3" xfId="0" applyNumberFormat="1" applyFont="1" applyFill="1" applyBorder="1"/>
    <xf numFmtId="165" fontId="3" fillId="2" borderId="3" xfId="0" applyNumberFormat="1" applyFont="1" applyFill="1" applyBorder="1" applyAlignment="1">
      <alignment horizontal="center"/>
    </xf>
    <xf numFmtId="165" fontId="23" fillId="2" borderId="3" xfId="0" applyNumberFormat="1" applyFont="1" applyFill="1" applyBorder="1"/>
    <xf numFmtId="165" fontId="14" fillId="2" borderId="7" xfId="0" applyNumberFormat="1" applyFont="1" applyFill="1" applyBorder="1"/>
    <xf numFmtId="166" fontId="14" fillId="2" borderId="3" xfId="0" applyNumberFormat="1" applyFont="1" applyFill="1" applyBorder="1"/>
    <xf numFmtId="165" fontId="23" fillId="0" borderId="3" xfId="0" applyNumberFormat="1" applyFont="1" applyBorder="1"/>
    <xf numFmtId="165" fontId="14" fillId="0" borderId="7" xfId="0" applyNumberFormat="1" applyFont="1" applyBorder="1"/>
    <xf numFmtId="165" fontId="14" fillId="0" borderId="3" xfId="0" applyNumberFormat="1" applyFont="1" applyBorder="1"/>
    <xf numFmtId="165" fontId="23" fillId="9" borderId="3" xfId="0" applyNumberFormat="1" applyFont="1" applyFill="1" applyBorder="1"/>
    <xf numFmtId="165" fontId="14" fillId="9" borderId="3" xfId="0" applyNumberFormat="1" applyFont="1" applyFill="1" applyBorder="1"/>
    <xf numFmtId="164" fontId="1" fillId="12" borderId="3" xfId="0" applyNumberFormat="1" applyFont="1" applyFill="1" applyBorder="1"/>
    <xf numFmtId="165" fontId="1" fillId="12" borderId="7" xfId="0" applyNumberFormat="1" applyFont="1" applyFill="1" applyBorder="1"/>
    <xf numFmtId="0" fontId="26" fillId="12" borderId="7" xfId="0" applyFont="1" applyFill="1" applyBorder="1"/>
    <xf numFmtId="165" fontId="1" fillId="12" borderId="3" xfId="0" applyNumberFormat="1" applyFont="1" applyFill="1" applyBorder="1"/>
    <xf numFmtId="9" fontId="1" fillId="12" borderId="3" xfId="0" applyNumberFormat="1" applyFont="1" applyFill="1" applyBorder="1"/>
    <xf numFmtId="165" fontId="14" fillId="2" borderId="3" xfId="0" applyNumberFormat="1" applyFont="1" applyFill="1" applyBorder="1" applyAlignment="1">
      <alignment horizontal="left"/>
    </xf>
    <xf numFmtId="165" fontId="14" fillId="2" borderId="3" xfId="0" applyNumberFormat="1" applyFont="1" applyFill="1" applyBorder="1" applyAlignment="1">
      <alignment horizontal="center"/>
    </xf>
    <xf numFmtId="165" fontId="14" fillId="0" borderId="3" xfId="0" applyNumberFormat="1" applyFont="1" applyBorder="1" applyAlignment="1">
      <alignment horizontal="left"/>
    </xf>
    <xf numFmtId="165" fontId="14" fillId="9" borderId="3" xfId="0" applyNumberFormat="1" applyFont="1" applyFill="1" applyBorder="1" applyAlignment="1">
      <alignment horizontal="left"/>
    </xf>
    <xf numFmtId="165" fontId="23" fillId="9" borderId="7" xfId="0" applyNumberFormat="1" applyFont="1" applyFill="1" applyBorder="1"/>
    <xf numFmtId="0" fontId="1" fillId="12" borderId="3" xfId="0" applyFont="1" applyFill="1" applyBorder="1"/>
    <xf numFmtId="0" fontId="5" fillId="2" borderId="3" xfId="0" applyFont="1" applyFill="1" applyBorder="1"/>
    <xf numFmtId="165" fontId="14" fillId="2" borderId="3" xfId="0" applyNumberFormat="1" applyFont="1" applyFill="1" applyBorder="1" applyAlignment="1">
      <alignment wrapText="1"/>
    </xf>
    <xf numFmtId="9" fontId="14" fillId="2" borderId="3" xfId="0" applyNumberFormat="1" applyFont="1" applyFill="1" applyBorder="1" applyAlignment="1">
      <alignment horizontal="right"/>
    </xf>
    <xf numFmtId="164" fontId="27" fillId="12" borderId="3" xfId="0" applyNumberFormat="1" applyFont="1" applyFill="1" applyBorder="1"/>
    <xf numFmtId="165" fontId="1" fillId="12" borderId="7" xfId="0" applyNumberFormat="1" applyFont="1" applyFill="1" applyBorder="1" applyAlignment="1">
      <alignment wrapText="1"/>
    </xf>
    <xf numFmtId="9" fontId="1" fillId="12" borderId="7" xfId="0" applyNumberFormat="1" applyFont="1" applyFill="1" applyBorder="1" applyAlignment="1">
      <alignment wrapText="1"/>
    </xf>
    <xf numFmtId="164" fontId="23" fillId="2" borderId="3" xfId="0" applyNumberFormat="1" applyFont="1" applyFill="1" applyBorder="1"/>
    <xf numFmtId="165" fontId="23" fillId="2" borderId="7" xfId="0" applyNumberFormat="1" applyFont="1" applyFill="1" applyBorder="1"/>
    <xf numFmtId="9" fontId="1" fillId="12" borderId="7" xfId="0" applyNumberFormat="1" applyFont="1" applyFill="1" applyBorder="1"/>
    <xf numFmtId="164" fontId="23" fillId="0" borderId="3" xfId="0" applyNumberFormat="1" applyFont="1" applyBorder="1"/>
    <xf numFmtId="9" fontId="14" fillId="9" borderId="0" xfId="0" applyNumberFormat="1" applyFont="1" applyFill="1"/>
    <xf numFmtId="0" fontId="26" fillId="12" borderId="3" xfId="0" applyFont="1" applyFill="1" applyBorder="1"/>
    <xf numFmtId="9" fontId="14" fillId="2" borderId="3" xfId="0" applyNumberFormat="1" applyFont="1" applyFill="1" applyBorder="1"/>
    <xf numFmtId="165" fontId="27" fillId="12" borderId="3" xfId="0" applyNumberFormat="1" applyFont="1" applyFill="1" applyBorder="1"/>
    <xf numFmtId="17" fontId="1" fillId="12" borderId="3" xfId="0" applyNumberFormat="1" applyFont="1" applyFill="1" applyBorder="1"/>
    <xf numFmtId="165" fontId="28" fillId="12" borderId="3" xfId="0" applyNumberFormat="1" applyFont="1" applyFill="1" applyBorder="1"/>
    <xf numFmtId="9" fontId="28" fillId="12" borderId="3" xfId="0" applyNumberFormat="1" applyFont="1" applyFill="1" applyBorder="1"/>
    <xf numFmtId="0" fontId="5" fillId="13" borderId="3" xfId="0" applyFont="1" applyFill="1" applyBorder="1"/>
    <xf numFmtId="0" fontId="1" fillId="13" borderId="4" xfId="0" applyFont="1" applyFill="1" applyBorder="1"/>
    <xf numFmtId="17" fontId="1" fillId="13" borderId="5" xfId="0" applyNumberFormat="1" applyFont="1" applyFill="1" applyBorder="1"/>
    <xf numFmtId="165" fontId="1" fillId="13" borderId="5" xfId="0" applyNumberFormat="1" applyFont="1" applyFill="1" applyBorder="1"/>
    <xf numFmtId="9" fontId="1" fillId="13" borderId="5" xfId="0" applyNumberFormat="1" applyFont="1" applyFill="1" applyBorder="1"/>
    <xf numFmtId="165" fontId="3" fillId="2" borderId="0" xfId="0" applyNumberFormat="1" applyFont="1" applyFill="1" applyAlignment="1">
      <alignment horizontal="center"/>
    </xf>
    <xf numFmtId="0" fontId="27" fillId="2" borderId="1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 vertical="center"/>
    </xf>
    <xf numFmtId="0" fontId="9" fillId="14" borderId="3" xfId="0" applyFont="1" applyFill="1" applyBorder="1" applyAlignment="1">
      <alignment horizontal="center" vertical="center" wrapText="1"/>
    </xf>
    <xf numFmtId="164" fontId="3" fillId="14" borderId="3" xfId="0" applyNumberFormat="1" applyFont="1" applyFill="1" applyBorder="1" applyAlignment="1">
      <alignment horizontal="center" vertical="center" wrapText="1"/>
    </xf>
    <xf numFmtId="0" fontId="9" fillId="14" borderId="4" xfId="0" applyFont="1" applyFill="1" applyBorder="1" applyAlignment="1">
      <alignment horizontal="center" vertical="center"/>
    </xf>
    <xf numFmtId="0" fontId="9" fillId="14" borderId="5" xfId="0" applyFont="1" applyFill="1" applyBorder="1" applyAlignment="1">
      <alignment horizontal="center" vertical="center"/>
    </xf>
    <xf numFmtId="0" fontId="9" fillId="14" borderId="6" xfId="0" applyFont="1" applyFill="1" applyBorder="1" applyAlignment="1">
      <alignment horizontal="center" vertical="center"/>
    </xf>
    <xf numFmtId="0" fontId="9" fillId="14" borderId="3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 wrapText="1"/>
    </xf>
    <xf numFmtId="0" fontId="0" fillId="14" borderId="3" xfId="0" applyFill="1" applyBorder="1" applyAlignment="1">
      <alignment wrapText="1"/>
    </xf>
    <xf numFmtId="0" fontId="9" fillId="14" borderId="3" xfId="0" applyFont="1" applyFill="1" applyBorder="1" applyAlignment="1">
      <alignment vertical="center"/>
    </xf>
    <xf numFmtId="165" fontId="10" fillId="2" borderId="7" xfId="0" applyNumberFormat="1" applyFont="1" applyFill="1" applyBorder="1" applyAlignment="1">
      <alignment wrapText="1"/>
    </xf>
    <xf numFmtId="165" fontId="13" fillId="2" borderId="7" xfId="0" applyNumberFormat="1" applyFont="1" applyFill="1" applyBorder="1" applyAlignment="1">
      <alignment wrapText="1"/>
    </xf>
    <xf numFmtId="9" fontId="0" fillId="9" borderId="3" xfId="0" applyNumberFormat="1" applyFill="1" applyBorder="1" applyAlignment="1">
      <alignment wrapText="1"/>
    </xf>
    <xf numFmtId="2" fontId="0" fillId="2" borderId="0" xfId="0" applyNumberFormat="1" applyFill="1"/>
    <xf numFmtId="165" fontId="13" fillId="2" borderId="3" xfId="0" applyNumberFormat="1" applyFont="1" applyFill="1" applyBorder="1" applyAlignment="1">
      <alignment wrapText="1"/>
    </xf>
    <xf numFmtId="165" fontId="10" fillId="9" borderId="7" xfId="0" applyNumberFormat="1" applyFont="1" applyFill="1" applyBorder="1" applyAlignment="1">
      <alignment wrapText="1"/>
    </xf>
    <xf numFmtId="165" fontId="14" fillId="2" borderId="7" xfId="0" applyNumberFormat="1" applyFont="1" applyFill="1" applyBorder="1" applyAlignment="1">
      <alignment wrapText="1"/>
    </xf>
    <xf numFmtId="0" fontId="0" fillId="9" borderId="3" xfId="0" applyFill="1" applyBorder="1"/>
    <xf numFmtId="9" fontId="0" fillId="2" borderId="3" xfId="0" applyNumberFormat="1" applyFill="1" applyBorder="1" applyAlignment="1">
      <alignment wrapText="1"/>
    </xf>
    <xf numFmtId="0" fontId="29" fillId="0" borderId="3" xfId="0" applyFont="1" applyBorder="1" applyAlignment="1">
      <alignment horizontal="left" vertical="top" wrapText="1"/>
    </xf>
    <xf numFmtId="0" fontId="10" fillId="12" borderId="3" xfId="0" applyFont="1" applyFill="1" applyBorder="1" applyAlignment="1">
      <alignment horizontal="left" wrapText="1"/>
    </xf>
    <xf numFmtId="0" fontId="8" fillId="0" borderId="0" xfId="0" applyFont="1"/>
    <xf numFmtId="0" fontId="30" fillId="0" borderId="1" xfId="0" applyFont="1" applyBorder="1" applyAlignment="1">
      <alignment horizontal="left" vertical="center"/>
    </xf>
    <xf numFmtId="0" fontId="16" fillId="9" borderId="0" xfId="0" applyFont="1" applyFill="1" applyAlignment="1">
      <alignment horizontal="center"/>
    </xf>
    <xf numFmtId="0" fontId="0" fillId="14" borderId="3" xfId="0" applyFill="1" applyBorder="1"/>
    <xf numFmtId="165" fontId="13" fillId="2" borderId="0" xfId="0" applyNumberFormat="1" applyFont="1" applyFill="1"/>
    <xf numFmtId="9" fontId="0" fillId="9" borderId="0" xfId="0" applyNumberFormat="1" applyFill="1"/>
    <xf numFmtId="9" fontId="0" fillId="9" borderId="3" xfId="0" applyNumberFormat="1" applyFill="1" applyBorder="1"/>
    <xf numFmtId="9" fontId="14" fillId="0" borderId="3" xfId="0" applyNumberFormat="1" applyFont="1" applyBorder="1" applyAlignment="1">
      <alignment horizontal="center"/>
    </xf>
    <xf numFmtId="165" fontId="10" fillId="2" borderId="0" xfId="0" applyNumberFormat="1" applyFont="1" applyFill="1"/>
    <xf numFmtId="9" fontId="10" fillId="3" borderId="3" xfId="0" applyNumberFormat="1" applyFont="1" applyFill="1" applyBorder="1"/>
    <xf numFmtId="9" fontId="14" fillId="12" borderId="3" xfId="0" applyNumberFormat="1" applyFont="1" applyFill="1" applyBorder="1" applyAlignment="1">
      <alignment horizontal="center"/>
    </xf>
    <xf numFmtId="9" fontId="10" fillId="12" borderId="3" xfId="0" applyNumberFormat="1" applyFont="1" applyFill="1" applyBorder="1"/>
    <xf numFmtId="0" fontId="30" fillId="0" borderId="0" xfId="0" applyFont="1" applyAlignment="1">
      <alignment horizontal="left" vertical="center"/>
    </xf>
    <xf numFmtId="0" fontId="9" fillId="8" borderId="2" xfId="0" applyFont="1" applyFill="1" applyBorder="1" applyAlignment="1">
      <alignment horizontal="center"/>
    </xf>
    <xf numFmtId="0" fontId="9" fillId="8" borderId="2" xfId="0" applyFont="1" applyFill="1" applyBorder="1" applyAlignment="1">
      <alignment horizontal="center" wrapText="1"/>
    </xf>
    <xf numFmtId="0" fontId="9" fillId="8" borderId="8" xfId="0" applyFont="1" applyFill="1" applyBorder="1" applyAlignment="1">
      <alignment horizontal="center"/>
    </xf>
    <xf numFmtId="0" fontId="9" fillId="8" borderId="8" xfId="0" applyFont="1" applyFill="1" applyBorder="1" applyAlignment="1">
      <alignment horizontal="center" wrapText="1"/>
    </xf>
    <xf numFmtId="0" fontId="9" fillId="8" borderId="7" xfId="0" applyFont="1" applyFill="1" applyBorder="1" applyAlignment="1">
      <alignment horizontal="center"/>
    </xf>
    <xf numFmtId="0" fontId="9" fillId="8" borderId="7" xfId="0" applyFont="1" applyFill="1" applyBorder="1" applyAlignment="1">
      <alignment horizontal="center" wrapText="1"/>
    </xf>
    <xf numFmtId="164" fontId="10" fillId="9" borderId="3" xfId="0" applyNumberFormat="1" applyFont="1" applyFill="1" applyBorder="1"/>
    <xf numFmtId="0" fontId="10" fillId="0" borderId="3" xfId="0" applyFont="1" applyBorder="1"/>
    <xf numFmtId="165" fontId="15" fillId="0" borderId="3" xfId="0" applyNumberFormat="1" applyFont="1" applyBorder="1"/>
    <xf numFmtId="0" fontId="15" fillId="0" borderId="3" xfId="0" applyFont="1" applyBorder="1" applyAlignment="1">
      <alignment horizontal="center"/>
    </xf>
    <xf numFmtId="165" fontId="15" fillId="0" borderId="3" xfId="0" applyNumberFormat="1" applyFont="1" applyBorder="1" applyAlignment="1">
      <alignment horizontal="center"/>
    </xf>
    <xf numFmtId="9" fontId="15" fillId="0" borderId="3" xfId="0" applyNumberFormat="1" applyFont="1" applyBorder="1" applyAlignment="1">
      <alignment horizontal="center"/>
    </xf>
    <xf numFmtId="165" fontId="0" fillId="0" borderId="0" xfId="0" applyNumberFormat="1"/>
    <xf numFmtId="9" fontId="0" fillId="0" borderId="0" xfId="0" applyNumberFormat="1"/>
    <xf numFmtId="0" fontId="0" fillId="8" borderId="3" xfId="0" applyFill="1" applyBorder="1"/>
    <xf numFmtId="0" fontId="30" fillId="0" borderId="5" xfId="0" applyFont="1" applyBorder="1" applyAlignment="1">
      <alignment horizontal="left" vertical="center"/>
    </xf>
    <xf numFmtId="0" fontId="30" fillId="0" borderId="9" xfId="0" applyFont="1" applyBorder="1" applyAlignment="1">
      <alignment vertical="center"/>
    </xf>
    <xf numFmtId="0" fontId="0" fillId="0" borderId="3" xfId="0" applyBorder="1"/>
    <xf numFmtId="0" fontId="30" fillId="0" borderId="0" xfId="0" applyFont="1" applyAlignment="1">
      <alignment vertical="center"/>
    </xf>
    <xf numFmtId="9" fontId="30" fillId="0" borderId="0" xfId="0" applyNumberFormat="1" applyFont="1" applyAlignment="1">
      <alignment vertical="center"/>
    </xf>
    <xf numFmtId="165" fontId="30" fillId="0" borderId="0" xfId="0" applyNumberFormat="1" applyFont="1" applyAlignment="1">
      <alignment vertical="center"/>
    </xf>
    <xf numFmtId="0" fontId="0" fillId="0" borderId="2" xfId="0" applyBorder="1"/>
    <xf numFmtId="165" fontId="8" fillId="0" borderId="3" xfId="0" applyNumberFormat="1" applyFont="1" applyBorder="1"/>
    <xf numFmtId="9" fontId="8" fillId="0" borderId="3" xfId="0" applyNumberFormat="1" applyFont="1" applyBorder="1"/>
    <xf numFmtId="165" fontId="9" fillId="9" borderId="5" xfId="0" applyNumberFormat="1" applyFont="1" applyFill="1" applyBorder="1" applyAlignment="1">
      <alignment horizontal="center"/>
    </xf>
    <xf numFmtId="0" fontId="31" fillId="15" borderId="3" xfId="0" applyFont="1" applyFill="1" applyBorder="1" applyAlignment="1">
      <alignment horizontal="center" vertical="center"/>
    </xf>
    <xf numFmtId="0" fontId="31" fillId="15" borderId="3" xfId="0" applyFont="1" applyFill="1" applyBorder="1" applyAlignment="1">
      <alignment horizontal="center" vertical="center" wrapText="1"/>
    </xf>
    <xf numFmtId="0" fontId="32" fillId="15" borderId="3" xfId="0" applyFont="1" applyFill="1" applyBorder="1" applyAlignment="1">
      <alignment horizontal="center" vertical="center" wrapText="1"/>
    </xf>
    <xf numFmtId="0" fontId="33" fillId="16" borderId="3" xfId="0" applyFont="1" applyFill="1" applyBorder="1" applyAlignment="1">
      <alignment vertical="center"/>
    </xf>
    <xf numFmtId="4" fontId="33" fillId="16" borderId="3" xfId="0" applyNumberFormat="1" applyFont="1" applyFill="1" applyBorder="1" applyAlignment="1">
      <alignment vertical="center"/>
    </xf>
    <xf numFmtId="165" fontId="0" fillId="0" borderId="3" xfId="0" applyNumberFormat="1" applyBorder="1"/>
    <xf numFmtId="165" fontId="31" fillId="15" borderId="3" xfId="0" applyNumberFormat="1" applyFont="1" applyFill="1" applyBorder="1" applyAlignment="1">
      <alignment horizontal="center" vertical="center"/>
    </xf>
    <xf numFmtId="0" fontId="33" fillId="16" borderId="3" xfId="0" applyFont="1" applyFill="1" applyBorder="1" applyAlignment="1">
      <alignment vertical="center" wrapText="1"/>
    </xf>
    <xf numFmtId="4" fontId="33" fillId="16" borderId="3" xfId="0" applyNumberFormat="1" applyFont="1" applyFill="1" applyBorder="1" applyAlignment="1">
      <alignment vertical="center" wrapText="1"/>
    </xf>
    <xf numFmtId="0" fontId="31" fillId="17" borderId="3" xfId="0" applyFont="1" applyFill="1" applyBorder="1" applyAlignment="1">
      <alignment horizontal="center" vertical="center"/>
    </xf>
    <xf numFmtId="4" fontId="31" fillId="17" borderId="3" xfId="0" applyNumberFormat="1" applyFont="1" applyFill="1" applyBorder="1" applyAlignment="1">
      <alignment horizontal="center" vertical="center"/>
    </xf>
    <xf numFmtId="0" fontId="27" fillId="2" borderId="0" xfId="0" applyFont="1" applyFill="1"/>
    <xf numFmtId="9" fontId="0" fillId="2" borderId="3" xfId="0" applyNumberFormat="1" applyFill="1" applyBorder="1"/>
    <xf numFmtId="0" fontId="27" fillId="2" borderId="0" xfId="0" applyFont="1" applyFill="1" applyAlignment="1">
      <alignment horizontal="center"/>
    </xf>
    <xf numFmtId="0" fontId="9" fillId="14" borderId="2" xfId="0" applyFont="1" applyFill="1" applyBorder="1" applyAlignment="1">
      <alignment horizontal="center" vertical="center"/>
    </xf>
    <xf numFmtId="0" fontId="9" fillId="14" borderId="7" xfId="0" applyFont="1" applyFill="1" applyBorder="1" applyAlignment="1">
      <alignment horizontal="center" vertical="center"/>
    </xf>
    <xf numFmtId="164" fontId="10" fillId="2" borderId="3" xfId="0" applyNumberFormat="1" applyFont="1" applyFill="1" applyBorder="1"/>
    <xf numFmtId="9" fontId="0" fillId="0" borderId="3" xfId="0" applyNumberFormat="1" applyBorder="1"/>
    <xf numFmtId="0" fontId="34" fillId="0" borderId="3" xfId="0" applyFont="1" applyBorder="1" applyAlignment="1">
      <alignment vertical="center" wrapText="1"/>
    </xf>
    <xf numFmtId="165" fontId="34" fillId="0" borderId="3" xfId="0" applyNumberFormat="1" applyFont="1" applyBorder="1" applyAlignment="1">
      <alignment vertical="center"/>
    </xf>
    <xf numFmtId="0" fontId="34" fillId="0" borderId="3" xfId="0" applyFont="1" applyBorder="1" applyAlignment="1">
      <alignment horizontal="left" vertical="center" wrapText="1"/>
    </xf>
    <xf numFmtId="0" fontId="10" fillId="2" borderId="3" xfId="0" applyFont="1" applyFill="1" applyBorder="1" applyAlignment="1">
      <alignment horizontal="center"/>
    </xf>
    <xf numFmtId="165" fontId="25" fillId="2" borderId="3" xfId="0" applyNumberFormat="1" applyFont="1" applyFill="1" applyBorder="1" applyAlignment="1">
      <alignment horizontal="center"/>
    </xf>
    <xf numFmtId="9" fontId="25" fillId="2" borderId="3" xfId="0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9" borderId="2" xfId="0" applyFont="1" applyFill="1" applyBorder="1" applyAlignment="1">
      <alignment horizontal="center"/>
    </xf>
    <xf numFmtId="164" fontId="3" fillId="9" borderId="3" xfId="0" applyNumberFormat="1" applyFont="1" applyFill="1" applyBorder="1" applyAlignment="1">
      <alignment horizontal="center" wrapText="1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3" fillId="9" borderId="7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 wrapText="1"/>
    </xf>
    <xf numFmtId="0" fontId="3" fillId="9" borderId="2" xfId="0" applyFont="1" applyFill="1" applyBorder="1" applyAlignment="1">
      <alignment horizontal="center" wrapText="1"/>
    </xf>
    <xf numFmtId="164" fontId="5" fillId="9" borderId="3" xfId="0" applyNumberFormat="1" applyFont="1" applyFill="1" applyBorder="1"/>
    <xf numFmtId="17" fontId="14" fillId="0" borderId="7" xfId="0" applyNumberFormat="1" applyFont="1" applyBorder="1"/>
    <xf numFmtId="165" fontId="5" fillId="9" borderId="3" xfId="0" applyNumberFormat="1" applyFont="1" applyFill="1" applyBorder="1"/>
    <xf numFmtId="9" fontId="5" fillId="9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9.xml"/><Relationship Id="rId8" Type="http://schemas.openxmlformats.org/officeDocument/2006/relationships/worksheet" Target="worksheets/sheet10.xml"/><Relationship Id="rId9" Type="http://schemas.openxmlformats.org/officeDocument/2006/relationships/worksheet" Target="worksheets/sheet11.xml"/><Relationship Id="rId10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79"/>
  <sheetViews>
    <sheetView workbookViewId="0" zoomScale="100" zoomScaleNormal="100">
      <selection activeCell="E284" sqref="E284"/>
    </sheetView>
  </sheetViews>
  <sheetFormatPr defaultRowHeight="14.4" outlineLevelRow="0" outlineLevelCol="0" x14ac:dyDescent="0.3" defaultColWidth="9" customHeight="1"/>
  <cols>
    <col min="1" max="1" width="5.5546875" style="1" customWidth="1"/>
    <col min="2" max="2" width="13.6640625" style="1" customWidth="1"/>
    <col min="3" max="3" width="12.88671875" style="1" customWidth="1"/>
    <col min="4" max="4" width="18.5546875" style="1" customWidth="1"/>
    <col min="5" max="5" width="20.5546875" style="1" customWidth="1"/>
    <col min="6" max="6" width="14" style="1" customWidth="1"/>
    <col min="7" max="8" width="16.44140625" style="1" customWidth="1"/>
    <col min="9" max="9" width="21.6640625" style="1" customWidth="1"/>
    <col min="10" max="10" width="15.109375" style="1" customWidth="1"/>
    <col min="11" max="11" width="30.5546875" style="1" customWidth="1"/>
    <col min="12" max="12" width="16" style="1" customWidth="1"/>
    <col min="13" max="13" width="16.6640625" style="1" customWidth="1"/>
    <col min="14" max="14" width="12" style="1" customWidth="1"/>
    <col min="15" max="16" width="11.44140625" style="1" customWidth="1"/>
    <col min="17" max="17" width="16.109375" style="1" customWidth="1"/>
    <col min="18" max="16384" width="9" style="1" customWidth="1"/>
  </cols>
  <sheetData>
    <row r="1" ht="15.6" customHeight="1" spans="1:14" x14ac:dyDescent="0.25">
      <c r="A1" s="2" t="s">
        <v>0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</row>
    <row r="2" ht="15.6" customHeight="1" spans="1:14" x14ac:dyDescent="0.25">
      <c r="A2" s="4" t="s">
        <v>1</v>
      </c>
      <c r="B2" s="4"/>
      <c r="C2" s="4"/>
      <c r="D2" s="4"/>
      <c r="E2" s="4"/>
      <c r="F2" s="4"/>
      <c r="G2" s="4"/>
      <c r="H2" s="2"/>
      <c r="I2" s="5"/>
      <c r="J2" s="3"/>
      <c r="K2" s="3"/>
      <c r="L2" s="3"/>
      <c r="M2" s="3"/>
      <c r="N2" s="3"/>
    </row>
    <row r="3" ht="15" customHeight="1" spans="1:8" x14ac:dyDescent="0.25">
      <c r="A3" s="6" t="s">
        <v>2</v>
      </c>
      <c r="B3" s="7" t="s">
        <v>3</v>
      </c>
      <c r="C3" s="6" t="s">
        <v>4</v>
      </c>
      <c r="D3" s="8" t="s">
        <v>5</v>
      </c>
      <c r="E3" s="9" t="s">
        <v>6</v>
      </c>
      <c r="F3" s="10"/>
      <c r="G3" s="11"/>
      <c r="H3" s="12"/>
    </row>
    <row r="4" ht="30.6" customHeight="1" spans="1:8" x14ac:dyDescent="0.25">
      <c r="A4" s="13"/>
      <c r="B4" s="14"/>
      <c r="C4" s="13"/>
      <c r="D4" s="8"/>
      <c r="E4" s="15" t="s">
        <v>7</v>
      </c>
      <c r="F4" s="15" t="s">
        <v>8</v>
      </c>
      <c r="G4" s="16" t="s">
        <v>9</v>
      </c>
      <c r="H4" s="17"/>
    </row>
    <row r="5" ht="15.6" customHeight="1" spans="1:8" x14ac:dyDescent="0.25">
      <c r="A5" s="13"/>
      <c r="B5" s="15" t="s">
        <v>10</v>
      </c>
      <c r="C5" s="15" t="s">
        <v>11</v>
      </c>
      <c r="D5" s="16" t="s">
        <v>12</v>
      </c>
      <c r="E5" s="1" t="s">
        <v>13</v>
      </c>
      <c r="F5" s="15" t="s">
        <v>14</v>
      </c>
      <c r="G5" s="15" t="s">
        <v>15</v>
      </c>
      <c r="H5" s="12"/>
    </row>
    <row r="6" ht="15.6" customHeight="1" spans="1:8" x14ac:dyDescent="0.25">
      <c r="A6" s="18">
        <v>1</v>
      </c>
      <c r="B6" s="19">
        <v>20</v>
      </c>
      <c r="C6" s="19" t="s">
        <v>16</v>
      </c>
      <c r="D6" s="20">
        <v>5</v>
      </c>
      <c r="E6" s="20"/>
      <c r="F6" s="20">
        <v>5</v>
      </c>
      <c r="G6" s="21">
        <f t="shared" ref="G6:G18" si="0">F6/D6</f>
        <v>1</v>
      </c>
      <c r="H6" s="22"/>
    </row>
    <row r="7" ht="15.6" customHeight="1" spans="1:8" x14ac:dyDescent="0.25">
      <c r="A7" s="23">
        <v>2</v>
      </c>
      <c r="B7" s="24">
        <v>7</v>
      </c>
      <c r="C7" s="25" t="s">
        <v>17</v>
      </c>
      <c r="D7" s="25">
        <v>89</v>
      </c>
      <c r="E7" s="25">
        <f>D7-F7</f>
        <v>1</v>
      </c>
      <c r="F7" s="25">
        <v>88</v>
      </c>
      <c r="G7" s="26">
        <f t="shared" si="0"/>
        <v>0.9887640449438202</v>
      </c>
      <c r="H7" s="27"/>
    </row>
    <row r="8" ht="15.6" customHeight="1" spans="1:8" x14ac:dyDescent="0.25">
      <c r="A8" s="23">
        <v>3</v>
      </c>
      <c r="B8" s="28">
        <v>42</v>
      </c>
      <c r="C8" s="29" t="s">
        <v>18</v>
      </c>
      <c r="D8" s="29">
        <v>210</v>
      </c>
      <c r="E8" s="25">
        <f t="shared" ref="E8:E18" si="1">D8-F8</f>
        <v>2</v>
      </c>
      <c r="F8" s="25">
        <v>208</v>
      </c>
      <c r="G8" s="26">
        <f t="shared" si="0"/>
        <v>0.9904761904761905</v>
      </c>
      <c r="H8" s="27"/>
    </row>
    <row r="9" ht="15.6" customHeight="1" spans="1:8" x14ac:dyDescent="0.25">
      <c r="A9" s="23">
        <v>4</v>
      </c>
      <c r="B9" s="25">
        <v>49</v>
      </c>
      <c r="C9" s="25" t="s">
        <v>19</v>
      </c>
      <c r="D9" s="25">
        <v>1302</v>
      </c>
      <c r="E9" s="25">
        <f t="shared" si="1"/>
        <v>4</v>
      </c>
      <c r="F9" s="25">
        <v>1298</v>
      </c>
      <c r="G9" s="26">
        <f t="shared" si="0"/>
        <v>0.9969278033794163</v>
      </c>
      <c r="H9" s="27"/>
    </row>
    <row r="10" ht="15.6" customHeight="1" spans="1:8" x14ac:dyDescent="0.25">
      <c r="A10" s="23">
        <v>5</v>
      </c>
      <c r="B10" s="25">
        <v>36</v>
      </c>
      <c r="C10" s="25" t="s">
        <v>20</v>
      </c>
      <c r="D10" s="25">
        <v>85</v>
      </c>
      <c r="E10" s="25">
        <f t="shared" si="1"/>
        <v>2</v>
      </c>
      <c r="F10" s="25">
        <v>83</v>
      </c>
      <c r="G10" s="26">
        <f t="shared" si="0"/>
        <v>0.9764705882352941</v>
      </c>
      <c r="H10" s="27"/>
    </row>
    <row r="11" ht="15.6" customHeight="1" spans="1:8" x14ac:dyDescent="0.25">
      <c r="A11" s="18">
        <v>6</v>
      </c>
      <c r="B11" s="20">
        <v>26</v>
      </c>
      <c r="C11" s="20" t="s">
        <v>21</v>
      </c>
      <c r="D11" s="20">
        <v>41</v>
      </c>
      <c r="E11" s="20">
        <f t="shared" si="1"/>
        <v>0</v>
      </c>
      <c r="F11" s="20">
        <v>41</v>
      </c>
      <c r="G11" s="21">
        <f t="shared" si="0"/>
        <v>1</v>
      </c>
      <c r="H11" s="22"/>
    </row>
    <row r="12" ht="15.6" customHeight="1" spans="1:8" x14ac:dyDescent="0.25">
      <c r="A12" s="18">
        <v>7</v>
      </c>
      <c r="B12" s="20">
        <v>33</v>
      </c>
      <c r="C12" s="20" t="s">
        <v>22</v>
      </c>
      <c r="D12" s="20">
        <v>160</v>
      </c>
      <c r="E12" s="20">
        <f t="shared" si="1"/>
        <v>0</v>
      </c>
      <c r="F12" s="20">
        <v>160</v>
      </c>
      <c r="G12" s="21">
        <f t="shared" si="0"/>
        <v>1</v>
      </c>
      <c r="H12" s="22"/>
    </row>
    <row r="13" ht="15.6" customHeight="1" spans="1:8" x14ac:dyDescent="0.25">
      <c r="A13" s="23">
        <v>8</v>
      </c>
      <c r="B13" s="25">
        <v>52</v>
      </c>
      <c r="C13" s="25" t="s">
        <v>23</v>
      </c>
      <c r="D13" s="25">
        <v>401</v>
      </c>
      <c r="E13" s="25">
        <f t="shared" si="1"/>
        <v>2</v>
      </c>
      <c r="F13" s="25">
        <v>399</v>
      </c>
      <c r="G13" s="26">
        <f t="shared" si="0"/>
        <v>0.9950124688279302</v>
      </c>
      <c r="H13" s="27"/>
    </row>
    <row r="14" ht="15.6" customHeight="1" spans="1:8" x14ac:dyDescent="0.25">
      <c r="A14" s="23">
        <v>9</v>
      </c>
      <c r="B14" s="29">
        <v>17</v>
      </c>
      <c r="C14" s="29" t="s">
        <v>24</v>
      </c>
      <c r="D14" s="25">
        <v>352</v>
      </c>
      <c r="E14" s="25">
        <f t="shared" si="1"/>
        <v>0</v>
      </c>
      <c r="F14" s="25">
        <v>352</v>
      </c>
      <c r="G14" s="26">
        <f t="shared" si="0"/>
        <v>1</v>
      </c>
      <c r="H14" s="27"/>
    </row>
    <row r="15" ht="15.6" customHeight="1" spans="1:11" x14ac:dyDescent="0.25">
      <c r="A15" s="23">
        <v>10</v>
      </c>
      <c r="B15" s="25">
        <v>57</v>
      </c>
      <c r="C15" s="25" t="s">
        <v>25</v>
      </c>
      <c r="D15" s="30">
        <v>187</v>
      </c>
      <c r="E15" s="25">
        <f t="shared" si="1"/>
        <v>0</v>
      </c>
      <c r="F15" s="30">
        <v>187</v>
      </c>
      <c r="G15" s="26">
        <f t="shared" si="0"/>
        <v>1</v>
      </c>
      <c r="H15" s="27"/>
      <c r="J15" s="31"/>
      <c r="K15" s="32"/>
    </row>
    <row r="16" ht="15.6" customHeight="1" spans="1:8" x14ac:dyDescent="0.25">
      <c r="A16" s="23">
        <v>11</v>
      </c>
      <c r="B16" s="25">
        <v>25</v>
      </c>
      <c r="C16" s="25" t="s">
        <v>26</v>
      </c>
      <c r="D16" s="25">
        <v>292</v>
      </c>
      <c r="E16" s="25">
        <f t="shared" si="1"/>
        <v>0</v>
      </c>
      <c r="F16" s="25">
        <v>292</v>
      </c>
      <c r="G16" s="26">
        <f t="shared" si="0"/>
        <v>1</v>
      </c>
      <c r="H16" s="27"/>
    </row>
    <row r="17" ht="15.6" customHeight="1" spans="1:8" x14ac:dyDescent="0.25">
      <c r="A17" s="23">
        <v>12</v>
      </c>
      <c r="B17" s="25">
        <v>39</v>
      </c>
      <c r="C17" s="25" t="s">
        <v>27</v>
      </c>
      <c r="D17" s="24">
        <v>359</v>
      </c>
      <c r="E17" s="25">
        <f t="shared" si="1"/>
        <v>12</v>
      </c>
      <c r="F17" s="25">
        <v>347</v>
      </c>
      <c r="G17" s="26">
        <f t="shared" si="0"/>
        <v>0.9665738161559888</v>
      </c>
      <c r="H17" s="27"/>
    </row>
    <row r="18" ht="15.6" customHeight="1" spans="1:8" x14ac:dyDescent="0.25">
      <c r="A18" s="23">
        <v>13</v>
      </c>
      <c r="B18" s="25">
        <v>11</v>
      </c>
      <c r="C18" s="25" t="s">
        <v>28</v>
      </c>
      <c r="D18" s="25">
        <v>56</v>
      </c>
      <c r="E18" s="25">
        <f t="shared" si="1"/>
        <v>12</v>
      </c>
      <c r="F18" s="25">
        <v>44</v>
      </c>
      <c r="G18" s="26">
        <f t="shared" si="0"/>
        <v>0.7857142857142857</v>
      </c>
      <c r="H18" s="27"/>
    </row>
    <row r="19" ht="15.6" customHeight="1" spans="1:10" x14ac:dyDescent="0.25">
      <c r="A19" s="33"/>
      <c r="B19" s="34">
        <f>SUM(B6:B18)</f>
        <v>414</v>
      </c>
      <c r="C19" s="35" t="s">
        <v>29</v>
      </c>
      <c r="D19" s="34">
        <f>SUM(D6:D18)</f>
        <v>3539</v>
      </c>
      <c r="E19" s="34">
        <f t="shared" ref="E19:F19" si="2">SUM(E6:E18)</f>
        <v>35</v>
      </c>
      <c r="F19" s="34">
        <f t="shared" si="2"/>
        <v>3504</v>
      </c>
      <c r="G19" s="36">
        <f>F19/D19</f>
        <v>0.9901102006216446</v>
      </c>
      <c r="H19" s="37"/>
      <c r="J19" s="31"/>
    </row>
    <row r="20" ht="15.6" customHeight="1" spans="1:14" x14ac:dyDescent="0.25">
      <c r="A20" s="33"/>
      <c r="B20" s="33"/>
      <c r="C20" s="33"/>
      <c r="D20" s="38"/>
      <c r="E20" s="33"/>
      <c r="F20" s="39">
        <f>F19/D19</f>
        <v>0.9901102006216446</v>
      </c>
      <c r="G20" s="38"/>
      <c r="H20" s="40"/>
      <c r="I20" s="3"/>
      <c r="J20" s="3"/>
      <c r="L20" s="3"/>
      <c r="M20" s="3"/>
      <c r="N20" s="3"/>
    </row>
    <row r="21" ht="15" customHeight="1" spans="1:14" x14ac:dyDescent="0.25">
      <c r="A21" s="4" t="s">
        <v>30</v>
      </c>
      <c r="B21" s="4"/>
      <c r="C21" s="4"/>
      <c r="D21" s="4"/>
      <c r="E21" s="4"/>
      <c r="F21" s="4"/>
      <c r="G21" s="4"/>
      <c r="H21" s="2"/>
      <c r="I21" s="3"/>
      <c r="J21" s="3"/>
      <c r="L21" s="3"/>
      <c r="M21" s="3"/>
      <c r="N21" s="41"/>
    </row>
    <row r="22" ht="15" customHeight="1" spans="1:14" x14ac:dyDescent="0.25">
      <c r="A22" s="15" t="s">
        <v>2</v>
      </c>
      <c r="B22" s="16" t="s">
        <v>3</v>
      </c>
      <c r="C22" s="15" t="s">
        <v>4</v>
      </c>
      <c r="D22" s="8" t="s">
        <v>5</v>
      </c>
      <c r="E22" s="15" t="s">
        <v>6</v>
      </c>
      <c r="F22" s="15"/>
      <c r="G22" s="15"/>
      <c r="H22" s="12"/>
      <c r="I22" s="3"/>
      <c r="J22" s="3"/>
      <c r="K22" s="3"/>
      <c r="L22" s="3"/>
      <c r="M22" s="3"/>
      <c r="N22" s="41"/>
    </row>
    <row r="23" ht="47.25" customHeight="1" spans="1:14" x14ac:dyDescent="0.25">
      <c r="A23" s="15"/>
      <c r="B23" s="16"/>
      <c r="C23" s="15"/>
      <c r="D23" s="8"/>
      <c r="E23" s="15" t="s">
        <v>7</v>
      </c>
      <c r="F23" s="15" t="s">
        <v>8</v>
      </c>
      <c r="G23" s="16" t="s">
        <v>9</v>
      </c>
      <c r="H23" s="17"/>
      <c r="I23" s="3"/>
      <c r="J23" s="3"/>
      <c r="K23" s="3"/>
      <c r="L23" s="3"/>
      <c r="M23" s="3"/>
      <c r="N23" s="3"/>
    </row>
    <row r="24" ht="15.75" customHeight="1" spans="1:14" x14ac:dyDescent="0.25">
      <c r="A24" s="15"/>
      <c r="B24" s="15" t="s">
        <v>10</v>
      </c>
      <c r="C24" s="15" t="s">
        <v>11</v>
      </c>
      <c r="D24" s="16" t="s">
        <v>12</v>
      </c>
      <c r="E24" s="15" t="s">
        <v>13</v>
      </c>
      <c r="F24" s="15" t="s">
        <v>14</v>
      </c>
      <c r="G24" s="15" t="s">
        <v>15</v>
      </c>
      <c r="H24" s="12"/>
      <c r="I24" s="3"/>
      <c r="J24" s="3"/>
      <c r="K24" s="3"/>
      <c r="L24" s="3"/>
      <c r="M24" s="3"/>
      <c r="N24" s="3"/>
    </row>
    <row r="25" ht="15.6" customHeight="1" spans="1:8" x14ac:dyDescent="0.25">
      <c r="A25" s="18">
        <v>1</v>
      </c>
      <c r="B25" s="19">
        <v>20</v>
      </c>
      <c r="C25" s="19" t="s">
        <v>16</v>
      </c>
      <c r="D25" s="20">
        <v>14</v>
      </c>
      <c r="E25" s="20">
        <f t="shared" ref="E25:E37" si="3">D25-F25</f>
        <v>0</v>
      </c>
      <c r="F25" s="20">
        <v>14</v>
      </c>
      <c r="G25" s="21">
        <f t="shared" ref="G25:G37" si="4">F25/D25</f>
        <v>1</v>
      </c>
      <c r="H25" s="22"/>
    </row>
    <row r="26" ht="15.75" customHeight="1" spans="1:10" x14ac:dyDescent="0.25">
      <c r="A26" s="42">
        <v>2</v>
      </c>
      <c r="B26" s="43">
        <v>42</v>
      </c>
      <c r="C26" s="38" t="s">
        <v>18</v>
      </c>
      <c r="D26" s="38">
        <v>213</v>
      </c>
      <c r="E26" s="38">
        <f t="shared" si="3"/>
        <v>1</v>
      </c>
      <c r="F26" s="38">
        <v>212</v>
      </c>
      <c r="G26" s="39">
        <f t="shared" si="4"/>
        <v>0.9953051643192489</v>
      </c>
      <c r="H26" s="44"/>
      <c r="I26" s="1">
        <v>44</v>
      </c>
      <c r="J26" s="31"/>
    </row>
    <row r="27" ht="15" customHeight="1" spans="1:8" x14ac:dyDescent="0.25">
      <c r="A27" s="42">
        <v>3</v>
      </c>
      <c r="B27" s="45">
        <v>57</v>
      </c>
      <c r="C27" s="45" t="s">
        <v>25</v>
      </c>
      <c r="D27" s="45">
        <v>593</v>
      </c>
      <c r="E27" s="38">
        <f t="shared" si="3"/>
        <v>5</v>
      </c>
      <c r="F27" s="38">
        <v>588</v>
      </c>
      <c r="G27" s="39">
        <f t="shared" si="4"/>
        <v>0.9915682967959528</v>
      </c>
      <c r="H27" s="44"/>
    </row>
    <row r="28" ht="15.75" customHeight="1" spans="1:8" x14ac:dyDescent="0.25">
      <c r="A28" s="23">
        <v>4</v>
      </c>
      <c r="B28" s="25">
        <v>49</v>
      </c>
      <c r="C28" s="25" t="s">
        <v>19</v>
      </c>
      <c r="D28" s="25">
        <v>1596</v>
      </c>
      <c r="E28" s="25">
        <f t="shared" si="3"/>
        <v>3</v>
      </c>
      <c r="F28" s="25">
        <v>1593</v>
      </c>
      <c r="G28" s="26">
        <f t="shared" si="4"/>
        <v>0.9981203007518797</v>
      </c>
      <c r="H28" s="27"/>
    </row>
    <row r="29" ht="15.75" customHeight="1" spans="1:8" x14ac:dyDescent="0.25">
      <c r="A29" s="42">
        <v>5</v>
      </c>
      <c r="B29" s="38">
        <v>17</v>
      </c>
      <c r="C29" s="38" t="s">
        <v>24</v>
      </c>
      <c r="D29" s="25">
        <v>818</v>
      </c>
      <c r="E29" s="38">
        <f t="shared" si="3"/>
        <v>0</v>
      </c>
      <c r="F29" s="38">
        <v>818</v>
      </c>
      <c r="G29" s="39">
        <f t="shared" si="4"/>
        <v>1</v>
      </c>
      <c r="H29" s="44"/>
    </row>
    <row r="30" ht="15" customHeight="1" spans="1:8" x14ac:dyDescent="0.25">
      <c r="A30" s="18">
        <v>6</v>
      </c>
      <c r="B30" s="20">
        <v>33</v>
      </c>
      <c r="C30" s="20" t="s">
        <v>22</v>
      </c>
      <c r="D30" s="20">
        <v>230</v>
      </c>
      <c r="E30" s="20">
        <f t="shared" si="3"/>
        <v>0</v>
      </c>
      <c r="F30" s="20">
        <v>230</v>
      </c>
      <c r="G30" s="21">
        <f t="shared" si="4"/>
        <v>1</v>
      </c>
      <c r="H30" s="22"/>
    </row>
    <row r="31" ht="15" customHeight="1" spans="1:8" x14ac:dyDescent="0.25">
      <c r="A31" s="42">
        <v>7</v>
      </c>
      <c r="B31" s="38">
        <v>52</v>
      </c>
      <c r="C31" s="38" t="s">
        <v>23</v>
      </c>
      <c r="D31" s="38">
        <v>1344</v>
      </c>
      <c r="E31" s="38">
        <f t="shared" si="3"/>
        <v>1</v>
      </c>
      <c r="F31" s="38">
        <v>1343</v>
      </c>
      <c r="G31" s="39">
        <f t="shared" si="4"/>
        <v>0.9992559523809523</v>
      </c>
      <c r="H31" s="44"/>
    </row>
    <row r="32" ht="15" customHeight="1" spans="1:8" x14ac:dyDescent="0.25">
      <c r="A32" s="42">
        <v>8</v>
      </c>
      <c r="B32" s="45">
        <v>36</v>
      </c>
      <c r="C32" s="45" t="s">
        <v>20</v>
      </c>
      <c r="D32" s="38">
        <v>231</v>
      </c>
      <c r="E32" s="38">
        <f t="shared" si="3"/>
        <v>0</v>
      </c>
      <c r="F32" s="38">
        <v>231</v>
      </c>
      <c r="G32" s="39">
        <f t="shared" si="4"/>
        <v>1</v>
      </c>
      <c r="H32" s="44"/>
    </row>
    <row r="33" ht="15" customHeight="1" spans="1:8" x14ac:dyDescent="0.25">
      <c r="A33" s="23">
        <v>9</v>
      </c>
      <c r="B33" s="25">
        <v>26</v>
      </c>
      <c r="C33" s="25" t="s">
        <v>21</v>
      </c>
      <c r="D33" s="38">
        <v>83</v>
      </c>
      <c r="E33" s="38">
        <f t="shared" si="3"/>
        <v>0</v>
      </c>
      <c r="F33" s="38">
        <v>83</v>
      </c>
      <c r="G33" s="39">
        <f t="shared" si="4"/>
        <v>1</v>
      </c>
      <c r="H33" s="44"/>
    </row>
    <row r="34" ht="15.6" customHeight="1" spans="1:8" x14ac:dyDescent="0.25">
      <c r="A34" s="42">
        <v>10</v>
      </c>
      <c r="B34" s="43">
        <v>7</v>
      </c>
      <c r="C34" s="38" t="s">
        <v>17</v>
      </c>
      <c r="D34" s="38">
        <v>30</v>
      </c>
      <c r="E34" s="38">
        <f t="shared" si="3"/>
        <v>0</v>
      </c>
      <c r="F34" s="38">
        <v>30</v>
      </c>
      <c r="G34" s="39">
        <f t="shared" si="4"/>
        <v>1</v>
      </c>
      <c r="H34" s="44"/>
    </row>
    <row r="35" ht="15" customHeight="1" spans="1:8" x14ac:dyDescent="0.25">
      <c r="A35" s="42">
        <v>11</v>
      </c>
      <c r="B35" s="38">
        <v>39</v>
      </c>
      <c r="C35" s="38" t="s">
        <v>27</v>
      </c>
      <c r="D35" s="43">
        <v>395</v>
      </c>
      <c r="E35" s="38">
        <f t="shared" si="3"/>
        <v>17</v>
      </c>
      <c r="F35" s="38">
        <v>378</v>
      </c>
      <c r="G35" s="39">
        <f t="shared" si="4"/>
        <v>0.9569620253164557</v>
      </c>
      <c r="H35" s="44"/>
    </row>
    <row r="36" ht="15" customHeight="1" spans="1:8" x14ac:dyDescent="0.25">
      <c r="A36" s="42">
        <v>12</v>
      </c>
      <c r="B36" s="38">
        <v>11</v>
      </c>
      <c r="C36" s="38" t="s">
        <v>28</v>
      </c>
      <c r="D36" s="38">
        <v>79</v>
      </c>
      <c r="E36" s="38">
        <f t="shared" si="3"/>
        <v>10</v>
      </c>
      <c r="F36" s="38">
        <v>69</v>
      </c>
      <c r="G36" s="39">
        <f t="shared" si="4"/>
        <v>0.8734177215189873</v>
      </c>
      <c r="H36" s="44"/>
    </row>
    <row r="37" ht="15.6" customHeight="1" spans="1:8" x14ac:dyDescent="0.25">
      <c r="A37" s="42">
        <v>13</v>
      </c>
      <c r="B37" s="38">
        <v>25</v>
      </c>
      <c r="C37" s="38" t="s">
        <v>26</v>
      </c>
      <c r="D37" s="38">
        <v>513</v>
      </c>
      <c r="E37" s="38">
        <f t="shared" si="3"/>
        <v>0</v>
      </c>
      <c r="F37" s="38">
        <v>513</v>
      </c>
      <c r="G37" s="39">
        <f t="shared" si="4"/>
        <v>1</v>
      </c>
      <c r="H37" s="44"/>
    </row>
    <row r="38" ht="15.6" customHeight="1" spans="1:14" x14ac:dyDescent="0.25">
      <c r="A38" s="33"/>
      <c r="B38" s="34">
        <f>SUM(B25:B37)</f>
        <v>414</v>
      </c>
      <c r="C38" s="46" t="s">
        <v>29</v>
      </c>
      <c r="D38" s="47">
        <f>SUM(D25:D37)</f>
        <v>6139</v>
      </c>
      <c r="E38" s="47">
        <f>SUM(E25:E37)</f>
        <v>37</v>
      </c>
      <c r="F38" s="47">
        <f>SUM(F25:F37)</f>
        <v>6102</v>
      </c>
      <c r="G38" s="48">
        <f>F38/D38</f>
        <v>0.9939729597654341</v>
      </c>
      <c r="H38" s="49"/>
      <c r="I38" s="3"/>
      <c r="J38" s="41"/>
      <c r="K38" s="3"/>
      <c r="L38" s="3"/>
      <c r="M38" s="3"/>
      <c r="N38" s="3"/>
    </row>
    <row r="39" ht="15.6" customHeight="1" spans="1:14" x14ac:dyDescent="0.25">
      <c r="A39" s="33"/>
      <c r="B39" s="33"/>
      <c r="C39" s="33"/>
      <c r="D39" s="38"/>
      <c r="E39" s="33"/>
      <c r="F39" s="39">
        <f>F38/D38</f>
        <v>0.9939729597654341</v>
      </c>
      <c r="G39" s="38"/>
      <c r="H39" s="40"/>
      <c r="I39" s="3"/>
      <c r="J39" s="3"/>
      <c r="K39" s="3"/>
      <c r="L39" s="3"/>
      <c r="M39" s="3"/>
      <c r="N39" s="3"/>
    </row>
    <row r="40" ht="15.6" customHeight="1" spans="1:14" x14ac:dyDescent="0.25">
      <c r="A40" s="4" t="s">
        <v>31</v>
      </c>
      <c r="B40" s="4"/>
      <c r="C40" s="4"/>
      <c r="D40" s="4"/>
      <c r="E40" s="4"/>
      <c r="F40" s="4"/>
      <c r="G40" s="4"/>
      <c r="H40" s="2"/>
      <c r="I40" s="3"/>
      <c r="J40" s="3"/>
      <c r="K40" s="3"/>
      <c r="L40" s="3"/>
      <c r="M40" s="3"/>
      <c r="N40" s="3"/>
    </row>
    <row r="41" ht="15" customHeight="1" spans="1:14" x14ac:dyDescent="0.25">
      <c r="A41" s="15" t="s">
        <v>2</v>
      </c>
      <c r="B41" s="16" t="s">
        <v>3</v>
      </c>
      <c r="C41" s="15" t="s">
        <v>4</v>
      </c>
      <c r="D41" s="8" t="s">
        <v>5</v>
      </c>
      <c r="E41" s="15" t="s">
        <v>6</v>
      </c>
      <c r="F41" s="15"/>
      <c r="G41" s="15"/>
      <c r="H41" s="12"/>
      <c r="I41" s="41"/>
      <c r="J41" s="3"/>
      <c r="K41" s="3"/>
      <c r="L41" s="3"/>
      <c r="M41" s="3"/>
      <c r="N41" s="3"/>
    </row>
    <row r="42" ht="47.25" customHeight="1" spans="1:8" x14ac:dyDescent="0.25">
      <c r="A42" s="15"/>
      <c r="B42" s="16"/>
      <c r="C42" s="15"/>
      <c r="D42" s="8"/>
      <c r="E42" s="15" t="s">
        <v>7</v>
      </c>
      <c r="F42" s="15" t="s">
        <v>8</v>
      </c>
      <c r="G42" s="16" t="s">
        <v>9</v>
      </c>
      <c r="H42" s="17"/>
    </row>
    <row r="43" ht="15.6" customHeight="1" spans="1:8" x14ac:dyDescent="0.25">
      <c r="A43" s="15"/>
      <c r="B43" s="15" t="s">
        <v>10</v>
      </c>
      <c r="C43" s="15" t="s">
        <v>11</v>
      </c>
      <c r="D43" s="16" t="s">
        <v>12</v>
      </c>
      <c r="E43" s="50" t="s">
        <v>13</v>
      </c>
      <c r="F43" s="15" t="s">
        <v>14</v>
      </c>
      <c r="G43" s="15" t="s">
        <v>15</v>
      </c>
      <c r="H43" s="12"/>
    </row>
    <row r="44" ht="15.6" customHeight="1" spans="1:8" x14ac:dyDescent="0.25">
      <c r="A44" s="42">
        <v>1</v>
      </c>
      <c r="B44" s="45">
        <v>20</v>
      </c>
      <c r="C44" s="45" t="s">
        <v>16</v>
      </c>
      <c r="D44" s="38">
        <v>14</v>
      </c>
      <c r="E44" s="38">
        <f t="shared" ref="E44:E56" si="5">D44-F44</f>
        <v>0</v>
      </c>
      <c r="F44" s="38">
        <v>14</v>
      </c>
      <c r="G44" s="39">
        <f t="shared" ref="G44:G56" si="6">F44/D44</f>
        <v>1</v>
      </c>
      <c r="H44" s="44"/>
    </row>
    <row r="45" ht="15.6" customHeight="1" spans="1:8" x14ac:dyDescent="0.25">
      <c r="A45" s="42">
        <v>2</v>
      </c>
      <c r="B45" s="38">
        <v>57</v>
      </c>
      <c r="C45" s="38" t="s">
        <v>25</v>
      </c>
      <c r="D45" s="38">
        <v>1659</v>
      </c>
      <c r="E45" s="38">
        <f t="shared" si="5"/>
        <v>12</v>
      </c>
      <c r="F45" s="38">
        <v>1647</v>
      </c>
      <c r="G45" s="39">
        <f t="shared" si="6"/>
        <v>0.9927667269439421</v>
      </c>
      <c r="H45" s="44"/>
    </row>
    <row r="46" ht="15.6" customHeight="1" spans="1:10" x14ac:dyDescent="0.25">
      <c r="A46" s="42">
        <v>3</v>
      </c>
      <c r="B46" s="45">
        <v>49</v>
      </c>
      <c r="C46" s="45" t="s">
        <v>18</v>
      </c>
      <c r="D46" s="45">
        <v>424</v>
      </c>
      <c r="E46" s="38">
        <f t="shared" si="5"/>
        <v>3</v>
      </c>
      <c r="F46" s="45">
        <v>421</v>
      </c>
      <c r="G46" s="39">
        <f t="shared" si="6"/>
        <v>0.9929245283018868</v>
      </c>
      <c r="H46" s="44"/>
      <c r="J46" s="31"/>
    </row>
    <row r="47" ht="15.6" customHeight="1" spans="1:8" x14ac:dyDescent="0.25">
      <c r="A47" s="42">
        <v>4</v>
      </c>
      <c r="B47" s="38">
        <v>60</v>
      </c>
      <c r="C47" s="38" t="s">
        <v>19</v>
      </c>
      <c r="D47" s="38">
        <v>1406</v>
      </c>
      <c r="E47" s="38">
        <f t="shared" si="5"/>
        <v>4</v>
      </c>
      <c r="F47" s="38">
        <v>1402</v>
      </c>
      <c r="G47" s="39">
        <f t="shared" si="6"/>
        <v>0.9971550497866287</v>
      </c>
      <c r="H47" s="44"/>
    </row>
    <row r="48" ht="15.6" customHeight="1" spans="1:8" x14ac:dyDescent="0.25">
      <c r="A48" s="42">
        <v>5</v>
      </c>
      <c r="B48" s="43">
        <v>42</v>
      </c>
      <c r="C48" s="38" t="s">
        <v>24</v>
      </c>
      <c r="D48" s="25">
        <v>1734</v>
      </c>
      <c r="E48" s="38">
        <f t="shared" si="5"/>
        <v>0</v>
      </c>
      <c r="F48" s="38">
        <v>1734</v>
      </c>
      <c r="G48" s="39">
        <f t="shared" si="6"/>
        <v>1</v>
      </c>
      <c r="H48" s="44"/>
    </row>
    <row r="49" ht="15.6" customHeight="1" spans="1:8" x14ac:dyDescent="0.25">
      <c r="A49" s="42">
        <v>6</v>
      </c>
      <c r="B49" s="38">
        <v>36</v>
      </c>
      <c r="C49" s="38" t="s">
        <v>20</v>
      </c>
      <c r="D49" s="51">
        <v>499</v>
      </c>
      <c r="E49" s="38">
        <f t="shared" si="5"/>
        <v>2</v>
      </c>
      <c r="F49" s="38">
        <v>497</v>
      </c>
      <c r="G49" s="39">
        <f t="shared" si="6"/>
        <v>0.9959919839679359</v>
      </c>
      <c r="H49" s="44"/>
    </row>
    <row r="50" ht="15.6" customHeight="1" spans="1:8" x14ac:dyDescent="0.25">
      <c r="A50" s="42">
        <v>7</v>
      </c>
      <c r="B50" s="38">
        <v>26</v>
      </c>
      <c r="C50" s="38" t="s">
        <v>21</v>
      </c>
      <c r="D50" s="38">
        <v>251</v>
      </c>
      <c r="E50" s="38">
        <f t="shared" si="5"/>
        <v>0</v>
      </c>
      <c r="F50" s="38">
        <v>251</v>
      </c>
      <c r="G50" s="39">
        <f t="shared" si="6"/>
        <v>1</v>
      </c>
      <c r="H50" s="44"/>
    </row>
    <row r="51" ht="15.6" customHeight="1" spans="1:8" x14ac:dyDescent="0.25">
      <c r="A51" s="42">
        <v>8</v>
      </c>
      <c r="B51" s="38">
        <v>52</v>
      </c>
      <c r="C51" s="38" t="s">
        <v>22</v>
      </c>
      <c r="D51" s="25">
        <v>1731</v>
      </c>
      <c r="E51" s="38">
        <f t="shared" si="5"/>
        <v>0</v>
      </c>
      <c r="F51" s="38">
        <v>1731</v>
      </c>
      <c r="G51" s="39">
        <f t="shared" si="6"/>
        <v>1</v>
      </c>
      <c r="H51" s="44"/>
    </row>
    <row r="52" ht="15.6" customHeight="1" spans="1:8" x14ac:dyDescent="0.25">
      <c r="A52" s="42">
        <v>9</v>
      </c>
      <c r="B52" s="45">
        <v>39</v>
      </c>
      <c r="C52" s="45" t="s">
        <v>23</v>
      </c>
      <c r="D52" s="38">
        <v>746</v>
      </c>
      <c r="E52" s="38">
        <f t="shared" si="5"/>
        <v>4</v>
      </c>
      <c r="F52" s="38">
        <v>742</v>
      </c>
      <c r="G52" s="39">
        <f t="shared" si="6"/>
        <v>0.9946380697050938</v>
      </c>
      <c r="H52" s="44"/>
    </row>
    <row r="53" ht="15.6" customHeight="1" spans="1:8" x14ac:dyDescent="0.25">
      <c r="A53" s="42">
        <v>10</v>
      </c>
      <c r="B53" s="43">
        <v>7</v>
      </c>
      <c r="C53" s="38" t="s">
        <v>17</v>
      </c>
      <c r="D53" s="38">
        <v>44</v>
      </c>
      <c r="E53" s="38">
        <f t="shared" si="5"/>
        <v>0</v>
      </c>
      <c r="F53" s="38">
        <v>44</v>
      </c>
      <c r="G53" s="39">
        <f t="shared" si="6"/>
        <v>1</v>
      </c>
      <c r="H53" s="44"/>
    </row>
    <row r="54" ht="15.6" customHeight="1" spans="1:8" x14ac:dyDescent="0.25">
      <c r="A54" s="42">
        <v>11</v>
      </c>
      <c r="B54" s="38">
        <v>25</v>
      </c>
      <c r="C54" s="38" t="s">
        <v>27</v>
      </c>
      <c r="D54" s="43">
        <v>405</v>
      </c>
      <c r="E54" s="38">
        <f t="shared" si="5"/>
        <v>15</v>
      </c>
      <c r="F54" s="38">
        <v>390</v>
      </c>
      <c r="G54" s="39">
        <f t="shared" si="6"/>
        <v>0.9629629629629629</v>
      </c>
      <c r="H54" s="44"/>
    </row>
    <row r="55" ht="15.6" customHeight="1" spans="1:8" x14ac:dyDescent="0.25">
      <c r="A55" s="42">
        <v>12</v>
      </c>
      <c r="B55" s="38">
        <v>33</v>
      </c>
      <c r="C55" s="38" t="s">
        <v>26</v>
      </c>
      <c r="D55" s="38">
        <v>10510</v>
      </c>
      <c r="E55" s="38">
        <f t="shared" si="5"/>
        <v>0</v>
      </c>
      <c r="F55" s="38">
        <v>10510</v>
      </c>
      <c r="G55" s="39">
        <f t="shared" si="6"/>
        <v>1</v>
      </c>
      <c r="H55" s="44"/>
    </row>
    <row r="56" ht="15.6" customHeight="1" spans="1:8" x14ac:dyDescent="0.25">
      <c r="A56" s="42">
        <v>13</v>
      </c>
      <c r="B56" s="38">
        <v>11</v>
      </c>
      <c r="C56" s="38" t="s">
        <v>28</v>
      </c>
      <c r="D56" s="38">
        <v>220</v>
      </c>
      <c r="E56" s="38">
        <f t="shared" si="5"/>
        <v>8</v>
      </c>
      <c r="F56" s="38">
        <v>212</v>
      </c>
      <c r="G56" s="39">
        <f t="shared" si="6"/>
        <v>0.9636363636363636</v>
      </c>
      <c r="H56" s="44"/>
    </row>
    <row r="57" ht="15.6" customHeight="1" spans="1:14" x14ac:dyDescent="0.25">
      <c r="A57" s="33"/>
      <c r="B57" s="34">
        <v>420</v>
      </c>
      <c r="C57" s="46" t="s">
        <v>29</v>
      </c>
      <c r="D57" s="47">
        <f>SUM(D44:D56)</f>
        <v>19643</v>
      </c>
      <c r="E57" s="47">
        <f>SUM(E44:E56)</f>
        <v>48</v>
      </c>
      <c r="F57" s="47">
        <f>SUM(F44:F56)</f>
        <v>19595</v>
      </c>
      <c r="G57" s="48">
        <f>F57/D57</f>
        <v>0.9975563814081352</v>
      </c>
      <c r="H57" s="49"/>
      <c r="I57" s="3"/>
      <c r="J57" s="41"/>
      <c r="K57" s="3"/>
      <c r="L57" s="3"/>
      <c r="M57" s="3"/>
      <c r="N57" s="3"/>
    </row>
    <row r="58" ht="15.6" customHeight="1" spans="1:14" x14ac:dyDescent="0.25">
      <c r="A58" s="52"/>
      <c r="B58" s="52"/>
      <c r="C58" s="52"/>
      <c r="D58" s="52"/>
      <c r="E58" s="52"/>
      <c r="F58" s="53">
        <f>F57/D57</f>
        <v>0.9975563814081352</v>
      </c>
      <c r="G58" s="52"/>
      <c r="H58" s="54"/>
      <c r="I58" s="3"/>
      <c r="J58" s="3"/>
      <c r="K58" s="41"/>
      <c r="L58" s="3"/>
      <c r="M58" s="3"/>
      <c r="N58" s="3"/>
    </row>
    <row r="59" ht="15.6" customHeight="1" spans="1:14" x14ac:dyDescent="0.25">
      <c r="A59" s="55" t="s">
        <v>32</v>
      </c>
      <c r="B59" s="55"/>
      <c r="C59" s="55"/>
      <c r="D59" s="55"/>
      <c r="E59" s="55"/>
      <c r="F59" s="55"/>
      <c r="G59" s="55"/>
      <c r="H59" s="2"/>
      <c r="I59" s="56"/>
      <c r="J59" s="56"/>
      <c r="K59" s="56"/>
      <c r="L59" s="56"/>
      <c r="M59" s="56"/>
      <c r="N59" s="56"/>
    </row>
    <row r="60" ht="15.75" customHeight="1" spans="1:10" x14ac:dyDescent="0.25">
      <c r="A60" s="15" t="s">
        <v>2</v>
      </c>
      <c r="B60" s="16" t="s">
        <v>3</v>
      </c>
      <c r="C60" s="15" t="s">
        <v>4</v>
      </c>
      <c r="D60" s="57" t="s">
        <v>33</v>
      </c>
      <c r="E60" s="58" t="s">
        <v>6</v>
      </c>
      <c r="F60" s="59"/>
      <c r="G60" s="60"/>
      <c r="H60" s="61"/>
      <c r="J60" s="31"/>
    </row>
    <row r="61" ht="27" customHeight="1" spans="1:8" x14ac:dyDescent="0.25">
      <c r="A61" s="15"/>
      <c r="B61" s="16"/>
      <c r="C61" s="15"/>
      <c r="D61" s="62"/>
      <c r="E61" s="63" t="s">
        <v>7</v>
      </c>
      <c r="F61" s="63" t="s">
        <v>8</v>
      </c>
      <c r="G61" s="64" t="s">
        <v>9</v>
      </c>
      <c r="H61" s="61"/>
    </row>
    <row r="62" ht="15.6" customHeight="1" spans="1:8" x14ac:dyDescent="0.25">
      <c r="A62" s="33"/>
      <c r="B62" s="15" t="s">
        <v>10</v>
      </c>
      <c r="C62" s="15" t="s">
        <v>11</v>
      </c>
      <c r="D62" s="16" t="s">
        <v>12</v>
      </c>
      <c r="E62" s="50" t="s">
        <v>13</v>
      </c>
      <c r="F62" s="15" t="s">
        <v>14</v>
      </c>
      <c r="G62" s="15" t="s">
        <v>15</v>
      </c>
      <c r="H62" s="12"/>
    </row>
    <row r="63" ht="15.6" customHeight="1" spans="1:8" x14ac:dyDescent="0.25">
      <c r="A63" s="33">
        <v>1</v>
      </c>
      <c r="B63" s="65">
        <v>49</v>
      </c>
      <c r="C63" s="65" t="s">
        <v>19</v>
      </c>
      <c r="D63" s="66">
        <v>1320</v>
      </c>
      <c r="E63" s="66">
        <f t="shared" ref="E63:E75" si="7">D63-F63</f>
        <v>2</v>
      </c>
      <c r="F63" s="67">
        <v>1318</v>
      </c>
      <c r="G63" s="68">
        <f t="shared" ref="G63:G75" si="8">F63/D63</f>
        <v>0.9984848484848485</v>
      </c>
      <c r="H63" s="69"/>
    </row>
    <row r="64" ht="15.6" customHeight="1" spans="1:8" x14ac:dyDescent="0.25">
      <c r="A64" s="33">
        <v>2</v>
      </c>
      <c r="B64" s="70">
        <v>42</v>
      </c>
      <c r="C64" s="66" t="s">
        <v>18</v>
      </c>
      <c r="D64" s="66">
        <v>367</v>
      </c>
      <c r="E64" s="66">
        <f t="shared" si="7"/>
        <v>2</v>
      </c>
      <c r="F64" s="71">
        <v>365</v>
      </c>
      <c r="G64" s="68">
        <f t="shared" si="8"/>
        <v>0.9945504087193461</v>
      </c>
      <c r="H64" s="69"/>
    </row>
    <row r="65" ht="15.6" customHeight="1" spans="1:8" x14ac:dyDescent="0.25">
      <c r="A65" s="33">
        <v>3</v>
      </c>
      <c r="B65" s="65">
        <v>52</v>
      </c>
      <c r="C65" s="65" t="s">
        <v>23</v>
      </c>
      <c r="D65" s="72">
        <v>575</v>
      </c>
      <c r="E65" s="66">
        <f t="shared" si="7"/>
        <v>5</v>
      </c>
      <c r="F65" s="73">
        <v>570</v>
      </c>
      <c r="G65" s="68">
        <f t="shared" si="8"/>
        <v>0.991304347826087</v>
      </c>
      <c r="H65" s="69"/>
    </row>
    <row r="66" ht="15.6" customHeight="1" spans="1:8" x14ac:dyDescent="0.25">
      <c r="A66" s="33">
        <v>4</v>
      </c>
      <c r="B66" s="66">
        <v>57</v>
      </c>
      <c r="C66" s="66" t="s">
        <v>25</v>
      </c>
      <c r="D66" s="66">
        <v>161</v>
      </c>
      <c r="E66" s="66">
        <f t="shared" si="7"/>
        <v>4</v>
      </c>
      <c r="F66" s="67">
        <v>157</v>
      </c>
      <c r="G66" s="68">
        <f t="shared" si="8"/>
        <v>0.9751552795031055</v>
      </c>
      <c r="H66" s="69"/>
    </row>
    <row r="67" ht="15.6" customHeight="1" spans="1:8" x14ac:dyDescent="0.25">
      <c r="A67" s="33">
        <v>5</v>
      </c>
      <c r="B67" s="66">
        <v>33</v>
      </c>
      <c r="C67" s="74" t="s">
        <v>22</v>
      </c>
      <c r="D67" s="75">
        <v>2584</v>
      </c>
      <c r="E67" s="66">
        <f t="shared" si="7"/>
        <v>0</v>
      </c>
      <c r="F67" s="71">
        <v>2584</v>
      </c>
      <c r="G67" s="68">
        <f t="shared" si="8"/>
        <v>1</v>
      </c>
      <c r="H67" s="69"/>
    </row>
    <row r="68" ht="15.6" customHeight="1" spans="1:8" x14ac:dyDescent="0.25">
      <c r="A68" s="33">
        <v>6</v>
      </c>
      <c r="B68" s="66">
        <v>25</v>
      </c>
      <c r="C68" s="66" t="s">
        <v>26</v>
      </c>
      <c r="D68" s="66">
        <v>4589</v>
      </c>
      <c r="E68" s="66">
        <f t="shared" si="7"/>
        <v>54</v>
      </c>
      <c r="F68" s="73">
        <v>4535</v>
      </c>
      <c r="G68" s="68">
        <f t="shared" si="8"/>
        <v>0.9882327304423622</v>
      </c>
      <c r="H68" s="69"/>
    </row>
    <row r="69" ht="15.6" customHeight="1" spans="1:8" x14ac:dyDescent="0.25">
      <c r="A69" s="33">
        <v>7</v>
      </c>
      <c r="B69" s="76">
        <v>11</v>
      </c>
      <c r="C69" s="77" t="s">
        <v>28</v>
      </c>
      <c r="D69" s="76">
        <v>100</v>
      </c>
      <c r="E69" s="66">
        <f t="shared" si="7"/>
        <v>5</v>
      </c>
      <c r="F69" s="67">
        <v>95</v>
      </c>
      <c r="G69" s="68">
        <f t="shared" si="8"/>
        <v>0.95</v>
      </c>
      <c r="H69" s="69"/>
    </row>
    <row r="70" ht="15.6" customHeight="1" spans="1:8" x14ac:dyDescent="0.25">
      <c r="A70" s="33">
        <v>8</v>
      </c>
      <c r="B70" s="65">
        <v>17</v>
      </c>
      <c r="C70" s="78" t="s">
        <v>24</v>
      </c>
      <c r="D70" s="75">
        <v>448</v>
      </c>
      <c r="E70" s="66">
        <f t="shared" si="7"/>
        <v>0</v>
      </c>
      <c r="F70" s="71">
        <v>448</v>
      </c>
      <c r="G70" s="68">
        <f t="shared" si="8"/>
        <v>1</v>
      </c>
      <c r="H70" s="69"/>
    </row>
    <row r="71" ht="15.6" customHeight="1" spans="1:8" x14ac:dyDescent="0.25">
      <c r="A71" s="33">
        <v>9</v>
      </c>
      <c r="B71" s="66">
        <v>39</v>
      </c>
      <c r="C71" s="66" t="s">
        <v>27</v>
      </c>
      <c r="D71" s="70">
        <v>520</v>
      </c>
      <c r="E71" s="66">
        <f t="shared" si="7"/>
        <v>19</v>
      </c>
      <c r="F71" s="73">
        <v>501</v>
      </c>
      <c r="G71" s="68">
        <f t="shared" si="8"/>
        <v>0.9634615384615385</v>
      </c>
      <c r="H71" s="69"/>
    </row>
    <row r="72" ht="15.6" customHeight="1" spans="1:8" x14ac:dyDescent="0.25">
      <c r="A72" s="33">
        <v>10</v>
      </c>
      <c r="B72" s="66">
        <v>36</v>
      </c>
      <c r="C72" s="74" t="s">
        <v>20</v>
      </c>
      <c r="D72" s="66">
        <v>235</v>
      </c>
      <c r="E72" s="66">
        <f t="shared" si="7"/>
        <v>1</v>
      </c>
      <c r="F72" s="67">
        <v>234</v>
      </c>
      <c r="G72" s="68">
        <f t="shared" si="8"/>
        <v>0.9957446808510638</v>
      </c>
      <c r="H72" s="69"/>
    </row>
    <row r="73" ht="15.6" customHeight="1" spans="1:8" x14ac:dyDescent="0.25">
      <c r="A73" s="33">
        <v>11</v>
      </c>
      <c r="B73" s="66">
        <v>26</v>
      </c>
      <c r="C73" s="74" t="s">
        <v>21</v>
      </c>
      <c r="D73" s="66">
        <v>132</v>
      </c>
      <c r="E73" s="66">
        <f t="shared" si="7"/>
        <v>0</v>
      </c>
      <c r="F73" s="71">
        <v>132</v>
      </c>
      <c r="G73" s="68">
        <f t="shared" si="8"/>
        <v>1</v>
      </c>
      <c r="H73" s="69"/>
    </row>
    <row r="74" ht="15.6" customHeight="1" spans="1:8" x14ac:dyDescent="0.25">
      <c r="A74" s="33">
        <v>12</v>
      </c>
      <c r="B74" s="66">
        <v>20</v>
      </c>
      <c r="C74" s="74" t="s">
        <v>16</v>
      </c>
      <c r="D74" s="74">
        <v>4</v>
      </c>
      <c r="E74" s="66">
        <f t="shared" si="7"/>
        <v>0</v>
      </c>
      <c r="F74" s="73">
        <v>4</v>
      </c>
      <c r="G74" s="68">
        <f t="shared" si="8"/>
        <v>1</v>
      </c>
      <c r="H74" s="69"/>
    </row>
    <row r="75" ht="15.6" customHeight="1" spans="1:8" x14ac:dyDescent="0.25">
      <c r="A75" s="33">
        <v>13</v>
      </c>
      <c r="B75" s="70">
        <v>7</v>
      </c>
      <c r="C75" s="66" t="s">
        <v>17</v>
      </c>
      <c r="D75" s="66">
        <v>32</v>
      </c>
      <c r="E75" s="66">
        <f t="shared" si="7"/>
        <v>2</v>
      </c>
      <c r="F75" s="67">
        <v>30</v>
      </c>
      <c r="G75" s="68">
        <f t="shared" si="8"/>
        <v>0.9375</v>
      </c>
      <c r="H75" s="69"/>
    </row>
    <row r="76" ht="15.6" customHeight="1" spans="1:8" x14ac:dyDescent="0.25">
      <c r="A76" s="33"/>
      <c r="B76" s="79">
        <f>SUM(B63:B75)</f>
        <v>414</v>
      </c>
      <c r="C76" s="80" t="s">
        <v>29</v>
      </c>
      <c r="D76" s="81">
        <f>SUM(D63:D75)</f>
        <v>11067</v>
      </c>
      <c r="E76" s="81">
        <f>SUM(E63:E75)</f>
        <v>94</v>
      </c>
      <c r="F76" s="81">
        <f>SUM(F63:F75)</f>
        <v>10973</v>
      </c>
      <c r="G76" s="82">
        <f>F76/D76</f>
        <v>0.9915062799313273</v>
      </c>
      <c r="H76" s="83"/>
    </row>
    <row r="77" ht="15.6" customHeight="1" spans="1:8" x14ac:dyDescent="0.25">
      <c r="A77" s="52"/>
      <c r="B77" s="52"/>
      <c r="C77" s="52"/>
      <c r="D77" s="84"/>
      <c r="E77" s="53"/>
      <c r="F77" s="53">
        <f>F76/D76</f>
        <v>0.9915062799313273</v>
      </c>
      <c r="G77" s="53"/>
      <c r="H77" s="44"/>
    </row>
    <row r="78" ht="17.4" customHeight="1" spans="1:14" x14ac:dyDescent="0.25">
      <c r="A78" s="85" t="s">
        <v>34</v>
      </c>
      <c r="B78" s="85"/>
      <c r="C78" s="85"/>
      <c r="D78" s="85"/>
      <c r="E78" s="85"/>
      <c r="F78" s="85"/>
      <c r="G78" s="85"/>
      <c r="H78" s="86"/>
      <c r="I78" s="87"/>
      <c r="J78" s="87"/>
      <c r="K78" s="87"/>
      <c r="L78" s="87"/>
      <c r="M78" s="87"/>
      <c r="N78" s="87"/>
    </row>
    <row r="79" ht="15" customHeight="1" spans="1:9" x14ac:dyDescent="0.25">
      <c r="A79" s="63" t="s">
        <v>2</v>
      </c>
      <c r="B79" s="64" t="s">
        <v>3</v>
      </c>
      <c r="C79" s="63" t="s">
        <v>4</v>
      </c>
      <c r="D79" s="8" t="s">
        <v>33</v>
      </c>
      <c r="E79" s="63" t="s">
        <v>6</v>
      </c>
      <c r="F79" s="63"/>
      <c r="G79" s="63"/>
      <c r="H79" s="88"/>
      <c r="I79" s="89"/>
    </row>
    <row r="80" ht="27" customHeight="1" spans="1:8" x14ac:dyDescent="0.25">
      <c r="A80" s="63"/>
      <c r="B80" s="64"/>
      <c r="C80" s="63"/>
      <c r="D80" s="8"/>
      <c r="E80" s="63" t="s">
        <v>7</v>
      </c>
      <c r="F80" s="63" t="s">
        <v>8</v>
      </c>
      <c r="G80" s="64" t="s">
        <v>9</v>
      </c>
      <c r="H80" s="61"/>
    </row>
    <row r="81" spans="1:8" x14ac:dyDescent="0.25">
      <c r="A81" s="63"/>
      <c r="B81" s="63" t="s">
        <v>10</v>
      </c>
      <c r="C81" s="63" t="s">
        <v>11</v>
      </c>
      <c r="D81" s="64" t="s">
        <v>12</v>
      </c>
      <c r="E81" s="63" t="s">
        <v>14</v>
      </c>
      <c r="F81" s="63" t="s">
        <v>15</v>
      </c>
      <c r="G81" s="63"/>
      <c r="H81" s="88"/>
    </row>
    <row r="82" spans="1:8" x14ac:dyDescent="0.25">
      <c r="A82" s="90">
        <v>1</v>
      </c>
      <c r="B82" s="65">
        <v>49</v>
      </c>
      <c r="C82" s="65" t="s">
        <v>19</v>
      </c>
      <c r="D82" s="66">
        <v>1058</v>
      </c>
      <c r="E82" s="66">
        <f>D82-F82</f>
        <v>4</v>
      </c>
      <c r="F82" s="67">
        <v>1054</v>
      </c>
      <c r="G82" s="91">
        <f t="shared" ref="G82:G94" si="9">F82/D82</f>
        <v>0.996219281663516</v>
      </c>
      <c r="H82" s="92"/>
    </row>
    <row r="83" spans="1:8" x14ac:dyDescent="0.25">
      <c r="A83" s="90">
        <v>2</v>
      </c>
      <c r="B83" s="70">
        <v>42</v>
      </c>
      <c r="C83" s="66" t="s">
        <v>18</v>
      </c>
      <c r="D83" s="66">
        <v>156</v>
      </c>
      <c r="E83" s="66">
        <f>D83-F83</f>
        <v>0</v>
      </c>
      <c r="F83" s="93">
        <v>156</v>
      </c>
      <c r="G83" s="91">
        <f t="shared" si="9"/>
        <v>1</v>
      </c>
      <c r="H83" s="92"/>
    </row>
    <row r="84" spans="1:8" x14ac:dyDescent="0.25">
      <c r="A84" s="90">
        <v>3</v>
      </c>
      <c r="B84" s="65">
        <v>52</v>
      </c>
      <c r="C84" s="65" t="s">
        <v>23</v>
      </c>
      <c r="D84" s="65">
        <v>564</v>
      </c>
      <c r="E84" s="66">
        <f>D84-F84</f>
        <v>6</v>
      </c>
      <c r="F84" s="67">
        <v>558</v>
      </c>
      <c r="G84" s="91">
        <f t="shared" si="9"/>
        <v>0.9893617021276596</v>
      </c>
      <c r="H84" s="92"/>
    </row>
    <row r="85" spans="1:8" x14ac:dyDescent="0.25">
      <c r="A85" s="90">
        <v>4</v>
      </c>
      <c r="B85" s="66">
        <v>57</v>
      </c>
      <c r="C85" s="66" t="s">
        <v>25</v>
      </c>
      <c r="D85" s="66">
        <v>117</v>
      </c>
      <c r="E85" s="66">
        <f t="shared" ref="E85:E94" si="10">D85-F85</f>
        <v>3</v>
      </c>
      <c r="F85" s="67">
        <v>114</v>
      </c>
      <c r="G85" s="91">
        <f t="shared" si="9"/>
        <v>0.9743589743589743</v>
      </c>
      <c r="H85" s="92"/>
    </row>
    <row r="86" spans="1:8" x14ac:dyDescent="0.25">
      <c r="A86" s="90">
        <v>5</v>
      </c>
      <c r="B86" s="66">
        <v>33</v>
      </c>
      <c r="C86" s="74" t="s">
        <v>22</v>
      </c>
      <c r="D86" s="75">
        <v>235</v>
      </c>
      <c r="E86" s="66">
        <f t="shared" si="10"/>
        <v>0</v>
      </c>
      <c r="F86" s="93">
        <v>235</v>
      </c>
      <c r="G86" s="91">
        <f t="shared" si="9"/>
        <v>1</v>
      </c>
      <c r="H86" s="92"/>
    </row>
    <row r="87" spans="1:8" x14ac:dyDescent="0.25">
      <c r="A87" s="90">
        <v>6</v>
      </c>
      <c r="B87" s="66">
        <v>25</v>
      </c>
      <c r="C87" s="66" t="s">
        <v>26</v>
      </c>
      <c r="D87" s="66">
        <v>3650</v>
      </c>
      <c r="E87" s="66">
        <f t="shared" si="10"/>
        <v>16</v>
      </c>
      <c r="F87" s="67">
        <v>3634</v>
      </c>
      <c r="G87" s="91">
        <f t="shared" si="9"/>
        <v>0.9956164383561644</v>
      </c>
      <c r="H87" s="92"/>
    </row>
    <row r="88" spans="1:8" x14ac:dyDescent="0.25">
      <c r="A88" s="90">
        <v>7</v>
      </c>
      <c r="B88" s="76">
        <v>11</v>
      </c>
      <c r="C88" s="77" t="s">
        <v>28</v>
      </c>
      <c r="D88" s="76">
        <v>100</v>
      </c>
      <c r="E88" s="66">
        <f t="shared" si="10"/>
        <v>4</v>
      </c>
      <c r="F88" s="67">
        <v>96</v>
      </c>
      <c r="G88" s="91">
        <f t="shared" si="9"/>
        <v>0.96</v>
      </c>
      <c r="H88" s="92"/>
    </row>
    <row r="89" spans="1:8" x14ac:dyDescent="0.25">
      <c r="A89" s="90">
        <v>8</v>
      </c>
      <c r="B89" s="65">
        <v>17</v>
      </c>
      <c r="C89" s="78" t="s">
        <v>24</v>
      </c>
      <c r="D89" s="75">
        <v>48</v>
      </c>
      <c r="E89" s="66">
        <f t="shared" si="10"/>
        <v>0</v>
      </c>
      <c r="F89" s="93">
        <v>48</v>
      </c>
      <c r="G89" s="91">
        <f t="shared" si="9"/>
        <v>1</v>
      </c>
      <c r="H89" s="92"/>
    </row>
    <row r="90" spans="1:8" x14ac:dyDescent="0.25">
      <c r="A90" s="90">
        <v>9</v>
      </c>
      <c r="B90" s="66">
        <v>39</v>
      </c>
      <c r="C90" s="66" t="s">
        <v>27</v>
      </c>
      <c r="D90" s="70">
        <v>625</v>
      </c>
      <c r="E90" s="66">
        <f t="shared" si="10"/>
        <v>29</v>
      </c>
      <c r="F90" s="67">
        <v>596</v>
      </c>
      <c r="G90" s="91">
        <f t="shared" si="9"/>
        <v>0.9536</v>
      </c>
      <c r="H90" s="92"/>
    </row>
    <row r="91" spans="1:8" x14ac:dyDescent="0.25">
      <c r="A91" s="90">
        <v>10</v>
      </c>
      <c r="B91" s="66">
        <v>36</v>
      </c>
      <c r="C91" s="74" t="s">
        <v>20</v>
      </c>
      <c r="D91" s="66">
        <v>362</v>
      </c>
      <c r="E91" s="66">
        <f t="shared" si="10"/>
        <v>3</v>
      </c>
      <c r="F91" s="67">
        <v>359</v>
      </c>
      <c r="G91" s="91">
        <f>F91/D91</f>
        <v>0.9917127071823204</v>
      </c>
      <c r="H91" s="92"/>
    </row>
    <row r="92" spans="1:8" x14ac:dyDescent="0.25">
      <c r="A92" s="90">
        <v>11</v>
      </c>
      <c r="B92" s="66">
        <v>26</v>
      </c>
      <c r="C92" s="74" t="s">
        <v>35</v>
      </c>
      <c r="D92" s="66">
        <v>1057</v>
      </c>
      <c r="E92" s="66">
        <f t="shared" si="10"/>
        <v>27</v>
      </c>
      <c r="F92" s="93">
        <v>1030</v>
      </c>
      <c r="G92" s="91">
        <f t="shared" si="9"/>
        <v>0.9744560075685903</v>
      </c>
      <c r="H92" s="92"/>
    </row>
    <row r="93" spans="1:8" x14ac:dyDescent="0.25">
      <c r="A93" s="90">
        <v>12</v>
      </c>
      <c r="B93" s="66">
        <v>20</v>
      </c>
      <c r="C93" s="74" t="s">
        <v>16</v>
      </c>
      <c r="D93" s="74">
        <v>12</v>
      </c>
      <c r="E93" s="66">
        <f t="shared" si="10"/>
        <v>0</v>
      </c>
      <c r="F93" s="67">
        <v>12</v>
      </c>
      <c r="G93" s="91">
        <f t="shared" si="9"/>
        <v>1</v>
      </c>
      <c r="H93" s="92"/>
    </row>
    <row r="94" spans="1:8" x14ac:dyDescent="0.25">
      <c r="A94" s="90">
        <v>13</v>
      </c>
      <c r="B94" s="70">
        <v>7</v>
      </c>
      <c r="C94" s="66" t="s">
        <v>17</v>
      </c>
      <c r="D94" s="66">
        <v>40</v>
      </c>
      <c r="E94" s="66">
        <f t="shared" si="10"/>
        <v>1</v>
      </c>
      <c r="F94" s="67">
        <v>39</v>
      </c>
      <c r="G94" s="91">
        <f t="shared" si="9"/>
        <v>0.975</v>
      </c>
      <c r="H94" s="92"/>
    </row>
    <row r="95" spans="1:14" x14ac:dyDescent="0.25">
      <c r="A95" s="94"/>
      <c r="B95" s="79">
        <f>SUM(B82:B94)</f>
        <v>414</v>
      </c>
      <c r="C95" s="80" t="s">
        <v>29</v>
      </c>
      <c r="D95" s="81">
        <f>SUM(D82:D94)</f>
        <v>8024</v>
      </c>
      <c r="E95" s="81">
        <f>SUM(E82:E94)</f>
        <v>93</v>
      </c>
      <c r="F95" s="81">
        <f>SUM(F82:F94)</f>
        <v>7931</v>
      </c>
      <c r="G95" s="82">
        <f>F95/D95</f>
        <v>0.9884097706879362</v>
      </c>
      <c r="H95" s="83"/>
      <c r="J95" s="83"/>
      <c r="K95" s="83"/>
      <c r="L95" s="83"/>
      <c r="M95" s="83"/>
      <c r="N95" s="83"/>
    </row>
    <row r="96" spans="1:14" x14ac:dyDescent="0.25">
      <c r="A96" s="94"/>
      <c r="B96" s="94"/>
      <c r="C96" s="94"/>
      <c r="D96" s="94"/>
      <c r="E96" s="94"/>
      <c r="F96" s="91">
        <f>F95/D95</f>
        <v>0.9884097706879362</v>
      </c>
      <c r="G96" s="91"/>
      <c r="H96" s="92"/>
      <c r="J96" s="95"/>
      <c r="K96" s="95"/>
      <c r="L96" s="95"/>
      <c r="M96" s="95"/>
      <c r="N96" s="95"/>
    </row>
    <row r="97" ht="17.4" customHeight="1" spans="1:14" x14ac:dyDescent="0.25">
      <c r="A97" s="96" t="s">
        <v>36</v>
      </c>
      <c r="B97" s="96"/>
      <c r="C97" s="96"/>
      <c r="D97" s="96"/>
      <c r="E97" s="96"/>
      <c r="F97" s="96"/>
      <c r="G97" s="96"/>
      <c r="H97" s="97"/>
      <c r="I97" s="98"/>
      <c r="J97" s="98"/>
      <c r="K97" s="98"/>
      <c r="L97" s="98"/>
      <c r="M97" s="98"/>
      <c r="N97" s="98"/>
    </row>
    <row r="98" ht="15" customHeight="1" spans="1:14" x14ac:dyDescent="0.25">
      <c r="A98" s="99" t="s">
        <v>2</v>
      </c>
      <c r="B98" s="100" t="s">
        <v>3</v>
      </c>
      <c r="C98" s="99" t="s">
        <v>4</v>
      </c>
      <c r="D98" s="101" t="s">
        <v>33</v>
      </c>
      <c r="E98" s="102" t="s">
        <v>6</v>
      </c>
      <c r="F98" s="103"/>
      <c r="G98" s="104"/>
      <c r="H98" s="105"/>
      <c r="I98" s="106"/>
      <c r="J98" s="1"/>
      <c r="K98" s="1"/>
      <c r="L98" s="1"/>
      <c r="M98" s="1"/>
      <c r="N98" s="1"/>
    </row>
    <row r="99" ht="27" customHeight="1" spans="1:14" x14ac:dyDescent="0.25">
      <c r="A99" s="99"/>
      <c r="B99" s="100"/>
      <c r="C99" s="99"/>
      <c r="D99" s="107"/>
      <c r="E99" s="99" t="s">
        <v>7</v>
      </c>
      <c r="F99" s="99" t="s">
        <v>8</v>
      </c>
      <c r="G99" s="100" t="s">
        <v>9</v>
      </c>
      <c r="H99" s="108"/>
      <c r="I99" s="106"/>
      <c r="J99" s="1"/>
      <c r="K99" s="1"/>
      <c r="L99" s="1"/>
      <c r="M99" s="1"/>
      <c r="N99" s="1"/>
    </row>
    <row r="100" spans="1:14" x14ac:dyDescent="0.25">
      <c r="A100" s="99"/>
      <c r="B100" s="99" t="s">
        <v>10</v>
      </c>
      <c r="C100" s="99" t="s">
        <v>11</v>
      </c>
      <c r="D100" s="100" t="s">
        <v>12</v>
      </c>
      <c r="E100" s="99" t="s">
        <v>14</v>
      </c>
      <c r="F100" s="99" t="s">
        <v>15</v>
      </c>
      <c r="G100" s="99"/>
      <c r="H100" s="105"/>
      <c r="I100" s="106"/>
      <c r="J100" s="1"/>
      <c r="K100" s="1"/>
      <c r="L100" s="1"/>
      <c r="M100" s="1"/>
      <c r="N100" s="1"/>
    </row>
    <row r="101" spans="1:14" x14ac:dyDescent="0.25">
      <c r="A101" s="90">
        <v>1</v>
      </c>
      <c r="B101" s="65">
        <v>49</v>
      </c>
      <c r="C101" s="65" t="s">
        <v>19</v>
      </c>
      <c r="D101" s="66">
        <v>458</v>
      </c>
      <c r="E101" s="66">
        <f>D101-F101</f>
        <v>2</v>
      </c>
      <c r="F101" s="67">
        <v>456</v>
      </c>
      <c r="G101" s="91">
        <f>F101/D101</f>
        <v>0.9956331877729258</v>
      </c>
      <c r="H101" s="109"/>
      <c r="I101" s="106"/>
      <c r="J101" s="1"/>
      <c r="K101" s="1"/>
      <c r="L101" s="1"/>
      <c r="M101" s="1"/>
      <c r="N101" s="1"/>
    </row>
    <row r="102" spans="1:9" x14ac:dyDescent="0.25">
      <c r="A102" s="90">
        <v>2</v>
      </c>
      <c r="B102" s="70">
        <v>42</v>
      </c>
      <c r="C102" s="66" t="s">
        <v>18</v>
      </c>
      <c r="D102" s="66">
        <v>126</v>
      </c>
      <c r="E102" s="66">
        <f t="shared" ref="E102:E113" si="11">D102-F102</f>
        <v>1</v>
      </c>
      <c r="F102" s="67">
        <v>125</v>
      </c>
      <c r="G102" s="91">
        <f t="shared" ref="G102:G113" si="12">F102/D102</f>
        <v>0.9920634920634921</v>
      </c>
      <c r="H102" s="109"/>
      <c r="I102" s="106"/>
    </row>
    <row r="103" spans="1:9" x14ac:dyDescent="0.25">
      <c r="A103" s="90">
        <v>3</v>
      </c>
      <c r="B103" s="65">
        <v>52</v>
      </c>
      <c r="C103" s="65" t="s">
        <v>23</v>
      </c>
      <c r="D103" s="65">
        <v>534</v>
      </c>
      <c r="E103" s="66">
        <f t="shared" si="11"/>
        <v>2</v>
      </c>
      <c r="F103" s="67">
        <v>532</v>
      </c>
      <c r="G103" s="91">
        <f t="shared" si="12"/>
        <v>0.9962546816479401</v>
      </c>
      <c r="H103" s="109"/>
      <c r="I103" s="106"/>
    </row>
    <row r="104" spans="1:9" x14ac:dyDescent="0.25">
      <c r="A104" s="90">
        <v>4</v>
      </c>
      <c r="B104" s="66">
        <v>57</v>
      </c>
      <c r="C104" s="66" t="s">
        <v>25</v>
      </c>
      <c r="D104" s="66">
        <v>71</v>
      </c>
      <c r="E104" s="66">
        <f t="shared" si="11"/>
        <v>2</v>
      </c>
      <c r="F104" s="67">
        <v>69</v>
      </c>
      <c r="G104" s="91">
        <f t="shared" si="12"/>
        <v>0.971830985915493</v>
      </c>
      <c r="H104" s="109"/>
      <c r="I104" s="106"/>
    </row>
    <row r="105" spans="1:9" x14ac:dyDescent="0.25">
      <c r="A105" s="90">
        <v>5</v>
      </c>
      <c r="B105" s="66">
        <v>33</v>
      </c>
      <c r="C105" s="74" t="s">
        <v>22</v>
      </c>
      <c r="D105" s="75">
        <v>126</v>
      </c>
      <c r="E105" s="66">
        <f t="shared" si="11"/>
        <v>0</v>
      </c>
      <c r="F105" s="67">
        <v>126</v>
      </c>
      <c r="G105" s="91">
        <f t="shared" si="12"/>
        <v>1</v>
      </c>
      <c r="H105" s="109"/>
      <c r="I105" s="106"/>
    </row>
    <row r="106" spans="1:9" x14ac:dyDescent="0.25">
      <c r="A106" s="90">
        <v>6</v>
      </c>
      <c r="B106" s="66">
        <v>25</v>
      </c>
      <c r="C106" s="66" t="s">
        <v>26</v>
      </c>
      <c r="D106" s="66">
        <v>811</v>
      </c>
      <c r="E106" s="66">
        <f t="shared" si="11"/>
        <v>27</v>
      </c>
      <c r="F106" s="67">
        <v>784</v>
      </c>
      <c r="G106" s="91">
        <f t="shared" si="12"/>
        <v>0.966707768187423</v>
      </c>
      <c r="H106" s="109"/>
      <c r="I106" s="106"/>
    </row>
    <row r="107" spans="1:9" x14ac:dyDescent="0.25">
      <c r="A107" s="90">
        <v>7</v>
      </c>
      <c r="B107" s="76">
        <v>11</v>
      </c>
      <c r="C107" s="77" t="s">
        <v>28</v>
      </c>
      <c r="D107" s="76">
        <v>44</v>
      </c>
      <c r="E107" s="66">
        <f t="shared" si="11"/>
        <v>13</v>
      </c>
      <c r="F107" s="67">
        <v>31</v>
      </c>
      <c r="G107" s="91">
        <f t="shared" si="12"/>
        <v>0.7045454545454546</v>
      </c>
      <c r="H107" s="109"/>
      <c r="I107" s="106"/>
    </row>
    <row r="108" spans="1:9" x14ac:dyDescent="0.25">
      <c r="A108" s="90">
        <v>8</v>
      </c>
      <c r="B108" s="65">
        <v>17</v>
      </c>
      <c r="C108" s="78" t="s">
        <v>24</v>
      </c>
      <c r="D108" s="75">
        <v>163</v>
      </c>
      <c r="E108" s="66">
        <f t="shared" si="11"/>
        <v>4</v>
      </c>
      <c r="F108" s="67">
        <v>159</v>
      </c>
      <c r="G108" s="91">
        <f t="shared" si="12"/>
        <v>0.9754601226993865</v>
      </c>
      <c r="H108" s="109"/>
      <c r="I108" s="106"/>
    </row>
    <row r="109" spans="1:9" x14ac:dyDescent="0.25">
      <c r="A109" s="90">
        <v>9</v>
      </c>
      <c r="B109" s="66">
        <v>39</v>
      </c>
      <c r="C109" s="66" t="s">
        <v>27</v>
      </c>
      <c r="D109" s="70">
        <v>494</v>
      </c>
      <c r="E109" s="66">
        <f t="shared" si="11"/>
        <v>100</v>
      </c>
      <c r="F109" s="67">
        <v>394</v>
      </c>
      <c r="G109" s="91">
        <f t="shared" si="12"/>
        <v>0.7975708502024291</v>
      </c>
      <c r="H109" s="109"/>
      <c r="I109" s="106"/>
    </row>
    <row r="110" spans="1:9" x14ac:dyDescent="0.25">
      <c r="A110" s="90">
        <v>10</v>
      </c>
      <c r="B110" s="66">
        <v>36</v>
      </c>
      <c r="C110" s="74" t="s">
        <v>20</v>
      </c>
      <c r="D110" s="66">
        <v>4778</v>
      </c>
      <c r="E110" s="66">
        <f t="shared" si="11"/>
        <v>3</v>
      </c>
      <c r="F110" s="67">
        <v>4775</v>
      </c>
      <c r="G110" s="91">
        <f t="shared" si="12"/>
        <v>0.9993721222268732</v>
      </c>
      <c r="H110" s="109"/>
      <c r="I110" s="106"/>
    </row>
    <row r="111" spans="1:9" x14ac:dyDescent="0.25">
      <c r="A111" s="90">
        <v>11</v>
      </c>
      <c r="B111" s="66">
        <v>26</v>
      </c>
      <c r="C111" s="74" t="s">
        <v>35</v>
      </c>
      <c r="D111" s="66">
        <v>161</v>
      </c>
      <c r="E111" s="66">
        <f t="shared" si="11"/>
        <v>3</v>
      </c>
      <c r="F111" s="67">
        <v>158</v>
      </c>
      <c r="G111" s="91">
        <f t="shared" si="12"/>
        <v>0.9813664596273292</v>
      </c>
      <c r="H111" s="109"/>
      <c r="I111" s="106"/>
    </row>
    <row r="112" spans="1:9" x14ac:dyDescent="0.25">
      <c r="A112" s="90">
        <v>12</v>
      </c>
      <c r="B112" s="66">
        <v>20</v>
      </c>
      <c r="C112" s="74" t="s">
        <v>16</v>
      </c>
      <c r="D112" s="74">
        <v>11</v>
      </c>
      <c r="E112" s="66">
        <f t="shared" si="11"/>
        <v>0</v>
      </c>
      <c r="F112" s="67">
        <v>11</v>
      </c>
      <c r="G112" s="91">
        <f t="shared" si="12"/>
        <v>1</v>
      </c>
      <c r="H112" s="109"/>
      <c r="I112" s="106"/>
    </row>
    <row r="113" spans="1:9" x14ac:dyDescent="0.25">
      <c r="A113" s="90">
        <v>13</v>
      </c>
      <c r="B113" s="70">
        <v>7</v>
      </c>
      <c r="C113" s="66" t="s">
        <v>17</v>
      </c>
      <c r="D113" s="66">
        <v>14</v>
      </c>
      <c r="E113" s="66">
        <f t="shared" si="11"/>
        <v>0</v>
      </c>
      <c r="F113" s="67">
        <v>14</v>
      </c>
      <c r="G113" s="91">
        <f t="shared" si="12"/>
        <v>1</v>
      </c>
      <c r="H113" s="109"/>
      <c r="I113" s="106"/>
    </row>
    <row r="114" spans="1:9" x14ac:dyDescent="0.25">
      <c r="A114" s="94"/>
      <c r="B114" s="79">
        <f>SUM(B101:B113)</f>
        <v>414</v>
      </c>
      <c r="C114" s="80" t="s">
        <v>29</v>
      </c>
      <c r="D114" s="81">
        <f>SUM(D101:D113)</f>
        <v>7791</v>
      </c>
      <c r="E114" s="81">
        <f>SUM(E101:E113)</f>
        <v>157</v>
      </c>
      <c r="F114" s="81">
        <f>SUM(F101:F113)</f>
        <v>7634</v>
      </c>
      <c r="G114" s="91">
        <f>F114/D114</f>
        <v>0.9798485431908612</v>
      </c>
      <c r="H114" s="109"/>
      <c r="I114" s="106"/>
    </row>
    <row r="115" spans="1:9" x14ac:dyDescent="0.25">
      <c r="A115" s="94"/>
      <c r="B115" s="94"/>
      <c r="C115" s="94"/>
      <c r="D115" s="94"/>
      <c r="E115" s="94"/>
      <c r="F115" s="91">
        <f>F114/D114</f>
        <v>0.9798485431908612</v>
      </c>
      <c r="G115" s="94"/>
      <c r="H115" s="110"/>
      <c r="I115" s="106"/>
    </row>
    <row r="116" ht="17.4" customHeight="1" spans="1:15" x14ac:dyDescent="0.25">
      <c r="A116" s="96" t="s">
        <v>37</v>
      </c>
      <c r="B116" s="96"/>
      <c r="C116" s="96"/>
      <c r="D116" s="96"/>
      <c r="E116" s="96"/>
      <c r="F116" s="96"/>
      <c r="G116" s="96"/>
      <c r="H116" s="111"/>
      <c r="I116" s="112"/>
      <c r="J116" s="98"/>
      <c r="K116" s="98"/>
      <c r="L116" s="98"/>
      <c r="M116" s="98"/>
      <c r="N116" s="98"/>
      <c r="O116" s="1"/>
    </row>
    <row r="117" ht="15" customHeight="1" spans="1:9" x14ac:dyDescent="0.25">
      <c r="A117" s="99" t="s">
        <v>2</v>
      </c>
      <c r="B117" s="100" t="s">
        <v>3</v>
      </c>
      <c r="C117" s="99" t="s">
        <v>4</v>
      </c>
      <c r="D117" s="101" t="s">
        <v>33</v>
      </c>
      <c r="E117" s="99" t="s">
        <v>6</v>
      </c>
      <c r="F117" s="99"/>
      <c r="G117" s="99"/>
      <c r="H117" s="105"/>
      <c r="I117" s="113"/>
    </row>
    <row r="118" ht="27" customHeight="1" spans="1:9" x14ac:dyDescent="0.25">
      <c r="A118" s="99"/>
      <c r="B118" s="100"/>
      <c r="C118" s="99"/>
      <c r="D118" s="107"/>
      <c r="E118" s="99" t="s">
        <v>7</v>
      </c>
      <c r="F118" s="99" t="s">
        <v>8</v>
      </c>
      <c r="G118" s="100" t="s">
        <v>9</v>
      </c>
      <c r="H118" s="108"/>
      <c r="I118" s="113"/>
    </row>
    <row r="119" spans="1:9" x14ac:dyDescent="0.25">
      <c r="A119" s="99"/>
      <c r="B119" s="99" t="s">
        <v>10</v>
      </c>
      <c r="C119" s="99" t="s">
        <v>11</v>
      </c>
      <c r="D119" s="100" t="s">
        <v>12</v>
      </c>
      <c r="E119" s="99" t="s">
        <v>14</v>
      </c>
      <c r="F119" s="99" t="s">
        <v>15</v>
      </c>
      <c r="G119" s="99"/>
      <c r="H119" s="105"/>
      <c r="I119" s="108"/>
    </row>
    <row r="120" spans="1:9" x14ac:dyDescent="0.25">
      <c r="A120" s="114">
        <v>1</v>
      </c>
      <c r="B120" s="115">
        <v>49</v>
      </c>
      <c r="C120" s="115" t="s">
        <v>19</v>
      </c>
      <c r="D120" s="116">
        <v>446</v>
      </c>
      <c r="E120" s="116">
        <f>D120-F120</f>
        <v>1</v>
      </c>
      <c r="F120" s="117">
        <v>445</v>
      </c>
      <c r="G120" s="118">
        <f t="shared" ref="G120:G130" si="13">F120/D120</f>
        <v>0.9977578475336323</v>
      </c>
      <c r="H120" s="109"/>
      <c r="I120" s="119"/>
    </row>
    <row r="121" spans="1:9" x14ac:dyDescent="0.25">
      <c r="A121" s="114">
        <v>2</v>
      </c>
      <c r="B121" s="120">
        <v>42</v>
      </c>
      <c r="C121" s="116" t="s">
        <v>18</v>
      </c>
      <c r="D121" s="116">
        <v>337</v>
      </c>
      <c r="E121" s="116">
        <f>D121-F121</f>
        <v>5</v>
      </c>
      <c r="F121" s="117">
        <v>332</v>
      </c>
      <c r="G121" s="118">
        <f t="shared" si="13"/>
        <v>0.9851632047477745</v>
      </c>
      <c r="H121" s="109"/>
      <c r="I121" s="119"/>
    </row>
    <row r="122" spans="1:9" x14ac:dyDescent="0.25">
      <c r="A122" s="114">
        <v>3</v>
      </c>
      <c r="B122" s="115">
        <v>52</v>
      </c>
      <c r="C122" s="115" t="s">
        <v>23</v>
      </c>
      <c r="D122" s="115">
        <v>1393</v>
      </c>
      <c r="E122" s="116">
        <f t="shared" ref="E122:E132" si="14">D122-F122</f>
        <v>2</v>
      </c>
      <c r="F122" s="117">
        <v>1391</v>
      </c>
      <c r="G122" s="118">
        <f t="shared" si="13"/>
        <v>0.9985642498205313</v>
      </c>
      <c r="H122" s="109"/>
      <c r="I122" s="119"/>
    </row>
    <row r="123" spans="1:9" x14ac:dyDescent="0.25">
      <c r="A123" s="114">
        <v>4</v>
      </c>
      <c r="B123" s="116">
        <v>57</v>
      </c>
      <c r="C123" s="116" t="s">
        <v>25</v>
      </c>
      <c r="D123" s="116">
        <v>75</v>
      </c>
      <c r="E123" s="116">
        <f t="shared" si="14"/>
        <v>0</v>
      </c>
      <c r="F123" s="117">
        <v>75</v>
      </c>
      <c r="G123" s="118">
        <f t="shared" si="13"/>
        <v>1</v>
      </c>
      <c r="H123" s="109"/>
      <c r="I123" s="119"/>
    </row>
    <row r="124" spans="1:9" x14ac:dyDescent="0.25">
      <c r="A124" s="114">
        <v>5</v>
      </c>
      <c r="B124" s="116">
        <v>33</v>
      </c>
      <c r="C124" s="121" t="s">
        <v>22</v>
      </c>
      <c r="D124" s="116">
        <v>1497</v>
      </c>
      <c r="E124" s="116">
        <f t="shared" si="14"/>
        <v>0</v>
      </c>
      <c r="F124" s="117">
        <v>1497</v>
      </c>
      <c r="G124" s="118">
        <f t="shared" si="13"/>
        <v>1</v>
      </c>
      <c r="H124" s="109"/>
      <c r="I124" s="119"/>
    </row>
    <row r="125" spans="1:9" x14ac:dyDescent="0.25">
      <c r="A125" s="114">
        <v>6</v>
      </c>
      <c r="B125" s="116">
        <v>25</v>
      </c>
      <c r="C125" s="116" t="s">
        <v>26</v>
      </c>
      <c r="D125" s="115">
        <v>1334</v>
      </c>
      <c r="E125" s="116">
        <f t="shared" si="14"/>
        <v>30</v>
      </c>
      <c r="F125" s="117">
        <v>1304</v>
      </c>
      <c r="G125" s="118">
        <f t="shared" si="13"/>
        <v>0.9775112443778111</v>
      </c>
      <c r="H125" s="109"/>
      <c r="I125" s="119"/>
    </row>
    <row r="126" spans="1:9" x14ac:dyDescent="0.25">
      <c r="A126" s="114">
        <v>7</v>
      </c>
      <c r="B126" s="122">
        <v>11</v>
      </c>
      <c r="C126" s="123" t="s">
        <v>28</v>
      </c>
      <c r="D126" s="116">
        <v>54</v>
      </c>
      <c r="E126" s="116">
        <f t="shared" si="14"/>
        <v>14</v>
      </c>
      <c r="F126" s="117">
        <v>40</v>
      </c>
      <c r="G126" s="118">
        <f t="shared" si="13"/>
        <v>0.7407407407407407</v>
      </c>
      <c r="H126" s="109"/>
      <c r="I126" s="119"/>
    </row>
    <row r="127" spans="1:9" x14ac:dyDescent="0.25">
      <c r="A127" s="114">
        <v>8</v>
      </c>
      <c r="B127" s="115">
        <v>17</v>
      </c>
      <c r="C127" s="124" t="s">
        <v>24</v>
      </c>
      <c r="D127" s="116">
        <v>24</v>
      </c>
      <c r="E127" s="116">
        <f t="shared" si="14"/>
        <v>0</v>
      </c>
      <c r="F127" s="117">
        <v>24</v>
      </c>
      <c r="G127" s="118">
        <f t="shared" si="13"/>
        <v>1</v>
      </c>
      <c r="H127" s="109"/>
      <c r="I127" s="119"/>
    </row>
    <row r="128" spans="1:9" x14ac:dyDescent="0.25">
      <c r="A128" s="114">
        <v>9</v>
      </c>
      <c r="B128" s="116">
        <v>39</v>
      </c>
      <c r="C128" s="116" t="s">
        <v>27</v>
      </c>
      <c r="D128" s="115">
        <v>6573</v>
      </c>
      <c r="E128" s="116">
        <f t="shared" si="14"/>
        <v>280</v>
      </c>
      <c r="F128" s="117">
        <v>6293</v>
      </c>
      <c r="G128" s="118">
        <f t="shared" si="13"/>
        <v>0.9574014909478168</v>
      </c>
      <c r="H128" s="109"/>
      <c r="I128" s="119"/>
    </row>
    <row r="129" spans="1:9" x14ac:dyDescent="0.25">
      <c r="A129" s="114">
        <v>10</v>
      </c>
      <c r="B129" s="116">
        <v>36</v>
      </c>
      <c r="C129" s="121" t="s">
        <v>20</v>
      </c>
      <c r="D129" s="116">
        <v>669</v>
      </c>
      <c r="E129" s="116">
        <f t="shared" si="14"/>
        <v>3</v>
      </c>
      <c r="F129" s="117">
        <v>666</v>
      </c>
      <c r="G129" s="118">
        <f t="shared" si="13"/>
        <v>0.9955156950672646</v>
      </c>
      <c r="H129" s="109"/>
      <c r="I129" s="119"/>
    </row>
    <row r="130" spans="1:9" x14ac:dyDescent="0.25">
      <c r="A130" s="114">
        <v>11</v>
      </c>
      <c r="B130" s="116">
        <v>26</v>
      </c>
      <c r="C130" s="121" t="s">
        <v>21</v>
      </c>
      <c r="D130" s="116">
        <v>485</v>
      </c>
      <c r="E130" s="116">
        <f t="shared" si="14"/>
        <v>0</v>
      </c>
      <c r="F130" s="117">
        <v>485</v>
      </c>
      <c r="G130" s="118">
        <f t="shared" si="13"/>
        <v>1</v>
      </c>
      <c r="H130" s="109"/>
      <c r="I130" s="119"/>
    </row>
    <row r="131" spans="1:9" x14ac:dyDescent="0.25">
      <c r="A131" s="114">
        <v>12</v>
      </c>
      <c r="B131" s="116">
        <v>20</v>
      </c>
      <c r="C131" s="121" t="s">
        <v>16</v>
      </c>
      <c r="D131" s="115">
        <v>0</v>
      </c>
      <c r="E131" s="116">
        <f t="shared" si="14"/>
        <v>0</v>
      </c>
      <c r="F131" s="117"/>
      <c r="G131" s="118"/>
      <c r="H131" s="109"/>
      <c r="I131" s="119"/>
    </row>
    <row r="132" spans="1:9" x14ac:dyDescent="0.25">
      <c r="A132" s="114">
        <v>13</v>
      </c>
      <c r="B132" s="120">
        <v>7</v>
      </c>
      <c r="C132" s="116" t="s">
        <v>17</v>
      </c>
      <c r="D132" s="116">
        <v>93</v>
      </c>
      <c r="E132" s="116">
        <f t="shared" si="14"/>
        <v>1</v>
      </c>
      <c r="F132" s="117">
        <v>92</v>
      </c>
      <c r="G132" s="118">
        <f>F132/D132</f>
        <v>0.989247311827957</v>
      </c>
      <c r="H132" s="109"/>
      <c r="I132" s="119"/>
    </row>
    <row r="133" spans="1:14" x14ac:dyDescent="0.25">
      <c r="A133" s="94"/>
      <c r="B133" s="79">
        <f>SUM(B120:B132)</f>
        <v>414</v>
      </c>
      <c r="C133" s="80" t="s">
        <v>29</v>
      </c>
      <c r="D133" s="81">
        <f>SUM(D120:D132)</f>
        <v>12980</v>
      </c>
      <c r="E133" s="81">
        <f>SUM(E120:E132)</f>
        <v>336</v>
      </c>
      <c r="F133" s="81">
        <f>SUM(F120:F132)</f>
        <v>12644</v>
      </c>
      <c r="G133" s="82">
        <f>F133/D133</f>
        <v>0.9741140215716487</v>
      </c>
      <c r="H133" s="125"/>
      <c r="I133" s="126"/>
      <c r="J133" s="83"/>
      <c r="K133" s="83"/>
      <c r="L133" s="83"/>
      <c r="M133" s="127"/>
      <c r="N133" s="1"/>
    </row>
    <row r="134" spans="1:14" x14ac:dyDescent="0.25">
      <c r="A134" s="94"/>
      <c r="B134" s="94"/>
      <c r="C134" s="94"/>
      <c r="D134" s="94"/>
      <c r="E134" s="94"/>
      <c r="F134" s="91">
        <f>F133/D133</f>
        <v>0.9741140215716487</v>
      </c>
      <c r="G134" s="91"/>
      <c r="H134" s="109"/>
      <c r="I134" s="109"/>
      <c r="J134" s="95"/>
      <c r="K134" s="95"/>
      <c r="L134" s="95"/>
      <c r="M134" s="95"/>
      <c r="N134" s="95"/>
    </row>
    <row r="135" ht="17.4" customHeight="1" spans="1:17" x14ac:dyDescent="0.25">
      <c r="A135" s="96" t="s">
        <v>38</v>
      </c>
      <c r="B135" s="96"/>
      <c r="C135" s="96"/>
      <c r="D135" s="96"/>
      <c r="E135" s="96"/>
      <c r="F135" s="96"/>
      <c r="G135" s="96"/>
      <c r="H135" s="98"/>
      <c r="I135" s="98"/>
      <c r="J135" s="98"/>
      <c r="K135" s="98"/>
      <c r="L135" s="98"/>
      <c r="M135" s="98"/>
      <c r="N135" s="98"/>
      <c r="O135" s="98"/>
      <c r="P135" s="98"/>
      <c r="Q135" s="98"/>
    </row>
    <row r="136" ht="15" customHeight="1" spans="1:17" x14ac:dyDescent="0.25">
      <c r="A136" s="99" t="s">
        <v>2</v>
      </c>
      <c r="B136" s="100" t="s">
        <v>3</v>
      </c>
      <c r="C136" s="99" t="s">
        <v>4</v>
      </c>
      <c r="D136" s="101" t="s">
        <v>33</v>
      </c>
      <c r="E136" s="99" t="s">
        <v>6</v>
      </c>
      <c r="F136" s="99"/>
      <c r="G136" s="99"/>
      <c r="H136" s="128"/>
      <c r="I136" s="129"/>
      <c r="J136" s="130"/>
      <c r="K136" s="131"/>
      <c r="L136" s="132"/>
      <c r="M136" s="132"/>
      <c r="N136" s="132"/>
      <c r="O136" s="131"/>
      <c r="P136" s="131"/>
      <c r="Q136" s="131"/>
    </row>
    <row r="137" ht="27" customHeight="1" spans="1:17" x14ac:dyDescent="0.25">
      <c r="A137" s="99"/>
      <c r="B137" s="100"/>
      <c r="C137" s="99"/>
      <c r="D137" s="107"/>
      <c r="E137" s="99" t="s">
        <v>7</v>
      </c>
      <c r="F137" s="99" t="s">
        <v>8</v>
      </c>
      <c r="G137" s="100" t="s">
        <v>9</v>
      </c>
      <c r="H137" s="133"/>
      <c r="I137" s="129"/>
      <c r="J137" s="130"/>
      <c r="K137" s="131"/>
      <c r="L137" s="132"/>
      <c r="M137" s="132"/>
      <c r="N137" s="131"/>
      <c r="O137" s="131"/>
      <c r="P137" s="131"/>
      <c r="Q137" s="131"/>
    </row>
    <row r="138" spans="1:17" x14ac:dyDescent="0.25">
      <c r="A138" s="99"/>
      <c r="B138" s="99" t="s">
        <v>10</v>
      </c>
      <c r="C138" s="99" t="s">
        <v>11</v>
      </c>
      <c r="D138" s="100" t="s">
        <v>12</v>
      </c>
      <c r="E138" s="99" t="s">
        <v>14</v>
      </c>
      <c r="F138" s="99" t="s">
        <v>15</v>
      </c>
      <c r="G138" s="99"/>
      <c r="H138" s="128"/>
      <c r="I138" s="133"/>
      <c r="J138" s="131"/>
      <c r="K138" s="131"/>
      <c r="L138" s="132"/>
      <c r="M138" s="132"/>
      <c r="N138" s="132"/>
      <c r="O138" s="131"/>
      <c r="P138" s="131"/>
      <c r="Q138" s="131"/>
    </row>
    <row r="139" spans="1:18" x14ac:dyDescent="0.25">
      <c r="A139" s="134">
        <v>1</v>
      </c>
      <c r="B139" s="135">
        <v>49</v>
      </c>
      <c r="C139" s="135" t="s">
        <v>19</v>
      </c>
      <c r="D139" s="135">
        <v>467</v>
      </c>
      <c r="E139" s="135">
        <f>D139-F139</f>
        <v>7</v>
      </c>
      <c r="F139" s="135">
        <v>460</v>
      </c>
      <c r="G139" s="118">
        <f t="shared" ref="G139:G151" si="15">F139/D139</f>
        <v>0.9850107066381156</v>
      </c>
      <c r="H139" s="127"/>
      <c r="I139" s="136"/>
      <c r="J139" s="137"/>
      <c r="K139" s="137"/>
      <c r="L139" s="137"/>
      <c r="M139" s="137"/>
      <c r="N139" s="138"/>
      <c r="O139" s="137"/>
      <c r="P139" s="137"/>
      <c r="Q139" s="139"/>
      <c r="R139" s="1">
        <v>468</v>
      </c>
    </row>
    <row r="140" spans="1:18" x14ac:dyDescent="0.25">
      <c r="A140" s="134">
        <v>2</v>
      </c>
      <c r="B140" s="140">
        <v>42</v>
      </c>
      <c r="C140" s="141" t="s">
        <v>18</v>
      </c>
      <c r="D140" s="141">
        <v>1497</v>
      </c>
      <c r="E140" s="141">
        <f>D140-F140</f>
        <v>7</v>
      </c>
      <c r="F140" s="141">
        <v>1490</v>
      </c>
      <c r="G140" s="118">
        <f t="shared" si="15"/>
        <v>0.9953239812959251</v>
      </c>
      <c r="H140" s="127"/>
      <c r="I140" s="136"/>
      <c r="J140" s="137"/>
      <c r="K140" s="137"/>
      <c r="L140" s="137"/>
      <c r="M140" s="137"/>
      <c r="N140" s="138"/>
      <c r="O140" s="137"/>
      <c r="P140" s="137"/>
      <c r="Q140" s="139"/>
      <c r="R140" s="1">
        <v>1615</v>
      </c>
    </row>
    <row r="141" spans="1:18" x14ac:dyDescent="0.25">
      <c r="A141" s="142">
        <v>3</v>
      </c>
      <c r="B141" s="143">
        <v>57</v>
      </c>
      <c r="C141" s="143" t="s">
        <v>23</v>
      </c>
      <c r="D141" s="143">
        <v>1481</v>
      </c>
      <c r="E141" s="135">
        <f t="shared" ref="E141:E151" si="16">D141-F141</f>
        <v>9</v>
      </c>
      <c r="F141" s="143">
        <v>1472</v>
      </c>
      <c r="G141" s="118">
        <f t="shared" si="15"/>
        <v>0.9939230249831195</v>
      </c>
      <c r="H141" s="127"/>
      <c r="I141" s="144"/>
      <c r="J141" s="145"/>
      <c r="K141" s="145"/>
      <c r="L141" s="145"/>
      <c r="M141" s="145"/>
      <c r="N141" s="138"/>
      <c r="O141" s="145"/>
      <c r="P141" s="145"/>
      <c r="Q141" s="139"/>
      <c r="R141" s="1">
        <v>1481</v>
      </c>
    </row>
    <row r="142" spans="1:18" x14ac:dyDescent="0.25">
      <c r="A142" s="134">
        <v>4</v>
      </c>
      <c r="B142" s="141">
        <v>65</v>
      </c>
      <c r="C142" s="141" t="s">
        <v>25</v>
      </c>
      <c r="D142" s="135">
        <v>276</v>
      </c>
      <c r="E142" s="141">
        <f t="shared" si="16"/>
        <v>1</v>
      </c>
      <c r="F142" s="135">
        <v>275</v>
      </c>
      <c r="G142" s="118">
        <f t="shared" si="15"/>
        <v>0.9963768115942029</v>
      </c>
      <c r="H142" s="127"/>
      <c r="I142" s="136"/>
      <c r="J142" s="137"/>
      <c r="K142" s="137"/>
      <c r="L142" s="137"/>
      <c r="M142" s="137"/>
      <c r="N142" s="138"/>
      <c r="O142" s="137"/>
      <c r="P142" s="137"/>
      <c r="Q142" s="139"/>
      <c r="R142" s="1">
        <v>4239</v>
      </c>
    </row>
    <row r="143" spans="1:18" x14ac:dyDescent="0.25">
      <c r="A143" s="134">
        <v>5</v>
      </c>
      <c r="B143" s="141">
        <v>33</v>
      </c>
      <c r="C143" s="146" t="s">
        <v>22</v>
      </c>
      <c r="D143" s="141">
        <v>127</v>
      </c>
      <c r="E143" s="135">
        <f t="shared" si="16"/>
        <v>0</v>
      </c>
      <c r="F143" s="141">
        <v>127</v>
      </c>
      <c r="G143" s="118">
        <f t="shared" si="15"/>
        <v>1</v>
      </c>
      <c r="H143" s="127"/>
      <c r="I143" s="136"/>
      <c r="J143" s="137"/>
      <c r="K143" s="145"/>
      <c r="L143" s="137"/>
      <c r="M143" s="137"/>
      <c r="N143" s="138"/>
      <c r="O143" s="137"/>
      <c r="P143" s="137"/>
      <c r="Q143" s="139"/>
      <c r="R143" s="1">
        <v>255</v>
      </c>
    </row>
    <row r="144" spans="1:18" x14ac:dyDescent="0.25">
      <c r="A144" s="134">
        <v>6</v>
      </c>
      <c r="B144" s="141">
        <v>25</v>
      </c>
      <c r="C144" s="141" t="s">
        <v>26</v>
      </c>
      <c r="D144" s="135">
        <v>850</v>
      </c>
      <c r="E144" s="141">
        <f t="shared" si="16"/>
        <v>41</v>
      </c>
      <c r="F144" s="135">
        <v>809</v>
      </c>
      <c r="G144" s="118">
        <f t="shared" si="15"/>
        <v>0.951764705882353</v>
      </c>
      <c r="H144" s="127"/>
      <c r="I144" s="136"/>
      <c r="J144" s="137"/>
      <c r="K144" s="137"/>
      <c r="L144" s="137"/>
      <c r="M144" s="137"/>
      <c r="N144" s="138"/>
      <c r="O144" s="137"/>
      <c r="P144" s="137"/>
      <c r="Q144" s="139"/>
      <c r="R144" s="1">
        <v>845</v>
      </c>
    </row>
    <row r="145" spans="1:18" x14ac:dyDescent="0.25">
      <c r="A145" s="147">
        <v>7</v>
      </c>
      <c r="B145" s="148">
        <v>11</v>
      </c>
      <c r="C145" s="149" t="s">
        <v>28</v>
      </c>
      <c r="D145" s="135">
        <v>47</v>
      </c>
      <c r="E145" s="135">
        <f t="shared" si="16"/>
        <v>13</v>
      </c>
      <c r="F145" s="135">
        <v>34</v>
      </c>
      <c r="G145" s="118">
        <f t="shared" si="15"/>
        <v>0.723404255319149</v>
      </c>
      <c r="H145" s="127"/>
      <c r="I145" s="136"/>
      <c r="J145" s="137"/>
      <c r="K145" s="150"/>
      <c r="L145" s="137"/>
      <c r="M145" s="137"/>
      <c r="N145" s="138"/>
      <c r="O145" s="150"/>
      <c r="P145" s="150"/>
      <c r="Q145" s="139"/>
      <c r="R145" s="1">
        <v>47</v>
      </c>
    </row>
    <row r="146" spans="1:18" x14ac:dyDescent="0.25">
      <c r="A146" s="134">
        <v>8</v>
      </c>
      <c r="B146" s="135">
        <v>17</v>
      </c>
      <c r="C146" s="151" t="s">
        <v>24</v>
      </c>
      <c r="D146" s="141">
        <v>17</v>
      </c>
      <c r="E146" s="141">
        <f t="shared" si="16"/>
        <v>0</v>
      </c>
      <c r="F146" s="141">
        <v>17</v>
      </c>
      <c r="G146" s="118">
        <f t="shared" si="15"/>
        <v>1</v>
      </c>
      <c r="H146" s="127"/>
      <c r="I146" s="136"/>
      <c r="J146" s="137"/>
      <c r="K146" s="145"/>
      <c r="L146" s="137"/>
      <c r="M146" s="137"/>
      <c r="N146" s="138"/>
      <c r="O146" s="137"/>
      <c r="P146" s="137"/>
      <c r="Q146" s="139"/>
      <c r="R146" s="1">
        <v>17</v>
      </c>
    </row>
    <row r="147" spans="1:18" x14ac:dyDescent="0.25">
      <c r="A147" s="134">
        <v>9</v>
      </c>
      <c r="B147" s="141">
        <v>39</v>
      </c>
      <c r="C147" s="141" t="s">
        <v>27</v>
      </c>
      <c r="D147" s="135">
        <v>1314</v>
      </c>
      <c r="E147" s="135">
        <f t="shared" si="16"/>
        <v>214</v>
      </c>
      <c r="F147" s="135">
        <v>1100</v>
      </c>
      <c r="G147" s="118">
        <f t="shared" si="15"/>
        <v>0.837138508371385</v>
      </c>
      <c r="H147" s="127"/>
      <c r="I147" s="136"/>
      <c r="J147" s="137"/>
      <c r="K147" s="152"/>
      <c r="L147" s="137"/>
      <c r="M147" s="137"/>
      <c r="N147" s="138"/>
      <c r="O147" s="152"/>
      <c r="P147" s="137"/>
      <c r="Q147" s="139"/>
      <c r="R147" s="1">
        <v>1842</v>
      </c>
    </row>
    <row r="148" spans="1:18" x14ac:dyDescent="0.25">
      <c r="A148" s="134">
        <v>10</v>
      </c>
      <c r="B148" s="141">
        <v>36</v>
      </c>
      <c r="C148" s="146" t="s">
        <v>20</v>
      </c>
      <c r="D148" s="135">
        <v>214</v>
      </c>
      <c r="E148" s="141">
        <f t="shared" si="16"/>
        <v>1</v>
      </c>
      <c r="F148" s="135">
        <v>213</v>
      </c>
      <c r="G148" s="118">
        <f t="shared" si="15"/>
        <v>0.9953271028037384</v>
      </c>
      <c r="H148" s="127"/>
      <c r="I148" s="136"/>
      <c r="J148" s="137"/>
      <c r="K148" s="152"/>
      <c r="L148" s="137"/>
      <c r="M148" s="137"/>
      <c r="N148" s="138"/>
      <c r="O148" s="137"/>
      <c r="P148" s="137"/>
      <c r="Q148" s="139"/>
      <c r="R148" s="1">
        <v>317</v>
      </c>
    </row>
    <row r="149" spans="1:18" x14ac:dyDescent="0.25">
      <c r="A149" s="134">
        <v>11</v>
      </c>
      <c r="B149" s="141">
        <v>26</v>
      </c>
      <c r="C149" s="146" t="s">
        <v>21</v>
      </c>
      <c r="D149" s="141">
        <v>1537</v>
      </c>
      <c r="E149" s="135">
        <f t="shared" si="16"/>
        <v>12</v>
      </c>
      <c r="F149" s="141">
        <v>1525</v>
      </c>
      <c r="G149" s="118">
        <f t="shared" si="15"/>
        <v>0.9921925829538061</v>
      </c>
      <c r="H149" s="127"/>
      <c r="I149" s="136"/>
      <c r="J149" s="137"/>
      <c r="K149" s="152"/>
      <c r="L149" s="137"/>
      <c r="M149" s="137"/>
      <c r="N149" s="138"/>
      <c r="O149" s="137"/>
      <c r="P149" s="137"/>
      <c r="Q149" s="139"/>
      <c r="R149" s="1">
        <v>3460</v>
      </c>
    </row>
    <row r="150" spans="1:18" x14ac:dyDescent="0.25">
      <c r="A150" s="134">
        <v>12</v>
      </c>
      <c r="B150" s="141">
        <v>20</v>
      </c>
      <c r="C150" s="146" t="s">
        <v>16</v>
      </c>
      <c r="D150" s="135">
        <v>11</v>
      </c>
      <c r="E150" s="141">
        <f t="shared" si="16"/>
        <v>0</v>
      </c>
      <c r="F150" s="135">
        <v>11</v>
      </c>
      <c r="G150" s="118">
        <f t="shared" si="15"/>
        <v>1</v>
      </c>
      <c r="H150" s="127"/>
      <c r="I150" s="136"/>
      <c r="J150" s="137"/>
      <c r="K150" s="153"/>
      <c r="L150" s="137"/>
      <c r="M150" s="137"/>
      <c r="N150" s="138"/>
      <c r="O150" s="137"/>
      <c r="P150" s="137"/>
      <c r="Q150" s="139"/>
      <c r="R150" s="1">
        <v>11</v>
      </c>
    </row>
    <row r="151" spans="1:18" x14ac:dyDescent="0.25">
      <c r="A151" s="134">
        <v>13</v>
      </c>
      <c r="B151" s="140">
        <v>7</v>
      </c>
      <c r="C151" s="141" t="s">
        <v>17</v>
      </c>
      <c r="D151" s="135">
        <v>131</v>
      </c>
      <c r="E151" s="135">
        <f t="shared" si="16"/>
        <v>0</v>
      </c>
      <c r="F151" s="135">
        <v>131</v>
      </c>
      <c r="G151" s="118">
        <f t="shared" si="15"/>
        <v>1</v>
      </c>
      <c r="H151" s="127"/>
      <c r="I151" s="136"/>
      <c r="J151" s="137"/>
      <c r="K151" s="137"/>
      <c r="L151" s="137"/>
      <c r="M151" s="137"/>
      <c r="N151" s="138"/>
      <c r="O151" s="137"/>
      <c r="P151" s="137"/>
      <c r="Q151" s="139"/>
      <c r="R151" s="1">
        <v>229</v>
      </c>
    </row>
    <row r="152" spans="1:18" x14ac:dyDescent="0.25">
      <c r="A152" s="154"/>
      <c r="B152" s="155">
        <f>SUM(B139:B151)</f>
        <v>427</v>
      </c>
      <c r="C152" s="156" t="s">
        <v>29</v>
      </c>
      <c r="D152" s="157">
        <f>SUM(D139:D151)</f>
        <v>7969</v>
      </c>
      <c r="E152" s="157">
        <f t="shared" ref="E152:F152" si="17">SUM(E139:E151)</f>
        <v>305</v>
      </c>
      <c r="F152" s="157">
        <f t="shared" si="17"/>
        <v>7664</v>
      </c>
      <c r="G152" s="158">
        <f>F152/D152</f>
        <v>0.9617266909273434</v>
      </c>
      <c r="H152" s="159"/>
      <c r="I152" s="159"/>
      <c r="J152" s="160"/>
      <c r="K152" s="160"/>
      <c r="L152" s="160"/>
      <c r="M152" s="160"/>
      <c r="N152" s="138"/>
      <c r="O152" s="160"/>
      <c r="P152" s="137"/>
      <c r="Q152" s="139"/>
      <c r="R152" s="1">
        <f>SUM(R139:R151)</f>
        <v>14826</v>
      </c>
    </row>
    <row r="153" spans="1:17" x14ac:dyDescent="0.25">
      <c r="A153" s="94"/>
      <c r="B153" s="94"/>
      <c r="C153" s="94"/>
      <c r="D153" s="94"/>
      <c r="E153" s="94"/>
      <c r="F153" s="91">
        <f>F152/D152</f>
        <v>0.9617266909273434</v>
      </c>
      <c r="G153" s="91"/>
      <c r="H153" s="92"/>
      <c r="I153" s="92"/>
      <c r="J153" s="95"/>
      <c r="K153" s="95"/>
      <c r="L153" s="95"/>
      <c r="M153" s="95"/>
      <c r="N153" s="95"/>
      <c r="O153" s="92"/>
      <c r="P153" s="92"/>
      <c r="Q153" s="1"/>
    </row>
    <row r="154" ht="17.4" customHeight="1" spans="1:17" x14ac:dyDescent="0.25">
      <c r="A154" s="96" t="s">
        <v>39</v>
      </c>
      <c r="B154" s="96"/>
      <c r="C154" s="96"/>
      <c r="D154" s="96"/>
      <c r="E154" s="96"/>
      <c r="F154" s="96"/>
      <c r="G154" s="96"/>
      <c r="H154" s="98"/>
      <c r="I154" s="98"/>
      <c r="J154" s="98"/>
      <c r="K154" s="98"/>
      <c r="L154" s="98"/>
      <c r="M154" s="98"/>
      <c r="N154" s="98"/>
      <c r="O154" s="98"/>
      <c r="P154" s="98"/>
      <c r="Q154" s="98"/>
    </row>
    <row r="155" ht="15" customHeight="1" spans="1:17" x14ac:dyDescent="0.25">
      <c r="A155" s="99" t="s">
        <v>2</v>
      </c>
      <c r="B155" s="100" t="s">
        <v>3</v>
      </c>
      <c r="C155" s="99" t="s">
        <v>4</v>
      </c>
      <c r="D155" s="101" t="s">
        <v>33</v>
      </c>
      <c r="E155" s="99" t="s">
        <v>6</v>
      </c>
      <c r="F155" s="99"/>
      <c r="G155" s="99"/>
      <c r="H155" s="128"/>
      <c r="I155" s="161"/>
      <c r="J155" s="130"/>
      <c r="K155" s="131"/>
      <c r="L155" s="132"/>
      <c r="M155" s="132"/>
      <c r="N155" s="132"/>
      <c r="O155" s="131"/>
      <c r="P155" s="131"/>
      <c r="Q155" s="131"/>
    </row>
    <row r="156" ht="27" customHeight="1" spans="1:17" x14ac:dyDescent="0.25">
      <c r="A156" s="99"/>
      <c r="B156" s="100"/>
      <c r="C156" s="99"/>
      <c r="D156" s="107"/>
      <c r="E156" s="99" t="s">
        <v>7</v>
      </c>
      <c r="F156" s="99" t="s">
        <v>8</v>
      </c>
      <c r="G156" s="100" t="s">
        <v>9</v>
      </c>
      <c r="H156" s="133"/>
      <c r="I156" s="161"/>
      <c r="J156" s="130"/>
      <c r="K156" s="131"/>
      <c r="L156" s="132"/>
      <c r="M156" s="132"/>
      <c r="N156" s="131"/>
      <c r="O156" s="131"/>
      <c r="P156" s="131"/>
      <c r="Q156" s="131"/>
    </row>
    <row r="157" spans="1:17" x14ac:dyDescent="0.25">
      <c r="A157" s="99"/>
      <c r="B157" s="99" t="s">
        <v>10</v>
      </c>
      <c r="C157" s="99" t="s">
        <v>11</v>
      </c>
      <c r="D157" s="100" t="s">
        <v>12</v>
      </c>
      <c r="E157" s="99" t="s">
        <v>14</v>
      </c>
      <c r="F157" s="99" t="s">
        <v>15</v>
      </c>
      <c r="G157" s="99"/>
      <c r="H157" s="128"/>
      <c r="I157" s="131"/>
      <c r="J157" s="131"/>
      <c r="K157" s="131"/>
      <c r="L157" s="132"/>
      <c r="M157" s="132"/>
      <c r="N157" s="132"/>
      <c r="O157" s="131"/>
      <c r="P157" s="131"/>
      <c r="Q157" s="131"/>
    </row>
    <row r="158" spans="1:17" x14ac:dyDescent="0.25">
      <c r="A158" s="134">
        <v>1</v>
      </c>
      <c r="B158" s="135">
        <v>49</v>
      </c>
      <c r="C158" s="135" t="s">
        <v>19</v>
      </c>
      <c r="D158" s="135">
        <v>504</v>
      </c>
      <c r="E158" s="135">
        <f>D158-F158</f>
        <v>2</v>
      </c>
      <c r="F158" s="162">
        <v>502</v>
      </c>
      <c r="G158" s="118">
        <f t="shared" ref="G158:G170" si="18">F158/D158</f>
        <v>0.996031746031746</v>
      </c>
      <c r="H158" s="127"/>
      <c r="I158" s="163"/>
      <c r="J158" s="163"/>
      <c r="K158" s="137"/>
      <c r="L158" s="137"/>
      <c r="M158" s="163"/>
      <c r="N158" s="138"/>
      <c r="O158" s="137"/>
      <c r="P158" s="137"/>
      <c r="Q158" s="139"/>
    </row>
    <row r="159" spans="1:17" x14ac:dyDescent="0.25">
      <c r="A159" s="134">
        <v>2</v>
      </c>
      <c r="B159" s="140">
        <v>42</v>
      </c>
      <c r="C159" s="141" t="s">
        <v>18</v>
      </c>
      <c r="D159" s="141">
        <v>162</v>
      </c>
      <c r="E159" s="141">
        <f>D159-F159</f>
        <v>2</v>
      </c>
      <c r="F159" s="164">
        <v>160</v>
      </c>
      <c r="G159" s="118">
        <f t="shared" si="18"/>
        <v>0.9876543209876543</v>
      </c>
      <c r="H159" s="127"/>
      <c r="I159" s="163"/>
      <c r="J159" s="163"/>
      <c r="K159" s="137"/>
      <c r="L159" s="137"/>
      <c r="M159" s="163"/>
      <c r="N159" s="138"/>
      <c r="O159" s="137"/>
      <c r="P159" s="137"/>
      <c r="Q159" s="139"/>
    </row>
    <row r="160" spans="1:17" x14ac:dyDescent="0.25">
      <c r="A160" s="142">
        <v>3</v>
      </c>
      <c r="B160" s="143">
        <v>57</v>
      </c>
      <c r="C160" s="143" t="s">
        <v>23</v>
      </c>
      <c r="D160" s="143">
        <v>1158</v>
      </c>
      <c r="E160" s="135">
        <f t="shared" ref="E160:E170" si="19">D160-F160</f>
        <v>4</v>
      </c>
      <c r="F160" s="165">
        <v>1154</v>
      </c>
      <c r="G160" s="118">
        <f t="shared" si="18"/>
        <v>0.9965457685664939</v>
      </c>
      <c r="H160" s="127"/>
      <c r="I160" s="166"/>
      <c r="J160" s="166"/>
      <c r="K160" s="145"/>
      <c r="L160" s="137"/>
      <c r="M160" s="166"/>
      <c r="N160" s="138"/>
      <c r="O160" s="145"/>
      <c r="P160" s="137"/>
      <c r="Q160" s="139"/>
    </row>
    <row r="161" spans="1:17" x14ac:dyDescent="0.25">
      <c r="A161" s="134">
        <v>4</v>
      </c>
      <c r="B161" s="141">
        <v>65</v>
      </c>
      <c r="C161" s="141" t="s">
        <v>25</v>
      </c>
      <c r="D161" s="135">
        <v>82</v>
      </c>
      <c r="E161" s="141">
        <f t="shared" si="19"/>
        <v>10</v>
      </c>
      <c r="F161" s="162">
        <v>72</v>
      </c>
      <c r="G161" s="118">
        <f t="shared" si="18"/>
        <v>0.8780487804878049</v>
      </c>
      <c r="H161" s="127"/>
      <c r="I161" s="163"/>
      <c r="J161" s="163"/>
      <c r="K161" s="137"/>
      <c r="L161" s="137"/>
      <c r="M161" s="163"/>
      <c r="N161" s="138"/>
      <c r="O161" s="137"/>
      <c r="P161" s="137"/>
      <c r="Q161" s="139"/>
    </row>
    <row r="162" spans="1:17" x14ac:dyDescent="0.25">
      <c r="A162" s="134">
        <v>5</v>
      </c>
      <c r="B162" s="141">
        <v>33</v>
      </c>
      <c r="C162" s="146" t="s">
        <v>22</v>
      </c>
      <c r="D162" s="141">
        <v>69</v>
      </c>
      <c r="E162" s="135">
        <f t="shared" si="19"/>
        <v>0</v>
      </c>
      <c r="F162" s="164">
        <v>69</v>
      </c>
      <c r="G162" s="118">
        <f t="shared" si="18"/>
        <v>1</v>
      </c>
      <c r="H162" s="127"/>
      <c r="I162" s="163"/>
      <c r="J162" s="163"/>
      <c r="K162" s="145"/>
      <c r="L162" s="137"/>
      <c r="M162" s="163"/>
      <c r="N162" s="138"/>
      <c r="O162" s="137"/>
      <c r="P162" s="137"/>
      <c r="Q162" s="139"/>
    </row>
    <row r="163" spans="1:17" x14ac:dyDescent="0.25">
      <c r="A163" s="134">
        <v>6</v>
      </c>
      <c r="B163" s="141">
        <v>25</v>
      </c>
      <c r="C163" s="141" t="s">
        <v>26</v>
      </c>
      <c r="D163" s="135">
        <v>4249</v>
      </c>
      <c r="E163" s="141">
        <f t="shared" si="19"/>
        <v>32</v>
      </c>
      <c r="F163" s="165">
        <v>4217</v>
      </c>
      <c r="G163" s="118">
        <f t="shared" si="18"/>
        <v>0.9924688161920452</v>
      </c>
      <c r="H163" s="127"/>
      <c r="I163" s="166"/>
      <c r="J163" s="166"/>
      <c r="K163" s="137"/>
      <c r="L163" s="137"/>
      <c r="M163" s="166"/>
      <c r="N163" s="138"/>
      <c r="O163" s="137"/>
      <c r="P163" s="137"/>
      <c r="Q163" s="139"/>
    </row>
    <row r="164" spans="1:17" x14ac:dyDescent="0.25">
      <c r="A164" s="147">
        <v>7</v>
      </c>
      <c r="B164" s="148">
        <v>11</v>
      </c>
      <c r="C164" s="149" t="s">
        <v>28</v>
      </c>
      <c r="D164" s="135">
        <v>157</v>
      </c>
      <c r="E164" s="135">
        <f t="shared" si="19"/>
        <v>16</v>
      </c>
      <c r="F164" s="162">
        <v>141</v>
      </c>
      <c r="G164" s="118">
        <f t="shared" si="18"/>
        <v>0.8980891719745223</v>
      </c>
      <c r="H164" s="127"/>
      <c r="I164" s="163"/>
      <c r="J164" s="163"/>
      <c r="K164" s="150"/>
      <c r="L164" s="137"/>
      <c r="M164" s="163"/>
      <c r="N164" s="138"/>
      <c r="O164" s="150"/>
      <c r="P164" s="137"/>
      <c r="Q164" s="139"/>
    </row>
    <row r="165" spans="1:17" x14ac:dyDescent="0.25">
      <c r="A165" s="134">
        <v>8</v>
      </c>
      <c r="B165" s="135">
        <v>17</v>
      </c>
      <c r="C165" s="151" t="s">
        <v>24</v>
      </c>
      <c r="D165" s="141">
        <v>195</v>
      </c>
      <c r="E165" s="141">
        <f t="shared" si="19"/>
        <v>0</v>
      </c>
      <c r="F165" s="164">
        <v>195</v>
      </c>
      <c r="G165" s="118">
        <f t="shared" si="18"/>
        <v>1</v>
      </c>
      <c r="H165" s="127"/>
      <c r="I165" s="163"/>
      <c r="J165" s="163"/>
      <c r="K165" s="145"/>
      <c r="L165" s="137"/>
      <c r="M165" s="163"/>
      <c r="N165" s="138"/>
      <c r="O165" s="137"/>
      <c r="P165" s="137"/>
      <c r="Q165" s="139"/>
    </row>
    <row r="166" spans="1:17" x14ac:dyDescent="0.25">
      <c r="A166" s="134">
        <v>9</v>
      </c>
      <c r="B166" s="141">
        <v>39</v>
      </c>
      <c r="C166" s="141" t="s">
        <v>27</v>
      </c>
      <c r="D166" s="135">
        <v>453</v>
      </c>
      <c r="E166" s="135">
        <f t="shared" si="19"/>
        <v>46</v>
      </c>
      <c r="F166" s="165">
        <v>407</v>
      </c>
      <c r="G166" s="118">
        <f t="shared" si="18"/>
        <v>0.8984547461368654</v>
      </c>
      <c r="H166" s="127"/>
      <c r="I166" s="166"/>
      <c r="J166" s="166"/>
      <c r="K166" s="152"/>
      <c r="L166" s="137"/>
      <c r="M166" s="166"/>
      <c r="N166" s="138"/>
      <c r="O166" s="152"/>
      <c r="P166" s="137"/>
      <c r="Q166" s="139"/>
    </row>
    <row r="167" spans="1:17" x14ac:dyDescent="0.25">
      <c r="A167" s="134">
        <v>10</v>
      </c>
      <c r="B167" s="141">
        <v>36</v>
      </c>
      <c r="C167" s="146" t="s">
        <v>20</v>
      </c>
      <c r="D167" s="135">
        <v>202</v>
      </c>
      <c r="E167" s="141">
        <f t="shared" si="19"/>
        <v>0</v>
      </c>
      <c r="F167" s="162">
        <v>202</v>
      </c>
      <c r="G167" s="118">
        <f t="shared" si="18"/>
        <v>1</v>
      </c>
      <c r="H167" s="127"/>
      <c r="I167" s="163"/>
      <c r="J167" s="163"/>
      <c r="K167" s="152"/>
      <c r="L167" s="137"/>
      <c r="M167" s="163"/>
      <c r="N167" s="138"/>
      <c r="O167" s="137"/>
      <c r="P167" s="137"/>
      <c r="Q167" s="139"/>
    </row>
    <row r="168" spans="1:17" x14ac:dyDescent="0.25">
      <c r="A168" s="134">
        <v>11</v>
      </c>
      <c r="B168" s="141">
        <v>26</v>
      </c>
      <c r="C168" s="146" t="s">
        <v>21</v>
      </c>
      <c r="D168" s="141">
        <v>793</v>
      </c>
      <c r="E168" s="135">
        <f t="shared" si="19"/>
        <v>42</v>
      </c>
      <c r="F168" s="164">
        <v>751</v>
      </c>
      <c r="G168" s="118">
        <f t="shared" si="18"/>
        <v>0.9470365699873896</v>
      </c>
      <c r="H168" s="127"/>
      <c r="I168" s="163"/>
      <c r="J168" s="163"/>
      <c r="K168" s="152"/>
      <c r="L168" s="137"/>
      <c r="M168" s="163"/>
      <c r="N168" s="138"/>
      <c r="O168" s="137"/>
      <c r="P168" s="137"/>
      <c r="Q168" s="139"/>
    </row>
    <row r="169" spans="1:17" x14ac:dyDescent="0.25">
      <c r="A169" s="134"/>
      <c r="B169" s="141">
        <v>20</v>
      </c>
      <c r="C169" s="146" t="s">
        <v>16</v>
      </c>
      <c r="D169" s="135">
        <v>29</v>
      </c>
      <c r="E169" s="141">
        <f t="shared" si="19"/>
        <v>10</v>
      </c>
      <c r="F169" s="165">
        <v>19</v>
      </c>
      <c r="G169" s="118">
        <f t="shared" si="18"/>
        <v>0.6551724137931034</v>
      </c>
      <c r="H169" s="127"/>
      <c r="I169" s="166"/>
      <c r="J169" s="166"/>
      <c r="K169" s="153"/>
      <c r="L169" s="137"/>
      <c r="M169" s="166"/>
      <c r="N169" s="138"/>
      <c r="O169" s="137"/>
      <c r="P169" s="137"/>
      <c r="Q169" s="139"/>
    </row>
    <row r="170" spans="1:17" x14ac:dyDescent="0.25">
      <c r="A170" s="134">
        <v>13</v>
      </c>
      <c r="B170" s="140">
        <v>7</v>
      </c>
      <c r="C170" s="141" t="s">
        <v>17</v>
      </c>
      <c r="D170" s="135">
        <v>2</v>
      </c>
      <c r="E170" s="135">
        <f t="shared" si="19"/>
        <v>0</v>
      </c>
      <c r="F170" s="162">
        <v>2</v>
      </c>
      <c r="G170" s="118">
        <f t="shared" si="18"/>
        <v>1</v>
      </c>
      <c r="H170" s="127"/>
      <c r="I170" s="163"/>
      <c r="J170" s="163"/>
      <c r="K170" s="137"/>
      <c r="L170" s="137"/>
      <c r="M170" s="163"/>
      <c r="N170" s="138"/>
      <c r="O170" s="137"/>
      <c r="P170" s="137"/>
      <c r="Q170" s="139"/>
    </row>
    <row r="171" spans="1:17" x14ac:dyDescent="0.25">
      <c r="A171" s="154"/>
      <c r="B171" s="155">
        <f>SUM(B158:B170)</f>
        <v>427</v>
      </c>
      <c r="C171" s="156" t="s">
        <v>29</v>
      </c>
      <c r="D171" s="157">
        <f>SUM(D158:D170)</f>
        <v>8055</v>
      </c>
      <c r="E171" s="157">
        <f t="shared" ref="E171:F171" si="20">SUM(E158:E170)</f>
        <v>164</v>
      </c>
      <c r="F171" s="157">
        <f t="shared" si="20"/>
        <v>7891</v>
      </c>
      <c r="G171" s="158">
        <f>F171/D171</f>
        <v>0.9796399751707014</v>
      </c>
      <c r="H171" s="159"/>
      <c r="I171" s="160"/>
      <c r="J171" s="160"/>
      <c r="K171" s="160"/>
      <c r="L171" s="160"/>
      <c r="M171" s="160"/>
      <c r="N171" s="138"/>
      <c r="O171" s="160"/>
      <c r="P171" s="137"/>
      <c r="Q171" s="139"/>
    </row>
    <row r="172" spans="1:17" x14ac:dyDescent="0.25">
      <c r="A172" s="94"/>
      <c r="B172" s="94"/>
      <c r="C172" s="94"/>
      <c r="D172" s="94"/>
      <c r="E172" s="94"/>
      <c r="F172" s="91">
        <f>F171/D171</f>
        <v>0.9796399751707014</v>
      </c>
      <c r="G172" s="91"/>
      <c r="H172" s="127"/>
      <c r="I172" s="138"/>
      <c r="J172" s="167"/>
      <c r="K172" s="167"/>
      <c r="L172" s="167"/>
      <c r="M172" s="138"/>
      <c r="N172" s="167"/>
      <c r="O172" s="138"/>
      <c r="P172" s="138"/>
      <c r="Q172" s="168"/>
    </row>
    <row r="173" spans="1:17" x14ac:dyDescent="0.25">
      <c r="A173" s="95"/>
      <c r="B173" s="95"/>
      <c r="C173" s="95"/>
      <c r="D173" s="95"/>
      <c r="E173" s="95"/>
      <c r="F173" s="95"/>
      <c r="G173" s="92"/>
      <c r="H173" s="127"/>
      <c r="I173" s="92"/>
      <c r="J173" s="95"/>
      <c r="K173" s="95"/>
      <c r="L173" s="95"/>
      <c r="M173" s="92"/>
      <c r="N173" s="95"/>
      <c r="O173" s="92"/>
      <c r="P173" s="92"/>
      <c r="Q173" s="1"/>
    </row>
    <row r="174" ht="17.4" customHeight="1" spans="1:17" x14ac:dyDescent="0.25">
      <c r="A174" s="169" t="s">
        <v>40</v>
      </c>
      <c r="B174" s="169"/>
      <c r="C174" s="169"/>
      <c r="D174" s="169"/>
      <c r="E174" s="169"/>
      <c r="F174" s="169"/>
      <c r="G174" s="169"/>
      <c r="H174" s="98"/>
      <c r="I174" s="98"/>
      <c r="J174" s="98"/>
      <c r="K174" s="98"/>
      <c r="L174" s="98"/>
      <c r="M174" s="98"/>
      <c r="N174" s="98"/>
      <c r="O174" s="98"/>
      <c r="P174" s="98"/>
      <c r="Q174" s="98"/>
    </row>
    <row r="175" ht="15" customHeight="1" spans="1:17" x14ac:dyDescent="0.25">
      <c r="A175" s="99" t="s">
        <v>2</v>
      </c>
      <c r="B175" s="100" t="s">
        <v>3</v>
      </c>
      <c r="C175" s="99" t="s">
        <v>4</v>
      </c>
      <c r="D175" s="101" t="s">
        <v>33</v>
      </c>
      <c r="E175" s="99" t="s">
        <v>6</v>
      </c>
      <c r="F175" s="99"/>
      <c r="G175" s="99"/>
      <c r="H175" s="128"/>
      <c r="I175" s="161"/>
      <c r="J175" s="130"/>
      <c r="K175" s="131"/>
      <c r="L175" s="132"/>
      <c r="M175" s="132"/>
      <c r="N175" s="132"/>
      <c r="O175" s="131"/>
      <c r="P175" s="131"/>
      <c r="Q175" s="131"/>
    </row>
    <row r="176" ht="27" customHeight="1" spans="1:17" x14ac:dyDescent="0.25">
      <c r="A176" s="99"/>
      <c r="B176" s="100"/>
      <c r="C176" s="99"/>
      <c r="D176" s="107"/>
      <c r="E176" s="99" t="s">
        <v>7</v>
      </c>
      <c r="F176" s="99" t="s">
        <v>8</v>
      </c>
      <c r="G176" s="100" t="s">
        <v>9</v>
      </c>
      <c r="H176" s="133"/>
      <c r="I176" s="161"/>
      <c r="J176" s="130"/>
      <c r="K176" s="131"/>
      <c r="L176" s="132"/>
      <c r="M176" s="132"/>
      <c r="N176" s="131"/>
      <c r="O176" s="131"/>
      <c r="P176" s="131"/>
      <c r="Q176" s="131"/>
    </row>
    <row r="177" spans="1:17" x14ac:dyDescent="0.25">
      <c r="A177" s="99"/>
      <c r="B177" s="99" t="s">
        <v>10</v>
      </c>
      <c r="C177" s="99" t="s">
        <v>11</v>
      </c>
      <c r="D177" s="100" t="s">
        <v>12</v>
      </c>
      <c r="E177" s="99" t="s">
        <v>14</v>
      </c>
      <c r="F177" s="99" t="s">
        <v>15</v>
      </c>
      <c r="G177" s="99"/>
      <c r="H177" s="128"/>
      <c r="I177" s="131"/>
      <c r="J177" s="131"/>
      <c r="K177" s="131"/>
      <c r="L177" s="132"/>
      <c r="M177" s="132"/>
      <c r="N177" s="132"/>
      <c r="O177" s="131"/>
      <c r="P177" s="131"/>
      <c r="Q177" s="131"/>
    </row>
    <row r="178" spans="1:17" x14ac:dyDescent="0.25">
      <c r="A178" s="134">
        <v>1</v>
      </c>
      <c r="B178" s="135">
        <v>49</v>
      </c>
      <c r="C178" s="135" t="s">
        <v>19</v>
      </c>
      <c r="D178" s="162">
        <v>601</v>
      </c>
      <c r="E178" s="162">
        <f>D178-F178</f>
        <v>5</v>
      </c>
      <c r="F178" s="164">
        <v>596</v>
      </c>
      <c r="G178" s="118">
        <f t="shared" ref="G178:G190" si="21">F178/D178</f>
        <v>0.9916805324459235</v>
      </c>
      <c r="H178" s="127"/>
      <c r="I178" s="163"/>
      <c r="J178" s="163"/>
      <c r="K178" s="163"/>
      <c r="L178" s="137"/>
      <c r="M178" s="163"/>
      <c r="N178" s="138"/>
      <c r="O178" s="137"/>
      <c r="P178" s="137"/>
      <c r="Q178" s="139"/>
    </row>
    <row r="179" spans="1:17" x14ac:dyDescent="0.25">
      <c r="A179" s="134">
        <v>2</v>
      </c>
      <c r="B179" s="140">
        <v>42</v>
      </c>
      <c r="C179" s="141" t="s">
        <v>18</v>
      </c>
      <c r="D179" s="164">
        <v>137</v>
      </c>
      <c r="E179" s="164">
        <f>D179-F179</f>
        <v>2</v>
      </c>
      <c r="F179" s="164">
        <v>135</v>
      </c>
      <c r="G179" s="118">
        <f t="shared" si="21"/>
        <v>0.9854014598540146</v>
      </c>
      <c r="H179" s="127"/>
      <c r="I179" s="163"/>
      <c r="J179" s="163"/>
      <c r="K179" s="163"/>
      <c r="L179" s="137"/>
      <c r="M179" s="163"/>
      <c r="N179" s="138"/>
      <c r="O179" s="137"/>
      <c r="P179" s="137"/>
      <c r="Q179" s="139"/>
    </row>
    <row r="180" spans="1:17" x14ac:dyDescent="0.25">
      <c r="A180" s="142">
        <v>3</v>
      </c>
      <c r="B180" s="143">
        <v>57</v>
      </c>
      <c r="C180" s="143" t="s">
        <v>23</v>
      </c>
      <c r="D180" s="165">
        <v>1024</v>
      </c>
      <c r="E180" s="162">
        <f t="shared" ref="E180:E190" si="22">D180-F180</f>
        <v>51</v>
      </c>
      <c r="F180" s="164">
        <v>973</v>
      </c>
      <c r="G180" s="118">
        <f t="shared" si="21"/>
        <v>0.9501953125</v>
      </c>
      <c r="H180" s="127"/>
      <c r="I180" s="166"/>
      <c r="J180" s="166"/>
      <c r="K180" s="166"/>
      <c r="L180" s="137"/>
      <c r="M180" s="163"/>
      <c r="N180" s="138"/>
      <c r="O180" s="145"/>
      <c r="P180" s="137"/>
      <c r="Q180" s="139"/>
    </row>
    <row r="181" spans="1:17" x14ac:dyDescent="0.25">
      <c r="A181" s="134">
        <v>4</v>
      </c>
      <c r="B181" s="141">
        <v>65</v>
      </c>
      <c r="C181" s="141" t="s">
        <v>25</v>
      </c>
      <c r="D181" s="162">
        <v>76</v>
      </c>
      <c r="E181" s="164">
        <f t="shared" si="22"/>
        <v>8</v>
      </c>
      <c r="F181" s="164">
        <v>68</v>
      </c>
      <c r="G181" s="118">
        <f t="shared" si="21"/>
        <v>0.8947368421052632</v>
      </c>
      <c r="H181" s="127"/>
      <c r="I181" s="163"/>
      <c r="J181" s="163"/>
      <c r="K181" s="163"/>
      <c r="L181" s="137"/>
      <c r="M181" s="163"/>
      <c r="N181" s="138"/>
      <c r="O181" s="137"/>
      <c r="P181" s="137"/>
      <c r="Q181" s="139"/>
    </row>
    <row r="182" spans="1:17" x14ac:dyDescent="0.25">
      <c r="A182" s="134">
        <v>5</v>
      </c>
      <c r="B182" s="141">
        <v>33</v>
      </c>
      <c r="C182" s="146" t="s">
        <v>22</v>
      </c>
      <c r="D182" s="164">
        <v>167</v>
      </c>
      <c r="E182" s="162">
        <f t="shared" si="22"/>
        <v>0</v>
      </c>
      <c r="F182" s="164">
        <v>167</v>
      </c>
      <c r="G182" s="118">
        <f t="shared" si="21"/>
        <v>1</v>
      </c>
      <c r="H182" s="127"/>
      <c r="I182" s="163"/>
      <c r="J182" s="163"/>
      <c r="K182" s="166"/>
      <c r="L182" s="137"/>
      <c r="M182" s="163"/>
      <c r="N182" s="138"/>
      <c r="O182" s="137"/>
      <c r="P182" s="137"/>
      <c r="Q182" s="139"/>
    </row>
    <row r="183" spans="1:17" x14ac:dyDescent="0.25">
      <c r="A183" s="134">
        <v>6</v>
      </c>
      <c r="B183" s="141">
        <v>25</v>
      </c>
      <c r="C183" s="141" t="s">
        <v>26</v>
      </c>
      <c r="D183" s="165">
        <v>5197</v>
      </c>
      <c r="E183" s="164">
        <f t="shared" si="22"/>
        <v>25</v>
      </c>
      <c r="F183" s="164">
        <v>5172</v>
      </c>
      <c r="G183" s="118">
        <f t="shared" si="21"/>
        <v>0.9951895324225515</v>
      </c>
      <c r="H183" s="127"/>
      <c r="I183" s="166"/>
      <c r="J183" s="166"/>
      <c r="K183" s="163"/>
      <c r="L183" s="137"/>
      <c r="M183" s="163"/>
      <c r="N183" s="138"/>
      <c r="O183" s="137"/>
      <c r="P183" s="137"/>
      <c r="Q183" s="139"/>
    </row>
    <row r="184" spans="1:17" x14ac:dyDescent="0.25">
      <c r="A184" s="147">
        <v>7</v>
      </c>
      <c r="B184" s="148">
        <v>11</v>
      </c>
      <c r="C184" s="149" t="s">
        <v>28</v>
      </c>
      <c r="D184" s="162">
        <v>168</v>
      </c>
      <c r="E184" s="162">
        <f t="shared" si="22"/>
        <v>29</v>
      </c>
      <c r="F184" s="164">
        <v>139</v>
      </c>
      <c r="G184" s="118">
        <f t="shared" si="21"/>
        <v>0.8273809523809523</v>
      </c>
      <c r="H184" s="127"/>
      <c r="I184" s="163"/>
      <c r="J184" s="163"/>
      <c r="K184" s="170"/>
      <c r="L184" s="137"/>
      <c r="M184" s="163"/>
      <c r="N184" s="138"/>
      <c r="O184" s="150"/>
      <c r="P184" s="137"/>
      <c r="Q184" s="139"/>
    </row>
    <row r="185" spans="1:17" x14ac:dyDescent="0.25">
      <c r="A185" s="134">
        <v>8</v>
      </c>
      <c r="B185" s="135">
        <v>18</v>
      </c>
      <c r="C185" s="151" t="s">
        <v>24</v>
      </c>
      <c r="D185" s="164">
        <v>607</v>
      </c>
      <c r="E185" s="164">
        <f t="shared" si="22"/>
        <v>171</v>
      </c>
      <c r="F185" s="164">
        <v>436</v>
      </c>
      <c r="G185" s="118">
        <f t="shared" si="21"/>
        <v>0.7182866556836903</v>
      </c>
      <c r="H185" s="127"/>
      <c r="I185" s="163"/>
      <c r="J185" s="163"/>
      <c r="K185" s="166"/>
      <c r="L185" s="137"/>
      <c r="M185" s="163"/>
      <c r="N185" s="138"/>
      <c r="O185" s="137"/>
      <c r="P185" s="137"/>
      <c r="Q185" s="139"/>
    </row>
    <row r="186" spans="1:17" x14ac:dyDescent="0.25">
      <c r="A186" s="134">
        <v>9</v>
      </c>
      <c r="B186" s="141">
        <v>39</v>
      </c>
      <c r="C186" s="141" t="s">
        <v>27</v>
      </c>
      <c r="D186" s="165">
        <v>307</v>
      </c>
      <c r="E186" s="162">
        <f t="shared" si="22"/>
        <v>11</v>
      </c>
      <c r="F186" s="164">
        <v>296</v>
      </c>
      <c r="G186" s="118">
        <f t="shared" si="21"/>
        <v>0.9641693811074918</v>
      </c>
      <c r="H186" s="127"/>
      <c r="I186" s="166"/>
      <c r="J186" s="166"/>
      <c r="K186" s="171"/>
      <c r="L186" s="137"/>
      <c r="M186" s="163"/>
      <c r="N186" s="138"/>
      <c r="O186" s="152"/>
      <c r="P186" s="137"/>
      <c r="Q186" s="139"/>
    </row>
    <row r="187" spans="1:17" x14ac:dyDescent="0.25">
      <c r="A187" s="134">
        <v>10</v>
      </c>
      <c r="B187" s="141">
        <v>36</v>
      </c>
      <c r="C187" s="146" t="s">
        <v>20</v>
      </c>
      <c r="D187" s="162">
        <v>262</v>
      </c>
      <c r="E187" s="164">
        <f t="shared" si="22"/>
        <v>2</v>
      </c>
      <c r="F187" s="164">
        <v>260</v>
      </c>
      <c r="G187" s="118">
        <f t="shared" si="21"/>
        <v>0.9923664122137404</v>
      </c>
      <c r="H187" s="127"/>
      <c r="I187" s="163"/>
      <c r="J187" s="163"/>
      <c r="K187" s="171"/>
      <c r="L187" s="137"/>
      <c r="M187" s="163"/>
      <c r="N187" s="138"/>
      <c r="O187" s="137"/>
      <c r="P187" s="137"/>
      <c r="Q187" s="139"/>
    </row>
    <row r="188" spans="1:17" x14ac:dyDescent="0.25">
      <c r="A188" s="134">
        <v>11</v>
      </c>
      <c r="B188" s="141">
        <v>26</v>
      </c>
      <c r="C188" s="146" t="s">
        <v>21</v>
      </c>
      <c r="D188" s="164">
        <v>65</v>
      </c>
      <c r="E188" s="162">
        <f t="shared" si="22"/>
        <v>15</v>
      </c>
      <c r="F188" s="164">
        <v>50</v>
      </c>
      <c r="G188" s="118">
        <f t="shared" si="21"/>
        <v>0.7692307692307693</v>
      </c>
      <c r="H188" s="127"/>
      <c r="I188" s="163"/>
      <c r="J188" s="163"/>
      <c r="K188" s="171"/>
      <c r="L188" s="137"/>
      <c r="M188" s="163"/>
      <c r="N188" s="138"/>
      <c r="O188" s="137"/>
      <c r="P188" s="137"/>
      <c r="Q188" s="139"/>
    </row>
    <row r="189" spans="1:17" x14ac:dyDescent="0.25">
      <c r="A189" s="134">
        <v>12</v>
      </c>
      <c r="B189" s="141">
        <v>20</v>
      </c>
      <c r="C189" s="146" t="s">
        <v>16</v>
      </c>
      <c r="D189" s="165">
        <v>0</v>
      </c>
      <c r="E189" s="164">
        <f t="shared" si="22"/>
        <v>0</v>
      </c>
      <c r="F189" s="164"/>
      <c r="G189" s="118"/>
      <c r="H189" s="127"/>
      <c r="I189" s="166"/>
      <c r="J189" s="166"/>
      <c r="K189" s="172"/>
      <c r="L189" s="137"/>
      <c r="M189" s="163"/>
      <c r="N189" s="138"/>
      <c r="O189" s="137"/>
      <c r="P189" s="137"/>
      <c r="Q189" s="139"/>
    </row>
    <row r="190" spans="1:17" x14ac:dyDescent="0.25">
      <c r="A190" s="134">
        <v>13</v>
      </c>
      <c r="B190" s="140">
        <v>11</v>
      </c>
      <c r="C190" s="141" t="s">
        <v>17</v>
      </c>
      <c r="D190" s="162">
        <v>20</v>
      </c>
      <c r="E190" s="162">
        <f t="shared" si="22"/>
        <v>2</v>
      </c>
      <c r="F190" s="164">
        <v>18</v>
      </c>
      <c r="G190" s="118">
        <f t="shared" si="21"/>
        <v>0.9</v>
      </c>
      <c r="H190" s="127"/>
      <c r="I190" s="163"/>
      <c r="J190" s="163"/>
      <c r="K190" s="163"/>
      <c r="L190" s="137"/>
      <c r="M190" s="163"/>
      <c r="N190" s="138"/>
      <c r="O190" s="137"/>
      <c r="P190" s="137"/>
      <c r="Q190" s="139"/>
    </row>
    <row r="191" spans="1:17" x14ac:dyDescent="0.25">
      <c r="A191" s="154"/>
      <c r="B191" s="155">
        <f>SUM(B178:B190)</f>
        <v>432</v>
      </c>
      <c r="C191" s="156" t="s">
        <v>29</v>
      </c>
      <c r="D191" s="157">
        <f>SUM(D178:D190)</f>
        <v>8631</v>
      </c>
      <c r="E191" s="157">
        <f t="shared" ref="E191:F191" si="23">SUM(E178:E190)</f>
        <v>321</v>
      </c>
      <c r="F191" s="157">
        <f t="shared" si="23"/>
        <v>8310</v>
      </c>
      <c r="G191" s="158">
        <f>F191/D191</f>
        <v>0.9628084810566563</v>
      </c>
      <c r="H191" s="159"/>
      <c r="I191" s="160"/>
      <c r="J191" s="160"/>
      <c r="K191" s="160"/>
      <c r="L191" s="160"/>
      <c r="M191" s="160"/>
      <c r="N191" s="138"/>
      <c r="O191" s="160"/>
      <c r="P191" s="137"/>
      <c r="Q191" s="139"/>
    </row>
    <row r="192" spans="1:17" x14ac:dyDescent="0.25">
      <c r="A192" s="94"/>
      <c r="B192" s="94"/>
      <c r="C192" s="94"/>
      <c r="D192" s="94"/>
      <c r="E192" s="94"/>
      <c r="F192" s="91">
        <f>F191/D191</f>
        <v>0.9628084810566563</v>
      </c>
      <c r="G192" s="91"/>
      <c r="H192" s="127"/>
      <c r="I192" s="138"/>
      <c r="J192" s="167"/>
      <c r="K192" s="167"/>
      <c r="L192" s="167"/>
      <c r="M192" s="138"/>
      <c r="N192" s="167"/>
      <c r="O192" s="138"/>
      <c r="P192" s="138"/>
      <c r="Q192" s="168"/>
    </row>
    <row r="193" spans="1:17" x14ac:dyDescent="0.25">
      <c r="A193" s="95"/>
      <c r="B193" s="95"/>
      <c r="C193" s="95"/>
      <c r="D193" s="95"/>
      <c r="E193" s="95"/>
      <c r="F193" s="95"/>
      <c r="G193" s="92"/>
      <c r="H193" s="92"/>
      <c r="I193" s="92"/>
      <c r="J193" s="95"/>
      <c r="K193" s="95"/>
      <c r="L193" s="95"/>
      <c r="M193" s="92"/>
      <c r="N193" s="95"/>
      <c r="O193" s="92"/>
      <c r="P193" s="92"/>
      <c r="Q193" s="1"/>
    </row>
    <row r="194" spans="1:17" x14ac:dyDescent="0.25">
      <c r="A194" s="95"/>
      <c r="B194" s="95"/>
      <c r="C194" s="95"/>
      <c r="D194" s="95"/>
      <c r="E194" s="95"/>
      <c r="F194" s="95"/>
      <c r="G194" s="92"/>
      <c r="H194" s="92"/>
      <c r="I194" s="92"/>
      <c r="J194" s="95"/>
      <c r="K194" s="95"/>
      <c r="L194" s="95"/>
      <c r="M194" s="92"/>
      <c r="N194" s="95"/>
      <c r="O194" s="92"/>
      <c r="P194" s="92"/>
      <c r="Q194" s="1"/>
    </row>
    <row r="195" spans="1:17" x14ac:dyDescent="0.25">
      <c r="A195" s="95"/>
      <c r="B195" s="95"/>
      <c r="C195" s="95"/>
      <c r="D195" s="95"/>
      <c r="E195" s="95"/>
      <c r="F195" s="95"/>
      <c r="G195" s="92"/>
      <c r="H195" s="92"/>
      <c r="I195" s="92"/>
      <c r="J195" s="95"/>
      <c r="K195" s="95"/>
      <c r="L195" s="95"/>
      <c r="M195" s="92"/>
      <c r="N195" s="95"/>
      <c r="O195" s="92"/>
      <c r="P195" s="92"/>
      <c r="Q195" s="1"/>
    </row>
    <row r="196" ht="17.4" customHeight="1" spans="1:17" x14ac:dyDescent="0.25">
      <c r="A196" s="169" t="s">
        <v>41</v>
      </c>
      <c r="B196" s="169"/>
      <c r="C196" s="169"/>
      <c r="D196" s="169"/>
      <c r="E196" s="169"/>
      <c r="F196" s="169"/>
      <c r="G196" s="169"/>
      <c r="H196" s="92"/>
      <c r="I196" s="92"/>
      <c r="J196" s="95"/>
      <c r="K196" s="95"/>
      <c r="L196" s="95"/>
      <c r="M196" s="92"/>
      <c r="N196" s="95"/>
      <c r="O196" s="92"/>
      <c r="P196" s="92"/>
      <c r="Q196" s="1"/>
    </row>
    <row r="197" spans="1:17" x14ac:dyDescent="0.25">
      <c r="A197" s="99" t="s">
        <v>2</v>
      </c>
      <c r="B197" s="100" t="s">
        <v>3</v>
      </c>
      <c r="C197" s="99" t="s">
        <v>4</v>
      </c>
      <c r="D197" s="101" t="s">
        <v>33</v>
      </c>
      <c r="E197" s="99" t="s">
        <v>6</v>
      </c>
      <c r="F197" s="99"/>
      <c r="G197" s="99"/>
      <c r="H197" s="92"/>
      <c r="I197" s="92"/>
      <c r="J197" s="95"/>
      <c r="K197" s="95"/>
      <c r="L197" s="95"/>
      <c r="M197" s="92"/>
      <c r="N197" s="95"/>
      <c r="O197" s="92"/>
      <c r="P197" s="92"/>
      <c r="Q197" s="1"/>
    </row>
    <row r="198" ht="27" customHeight="1" spans="1:17" x14ac:dyDescent="0.25">
      <c r="A198" s="99"/>
      <c r="B198" s="100"/>
      <c r="C198" s="99"/>
      <c r="D198" s="107"/>
      <c r="E198" s="99" t="s">
        <v>7</v>
      </c>
      <c r="F198" s="99" t="s">
        <v>8</v>
      </c>
      <c r="G198" s="100" t="s">
        <v>9</v>
      </c>
      <c r="H198" s="92"/>
      <c r="I198" s="92"/>
      <c r="J198" s="95"/>
      <c r="K198" s="95"/>
      <c r="L198" s="95"/>
      <c r="M198" s="92"/>
      <c r="N198" s="95"/>
      <c r="O198" s="92"/>
      <c r="P198" s="92"/>
      <c r="Q198" s="1"/>
    </row>
    <row r="199" spans="1:17" x14ac:dyDescent="0.25">
      <c r="A199" s="99"/>
      <c r="B199" s="99" t="s">
        <v>10</v>
      </c>
      <c r="C199" s="99" t="s">
        <v>11</v>
      </c>
      <c r="D199" s="100" t="s">
        <v>12</v>
      </c>
      <c r="E199" s="99" t="s">
        <v>14</v>
      </c>
      <c r="F199" s="99" t="s">
        <v>15</v>
      </c>
      <c r="G199" s="99"/>
      <c r="H199" s="92"/>
      <c r="I199" s="92"/>
      <c r="J199" s="95"/>
      <c r="K199" s="95"/>
      <c r="L199" s="95"/>
      <c r="M199" s="92"/>
      <c r="N199" s="95"/>
      <c r="O199" s="92"/>
      <c r="P199" s="92"/>
      <c r="Q199" s="1"/>
    </row>
    <row r="200" spans="1:17" x14ac:dyDescent="0.25">
      <c r="A200" s="134">
        <v>1</v>
      </c>
      <c r="B200" s="135">
        <v>49</v>
      </c>
      <c r="C200" s="135" t="s">
        <v>19</v>
      </c>
      <c r="D200" s="162">
        <v>425</v>
      </c>
      <c r="E200" s="162">
        <f>D200-F200</f>
        <v>41</v>
      </c>
      <c r="F200" s="164">
        <v>384</v>
      </c>
      <c r="G200" s="118">
        <f t="shared" ref="G200:G210" si="24">F200/D200</f>
        <v>0.9035294117647059</v>
      </c>
      <c r="H200" s="92"/>
      <c r="I200" s="92"/>
      <c r="J200" s="95"/>
      <c r="K200" s="95"/>
      <c r="L200" s="95"/>
      <c r="M200" s="92"/>
      <c r="N200" s="95"/>
      <c r="O200" s="92"/>
      <c r="P200" s="92"/>
      <c r="Q200" s="1"/>
    </row>
    <row r="201" spans="1:17" x14ac:dyDescent="0.25">
      <c r="A201" s="134">
        <v>2</v>
      </c>
      <c r="B201" s="140">
        <v>42</v>
      </c>
      <c r="C201" s="141" t="s">
        <v>18</v>
      </c>
      <c r="D201" s="164">
        <v>281</v>
      </c>
      <c r="E201" s="164">
        <f>D201-F201</f>
        <v>1</v>
      </c>
      <c r="F201" s="164">
        <v>280</v>
      </c>
      <c r="G201" s="118">
        <f t="shared" si="24"/>
        <v>0.99644128113879</v>
      </c>
      <c r="H201" s="92"/>
      <c r="I201" s="92"/>
      <c r="J201" s="95"/>
      <c r="K201" s="95"/>
      <c r="L201" s="95"/>
      <c r="M201" s="92"/>
      <c r="N201" s="95"/>
      <c r="O201" s="92"/>
      <c r="P201" s="92"/>
      <c r="Q201" s="1"/>
    </row>
    <row r="202" spans="1:17" x14ac:dyDescent="0.25">
      <c r="A202" s="142">
        <v>3</v>
      </c>
      <c r="B202" s="143">
        <v>57</v>
      </c>
      <c r="C202" s="143" t="s">
        <v>23</v>
      </c>
      <c r="D202" s="165">
        <v>317</v>
      </c>
      <c r="E202" s="162">
        <f t="shared" ref="E202:E212" si="25">D202-F202</f>
        <v>122</v>
      </c>
      <c r="F202" s="164">
        <v>195</v>
      </c>
      <c r="G202" s="118">
        <f t="shared" si="24"/>
        <v>0.6151419558359621</v>
      </c>
      <c r="H202" s="92"/>
      <c r="I202" s="92"/>
      <c r="J202" s="95"/>
      <c r="K202" s="95"/>
      <c r="L202" s="95"/>
      <c r="M202" s="92"/>
      <c r="N202" s="95"/>
      <c r="O202" s="92"/>
      <c r="P202" s="92"/>
      <c r="Q202" s="1"/>
    </row>
    <row r="203" spans="1:17" x14ac:dyDescent="0.25">
      <c r="A203" s="134">
        <v>4</v>
      </c>
      <c r="B203" s="141">
        <v>65</v>
      </c>
      <c r="C203" s="141" t="s">
        <v>25</v>
      </c>
      <c r="D203" s="162">
        <v>238</v>
      </c>
      <c r="E203" s="164">
        <f t="shared" si="25"/>
        <v>3</v>
      </c>
      <c r="F203" s="164">
        <v>235</v>
      </c>
      <c r="G203" s="118">
        <f t="shared" si="24"/>
        <v>0.9873949579831933</v>
      </c>
      <c r="H203" s="92"/>
      <c r="I203" s="92"/>
      <c r="J203" s="95"/>
      <c r="K203" s="95"/>
      <c r="L203" s="95"/>
      <c r="M203" s="92"/>
      <c r="N203" s="95"/>
      <c r="O203" s="92"/>
      <c r="P203" s="92"/>
      <c r="Q203" s="1"/>
    </row>
    <row r="204" spans="1:17" x14ac:dyDescent="0.25">
      <c r="A204" s="134">
        <v>5</v>
      </c>
      <c r="B204" s="141">
        <v>33</v>
      </c>
      <c r="C204" s="146" t="s">
        <v>22</v>
      </c>
      <c r="D204" s="164">
        <v>100</v>
      </c>
      <c r="E204" s="162">
        <f t="shared" si="25"/>
        <v>0</v>
      </c>
      <c r="F204" s="164">
        <v>100</v>
      </c>
      <c r="G204" s="118">
        <f t="shared" si="24"/>
        <v>1</v>
      </c>
      <c r="H204" s="92"/>
      <c r="I204" s="92"/>
      <c r="J204" s="95"/>
      <c r="K204" s="95"/>
      <c r="L204" s="95"/>
      <c r="M204" s="92"/>
      <c r="N204" s="95"/>
      <c r="O204" s="92"/>
      <c r="P204" s="92"/>
      <c r="Q204" s="1"/>
    </row>
    <row r="205" spans="1:17" x14ac:dyDescent="0.25">
      <c r="A205" s="134">
        <v>6</v>
      </c>
      <c r="B205" s="141">
        <v>25</v>
      </c>
      <c r="C205" s="141" t="s">
        <v>26</v>
      </c>
      <c r="D205" s="165">
        <v>4292</v>
      </c>
      <c r="E205" s="164">
        <f t="shared" si="25"/>
        <v>95</v>
      </c>
      <c r="F205" s="164">
        <v>4197</v>
      </c>
      <c r="G205" s="118">
        <f t="shared" si="24"/>
        <v>0.977865796831314</v>
      </c>
      <c r="H205" s="92"/>
      <c r="I205" s="92"/>
      <c r="J205" s="95"/>
      <c r="K205" s="95"/>
      <c r="L205" s="95"/>
      <c r="M205" s="92"/>
      <c r="N205" s="95"/>
      <c r="O205" s="92"/>
      <c r="P205" s="92"/>
      <c r="Q205" s="1"/>
    </row>
    <row r="206" spans="1:17" x14ac:dyDescent="0.25">
      <c r="A206" s="147">
        <v>7</v>
      </c>
      <c r="B206" s="148">
        <v>11</v>
      </c>
      <c r="C206" s="149" t="s">
        <v>28</v>
      </c>
      <c r="D206" s="162">
        <v>100</v>
      </c>
      <c r="E206" s="162">
        <f t="shared" si="25"/>
        <v>8</v>
      </c>
      <c r="F206" s="164">
        <v>92</v>
      </c>
      <c r="G206" s="118">
        <f t="shared" si="24"/>
        <v>0.92</v>
      </c>
      <c r="H206" s="92"/>
      <c r="I206" s="92"/>
      <c r="J206" s="95"/>
      <c r="K206" s="95"/>
      <c r="L206" s="95"/>
      <c r="M206" s="92"/>
      <c r="N206" s="95"/>
      <c r="O206" s="92"/>
      <c r="P206" s="92"/>
      <c r="Q206" s="1"/>
    </row>
    <row r="207" spans="1:17" x14ac:dyDescent="0.25">
      <c r="A207" s="134">
        <v>8</v>
      </c>
      <c r="B207" s="135">
        <v>18</v>
      </c>
      <c r="C207" s="151" t="s">
        <v>24</v>
      </c>
      <c r="D207" s="164">
        <v>43</v>
      </c>
      <c r="E207" s="164">
        <f t="shared" si="25"/>
        <v>0</v>
      </c>
      <c r="F207" s="164">
        <v>43</v>
      </c>
      <c r="G207" s="118">
        <f t="shared" si="24"/>
        <v>1</v>
      </c>
      <c r="H207" s="92"/>
      <c r="I207" s="92"/>
      <c r="J207" s="95"/>
      <c r="K207" s="95"/>
      <c r="L207" s="95"/>
      <c r="M207" s="92"/>
      <c r="N207" s="95"/>
      <c r="O207" s="92"/>
      <c r="P207" s="92"/>
      <c r="Q207" s="1"/>
    </row>
    <row r="208" spans="1:17" x14ac:dyDescent="0.25">
      <c r="A208" s="134">
        <v>9</v>
      </c>
      <c r="B208" s="141">
        <v>39</v>
      </c>
      <c r="C208" s="141" t="s">
        <v>27</v>
      </c>
      <c r="D208" s="165">
        <v>491</v>
      </c>
      <c r="E208" s="162">
        <f t="shared" si="25"/>
        <v>20</v>
      </c>
      <c r="F208" s="164">
        <v>471</v>
      </c>
      <c r="G208" s="118">
        <f t="shared" si="24"/>
        <v>0.9592668024439919</v>
      </c>
      <c r="H208" s="92"/>
      <c r="I208" s="92"/>
      <c r="J208" s="95"/>
      <c r="K208" s="95"/>
      <c r="L208" s="95"/>
      <c r="M208" s="92"/>
      <c r="N208" s="95"/>
      <c r="O208" s="92"/>
      <c r="P208" s="92"/>
      <c r="Q208" s="1"/>
    </row>
    <row r="209" spans="1:17" x14ac:dyDescent="0.25">
      <c r="A209" s="134">
        <v>10</v>
      </c>
      <c r="B209" s="141">
        <v>36</v>
      </c>
      <c r="C209" s="146" t="s">
        <v>20</v>
      </c>
      <c r="D209" s="162">
        <v>258</v>
      </c>
      <c r="E209" s="164">
        <f t="shared" si="25"/>
        <v>21</v>
      </c>
      <c r="F209" s="164">
        <v>237</v>
      </c>
      <c r="G209" s="118">
        <f t="shared" si="24"/>
        <v>0.9186046511627907</v>
      </c>
      <c r="H209" s="92"/>
      <c r="I209" s="92"/>
      <c r="J209" s="95"/>
      <c r="K209" s="95"/>
      <c r="L209" s="95"/>
      <c r="M209" s="92"/>
      <c r="N209" s="95"/>
      <c r="O209" s="92"/>
      <c r="P209" s="92"/>
      <c r="Q209" s="1"/>
    </row>
    <row r="210" spans="1:17" x14ac:dyDescent="0.25">
      <c r="A210" s="134">
        <v>11</v>
      </c>
      <c r="B210" s="141">
        <v>26</v>
      </c>
      <c r="C210" s="146" t="s">
        <v>21</v>
      </c>
      <c r="D210" s="164">
        <v>61</v>
      </c>
      <c r="E210" s="162">
        <f t="shared" si="25"/>
        <v>17</v>
      </c>
      <c r="F210" s="164">
        <v>44</v>
      </c>
      <c r="G210" s="118">
        <f t="shared" si="24"/>
        <v>0.7213114754098361</v>
      </c>
      <c r="H210" s="92"/>
      <c r="I210" s="92"/>
      <c r="J210" s="95"/>
      <c r="K210" s="95"/>
      <c r="L210" s="95"/>
      <c r="M210" s="92"/>
      <c r="N210" s="95"/>
      <c r="O210" s="92"/>
      <c r="P210" s="92"/>
      <c r="Q210" s="1"/>
    </row>
    <row r="211" spans="1:17" x14ac:dyDescent="0.25">
      <c r="A211" s="134">
        <v>12</v>
      </c>
      <c r="B211" s="141">
        <v>20</v>
      </c>
      <c r="C211" s="146" t="s">
        <v>16</v>
      </c>
      <c r="D211" s="165"/>
      <c r="E211" s="164">
        <f t="shared" si="25"/>
        <v>0</v>
      </c>
      <c r="F211" s="164"/>
      <c r="G211" s="118"/>
      <c r="H211" s="92"/>
      <c r="I211" s="92"/>
      <c r="J211" s="95"/>
      <c r="K211" s="95"/>
      <c r="L211" s="95"/>
      <c r="M211" s="92"/>
      <c r="N211" s="95"/>
      <c r="O211" s="92"/>
      <c r="P211" s="92"/>
      <c r="Q211" s="1"/>
    </row>
    <row r="212" spans="1:17" x14ac:dyDescent="0.25">
      <c r="A212" s="134">
        <v>13</v>
      </c>
      <c r="B212" s="140">
        <v>11</v>
      </c>
      <c r="C212" s="141" t="s">
        <v>17</v>
      </c>
      <c r="D212" s="162">
        <v>59</v>
      </c>
      <c r="E212" s="162">
        <f t="shared" si="25"/>
        <v>40</v>
      </c>
      <c r="F212" s="164">
        <v>19</v>
      </c>
      <c r="G212" s="118">
        <f t="shared" ref="G212" si="26">F212/D212</f>
        <v>0.3220338983050847</v>
      </c>
      <c r="H212" s="92"/>
      <c r="I212" s="92"/>
      <c r="J212" s="95"/>
      <c r="K212" s="95"/>
      <c r="L212" s="95"/>
      <c r="M212" s="92"/>
      <c r="N212" s="95"/>
      <c r="O212" s="92"/>
      <c r="P212" s="92"/>
      <c r="Q212" s="1"/>
    </row>
    <row r="213" spans="1:17" x14ac:dyDescent="0.25">
      <c r="A213" s="154"/>
      <c r="B213" s="155">
        <f>SUM(B200:B212)</f>
        <v>432</v>
      </c>
      <c r="C213" s="156" t="s">
        <v>29</v>
      </c>
      <c r="D213" s="157">
        <f>SUM(D200:D212)</f>
        <v>6665</v>
      </c>
      <c r="E213" s="157">
        <f t="shared" ref="E213:F213" si="27">SUM(E200:E212)</f>
        <v>368</v>
      </c>
      <c r="F213" s="157">
        <f t="shared" si="27"/>
        <v>6297</v>
      </c>
      <c r="G213" s="158">
        <f>F213/D213</f>
        <v>0.9447861965491373</v>
      </c>
      <c r="H213" s="92"/>
      <c r="I213" s="92"/>
      <c r="J213" s="95"/>
      <c r="K213" s="95"/>
      <c r="L213" s="95"/>
      <c r="M213" s="92"/>
      <c r="N213" s="95"/>
      <c r="O213" s="92"/>
      <c r="P213" s="92"/>
      <c r="Q213" s="1"/>
    </row>
    <row r="214" spans="1:17" x14ac:dyDescent="0.25">
      <c r="A214" s="94"/>
      <c r="B214" s="94"/>
      <c r="C214" s="94"/>
      <c r="D214" s="94"/>
      <c r="E214" s="94"/>
      <c r="F214" s="91">
        <f>F213/D213</f>
        <v>0.9447861965491373</v>
      </c>
      <c r="G214" s="91"/>
      <c r="H214" s="92"/>
      <c r="I214" s="92"/>
      <c r="J214" s="95"/>
      <c r="K214" s="95"/>
      <c r="L214" s="95"/>
      <c r="M214" s="92"/>
      <c r="N214" s="95"/>
      <c r="O214" s="92"/>
      <c r="P214" s="92"/>
      <c r="Q214" s="1"/>
    </row>
    <row r="215" spans="1:17" x14ac:dyDescent="0.25">
      <c r="A215" s="95"/>
      <c r="B215" s="95"/>
      <c r="C215" s="95"/>
      <c r="D215" s="95"/>
      <c r="E215" s="95"/>
      <c r="F215" s="95"/>
      <c r="G215" s="92"/>
      <c r="H215" s="92"/>
      <c r="I215" s="92"/>
      <c r="J215" s="95"/>
      <c r="K215" s="95"/>
      <c r="L215" s="95"/>
      <c r="M215" s="92"/>
      <c r="N215" s="95"/>
      <c r="O215" s="92"/>
      <c r="P215" s="92"/>
      <c r="Q215" s="1"/>
    </row>
    <row r="216" spans="1:17" x14ac:dyDescent="0.25">
      <c r="A216" s="95"/>
      <c r="B216" s="95"/>
      <c r="C216" s="95"/>
      <c r="D216" s="95"/>
      <c r="E216" s="95"/>
      <c r="F216" s="95"/>
      <c r="G216" s="92"/>
      <c r="H216" s="92"/>
      <c r="I216" s="92"/>
      <c r="J216" s="95"/>
      <c r="K216" s="95"/>
      <c r="L216" s="95"/>
      <c r="M216" s="92"/>
      <c r="N216" s="95"/>
      <c r="O216" s="92"/>
      <c r="P216" s="92"/>
      <c r="Q216" s="1"/>
    </row>
    <row r="217" spans="1:17" x14ac:dyDescent="0.25">
      <c r="A217" s="95"/>
      <c r="B217" s="95"/>
      <c r="C217" s="95"/>
      <c r="D217" s="95"/>
      <c r="E217" s="95"/>
      <c r="F217" s="95"/>
      <c r="G217" s="92"/>
      <c r="H217" s="92"/>
      <c r="I217" s="92"/>
      <c r="J217" s="95"/>
      <c r="K217" s="95"/>
      <c r="L217" s="95"/>
      <c r="M217" s="92"/>
      <c r="N217" s="95"/>
      <c r="O217" s="92"/>
      <c r="P217" s="92"/>
      <c r="Q217" s="1"/>
    </row>
    <row r="218" ht="17.4" customHeight="1" spans="1:17" x14ac:dyDescent="0.25">
      <c r="A218" s="169" t="s">
        <v>42</v>
      </c>
      <c r="B218" s="169"/>
      <c r="C218" s="169"/>
      <c r="D218" s="169"/>
      <c r="E218" s="169"/>
      <c r="F218" s="169"/>
      <c r="G218" s="169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</row>
    <row r="219" spans="1:17" x14ac:dyDescent="0.25">
      <c r="A219" s="99" t="s">
        <v>2</v>
      </c>
      <c r="B219" s="100" t="s">
        <v>3</v>
      </c>
      <c r="C219" s="99" t="s">
        <v>4</v>
      </c>
      <c r="D219" s="173" t="s">
        <v>43</v>
      </c>
      <c r="E219" s="173"/>
      <c r="F219" s="174" t="s">
        <v>44</v>
      </c>
      <c r="G219" s="175" t="s">
        <v>45</v>
      </c>
      <c r="H219" s="176" t="s">
        <v>46</v>
      </c>
      <c r="I219" s="177" t="s">
        <v>47</v>
      </c>
      <c r="J219" s="178" t="s">
        <v>33</v>
      </c>
      <c r="K219" s="100" t="s">
        <v>48</v>
      </c>
      <c r="L219" s="99" t="s">
        <v>6</v>
      </c>
      <c r="M219" s="99"/>
      <c r="N219" s="99"/>
      <c r="O219" s="100" t="s">
        <v>49</v>
      </c>
      <c r="P219" s="100" t="s">
        <v>50</v>
      </c>
      <c r="Q219" s="100" t="s">
        <v>51</v>
      </c>
    </row>
    <row r="220" ht="27" customHeight="1" spans="1:17" x14ac:dyDescent="0.25">
      <c r="A220" s="99"/>
      <c r="B220" s="100"/>
      <c r="C220" s="99"/>
      <c r="D220" s="179" t="s">
        <v>52</v>
      </c>
      <c r="E220" s="177" t="s">
        <v>53</v>
      </c>
      <c r="F220" s="180"/>
      <c r="G220" s="175"/>
      <c r="H220" s="181"/>
      <c r="I220" s="177"/>
      <c r="J220" s="178"/>
      <c r="K220" s="100"/>
      <c r="L220" s="99" t="s">
        <v>7</v>
      </c>
      <c r="M220" s="99" t="s">
        <v>8</v>
      </c>
      <c r="N220" s="100" t="s">
        <v>9</v>
      </c>
      <c r="O220" s="100"/>
      <c r="P220" s="100"/>
      <c r="Q220" s="100"/>
    </row>
    <row r="221" spans="1:17" x14ac:dyDescent="0.25">
      <c r="A221" s="99"/>
      <c r="B221" s="99" t="s">
        <v>10</v>
      </c>
      <c r="C221" s="99" t="s">
        <v>11</v>
      </c>
      <c r="D221" s="100"/>
      <c r="E221" s="100"/>
      <c r="F221" s="100"/>
      <c r="G221" s="100"/>
      <c r="H221" s="100"/>
      <c r="I221" s="100"/>
      <c r="J221" s="100" t="s">
        <v>12</v>
      </c>
      <c r="K221" s="100" t="s">
        <v>13</v>
      </c>
      <c r="L221" s="99" t="s">
        <v>14</v>
      </c>
      <c r="M221" s="99" t="s">
        <v>15</v>
      </c>
      <c r="N221" s="99"/>
      <c r="O221" s="100" t="s">
        <v>54</v>
      </c>
      <c r="P221" s="100" t="s">
        <v>54</v>
      </c>
      <c r="Q221" s="100"/>
    </row>
    <row r="222" spans="1:17" x14ac:dyDescent="0.25">
      <c r="A222" s="134">
        <v>1</v>
      </c>
      <c r="B222" s="135">
        <v>49</v>
      </c>
      <c r="C222" s="135" t="s">
        <v>19</v>
      </c>
      <c r="D222" s="162">
        <v>0</v>
      </c>
      <c r="E222" s="162">
        <v>2532</v>
      </c>
      <c r="F222" s="162">
        <v>32</v>
      </c>
      <c r="G222" s="162">
        <v>1616</v>
      </c>
      <c r="H222" s="162">
        <v>256</v>
      </c>
      <c r="I222" s="162">
        <v>1</v>
      </c>
      <c r="J222" s="162">
        <v>353</v>
      </c>
      <c r="K222" s="164">
        <v>1760441447.73</v>
      </c>
      <c r="L222" s="141">
        <f>D222+E222+F222+G222+H222+I222+J222</f>
        <v>4790</v>
      </c>
      <c r="M222" s="164">
        <v>332</v>
      </c>
      <c r="N222" s="182">
        <f>M222/J222</f>
        <v>0.9405099150141643</v>
      </c>
      <c r="O222" s="164">
        <v>2</v>
      </c>
      <c r="P222" s="141">
        <v>47</v>
      </c>
      <c r="Q222" s="183">
        <f>D222+E222+F222+G222+H222+I222+J222</f>
        <v>4790</v>
      </c>
    </row>
    <row r="223" spans="1:17" x14ac:dyDescent="0.25">
      <c r="A223" s="134">
        <v>2</v>
      </c>
      <c r="B223" s="140">
        <v>42</v>
      </c>
      <c r="C223" s="141" t="s">
        <v>18</v>
      </c>
      <c r="D223" s="164">
        <v>6370</v>
      </c>
      <c r="E223" s="162">
        <v>18970</v>
      </c>
      <c r="F223" s="162">
        <v>133</v>
      </c>
      <c r="G223" s="162">
        <v>6855</v>
      </c>
      <c r="H223" s="162">
        <v>18943</v>
      </c>
      <c r="I223" s="162">
        <v>2943</v>
      </c>
      <c r="J223" s="162">
        <v>270</v>
      </c>
      <c r="K223" s="164">
        <v>113493878.73000002</v>
      </c>
      <c r="L223" s="141">
        <f t="shared" ref="L223:L234" si="28">D223+E223+F223+G223+H223+I223+J223</f>
        <v>54484</v>
      </c>
      <c r="M223" s="164">
        <v>119</v>
      </c>
      <c r="N223" s="182">
        <f t="shared" ref="N223:N234" si="29">M223/J223</f>
        <v>0.44074074074074077</v>
      </c>
      <c r="O223" s="164"/>
      <c r="P223" s="141">
        <v>42</v>
      </c>
      <c r="Q223" s="183">
        <f t="shared" ref="Q223:Q234" si="30">D223+E223+F223+G223+H223+I223+J223</f>
        <v>54484</v>
      </c>
    </row>
    <row r="224" spans="1:17" x14ac:dyDescent="0.25">
      <c r="A224" s="142">
        <v>3</v>
      </c>
      <c r="B224" s="143">
        <v>57</v>
      </c>
      <c r="C224" s="143" t="s">
        <v>23</v>
      </c>
      <c r="D224" s="165">
        <v>7710</v>
      </c>
      <c r="E224" s="162">
        <v>27852</v>
      </c>
      <c r="F224" s="162">
        <v>283</v>
      </c>
      <c r="G224" s="162">
        <v>12575</v>
      </c>
      <c r="H224" s="162">
        <v>140461</v>
      </c>
      <c r="I224" s="162">
        <v>1164</v>
      </c>
      <c r="J224" s="162">
        <v>224</v>
      </c>
      <c r="K224" s="165">
        <v>-2540626083.470002</v>
      </c>
      <c r="L224" s="141">
        <f t="shared" si="28"/>
        <v>190269</v>
      </c>
      <c r="M224" s="164">
        <v>158</v>
      </c>
      <c r="N224" s="182">
        <f t="shared" si="29"/>
        <v>0.7053571428571429</v>
      </c>
      <c r="O224" s="165">
        <v>1</v>
      </c>
      <c r="P224" s="141">
        <v>56</v>
      </c>
      <c r="Q224" s="183">
        <f t="shared" si="30"/>
        <v>190269</v>
      </c>
    </row>
    <row r="225" spans="1:17" x14ac:dyDescent="0.25">
      <c r="A225" s="134">
        <v>4</v>
      </c>
      <c r="B225" s="141">
        <v>65</v>
      </c>
      <c r="C225" s="141" t="s">
        <v>25</v>
      </c>
      <c r="D225" s="162">
        <v>152</v>
      </c>
      <c r="E225" s="162">
        <v>301</v>
      </c>
      <c r="F225" s="162">
        <v>14</v>
      </c>
      <c r="G225" s="162">
        <v>25</v>
      </c>
      <c r="H225" s="162">
        <v>2018</v>
      </c>
      <c r="I225" s="162">
        <v>37</v>
      </c>
      <c r="J225" s="162">
        <v>58</v>
      </c>
      <c r="K225" s="164">
        <v>5211665865.860001</v>
      </c>
      <c r="L225" s="141">
        <f t="shared" si="28"/>
        <v>2605</v>
      </c>
      <c r="M225" s="164">
        <v>45</v>
      </c>
      <c r="N225" s="182">
        <f t="shared" si="29"/>
        <v>0.7758620689655172</v>
      </c>
      <c r="O225" s="164">
        <v>2</v>
      </c>
      <c r="P225" s="141">
        <v>55</v>
      </c>
      <c r="Q225" s="183">
        <f t="shared" si="30"/>
        <v>2605</v>
      </c>
    </row>
    <row r="226" spans="1:17" x14ac:dyDescent="0.25">
      <c r="A226" s="134">
        <v>5</v>
      </c>
      <c r="B226" s="141">
        <v>33</v>
      </c>
      <c r="C226" s="146" t="s">
        <v>22</v>
      </c>
      <c r="D226" s="164">
        <v>30</v>
      </c>
      <c r="E226" s="162">
        <v>386</v>
      </c>
      <c r="F226" s="162">
        <v>7</v>
      </c>
      <c r="G226" s="162">
        <v>256</v>
      </c>
      <c r="H226" s="162">
        <v>2909</v>
      </c>
      <c r="I226" s="162">
        <v>1</v>
      </c>
      <c r="J226" s="162">
        <v>54</v>
      </c>
      <c r="K226" s="184">
        <v>967092594.5644449</v>
      </c>
      <c r="L226" s="141">
        <f t="shared" si="28"/>
        <v>3643</v>
      </c>
      <c r="M226" s="164">
        <v>31</v>
      </c>
      <c r="N226" s="182">
        <f t="shared" si="29"/>
        <v>0.5740740740740741</v>
      </c>
      <c r="O226" s="164">
        <v>5</v>
      </c>
      <c r="P226" s="141">
        <v>28</v>
      </c>
      <c r="Q226" s="183">
        <f t="shared" si="30"/>
        <v>3643</v>
      </c>
    </row>
    <row r="227" spans="1:17" x14ac:dyDescent="0.25">
      <c r="A227" s="134">
        <v>6</v>
      </c>
      <c r="B227" s="141">
        <v>25</v>
      </c>
      <c r="C227" s="141" t="s">
        <v>26</v>
      </c>
      <c r="D227" s="165">
        <v>1373</v>
      </c>
      <c r="E227" s="162">
        <v>9377</v>
      </c>
      <c r="F227" s="162">
        <v>42</v>
      </c>
      <c r="G227" s="162">
        <v>3</v>
      </c>
      <c r="H227" s="162">
        <v>23200</v>
      </c>
      <c r="I227" s="162">
        <v>4</v>
      </c>
      <c r="J227" s="162">
        <v>3734</v>
      </c>
      <c r="K227" s="164">
        <v>1085600036.78</v>
      </c>
      <c r="L227" s="141">
        <f t="shared" si="28"/>
        <v>37733</v>
      </c>
      <c r="M227" s="164">
        <v>3698</v>
      </c>
      <c r="N227" s="182">
        <f t="shared" si="29"/>
        <v>0.9903588644884842</v>
      </c>
      <c r="O227" s="164">
        <v>2</v>
      </c>
      <c r="P227" s="141">
        <v>23</v>
      </c>
      <c r="Q227" s="183">
        <f t="shared" si="30"/>
        <v>37733</v>
      </c>
    </row>
    <row r="228" spans="1:17" x14ac:dyDescent="0.25">
      <c r="A228" s="147">
        <v>7</v>
      </c>
      <c r="B228" s="148">
        <v>11</v>
      </c>
      <c r="C228" s="149" t="s">
        <v>28</v>
      </c>
      <c r="D228" s="162">
        <v>767</v>
      </c>
      <c r="E228" s="162">
        <v>2537</v>
      </c>
      <c r="F228" s="162">
        <v>27</v>
      </c>
      <c r="G228" s="162">
        <v>439</v>
      </c>
      <c r="H228" s="162">
        <v>16364</v>
      </c>
      <c r="I228" s="162">
        <v>1</v>
      </c>
      <c r="J228" s="162">
        <v>54</v>
      </c>
      <c r="K228" s="185">
        <v>67566415.85</v>
      </c>
      <c r="L228" s="141">
        <f t="shared" si="28"/>
        <v>20189</v>
      </c>
      <c r="M228" s="164">
        <v>43</v>
      </c>
      <c r="N228" s="182">
        <f t="shared" si="29"/>
        <v>0.7962962962962963</v>
      </c>
      <c r="O228" s="185"/>
      <c r="P228" s="141">
        <v>11</v>
      </c>
      <c r="Q228" s="183">
        <f t="shared" si="30"/>
        <v>20189</v>
      </c>
    </row>
    <row r="229" spans="1:17" x14ac:dyDescent="0.25">
      <c r="A229" s="134">
        <v>8</v>
      </c>
      <c r="B229" s="135">
        <v>18</v>
      </c>
      <c r="C229" s="151" t="s">
        <v>24</v>
      </c>
      <c r="D229" s="164">
        <v>1084</v>
      </c>
      <c r="E229" s="162">
        <v>7449</v>
      </c>
      <c r="F229" s="162">
        <v>4</v>
      </c>
      <c r="G229" s="162">
        <v>1493</v>
      </c>
      <c r="H229" s="162">
        <v>22987</v>
      </c>
      <c r="I229" s="162">
        <v>0</v>
      </c>
      <c r="J229" s="162">
        <v>192</v>
      </c>
      <c r="K229" s="184">
        <v>-136132165.29000002</v>
      </c>
      <c r="L229" s="141">
        <f t="shared" si="28"/>
        <v>33209</v>
      </c>
      <c r="M229" s="164">
        <v>0</v>
      </c>
      <c r="N229" s="182">
        <f t="shared" si="29"/>
        <v>0</v>
      </c>
      <c r="O229" s="164">
        <v>11</v>
      </c>
      <c r="P229" s="141">
        <v>7</v>
      </c>
      <c r="Q229" s="183">
        <f t="shared" si="30"/>
        <v>33209</v>
      </c>
    </row>
    <row r="230" spans="1:17" x14ac:dyDescent="0.25">
      <c r="A230" s="134">
        <v>9</v>
      </c>
      <c r="B230" s="141">
        <v>39</v>
      </c>
      <c r="C230" s="141" t="s">
        <v>27</v>
      </c>
      <c r="D230" s="165">
        <v>147</v>
      </c>
      <c r="E230" s="162">
        <v>4567</v>
      </c>
      <c r="F230" s="162">
        <v>5</v>
      </c>
      <c r="G230" s="162">
        <v>147</v>
      </c>
      <c r="H230" s="162">
        <v>1408</v>
      </c>
      <c r="I230" s="162">
        <v>5</v>
      </c>
      <c r="J230" s="162">
        <v>179</v>
      </c>
      <c r="K230" s="186">
        <v>469128511.84999996</v>
      </c>
      <c r="L230" s="141">
        <f t="shared" si="28"/>
        <v>6458</v>
      </c>
      <c r="M230" s="164">
        <v>121</v>
      </c>
      <c r="N230" s="182">
        <f t="shared" si="29"/>
        <v>0.6759776536312849</v>
      </c>
      <c r="O230" s="186">
        <v>5</v>
      </c>
      <c r="P230" s="141">
        <v>34</v>
      </c>
      <c r="Q230" s="183">
        <f t="shared" si="30"/>
        <v>6458</v>
      </c>
    </row>
    <row r="231" spans="1:17" x14ac:dyDescent="0.25">
      <c r="A231" s="134">
        <v>10</v>
      </c>
      <c r="B231" s="141">
        <v>36</v>
      </c>
      <c r="C231" s="146" t="s">
        <v>20</v>
      </c>
      <c r="D231" s="162">
        <v>4994</v>
      </c>
      <c r="E231" s="162">
        <v>44234</v>
      </c>
      <c r="F231" s="162">
        <v>39</v>
      </c>
      <c r="G231" s="162">
        <v>194</v>
      </c>
      <c r="H231" s="162">
        <v>117608</v>
      </c>
      <c r="I231" s="162">
        <v>0</v>
      </c>
      <c r="J231" s="162">
        <v>229</v>
      </c>
      <c r="K231" s="186">
        <v>41764619.14000001</v>
      </c>
      <c r="L231" s="141">
        <f t="shared" si="28"/>
        <v>167298</v>
      </c>
      <c r="M231" s="164">
        <v>205</v>
      </c>
      <c r="N231" s="182">
        <f t="shared" si="29"/>
        <v>0.8951965065502183</v>
      </c>
      <c r="O231" s="164">
        <v>2</v>
      </c>
      <c r="P231" s="141">
        <v>34</v>
      </c>
      <c r="Q231" s="183">
        <f t="shared" si="30"/>
        <v>167298</v>
      </c>
    </row>
    <row r="232" spans="1:17" x14ac:dyDescent="0.25">
      <c r="A232" s="134">
        <v>11</v>
      </c>
      <c r="B232" s="141">
        <v>26</v>
      </c>
      <c r="C232" s="146" t="s">
        <v>21</v>
      </c>
      <c r="D232" s="164">
        <v>726</v>
      </c>
      <c r="E232" s="162">
        <v>4060</v>
      </c>
      <c r="F232" s="162">
        <v>13</v>
      </c>
      <c r="G232" s="162">
        <v>460</v>
      </c>
      <c r="H232" s="162">
        <v>50404</v>
      </c>
      <c r="I232" s="162">
        <v>0</v>
      </c>
      <c r="J232" s="162">
        <v>36</v>
      </c>
      <c r="K232" s="186">
        <v>-17288047.300000004</v>
      </c>
      <c r="L232" s="141">
        <f t="shared" si="28"/>
        <v>55699</v>
      </c>
      <c r="M232" s="164">
        <v>27</v>
      </c>
      <c r="N232" s="182">
        <f t="shared" si="29"/>
        <v>0.75</v>
      </c>
      <c r="O232" s="164">
        <v>2</v>
      </c>
      <c r="P232" s="141">
        <v>24</v>
      </c>
      <c r="Q232" s="183">
        <f t="shared" si="30"/>
        <v>55699</v>
      </c>
    </row>
    <row r="233" spans="1:17" x14ac:dyDescent="0.25">
      <c r="A233" s="134">
        <v>12</v>
      </c>
      <c r="B233" s="141">
        <v>20</v>
      </c>
      <c r="C233" s="146" t="s">
        <v>16</v>
      </c>
      <c r="D233" s="165">
        <v>20</v>
      </c>
      <c r="E233" s="162">
        <v>4373</v>
      </c>
      <c r="F233" s="162">
        <v>5</v>
      </c>
      <c r="G233" s="162">
        <v>250</v>
      </c>
      <c r="H233" s="162">
        <v>5484</v>
      </c>
      <c r="I233" s="162">
        <v>4</v>
      </c>
      <c r="J233" s="162">
        <v>275</v>
      </c>
      <c r="K233" s="187">
        <v>1949785068.9</v>
      </c>
      <c r="L233" s="141">
        <f t="shared" si="28"/>
        <v>10411</v>
      </c>
      <c r="M233" s="164">
        <v>262</v>
      </c>
      <c r="N233" s="182">
        <f t="shared" si="29"/>
        <v>0.9527272727272728</v>
      </c>
      <c r="O233" s="164">
        <v>4</v>
      </c>
      <c r="P233" s="141">
        <v>16</v>
      </c>
      <c r="Q233" s="183">
        <f t="shared" si="30"/>
        <v>10411</v>
      </c>
    </row>
    <row r="234" spans="1:17" x14ac:dyDescent="0.25">
      <c r="A234" s="134">
        <v>13</v>
      </c>
      <c r="B234" s="140">
        <v>11</v>
      </c>
      <c r="C234" s="141" t="s">
        <v>17</v>
      </c>
      <c r="D234" s="162">
        <v>0</v>
      </c>
      <c r="E234" s="162">
        <v>0</v>
      </c>
      <c r="F234" s="162">
        <v>0</v>
      </c>
      <c r="G234" s="162">
        <v>0</v>
      </c>
      <c r="H234" s="162">
        <v>6494</v>
      </c>
      <c r="I234" s="162">
        <v>13</v>
      </c>
      <c r="J234" s="162">
        <v>4</v>
      </c>
      <c r="K234" s="164">
        <v>20783905.58</v>
      </c>
      <c r="L234" s="141">
        <f t="shared" si="28"/>
        <v>6511</v>
      </c>
      <c r="M234" s="164">
        <v>4</v>
      </c>
      <c r="N234" s="182">
        <f t="shared" si="29"/>
        <v>1</v>
      </c>
      <c r="O234" s="164">
        <v>2</v>
      </c>
      <c r="P234" s="141">
        <v>9</v>
      </c>
      <c r="Q234" s="183">
        <f t="shared" si="30"/>
        <v>6511</v>
      </c>
    </row>
    <row r="235" spans="1:17" x14ac:dyDescent="0.25">
      <c r="A235" s="154"/>
      <c r="B235" s="155">
        <f>SUM(B222:B234)</f>
        <v>432</v>
      </c>
      <c r="C235" s="156" t="s">
        <v>29</v>
      </c>
      <c r="D235" s="157">
        <f>SUM(D222:D234)</f>
        <v>23373</v>
      </c>
      <c r="E235" s="157">
        <f t="shared" ref="E235:G235" si="31">SUM(E222:E234)</f>
        <v>126638</v>
      </c>
      <c r="F235" s="157">
        <f t="shared" si="31"/>
        <v>604</v>
      </c>
      <c r="G235" s="157">
        <f t="shared" si="31"/>
        <v>24313</v>
      </c>
      <c r="H235" s="157">
        <f>SUM(H222:H234)</f>
        <v>408536</v>
      </c>
      <c r="I235" s="157">
        <f t="shared" ref="I235" si="32">SUM(I222:I234)</f>
        <v>4173</v>
      </c>
      <c r="J235" s="157">
        <f>SUM(J222:J234)</f>
        <v>5662</v>
      </c>
      <c r="K235" s="157">
        <f t="shared" ref="K235" si="33">SUM(K222:K234)</f>
        <v>8993276048.924444</v>
      </c>
      <c r="L235" s="157">
        <f>SUM(L222:L234)</f>
        <v>593299</v>
      </c>
      <c r="M235" s="157">
        <f>SUM(M222:M234)</f>
        <v>5045</v>
      </c>
      <c r="N235" s="182">
        <f>M235/J235</f>
        <v>0.8910279053338043</v>
      </c>
      <c r="O235" s="157">
        <f>SUM(O222:O234)</f>
        <v>38</v>
      </c>
      <c r="P235" s="188">
        <f>SUM(P222:P234)</f>
        <v>386</v>
      </c>
      <c r="Q235" s="183">
        <f>SUM(Q222:Q234)</f>
        <v>593299</v>
      </c>
    </row>
    <row r="236" spans="1:17" x14ac:dyDescent="0.25">
      <c r="A236" s="94"/>
      <c r="B236" s="94"/>
      <c r="C236" s="94"/>
      <c r="D236" s="94"/>
      <c r="E236" s="94"/>
      <c r="F236" s="94"/>
      <c r="G236" s="91"/>
      <c r="H236" s="91"/>
      <c r="I236" s="91"/>
      <c r="J236" s="94"/>
      <c r="K236" s="94"/>
      <c r="L236" s="94"/>
      <c r="M236" s="91">
        <f>M235/J235</f>
        <v>0.8910279053338043</v>
      </c>
      <c r="N236" s="94"/>
      <c r="O236" s="91">
        <f>O235/B235</f>
        <v>0.08796296296296297</v>
      </c>
      <c r="P236" s="91">
        <f>P235/B235</f>
        <v>0.8935185185185185</v>
      </c>
      <c r="Q236" s="189"/>
    </row>
    <row r="237" spans="1:17" x14ac:dyDescent="0.25">
      <c r="A237" s="95"/>
      <c r="B237" s="95"/>
      <c r="C237" s="95"/>
      <c r="D237" s="95"/>
      <c r="E237" s="95"/>
      <c r="F237" s="95"/>
      <c r="G237" s="92"/>
      <c r="H237" s="92"/>
      <c r="I237" s="92"/>
      <c r="J237" s="95"/>
      <c r="K237" s="95"/>
      <c r="L237" s="95"/>
      <c r="M237" s="92"/>
      <c r="N237" s="95"/>
      <c r="O237" s="92"/>
      <c r="P237" s="92"/>
      <c r="Q237" s="1"/>
    </row>
    <row r="238" ht="17.4" customHeight="1" spans="1:17" x14ac:dyDescent="0.25">
      <c r="A238" s="169" t="s">
        <v>55</v>
      </c>
      <c r="B238" s="169"/>
      <c r="C238" s="169"/>
      <c r="D238" s="169"/>
      <c r="E238" s="169"/>
      <c r="F238" s="169"/>
      <c r="G238" s="169"/>
      <c r="H238" s="169"/>
      <c r="I238" s="169"/>
      <c r="J238" s="169"/>
      <c r="K238" s="169"/>
      <c r="L238" s="169"/>
      <c r="M238" s="169"/>
      <c r="N238" s="169"/>
      <c r="O238" s="169"/>
      <c r="P238" s="169"/>
      <c r="Q238" s="169"/>
    </row>
    <row r="239" ht="15" customHeight="1" spans="1:17" x14ac:dyDescent="0.25">
      <c r="A239" s="99" t="s">
        <v>2</v>
      </c>
      <c r="B239" s="100" t="s">
        <v>3</v>
      </c>
      <c r="C239" s="99" t="s">
        <v>4</v>
      </c>
      <c r="D239" s="173" t="s">
        <v>43</v>
      </c>
      <c r="E239" s="173"/>
      <c r="F239" s="174" t="s">
        <v>44</v>
      </c>
      <c r="G239" s="175" t="s">
        <v>45</v>
      </c>
      <c r="H239" s="176" t="s">
        <v>46</v>
      </c>
      <c r="I239" s="177" t="s">
        <v>47</v>
      </c>
      <c r="J239" s="178" t="s">
        <v>33</v>
      </c>
      <c r="K239" s="100" t="s">
        <v>48</v>
      </c>
      <c r="L239" s="99" t="s">
        <v>6</v>
      </c>
      <c r="M239" s="99"/>
      <c r="N239" s="99"/>
      <c r="O239" s="100" t="s">
        <v>49</v>
      </c>
      <c r="P239" s="100" t="s">
        <v>50</v>
      </c>
      <c r="Q239" s="100" t="s">
        <v>51</v>
      </c>
    </row>
    <row r="240" ht="27" customHeight="1" spans="1:17" x14ac:dyDescent="0.25">
      <c r="A240" s="99"/>
      <c r="B240" s="100"/>
      <c r="C240" s="99"/>
      <c r="D240" s="179" t="s">
        <v>52</v>
      </c>
      <c r="E240" s="177" t="s">
        <v>53</v>
      </c>
      <c r="F240" s="180"/>
      <c r="G240" s="175"/>
      <c r="H240" s="181"/>
      <c r="I240" s="177"/>
      <c r="J240" s="178"/>
      <c r="K240" s="100"/>
      <c r="L240" s="99" t="s">
        <v>7</v>
      </c>
      <c r="M240" s="99" t="s">
        <v>8</v>
      </c>
      <c r="N240" s="100" t="s">
        <v>9</v>
      </c>
      <c r="O240" s="100"/>
      <c r="P240" s="100"/>
      <c r="Q240" s="100"/>
    </row>
    <row r="241" spans="1:17" x14ac:dyDescent="0.25">
      <c r="A241" s="99"/>
      <c r="B241" s="99" t="s">
        <v>10</v>
      </c>
      <c r="C241" s="99" t="s">
        <v>11</v>
      </c>
      <c r="D241" s="100"/>
      <c r="E241" s="100"/>
      <c r="F241" s="100"/>
      <c r="G241" s="100"/>
      <c r="H241" s="100"/>
      <c r="I241" s="100"/>
      <c r="J241" s="100" t="s">
        <v>12</v>
      </c>
      <c r="K241" s="100" t="s">
        <v>13</v>
      </c>
      <c r="L241" s="99" t="s">
        <v>14</v>
      </c>
      <c r="M241" s="99" t="s">
        <v>15</v>
      </c>
      <c r="N241" s="99"/>
      <c r="O241" s="100" t="s">
        <v>54</v>
      </c>
      <c r="P241" s="100" t="s">
        <v>54</v>
      </c>
      <c r="Q241" s="100"/>
    </row>
    <row r="242" spans="1:17" x14ac:dyDescent="0.25">
      <c r="A242" s="134">
        <v>1</v>
      </c>
      <c r="B242" s="135">
        <v>49</v>
      </c>
      <c r="C242" s="135" t="s">
        <v>19</v>
      </c>
      <c r="D242" s="162">
        <v>0</v>
      </c>
      <c r="E242" s="162">
        <v>25057</v>
      </c>
      <c r="F242" s="162">
        <v>135</v>
      </c>
      <c r="G242" s="162">
        <v>3973</v>
      </c>
      <c r="H242" s="162">
        <v>87889</v>
      </c>
      <c r="I242" s="162">
        <v>49</v>
      </c>
      <c r="J242" s="162">
        <v>625</v>
      </c>
      <c r="K242" s="164">
        <v>1484967980.57195</v>
      </c>
      <c r="L242" s="141">
        <v>117728</v>
      </c>
      <c r="M242" s="164">
        <v>241</v>
      </c>
      <c r="N242" s="182">
        <f>M242/J242</f>
        <v>0.3856</v>
      </c>
      <c r="O242" s="164">
        <v>1</v>
      </c>
      <c r="P242" s="141">
        <f>B242-O242</f>
        <v>48</v>
      </c>
      <c r="Q242" s="183">
        <f>D242+E242+F242+G242+H242+I242+J242</f>
        <v>117728</v>
      </c>
    </row>
    <row r="243" spans="1:17" x14ac:dyDescent="0.25">
      <c r="A243" s="134">
        <v>2</v>
      </c>
      <c r="B243" s="140">
        <v>42</v>
      </c>
      <c r="C243" s="141" t="s">
        <v>18</v>
      </c>
      <c r="D243" s="164">
        <v>5283</v>
      </c>
      <c r="E243" s="162">
        <v>16438</v>
      </c>
      <c r="F243" s="162">
        <v>129</v>
      </c>
      <c r="G243" s="162">
        <v>6798</v>
      </c>
      <c r="H243" s="162">
        <v>27137</v>
      </c>
      <c r="I243" s="162">
        <v>990</v>
      </c>
      <c r="J243" s="162">
        <v>228</v>
      </c>
      <c r="K243" s="164">
        <v>3693953553.1100006</v>
      </c>
      <c r="L243" s="141">
        <v>55686</v>
      </c>
      <c r="M243" s="164">
        <v>65</v>
      </c>
      <c r="N243" s="182">
        <f t="shared" ref="N243:N254" si="34">M243/J243</f>
        <v>0.2850877192982456</v>
      </c>
      <c r="O243" s="164">
        <v>2</v>
      </c>
      <c r="P243" s="141">
        <f t="shared" ref="P243:P255" si="35">B243-O243</f>
        <v>40</v>
      </c>
      <c r="Q243" s="183">
        <f t="shared" ref="Q243:Q254" si="36">D243+E243+F243+G243+H243+I243+J243</f>
        <v>57003</v>
      </c>
    </row>
    <row r="244" spans="1:17" x14ac:dyDescent="0.25">
      <c r="A244" s="142">
        <v>3</v>
      </c>
      <c r="B244" s="143">
        <v>57</v>
      </c>
      <c r="C244" s="143" t="s">
        <v>23</v>
      </c>
      <c r="D244" s="165">
        <v>8018</v>
      </c>
      <c r="E244" s="162">
        <v>27504</v>
      </c>
      <c r="F244" s="162">
        <v>312</v>
      </c>
      <c r="G244" s="162">
        <v>9969</v>
      </c>
      <c r="H244" s="162">
        <v>158159</v>
      </c>
      <c r="I244" s="162">
        <v>971</v>
      </c>
      <c r="J244" s="162">
        <v>818</v>
      </c>
      <c r="K244" s="165">
        <v>-3277679667.970002</v>
      </c>
      <c r="L244" s="141">
        <v>198894</v>
      </c>
      <c r="M244" s="164">
        <v>8</v>
      </c>
      <c r="N244" s="182">
        <f t="shared" si="34"/>
        <v>0.009779951100244499</v>
      </c>
      <c r="O244" s="165">
        <v>1</v>
      </c>
      <c r="P244" s="141">
        <f t="shared" si="35"/>
        <v>56</v>
      </c>
      <c r="Q244" s="183">
        <f t="shared" si="36"/>
        <v>205751</v>
      </c>
    </row>
    <row r="245" spans="1:17" x14ac:dyDescent="0.25">
      <c r="A245" s="134">
        <v>4</v>
      </c>
      <c r="B245" s="141">
        <v>57</v>
      </c>
      <c r="C245" s="141" t="s">
        <v>25</v>
      </c>
      <c r="D245" s="162">
        <v>5776</v>
      </c>
      <c r="E245" s="162">
        <v>19909</v>
      </c>
      <c r="F245" s="162">
        <v>193</v>
      </c>
      <c r="G245" s="162">
        <v>864</v>
      </c>
      <c r="H245" s="162">
        <v>91240</v>
      </c>
      <c r="I245" s="162">
        <v>2773</v>
      </c>
      <c r="J245" s="162">
        <v>160</v>
      </c>
      <c r="K245" s="164">
        <v>3988225404.9299965</v>
      </c>
      <c r="L245" s="141">
        <v>120914</v>
      </c>
      <c r="M245" s="164">
        <v>20</v>
      </c>
      <c r="N245" s="182">
        <f t="shared" si="34"/>
        <v>0.125</v>
      </c>
      <c r="O245" s="164">
        <v>1</v>
      </c>
      <c r="P245" s="141">
        <f t="shared" si="35"/>
        <v>56</v>
      </c>
      <c r="Q245" s="183">
        <f t="shared" si="36"/>
        <v>120915</v>
      </c>
    </row>
    <row r="246" spans="1:17" x14ac:dyDescent="0.25">
      <c r="A246" s="134">
        <v>5</v>
      </c>
      <c r="B246" s="141">
        <v>33</v>
      </c>
      <c r="C246" s="146" t="s">
        <v>22</v>
      </c>
      <c r="D246" s="164">
        <v>1232</v>
      </c>
      <c r="E246" s="162">
        <v>16571</v>
      </c>
      <c r="F246" s="162">
        <v>73</v>
      </c>
      <c r="G246" s="162">
        <v>274</v>
      </c>
      <c r="H246" s="162">
        <v>94745</v>
      </c>
      <c r="I246" s="162">
        <v>0</v>
      </c>
      <c r="J246" s="162">
        <v>207</v>
      </c>
      <c r="K246" s="184">
        <v>1064986361.0200003</v>
      </c>
      <c r="L246" s="141">
        <v>100758</v>
      </c>
      <c r="M246" s="164">
        <v>20</v>
      </c>
      <c r="N246" s="182">
        <f t="shared" si="34"/>
        <v>0.0966183574879227</v>
      </c>
      <c r="O246" s="164">
        <v>6</v>
      </c>
      <c r="P246" s="141">
        <f t="shared" si="35"/>
        <v>27</v>
      </c>
      <c r="Q246" s="183">
        <f t="shared" si="36"/>
        <v>113102</v>
      </c>
    </row>
    <row r="247" spans="1:17" x14ac:dyDescent="0.25">
      <c r="A247" s="134">
        <v>6</v>
      </c>
      <c r="B247" s="141">
        <v>25</v>
      </c>
      <c r="C247" s="141" t="s">
        <v>26</v>
      </c>
      <c r="D247" s="165">
        <v>1565</v>
      </c>
      <c r="E247" s="162">
        <v>8851</v>
      </c>
      <c r="F247" s="162">
        <v>44</v>
      </c>
      <c r="G247" s="162">
        <v>12</v>
      </c>
      <c r="H247" s="162">
        <v>25540</v>
      </c>
      <c r="I247" s="162">
        <v>345</v>
      </c>
      <c r="J247" s="162">
        <v>4342</v>
      </c>
      <c r="K247" s="164">
        <v>501405887.1000004</v>
      </c>
      <c r="L247" s="141">
        <v>40698</v>
      </c>
      <c r="M247" s="164">
        <v>252</v>
      </c>
      <c r="N247" s="182">
        <f t="shared" si="34"/>
        <v>0.058037770612620915</v>
      </c>
      <c r="O247" s="164">
        <v>1</v>
      </c>
      <c r="P247" s="141">
        <f t="shared" si="35"/>
        <v>24</v>
      </c>
      <c r="Q247" s="183">
        <f t="shared" si="36"/>
        <v>40699</v>
      </c>
    </row>
    <row r="248" spans="1:17" x14ac:dyDescent="0.25">
      <c r="A248" s="147">
        <v>7</v>
      </c>
      <c r="B248" s="148">
        <v>11</v>
      </c>
      <c r="C248" s="149" t="s">
        <v>28</v>
      </c>
      <c r="D248" s="162">
        <v>1105</v>
      </c>
      <c r="E248" s="162">
        <v>2660</v>
      </c>
      <c r="F248" s="162">
        <v>28</v>
      </c>
      <c r="G248" s="162">
        <v>3434</v>
      </c>
      <c r="H248" s="162">
        <v>13815</v>
      </c>
      <c r="I248" s="162">
        <v>1</v>
      </c>
      <c r="J248" s="162">
        <v>268</v>
      </c>
      <c r="K248" s="185">
        <v>112080836.54000002</v>
      </c>
      <c r="L248" s="141">
        <v>21311</v>
      </c>
      <c r="M248" s="164">
        <v>49</v>
      </c>
      <c r="N248" s="182">
        <f t="shared" si="34"/>
        <v>0.1828358208955224</v>
      </c>
      <c r="O248" s="185"/>
      <c r="P248" s="141">
        <f t="shared" si="35"/>
        <v>11</v>
      </c>
      <c r="Q248" s="183">
        <f t="shared" si="36"/>
        <v>21311</v>
      </c>
    </row>
    <row r="249" spans="1:17" x14ac:dyDescent="0.25">
      <c r="A249" s="134">
        <v>8</v>
      </c>
      <c r="B249" s="135">
        <v>18</v>
      </c>
      <c r="C249" s="151" t="s">
        <v>24</v>
      </c>
      <c r="D249" s="164">
        <v>1366</v>
      </c>
      <c r="E249" s="162">
        <v>8041</v>
      </c>
      <c r="F249" s="162">
        <v>4</v>
      </c>
      <c r="G249" s="162">
        <v>1171</v>
      </c>
      <c r="H249" s="162">
        <v>24004</v>
      </c>
      <c r="I249" s="162">
        <v>0</v>
      </c>
      <c r="J249" s="162">
        <v>240</v>
      </c>
      <c r="K249" s="184">
        <v>-134264293.28</v>
      </c>
      <c r="L249" s="141">
        <v>34412</v>
      </c>
      <c r="M249" s="164">
        <v>0</v>
      </c>
      <c r="N249" s="182">
        <f t="shared" si="34"/>
        <v>0</v>
      </c>
      <c r="O249" s="164">
        <v>11</v>
      </c>
      <c r="P249" s="141">
        <f t="shared" si="35"/>
        <v>7</v>
      </c>
      <c r="Q249" s="183">
        <f t="shared" si="36"/>
        <v>34826</v>
      </c>
    </row>
    <row r="250" spans="1:17" x14ac:dyDescent="0.25">
      <c r="A250" s="134">
        <v>9</v>
      </c>
      <c r="B250" s="141">
        <v>39</v>
      </c>
      <c r="C250" s="141" t="s">
        <v>27</v>
      </c>
      <c r="D250" s="165">
        <v>3320</v>
      </c>
      <c r="E250" s="162">
        <v>29868</v>
      </c>
      <c r="F250" s="162">
        <v>94</v>
      </c>
      <c r="G250" s="162">
        <v>130</v>
      </c>
      <c r="H250" s="162">
        <v>18486</v>
      </c>
      <c r="I250" s="162">
        <v>1</v>
      </c>
      <c r="J250" s="162">
        <v>582</v>
      </c>
      <c r="K250" s="186">
        <v>586890307.3699996</v>
      </c>
      <c r="L250" s="141">
        <v>52431</v>
      </c>
      <c r="M250" s="164">
        <v>0</v>
      </c>
      <c r="N250" s="182">
        <f t="shared" si="34"/>
        <v>0</v>
      </c>
      <c r="O250" s="186">
        <v>5</v>
      </c>
      <c r="P250" s="141">
        <f t="shared" si="35"/>
        <v>34</v>
      </c>
      <c r="Q250" s="183">
        <f t="shared" si="36"/>
        <v>52481</v>
      </c>
    </row>
    <row r="251" spans="1:17" x14ac:dyDescent="0.25">
      <c r="A251" s="134">
        <v>10</v>
      </c>
      <c r="B251" s="141">
        <v>36</v>
      </c>
      <c r="C251" s="146" t="s">
        <v>20</v>
      </c>
      <c r="D251" s="162">
        <v>5961</v>
      </c>
      <c r="E251" s="162">
        <v>47643</v>
      </c>
      <c r="F251" s="162">
        <v>40</v>
      </c>
      <c r="G251" s="162">
        <v>164</v>
      </c>
      <c r="H251" s="162">
        <v>121170</v>
      </c>
      <c r="I251" s="162">
        <v>38</v>
      </c>
      <c r="J251" s="162">
        <v>234</v>
      </c>
      <c r="K251" s="186">
        <v>22785826.31</v>
      </c>
      <c r="L251" s="141">
        <v>175213</v>
      </c>
      <c r="M251" s="164">
        <v>206</v>
      </c>
      <c r="N251" s="182">
        <f t="shared" si="34"/>
        <v>0.8803418803418803</v>
      </c>
      <c r="O251" s="164">
        <v>5</v>
      </c>
      <c r="P251" s="141">
        <f t="shared" si="35"/>
        <v>31</v>
      </c>
      <c r="Q251" s="183">
        <f t="shared" si="36"/>
        <v>175250</v>
      </c>
    </row>
    <row r="252" spans="1:17" x14ac:dyDescent="0.25">
      <c r="A252" s="134">
        <v>11</v>
      </c>
      <c r="B252" s="141">
        <v>26</v>
      </c>
      <c r="C252" s="146" t="s">
        <v>21</v>
      </c>
      <c r="D252" s="164">
        <v>225</v>
      </c>
      <c r="E252" s="162">
        <v>16435</v>
      </c>
      <c r="F252" s="162">
        <v>42</v>
      </c>
      <c r="G252" s="162">
        <v>294</v>
      </c>
      <c r="H252" s="162">
        <v>53926</v>
      </c>
      <c r="I252" s="162">
        <v>0</v>
      </c>
      <c r="J252" s="162">
        <v>101</v>
      </c>
      <c r="K252" s="186">
        <v>92500185.44999999</v>
      </c>
      <c r="L252" s="141">
        <v>71013</v>
      </c>
      <c r="M252" s="164">
        <v>11</v>
      </c>
      <c r="N252" s="182">
        <f t="shared" si="34"/>
        <v>0.10891089108910891</v>
      </c>
      <c r="O252" s="164">
        <v>3</v>
      </c>
      <c r="P252" s="141">
        <f t="shared" si="35"/>
        <v>23</v>
      </c>
      <c r="Q252" s="183">
        <f t="shared" si="36"/>
        <v>71023</v>
      </c>
    </row>
    <row r="253" spans="1:17" x14ac:dyDescent="0.25">
      <c r="A253" s="134">
        <v>12</v>
      </c>
      <c r="B253" s="141">
        <v>20</v>
      </c>
      <c r="C253" s="146" t="s">
        <v>16</v>
      </c>
      <c r="D253" s="165">
        <v>129</v>
      </c>
      <c r="E253" s="162">
        <v>4114</v>
      </c>
      <c r="F253" s="162">
        <v>32</v>
      </c>
      <c r="G253" s="162">
        <v>3238</v>
      </c>
      <c r="H253" s="162">
        <v>3261</v>
      </c>
      <c r="I253" s="162">
        <v>16</v>
      </c>
      <c r="J253" s="162">
        <v>300</v>
      </c>
      <c r="K253" s="187">
        <v>149316223.46</v>
      </c>
      <c r="L253" s="141">
        <v>70093</v>
      </c>
      <c r="M253" s="164">
        <v>0</v>
      </c>
      <c r="N253" s="182">
        <f t="shared" si="34"/>
        <v>0</v>
      </c>
      <c r="O253" s="164">
        <v>14</v>
      </c>
      <c r="P253" s="141">
        <f t="shared" si="35"/>
        <v>6</v>
      </c>
      <c r="Q253" s="183">
        <f t="shared" si="36"/>
        <v>11090</v>
      </c>
    </row>
    <row r="254" spans="1:17" x14ac:dyDescent="0.25">
      <c r="A254" s="134">
        <v>13</v>
      </c>
      <c r="B254" s="140">
        <v>11</v>
      </c>
      <c r="C254" s="141" t="s">
        <v>17</v>
      </c>
      <c r="D254" s="162">
        <v>0</v>
      </c>
      <c r="E254" s="162">
        <v>1536</v>
      </c>
      <c r="F254" s="162">
        <v>0</v>
      </c>
      <c r="G254" s="162">
        <v>0</v>
      </c>
      <c r="H254" s="162">
        <v>6357</v>
      </c>
      <c r="I254" s="162">
        <v>13</v>
      </c>
      <c r="J254" s="162">
        <v>6</v>
      </c>
      <c r="K254" s="164">
        <v>21633864.59</v>
      </c>
      <c r="L254" s="141">
        <v>7812</v>
      </c>
      <c r="M254" s="164">
        <v>3</v>
      </c>
      <c r="N254" s="182">
        <f t="shared" si="34"/>
        <v>0.5</v>
      </c>
      <c r="O254" s="164"/>
      <c r="P254" s="141">
        <f t="shared" si="35"/>
        <v>11</v>
      </c>
      <c r="Q254" s="183">
        <f t="shared" si="36"/>
        <v>7912</v>
      </c>
    </row>
    <row r="255" spans="1:17" x14ac:dyDescent="0.25">
      <c r="A255" s="154"/>
      <c r="B255" s="155">
        <f>SUM(B242:B254)</f>
        <v>424</v>
      </c>
      <c r="C255" s="156" t="s">
        <v>29</v>
      </c>
      <c r="D255" s="157">
        <f>SUM(D242:D254)</f>
        <v>33980</v>
      </c>
      <c r="E255" s="157">
        <f t="shared" ref="E255:G255" si="37">SUM(E242:E254)</f>
        <v>224627</v>
      </c>
      <c r="F255" s="157">
        <f t="shared" si="37"/>
        <v>1126</v>
      </c>
      <c r="G255" s="157">
        <f t="shared" si="37"/>
        <v>30321</v>
      </c>
      <c r="H255" s="157">
        <f>SUM(H242:H254)</f>
        <v>725729</v>
      </c>
      <c r="I255" s="157">
        <f t="shared" ref="I255" si="38">SUM(I242:I254)</f>
        <v>5197</v>
      </c>
      <c r="J255" s="157">
        <f>SUM(J242:J254)</f>
        <v>8111</v>
      </c>
      <c r="K255" s="157">
        <f t="shared" ref="K255" si="39">SUM(K242:K254)</f>
        <v>8306802469.201946</v>
      </c>
      <c r="L255" s="157">
        <f>SUM(L242:L254)</f>
        <v>1066963</v>
      </c>
      <c r="M255" s="157">
        <f>SUM(M242:M254)</f>
        <v>875</v>
      </c>
      <c r="N255" s="182">
        <f>M255/J255</f>
        <v>0.10787819011219332</v>
      </c>
      <c r="O255" s="157">
        <f>SUM(O242:O254)</f>
        <v>50</v>
      </c>
      <c r="P255" s="188">
        <f t="shared" si="35"/>
        <v>374</v>
      </c>
      <c r="Q255" s="183">
        <f>SUM(Q242:Q254)</f>
        <v>1029091</v>
      </c>
    </row>
    <row r="256" spans="1:17" x14ac:dyDescent="0.25">
      <c r="A256" s="94"/>
      <c r="B256" s="94"/>
      <c r="C256" s="94"/>
      <c r="D256" s="94"/>
      <c r="E256" s="94"/>
      <c r="F256" s="94"/>
      <c r="G256" s="91"/>
      <c r="H256" s="91"/>
      <c r="I256" s="91"/>
      <c r="J256" s="94"/>
      <c r="K256" s="94"/>
      <c r="L256" s="94"/>
      <c r="M256" s="91">
        <f>M255/J255</f>
        <v>0.10787819011219332</v>
      </c>
      <c r="N256" s="94"/>
      <c r="O256" s="91">
        <f>O255/B255</f>
        <v>0.1179245283018868</v>
      </c>
      <c r="P256" s="141"/>
      <c r="Q256" s="189"/>
    </row>
    <row r="257" spans="1:17" x14ac:dyDescent="0.25">
      <c r="A257" s="95"/>
      <c r="B257" s="95"/>
      <c r="C257" s="95"/>
      <c r="D257" s="95"/>
      <c r="E257" s="95"/>
      <c r="F257" s="95"/>
      <c r="G257" s="92"/>
      <c r="H257" s="92"/>
      <c r="I257" s="92"/>
      <c r="J257" s="95"/>
      <c r="K257" s="95"/>
      <c r="L257" s="95"/>
      <c r="M257" s="92"/>
      <c r="N257" s="95"/>
      <c r="O257" s="92"/>
      <c r="P257" s="92"/>
      <c r="Q257" s="1"/>
    </row>
    <row r="258" spans="1:17" x14ac:dyDescent="0.25">
      <c r="A258" s="95"/>
      <c r="B258" s="95"/>
      <c r="C258" s="95"/>
      <c r="D258" s="95"/>
      <c r="E258" s="95"/>
      <c r="F258" s="95"/>
      <c r="G258" s="92"/>
      <c r="H258" s="92"/>
      <c r="I258" s="92"/>
      <c r="J258" s="95"/>
      <c r="K258" s="95"/>
      <c r="L258" s="95"/>
      <c r="M258" s="92"/>
      <c r="N258" s="95"/>
      <c r="O258" s="92"/>
      <c r="P258" s="92"/>
      <c r="Q258" s="1"/>
    </row>
    <row r="259" ht="15.6" customHeight="1" spans="1:16" x14ac:dyDescent="0.25">
      <c r="A259" s="2" t="s">
        <v>0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P259" s="31">
        <f>R152-J152</f>
        <v>14826</v>
      </c>
    </row>
    <row r="260" ht="15.6" customHeight="1" spans="1:14" x14ac:dyDescent="0.25">
      <c r="A260" s="4" t="s">
        <v>56</v>
      </c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</row>
    <row r="261" ht="15.6" customHeight="1" spans="1:14" x14ac:dyDescent="0.25">
      <c r="A261" s="55"/>
      <c r="B261" s="55"/>
      <c r="C261" s="55"/>
      <c r="D261" s="55"/>
      <c r="E261" s="190" t="s">
        <v>57</v>
      </c>
      <c r="F261" s="191"/>
      <c r="G261" s="191"/>
      <c r="H261" s="191"/>
      <c r="I261" s="191"/>
      <c r="J261" s="192"/>
      <c r="K261" s="55"/>
      <c r="L261" s="55"/>
      <c r="M261" s="55"/>
      <c r="N261" s="55"/>
    </row>
    <row r="262" ht="15.6" customHeight="1" spans="1:14" x14ac:dyDescent="0.25">
      <c r="A262" s="6" t="s">
        <v>2</v>
      </c>
      <c r="B262" s="7" t="s">
        <v>58</v>
      </c>
      <c r="C262" s="6" t="s">
        <v>4</v>
      </c>
      <c r="D262" s="7" t="s">
        <v>59</v>
      </c>
      <c r="E262" s="7" t="s">
        <v>60</v>
      </c>
      <c r="F262" s="193" t="s">
        <v>61</v>
      </c>
      <c r="G262" s="193" t="s">
        <v>62</v>
      </c>
      <c r="H262" s="193"/>
      <c r="I262" s="194" t="s">
        <v>63</v>
      </c>
      <c r="J262" s="7" t="s">
        <v>64</v>
      </c>
      <c r="K262" s="7" t="s">
        <v>48</v>
      </c>
      <c r="L262" s="15" t="s">
        <v>6</v>
      </c>
      <c r="M262" s="15"/>
      <c r="N262" s="15"/>
    </row>
    <row r="263" ht="30.6" customHeight="1" spans="1:14" x14ac:dyDescent="0.25">
      <c r="A263" s="13"/>
      <c r="B263" s="14"/>
      <c r="C263" s="13"/>
      <c r="D263" s="14"/>
      <c r="E263" s="14"/>
      <c r="F263" s="195"/>
      <c r="G263" s="195"/>
      <c r="H263" s="195"/>
      <c r="I263" s="196"/>
      <c r="J263" s="14"/>
      <c r="K263" s="14"/>
      <c r="L263" s="13" t="s">
        <v>7</v>
      </c>
      <c r="M263" s="13" t="s">
        <v>8</v>
      </c>
      <c r="N263" s="14" t="s">
        <v>65</v>
      </c>
    </row>
    <row r="264" ht="15.6" customHeight="1" spans="1:14" x14ac:dyDescent="0.25">
      <c r="A264" s="13"/>
      <c r="B264" s="13" t="s">
        <v>10</v>
      </c>
      <c r="C264" s="13" t="s">
        <v>11</v>
      </c>
      <c r="D264" s="14" t="s">
        <v>66</v>
      </c>
      <c r="E264" s="14"/>
      <c r="F264" s="14"/>
      <c r="G264" s="13"/>
      <c r="H264" s="13"/>
      <c r="I264" s="13"/>
      <c r="J264" s="14" t="s">
        <v>12</v>
      </c>
      <c r="K264" s="14" t="s">
        <v>13</v>
      </c>
      <c r="L264" s="15" t="s">
        <v>14</v>
      </c>
      <c r="M264" s="15" t="s">
        <v>15</v>
      </c>
      <c r="N264" s="13"/>
    </row>
    <row r="265" ht="15.6" customHeight="1" spans="1:14" x14ac:dyDescent="0.25">
      <c r="A265" s="42">
        <v>1</v>
      </c>
      <c r="B265" s="45"/>
      <c r="C265" s="45" t="s">
        <v>19</v>
      </c>
      <c r="D265" s="197" t="s">
        <v>67</v>
      </c>
      <c r="E265" s="45"/>
      <c r="F265" s="45"/>
      <c r="G265" s="45"/>
      <c r="H265" s="45"/>
      <c r="I265" s="45">
        <v>11925</v>
      </c>
      <c r="J265" s="38">
        <v>903</v>
      </c>
      <c r="K265" s="38">
        <v>737344091.3199998</v>
      </c>
      <c r="L265" s="38">
        <f>J265-M265</f>
        <v>192</v>
      </c>
      <c r="M265" s="38">
        <v>711</v>
      </c>
      <c r="N265" s="39">
        <f>M265/J265</f>
        <v>0.7873754152823921</v>
      </c>
    </row>
    <row r="266" ht="15.6" customHeight="1" spans="1:14" x14ac:dyDescent="0.25">
      <c r="A266" s="42">
        <v>2</v>
      </c>
      <c r="B266" s="43"/>
      <c r="C266" s="38" t="s">
        <v>18</v>
      </c>
      <c r="D266" s="197" t="s">
        <v>67</v>
      </c>
      <c r="E266" s="38"/>
      <c r="F266" s="38"/>
      <c r="G266" s="38"/>
      <c r="H266" s="38"/>
      <c r="I266" s="38"/>
      <c r="J266" s="38">
        <v>634</v>
      </c>
      <c r="K266" s="38">
        <v>1227815820.2699995</v>
      </c>
      <c r="L266" s="38">
        <f t="shared" ref="L266:L275" si="40">J266-M266</f>
        <v>119</v>
      </c>
      <c r="M266" s="38">
        <v>515</v>
      </c>
      <c r="N266" s="39">
        <f>M266/J266</f>
        <v>0.8123028391167192</v>
      </c>
    </row>
    <row r="267" ht="30.6" customHeight="1" spans="1:14" x14ac:dyDescent="0.25">
      <c r="A267" s="42">
        <v>3</v>
      </c>
      <c r="B267" s="198" t="s">
        <v>68</v>
      </c>
      <c r="C267" s="45" t="s">
        <v>23</v>
      </c>
      <c r="D267" s="197" t="s">
        <v>67</v>
      </c>
      <c r="E267" s="45"/>
      <c r="F267" s="45"/>
      <c r="G267" s="45"/>
      <c r="H267" s="45"/>
      <c r="I267" s="45"/>
      <c r="J267" s="45">
        <v>6544</v>
      </c>
      <c r="K267" s="45">
        <v>17709492629.09</v>
      </c>
      <c r="L267" s="38">
        <f t="shared" si="40"/>
        <v>2937</v>
      </c>
      <c r="M267" s="38">
        <v>3607</v>
      </c>
      <c r="N267" s="39">
        <f t="shared" ref="N267:N275" si="41">M267/J267</f>
        <v>0.5511919315403423</v>
      </c>
    </row>
    <row r="268" ht="15.6" customHeight="1" spans="1:14" x14ac:dyDescent="0.25">
      <c r="A268" s="42">
        <v>4</v>
      </c>
      <c r="B268" s="38"/>
      <c r="C268" s="38" t="s">
        <v>25</v>
      </c>
      <c r="D268" s="197" t="s">
        <v>67</v>
      </c>
      <c r="E268" s="38"/>
      <c r="F268" s="38"/>
      <c r="G268" s="38"/>
      <c r="H268" s="38"/>
      <c r="I268" s="38"/>
      <c r="J268" s="38">
        <v>1070</v>
      </c>
      <c r="K268" s="38">
        <v>15512573.540000001</v>
      </c>
      <c r="L268" s="38">
        <f t="shared" si="40"/>
        <v>155</v>
      </c>
      <c r="M268" s="38">
        <v>915</v>
      </c>
      <c r="N268" s="39">
        <f t="shared" si="41"/>
        <v>0.8551401869158879</v>
      </c>
    </row>
    <row r="269" ht="15.6" customHeight="1" spans="1:14" x14ac:dyDescent="0.25">
      <c r="A269" s="42">
        <v>5</v>
      </c>
      <c r="B269" s="38"/>
      <c r="C269" s="38" t="s">
        <v>22</v>
      </c>
      <c r="D269" s="197" t="s">
        <v>67</v>
      </c>
      <c r="E269" s="38"/>
      <c r="F269" s="38"/>
      <c r="G269" s="38"/>
      <c r="H269" s="38"/>
      <c r="I269" s="38"/>
      <c r="J269" s="25"/>
      <c r="K269" s="38"/>
      <c r="L269" s="38">
        <f t="shared" si="40"/>
        <v>0</v>
      </c>
      <c r="M269" s="38"/>
      <c r="N269" s="39"/>
    </row>
    <row r="270" ht="15.6" customHeight="1" spans="1:14" x14ac:dyDescent="0.25">
      <c r="A270" s="42">
        <v>6</v>
      </c>
      <c r="B270" s="38"/>
      <c r="C270" s="38" t="s">
        <v>26</v>
      </c>
      <c r="D270" s="197" t="s">
        <v>67</v>
      </c>
      <c r="E270" s="38"/>
      <c r="F270" s="38"/>
      <c r="G270" s="38"/>
      <c r="H270" s="38"/>
      <c r="I270" s="38"/>
      <c r="J270" s="38"/>
      <c r="K270" s="38"/>
      <c r="L270" s="38">
        <f t="shared" si="40"/>
        <v>0</v>
      </c>
      <c r="M270" s="38"/>
      <c r="N270" s="39"/>
    </row>
    <row r="271" ht="15.6" customHeight="1" spans="1:14" x14ac:dyDescent="0.25">
      <c r="A271" s="42">
        <v>7</v>
      </c>
      <c r="B271" s="38"/>
      <c r="C271" s="38" t="s">
        <v>28</v>
      </c>
      <c r="D271" s="197" t="s">
        <v>67</v>
      </c>
      <c r="E271" s="38"/>
      <c r="F271" s="38"/>
      <c r="G271" s="38"/>
      <c r="H271" s="38"/>
      <c r="I271" s="38"/>
      <c r="J271" s="38"/>
      <c r="K271" s="38"/>
      <c r="L271" s="38">
        <f t="shared" si="40"/>
        <v>0</v>
      </c>
      <c r="M271" s="38"/>
      <c r="N271" s="39"/>
    </row>
    <row r="272" ht="15.6" customHeight="1" spans="1:14" x14ac:dyDescent="0.25">
      <c r="A272" s="42">
        <v>8</v>
      </c>
      <c r="B272" s="45"/>
      <c r="C272" s="45" t="s">
        <v>24</v>
      </c>
      <c r="D272" s="197" t="s">
        <v>67</v>
      </c>
      <c r="E272" s="45"/>
      <c r="F272" s="45"/>
      <c r="G272" s="45"/>
      <c r="H272" s="45"/>
      <c r="I272" s="45"/>
      <c r="J272" s="25"/>
      <c r="K272" s="38"/>
      <c r="L272" s="38">
        <f t="shared" si="40"/>
        <v>0</v>
      </c>
      <c r="M272" s="38"/>
      <c r="N272" s="39"/>
    </row>
    <row r="273" ht="15.6" customHeight="1" spans="1:14" x14ac:dyDescent="0.25">
      <c r="A273" s="42">
        <v>9</v>
      </c>
      <c r="B273" s="38"/>
      <c r="C273" s="38" t="s">
        <v>27</v>
      </c>
      <c r="D273" s="197" t="s">
        <v>67</v>
      </c>
      <c r="E273" s="43"/>
      <c r="F273" s="43"/>
      <c r="G273" s="43"/>
      <c r="H273" s="43"/>
      <c r="I273" s="43"/>
      <c r="J273" s="43">
        <v>120</v>
      </c>
      <c r="K273" s="43">
        <v>75552627.42</v>
      </c>
      <c r="L273" s="38">
        <f t="shared" si="40"/>
        <v>75</v>
      </c>
      <c r="M273" s="38">
        <v>45</v>
      </c>
      <c r="N273" s="39">
        <f t="shared" si="41"/>
        <v>0.375</v>
      </c>
    </row>
    <row r="274" ht="15.6" customHeight="1" spans="1:14" x14ac:dyDescent="0.25">
      <c r="A274" s="42">
        <v>10</v>
      </c>
      <c r="B274" s="38"/>
      <c r="C274" s="38" t="s">
        <v>20</v>
      </c>
      <c r="D274" s="197" t="s">
        <v>67</v>
      </c>
      <c r="E274" s="38"/>
      <c r="F274" s="38"/>
      <c r="G274" s="38"/>
      <c r="H274" s="38"/>
      <c r="I274" s="38"/>
      <c r="J274" s="38"/>
      <c r="K274" s="38"/>
      <c r="L274" s="38">
        <f t="shared" si="40"/>
        <v>0</v>
      </c>
      <c r="M274" s="38"/>
      <c r="N274" s="39"/>
    </row>
    <row r="275" ht="15.6" customHeight="1" spans="1:14" x14ac:dyDescent="0.25">
      <c r="A275" s="42">
        <v>11</v>
      </c>
      <c r="B275" s="38"/>
      <c r="C275" s="38" t="s">
        <v>16</v>
      </c>
      <c r="D275" s="197" t="s">
        <v>67</v>
      </c>
      <c r="E275" s="38"/>
      <c r="F275" s="38"/>
      <c r="G275" s="38"/>
      <c r="H275" s="38"/>
      <c r="I275" s="38"/>
      <c r="J275" s="38">
        <v>36</v>
      </c>
      <c r="K275" s="38">
        <v>30134289.520000003</v>
      </c>
      <c r="L275" s="38">
        <f t="shared" si="40"/>
        <v>36</v>
      </c>
      <c r="M275" s="38">
        <v>0</v>
      </c>
      <c r="N275" s="39">
        <f t="shared" si="41"/>
        <v>0</v>
      </c>
    </row>
    <row r="276" ht="15.6" customHeight="1" spans="1:14" x14ac:dyDescent="0.25">
      <c r="A276" s="42">
        <v>12</v>
      </c>
      <c r="B276" s="43"/>
      <c r="C276" s="38" t="s">
        <v>17</v>
      </c>
      <c r="D276" s="197" t="s">
        <v>67</v>
      </c>
      <c r="E276" s="38"/>
      <c r="F276" s="38"/>
      <c r="G276" s="38"/>
      <c r="H276" s="38"/>
      <c r="I276" s="38"/>
      <c r="J276" s="38"/>
      <c r="K276" s="38"/>
      <c r="L276" s="38">
        <f t="shared" ref="L276" si="42">J276-M276</f>
        <v>0</v>
      </c>
      <c r="M276" s="38"/>
      <c r="N276" s="39"/>
    </row>
    <row r="277" ht="15.6" customHeight="1" spans="1:14" x14ac:dyDescent="0.25">
      <c r="A277" s="33"/>
      <c r="B277" s="199">
        <f>SUM(B265:B276)</f>
        <v>0</v>
      </c>
      <c r="C277" s="15" t="s">
        <v>29</v>
      </c>
      <c r="D277" s="15"/>
      <c r="E277" s="200">
        <f>SUM(E265:E276)</f>
        <v>0</v>
      </c>
      <c r="F277" s="200">
        <f t="shared" ref="F277:I277" si="43">SUM(F265:F276)</f>
        <v>0</v>
      </c>
      <c r="G277" s="200">
        <f t="shared" si="43"/>
        <v>0</v>
      </c>
      <c r="H277" s="200"/>
      <c r="I277" s="200">
        <f t="shared" si="43"/>
        <v>11925</v>
      </c>
      <c r="J277" s="200">
        <f>SUM(J265:J276)</f>
        <v>9307</v>
      </c>
      <c r="K277" s="200">
        <f t="shared" ref="K277:M277" si="44">SUM(K265:K276)</f>
        <v>19795852031.16</v>
      </c>
      <c r="L277" s="200">
        <f t="shared" si="44"/>
        <v>3514</v>
      </c>
      <c r="M277" s="200">
        <f t="shared" si="44"/>
        <v>5793</v>
      </c>
      <c r="N277" s="200"/>
    </row>
    <row r="279" spans="9:9" x14ac:dyDescent="0.25">
      <c r="I279" s="31"/>
    </row>
  </sheetData>
  <mergeCells count="133">
    <mergeCell ref="A1:G1"/>
    <mergeCell ref="A2:G2"/>
    <mergeCell ref="E3:G3"/>
    <mergeCell ref="A3:A4"/>
    <mergeCell ref="B3:B4"/>
    <mergeCell ref="C3:C4"/>
    <mergeCell ref="D3:D4"/>
    <mergeCell ref="A21:G21"/>
    <mergeCell ref="E22:G22"/>
    <mergeCell ref="A22:A23"/>
    <mergeCell ref="B22:B23"/>
    <mergeCell ref="C22:C23"/>
    <mergeCell ref="D22:D23"/>
    <mergeCell ref="A40:G40"/>
    <mergeCell ref="E41:G41"/>
    <mergeCell ref="A41:A42"/>
    <mergeCell ref="B41:B42"/>
    <mergeCell ref="C41:C42"/>
    <mergeCell ref="D41:D42"/>
    <mergeCell ref="A59:G59"/>
    <mergeCell ref="E60:G60"/>
    <mergeCell ref="A60:A61"/>
    <mergeCell ref="B60:B61"/>
    <mergeCell ref="C60:C61"/>
    <mergeCell ref="D60:D61"/>
    <mergeCell ref="A78:G78"/>
    <mergeCell ref="E79:G79"/>
    <mergeCell ref="A79:A80"/>
    <mergeCell ref="B79:B80"/>
    <mergeCell ref="C79:C80"/>
    <mergeCell ref="D79:D80"/>
    <mergeCell ref="A97:G97"/>
    <mergeCell ref="E98:G98"/>
    <mergeCell ref="A98:A99"/>
    <mergeCell ref="B98:B99"/>
    <mergeCell ref="C98:C99"/>
    <mergeCell ref="D98:D99"/>
    <mergeCell ref="A116:G116"/>
    <mergeCell ref="E117:G117"/>
    <mergeCell ref="A117:A118"/>
    <mergeCell ref="B117:B118"/>
    <mergeCell ref="C117:C118"/>
    <mergeCell ref="D117:D118"/>
    <mergeCell ref="A135:G135"/>
    <mergeCell ref="E136:G136"/>
    <mergeCell ref="L136:N136"/>
    <mergeCell ref="A136:A137"/>
    <mergeCell ref="B136:B137"/>
    <mergeCell ref="C136:C137"/>
    <mergeCell ref="D136:D137"/>
    <mergeCell ref="I136:I137"/>
    <mergeCell ref="J136:J137"/>
    <mergeCell ref="K136:K137"/>
    <mergeCell ref="O136:O137"/>
    <mergeCell ref="P136:P137"/>
    <mergeCell ref="Q136:Q137"/>
    <mergeCell ref="A154:G154"/>
    <mergeCell ref="E155:G155"/>
    <mergeCell ref="L155:N155"/>
    <mergeCell ref="A155:A156"/>
    <mergeCell ref="B155:B156"/>
    <mergeCell ref="C155:C156"/>
    <mergeCell ref="D155:D156"/>
    <mergeCell ref="I155:I156"/>
    <mergeCell ref="J155:J156"/>
    <mergeCell ref="K155:K156"/>
    <mergeCell ref="O155:O156"/>
    <mergeCell ref="P155:P156"/>
    <mergeCell ref="Q155:Q156"/>
    <mergeCell ref="A174:G174"/>
    <mergeCell ref="E175:G175"/>
    <mergeCell ref="L175:N175"/>
    <mergeCell ref="A175:A176"/>
    <mergeCell ref="B175:B176"/>
    <mergeCell ref="C175:C176"/>
    <mergeCell ref="D175:D176"/>
    <mergeCell ref="I175:I176"/>
    <mergeCell ref="J175:J176"/>
    <mergeCell ref="K175:K176"/>
    <mergeCell ref="O175:O176"/>
    <mergeCell ref="P175:P176"/>
    <mergeCell ref="Q175:Q176"/>
    <mergeCell ref="A196:G196"/>
    <mergeCell ref="E197:G197"/>
    <mergeCell ref="A197:A198"/>
    <mergeCell ref="B197:B198"/>
    <mergeCell ref="C197:C198"/>
    <mergeCell ref="D197:D198"/>
    <mergeCell ref="A218:Q218"/>
    <mergeCell ref="D219:E219"/>
    <mergeCell ref="L219:N219"/>
    <mergeCell ref="A219:A220"/>
    <mergeCell ref="B219:B220"/>
    <mergeCell ref="C219:C220"/>
    <mergeCell ref="F219:F220"/>
    <mergeCell ref="G219:G220"/>
    <mergeCell ref="H219:H220"/>
    <mergeCell ref="I219:I220"/>
    <mergeCell ref="J219:J220"/>
    <mergeCell ref="K219:K220"/>
    <mergeCell ref="O219:O220"/>
    <mergeCell ref="P219:P220"/>
    <mergeCell ref="Q219:Q220"/>
    <mergeCell ref="A238:Q238"/>
    <mergeCell ref="D239:E239"/>
    <mergeCell ref="L239:N239"/>
    <mergeCell ref="A239:A240"/>
    <mergeCell ref="B239:B240"/>
    <mergeCell ref="C239:C240"/>
    <mergeCell ref="F239:F240"/>
    <mergeCell ref="G239:G240"/>
    <mergeCell ref="H239:H240"/>
    <mergeCell ref="I239:I240"/>
    <mergeCell ref="J239:J240"/>
    <mergeCell ref="K239:K240"/>
    <mergeCell ref="O239:O240"/>
    <mergeCell ref="P239:P240"/>
    <mergeCell ref="Q239:Q240"/>
    <mergeCell ref="A259:N259"/>
    <mergeCell ref="A260:N260"/>
    <mergeCell ref="E261:J261"/>
    <mergeCell ref="L262:N262"/>
    <mergeCell ref="A262:A263"/>
    <mergeCell ref="B262:B263"/>
    <mergeCell ref="C262:C263"/>
    <mergeCell ref="D262:D263"/>
    <mergeCell ref="E262:E263"/>
    <mergeCell ref="F262:F263"/>
    <mergeCell ref="G262:G263"/>
    <mergeCell ref="I262:I263"/>
    <mergeCell ref="J262:J263"/>
    <mergeCell ref="K262:K263"/>
    <mergeCell ref="C277:D277"/>
  </mergeCells>
  <pageMargins left="0.17" right="0.17" top="0.75" bottom="0.75" header="0.3" footer="0.3"/>
  <pageSetup orientation="landscape" horizontalDpi="4294967295" verticalDpi="4294967295" scale="61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workbookViewId="0" zoomScale="100" zoomScaleNormal="100">
      <selection activeCell="F24" sqref="F24"/>
    </sheetView>
  </sheetViews>
  <sheetFormatPr defaultRowHeight="14.4" outlineLevelRow="0" outlineLevelCol="0" x14ac:dyDescent="0.3" defaultColWidth="9.109375" customHeight="1"/>
  <cols>
    <col min="1" max="1" width="5" style="1" customWidth="1"/>
    <col min="2" max="2" width="13" style="1" customWidth="1"/>
    <col min="3" max="3" width="12" style="1" customWidth="1"/>
    <col min="4" max="4" width="15.44140625" style="1" customWidth="1"/>
    <col min="5" max="5" width="14.5546875" style="1" customWidth="1"/>
    <col min="6" max="6" width="15.6640625" style="1" customWidth="1"/>
    <col min="7" max="7" width="14.33203125" style="1" customWidth="1"/>
    <col min="8" max="8" width="9.109375" style="1" customWidth="1"/>
    <col min="9" max="9" width="33.44140625" style="1" customWidth="1"/>
    <col min="10" max="10" width="10.33203125" style="1" customWidth="1"/>
    <col min="11" max="12" width="10.5546875" style="1" customWidth="1"/>
    <col min="13" max="13" width="5.5546875" style="1" customWidth="1"/>
    <col min="14" max="16384" width="9.109375" style="1" customWidth="1"/>
  </cols>
  <sheetData>
    <row r="1" spans="1:9" x14ac:dyDescent="0.25">
      <c r="A1" s="88" t="s">
        <v>85</v>
      </c>
      <c r="B1" s="88"/>
      <c r="C1" s="88"/>
      <c r="D1" s="88"/>
      <c r="E1" s="88"/>
      <c r="F1" s="88"/>
      <c r="G1" s="88"/>
      <c r="H1" s="88"/>
      <c r="I1" s="88"/>
    </row>
    <row r="2" spans="1:9" x14ac:dyDescent="0.25">
      <c r="A2" s="243" t="s">
        <v>86</v>
      </c>
      <c r="B2" s="243"/>
      <c r="C2" s="243"/>
      <c r="D2" s="243"/>
      <c r="E2" s="243"/>
      <c r="F2" s="243"/>
      <c r="G2" s="243"/>
      <c r="H2" s="243"/>
      <c r="I2" s="243"/>
    </row>
    <row r="3" ht="15" customHeight="1" spans="1:9" x14ac:dyDescent="0.25">
      <c r="A3" s="244" t="s">
        <v>2</v>
      </c>
      <c r="B3" s="245" t="s">
        <v>3</v>
      </c>
      <c r="C3" s="244" t="s">
        <v>4</v>
      </c>
      <c r="D3" s="246" t="s">
        <v>87</v>
      </c>
      <c r="E3" s="246"/>
      <c r="F3" s="247" t="s">
        <v>6</v>
      </c>
      <c r="G3" s="248"/>
      <c r="H3" s="249"/>
      <c r="I3" s="244" t="s">
        <v>88</v>
      </c>
    </row>
    <row r="4" ht="51" customHeight="1" spans="1:9" x14ac:dyDescent="0.25">
      <c r="A4" s="244"/>
      <c r="B4" s="245"/>
      <c r="C4" s="244"/>
      <c r="D4" s="246"/>
      <c r="E4" s="246"/>
      <c r="F4" s="245" t="s">
        <v>89</v>
      </c>
      <c r="G4" s="244" t="s">
        <v>8</v>
      </c>
      <c r="H4" s="245" t="s">
        <v>90</v>
      </c>
      <c r="I4" s="244"/>
    </row>
    <row r="5" spans="1:11" x14ac:dyDescent="0.25">
      <c r="A5" s="250"/>
      <c r="B5" s="251" t="s">
        <v>10</v>
      </c>
      <c r="C5" s="251" t="s">
        <v>11</v>
      </c>
      <c r="D5" s="251" t="s">
        <v>7</v>
      </c>
      <c r="E5" s="251" t="s">
        <v>8</v>
      </c>
      <c r="F5" s="251" t="s">
        <v>14</v>
      </c>
      <c r="G5" s="251" t="s">
        <v>15</v>
      </c>
      <c r="H5" s="252" t="s">
        <v>54</v>
      </c>
      <c r="I5" s="253"/>
      <c r="K5" s="31"/>
    </row>
    <row r="6" spans="1:11" x14ac:dyDescent="0.25">
      <c r="A6" s="90">
        <v>1</v>
      </c>
      <c r="B6" s="254">
        <v>36</v>
      </c>
      <c r="C6" s="255" t="s">
        <v>20</v>
      </c>
      <c r="D6" s="254">
        <f>'Monthly District Detail'!D110</f>
        <v>8258</v>
      </c>
      <c r="E6" s="70">
        <f>'Monthly District Detail'!F110</f>
        <v>8168</v>
      </c>
      <c r="F6" s="70">
        <f t="shared" ref="F6:F18" si="0">D6-G6</f>
        <v>90</v>
      </c>
      <c r="G6" s="70">
        <f t="shared" ref="G6:G18" si="1">E6</f>
        <v>8168</v>
      </c>
      <c r="H6" s="256">
        <f t="shared" ref="H6:H18" si="2">E6/D6</f>
        <v>0.9891014773552919</v>
      </c>
      <c r="I6" s="189"/>
      <c r="K6" s="257"/>
    </row>
    <row r="7" spans="1:11" x14ac:dyDescent="0.25">
      <c r="A7" s="90">
        <v>2</v>
      </c>
      <c r="B7" s="70">
        <v>26</v>
      </c>
      <c r="C7" s="258" t="s">
        <v>21</v>
      </c>
      <c r="D7" s="259">
        <f>'Monthly District Detail'!D200</f>
        <v>4666</v>
      </c>
      <c r="E7" s="140">
        <f>'Monthly District Detail'!F200</f>
        <v>4550</v>
      </c>
      <c r="F7" s="140">
        <f t="shared" si="0"/>
        <v>116</v>
      </c>
      <c r="G7" s="140">
        <f t="shared" si="1"/>
        <v>4550</v>
      </c>
      <c r="H7" s="256">
        <f t="shared" si="2"/>
        <v>0.9751393056150879</v>
      </c>
      <c r="I7" s="189"/>
      <c r="K7" s="31">
        <f>K5-K6</f>
        <v>0</v>
      </c>
    </row>
    <row r="8" spans="1:11" x14ac:dyDescent="0.25">
      <c r="A8" s="90">
        <v>3</v>
      </c>
      <c r="B8" s="254">
        <v>33</v>
      </c>
      <c r="C8" s="255" t="s">
        <v>22</v>
      </c>
      <c r="D8" s="254">
        <f>'Monthly District Detail'!D20</f>
        <v>7287</v>
      </c>
      <c r="E8" s="260">
        <f>'Monthly District Detail'!F20</f>
        <v>7077</v>
      </c>
      <c r="F8" s="140">
        <f t="shared" si="0"/>
        <v>210</v>
      </c>
      <c r="G8" s="140">
        <f t="shared" si="1"/>
        <v>7077</v>
      </c>
      <c r="H8" s="256">
        <f t="shared" si="2"/>
        <v>0.9711815561959655</v>
      </c>
      <c r="I8" s="261"/>
      <c r="K8" s="32"/>
    </row>
    <row r="9" spans="1:11" x14ac:dyDescent="0.25">
      <c r="A9" s="90">
        <v>4</v>
      </c>
      <c r="B9" s="70">
        <v>49</v>
      </c>
      <c r="C9" s="70" t="s">
        <v>19</v>
      </c>
      <c r="D9" s="254">
        <f>'Monthly District Detail'!D80</f>
        <v>11464</v>
      </c>
      <c r="E9" s="70">
        <f>'Monthly District Detail'!F80</f>
        <v>10792</v>
      </c>
      <c r="F9" s="140">
        <f t="shared" si="0"/>
        <v>672</v>
      </c>
      <c r="G9" s="140">
        <f t="shared" si="1"/>
        <v>10792</v>
      </c>
      <c r="H9" s="256">
        <f t="shared" si="2"/>
        <v>0.9413817166782973</v>
      </c>
      <c r="I9" s="189"/>
      <c r="K9" s="32"/>
    </row>
    <row r="10" spans="1:12" x14ac:dyDescent="0.25">
      <c r="A10" s="90">
        <v>5</v>
      </c>
      <c r="B10" s="70">
        <v>57</v>
      </c>
      <c r="C10" s="70" t="s">
        <v>25</v>
      </c>
      <c r="D10" s="254">
        <f>'Monthly District Detail'!D185</f>
        <v>4823</v>
      </c>
      <c r="E10" s="70">
        <f>'Monthly District Detail'!F185</f>
        <v>4467</v>
      </c>
      <c r="F10" s="140">
        <f t="shared" si="0"/>
        <v>356</v>
      </c>
      <c r="G10" s="140">
        <f t="shared" si="1"/>
        <v>4467</v>
      </c>
      <c r="H10" s="262">
        <f t="shared" si="2"/>
        <v>0.9261870205266431</v>
      </c>
      <c r="I10" s="189"/>
      <c r="L10" s="32"/>
    </row>
    <row r="11" spans="1:11" x14ac:dyDescent="0.25">
      <c r="A11" s="90">
        <v>6</v>
      </c>
      <c r="B11" s="70">
        <v>7</v>
      </c>
      <c r="C11" s="70" t="s">
        <v>17</v>
      </c>
      <c r="D11" s="254">
        <f>'Monthly District Detail'!D140</f>
        <v>564</v>
      </c>
      <c r="E11" s="70">
        <f>'Monthly District Detail'!F140</f>
        <v>514</v>
      </c>
      <c r="F11" s="70">
        <f t="shared" si="0"/>
        <v>50</v>
      </c>
      <c r="G11" s="70">
        <f t="shared" si="1"/>
        <v>514</v>
      </c>
      <c r="H11" s="256">
        <f t="shared" si="2"/>
        <v>0.9113475177304965</v>
      </c>
      <c r="I11" s="189"/>
      <c r="K11" s="32"/>
    </row>
    <row r="12" spans="1:11" x14ac:dyDescent="0.25">
      <c r="A12" s="90">
        <v>7</v>
      </c>
      <c r="B12" s="70">
        <v>42</v>
      </c>
      <c r="C12" s="70" t="s">
        <v>18</v>
      </c>
      <c r="D12" s="254">
        <f>'Monthly District Detail'!D155</f>
        <v>5042</v>
      </c>
      <c r="E12" s="70">
        <f>'Monthly District Detail'!F155</f>
        <v>4583</v>
      </c>
      <c r="F12" s="70">
        <f t="shared" si="0"/>
        <v>459</v>
      </c>
      <c r="G12" s="70">
        <f t="shared" si="1"/>
        <v>4583</v>
      </c>
      <c r="H12" s="256">
        <f t="shared" si="2"/>
        <v>0.9089646965489885</v>
      </c>
      <c r="I12" s="189"/>
      <c r="K12" s="32"/>
    </row>
    <row r="13" spans="1:11" x14ac:dyDescent="0.25">
      <c r="A13" s="90">
        <v>8</v>
      </c>
      <c r="B13" s="254">
        <v>25</v>
      </c>
      <c r="C13" s="254" t="s">
        <v>26</v>
      </c>
      <c r="D13" s="254">
        <f>'Monthly District Detail'!D35</f>
        <v>44363</v>
      </c>
      <c r="E13" s="221">
        <f>'Monthly District Detail'!F35</f>
        <v>39917</v>
      </c>
      <c r="F13" s="70">
        <f t="shared" si="0"/>
        <v>4446</v>
      </c>
      <c r="G13" s="70">
        <f t="shared" si="1"/>
        <v>39917</v>
      </c>
      <c r="H13" s="256">
        <f t="shared" si="2"/>
        <v>0.8997813493226338</v>
      </c>
      <c r="I13" s="189"/>
      <c r="K13" s="32"/>
    </row>
    <row r="14" spans="1:11" x14ac:dyDescent="0.25">
      <c r="A14" s="90">
        <v>9</v>
      </c>
      <c r="B14" s="70">
        <v>39</v>
      </c>
      <c r="C14" s="70" t="s">
        <v>27</v>
      </c>
      <c r="D14" s="254">
        <f>'Monthly District Detail'!D95</f>
        <v>12817</v>
      </c>
      <c r="E14" s="70">
        <f>'Monthly District Detail'!F95</f>
        <v>11339</v>
      </c>
      <c r="F14" s="140">
        <f t="shared" si="0"/>
        <v>1478</v>
      </c>
      <c r="G14" s="140">
        <f t="shared" si="1"/>
        <v>11339</v>
      </c>
      <c r="H14" s="262">
        <f t="shared" si="2"/>
        <v>0.8846844035265663</v>
      </c>
      <c r="I14" s="189"/>
      <c r="K14" s="32"/>
    </row>
    <row r="15" spans="1:13" x14ac:dyDescent="0.25">
      <c r="A15" s="90">
        <v>10</v>
      </c>
      <c r="B15" s="70">
        <v>17</v>
      </c>
      <c r="C15" s="258" t="s">
        <v>24</v>
      </c>
      <c r="D15" s="254">
        <f>'Monthly District Detail'!D65</f>
        <v>5223</v>
      </c>
      <c r="E15" s="221">
        <f>'Monthly District Detail'!F65</f>
        <v>4274</v>
      </c>
      <c r="F15" s="70">
        <f t="shared" si="0"/>
        <v>949</v>
      </c>
      <c r="G15" s="70">
        <f t="shared" si="1"/>
        <v>4274</v>
      </c>
      <c r="H15" s="256">
        <f t="shared" si="2"/>
        <v>0.8183036569021636</v>
      </c>
      <c r="I15" s="189"/>
      <c r="J15" s="31"/>
      <c r="K15" s="32"/>
      <c r="L15" s="31"/>
      <c r="M15" s="32"/>
    </row>
    <row r="16" spans="1:11" x14ac:dyDescent="0.25">
      <c r="A16" s="90">
        <v>11</v>
      </c>
      <c r="B16" s="70">
        <v>58</v>
      </c>
      <c r="C16" s="70" t="s">
        <v>23</v>
      </c>
      <c r="D16" s="254">
        <f>'Monthly District Detail'!D170</f>
        <v>17123</v>
      </c>
      <c r="E16" s="70">
        <f>'Monthly District Detail'!F170</f>
        <v>13102</v>
      </c>
      <c r="F16" s="140">
        <f t="shared" si="0"/>
        <v>4021</v>
      </c>
      <c r="G16" s="140">
        <f t="shared" si="1"/>
        <v>13102</v>
      </c>
      <c r="H16" s="262">
        <f t="shared" si="2"/>
        <v>0.7651696548502015</v>
      </c>
      <c r="I16" s="189"/>
      <c r="K16" s="32"/>
    </row>
    <row r="17" spans="1:11" x14ac:dyDescent="0.25">
      <c r="A17" s="90">
        <v>12</v>
      </c>
      <c r="B17" s="70">
        <v>11</v>
      </c>
      <c r="C17" s="70" t="s">
        <v>28</v>
      </c>
      <c r="D17" s="254">
        <f>'Monthly District Detail'!D50</f>
        <v>1447</v>
      </c>
      <c r="E17" s="70">
        <f>'Monthly District Detail'!F50</f>
        <v>1085</v>
      </c>
      <c r="F17" s="70">
        <f t="shared" si="0"/>
        <v>362</v>
      </c>
      <c r="G17" s="70">
        <f t="shared" si="1"/>
        <v>1085</v>
      </c>
      <c r="H17" s="256">
        <f t="shared" si="2"/>
        <v>0.7498272287491361</v>
      </c>
      <c r="I17" s="189"/>
      <c r="K17" s="32"/>
    </row>
    <row r="18" spans="1:11" x14ac:dyDescent="0.25">
      <c r="A18" s="90">
        <v>13</v>
      </c>
      <c r="B18" s="70">
        <v>20</v>
      </c>
      <c r="C18" s="258" t="s">
        <v>16</v>
      </c>
      <c r="D18" s="254">
        <f>'Monthly District Detail'!D125</f>
        <v>711</v>
      </c>
      <c r="E18" s="258">
        <f>'Monthly District Detail'!F125</f>
        <v>352</v>
      </c>
      <c r="F18" s="140">
        <f t="shared" si="0"/>
        <v>359</v>
      </c>
      <c r="G18" s="140">
        <f t="shared" si="1"/>
        <v>352</v>
      </c>
      <c r="H18" s="262">
        <f t="shared" si="2"/>
        <v>0.49507735583684953</v>
      </c>
      <c r="I18" s="263"/>
      <c r="J18" s="31"/>
      <c r="K18" s="32"/>
    </row>
    <row r="19" spans="1:11" x14ac:dyDescent="0.25">
      <c r="A19" s="94"/>
      <c r="B19" s="79">
        <f>SUM(B6:B18)</f>
        <v>420</v>
      </c>
      <c r="C19" s="80" t="s">
        <v>29</v>
      </c>
      <c r="D19" s="81">
        <f>SUM(D6:D18)</f>
        <v>123788</v>
      </c>
      <c r="E19" s="81">
        <f>SUM(E6:E18)</f>
        <v>110220</v>
      </c>
      <c r="F19" s="81">
        <f>SUM(F6:F18)</f>
        <v>13568</v>
      </c>
      <c r="G19" s="81">
        <f>SUM(G6:G18)</f>
        <v>110220</v>
      </c>
      <c r="H19" s="189"/>
      <c r="I19" s="189"/>
      <c r="K19" s="32"/>
    </row>
    <row r="20" spans="1:11" x14ac:dyDescent="0.25">
      <c r="A20" s="94"/>
      <c r="B20" s="94"/>
      <c r="C20" s="94"/>
      <c r="D20" s="91"/>
      <c r="E20" s="94"/>
      <c r="F20" s="91">
        <f>F19/D19</f>
        <v>0.10960674701909717</v>
      </c>
      <c r="G20" s="91">
        <f>G19/D19</f>
        <v>0.8903932529809029</v>
      </c>
      <c r="H20" s="189"/>
      <c r="I20" s="189"/>
      <c r="K20" s="32"/>
    </row>
    <row r="21" ht="36.75" customHeight="1" spans="1:11" x14ac:dyDescent="0.25">
      <c r="A21" s="264" t="s">
        <v>91</v>
      </c>
      <c r="B21" s="264"/>
      <c r="C21" s="264"/>
      <c r="D21" s="264"/>
      <c r="E21" s="264"/>
      <c r="F21" s="264"/>
      <c r="G21" s="264"/>
      <c r="H21" s="264"/>
      <c r="I21" s="264"/>
      <c r="J21" s="265"/>
      <c r="K21" s="265"/>
    </row>
    <row r="22" spans="4:4" x14ac:dyDescent="0.25">
      <c r="D22" s="31"/>
    </row>
    <row r="25" spans="9:9" x14ac:dyDescent="0.25">
      <c r="I25" s="31">
        <f>I23-I24</f>
        <v>0</v>
      </c>
    </row>
    <row r="26" spans="9:9" x14ac:dyDescent="0.25">
      <c r="I26" s="32"/>
    </row>
  </sheetData>
  <mergeCells count="9">
    <mergeCell ref="A1:I1"/>
    <mergeCell ref="A2:I2"/>
    <mergeCell ref="D3:E4"/>
    <mergeCell ref="F3:H3"/>
    <mergeCell ref="A3:A4"/>
    <mergeCell ref="B3:B4"/>
    <mergeCell ref="C3:C4"/>
    <mergeCell ref="I3:I4"/>
    <mergeCell ref="A21:I2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6"/>
  <sheetViews>
    <sheetView workbookViewId="0" zoomScale="100" zoomScaleNormal="100">
      <selection activeCell="D19" sqref="D19"/>
    </sheetView>
  </sheetViews>
  <sheetFormatPr defaultRowHeight="14.4" outlineLevelRow="0" outlineLevelCol="0" x14ac:dyDescent="0.3" defaultColWidth="9" customHeight="1"/>
  <cols>
    <col min="1" max="1" width="6.88671875" style="1" customWidth="1"/>
    <col min="2" max="2" width="15.109375" style="1" customWidth="1"/>
    <col min="3" max="3" width="32.33203125" style="1" customWidth="1"/>
    <col min="4" max="4" width="16" style="1" customWidth="1"/>
    <col min="5" max="5" width="14.109375" style="1" customWidth="1"/>
    <col min="6" max="6" width="16.5546875" style="1" customWidth="1"/>
    <col min="7" max="7" width="12.33203125" style="1" customWidth="1"/>
    <col min="8" max="8" width="19.33203125" style="1" customWidth="1"/>
    <col min="9" max="16384" width="9" style="1" customWidth="1"/>
  </cols>
  <sheetData>
    <row r="1" ht="15.6" customHeight="1" spans="8:8" x14ac:dyDescent="0.25">
      <c r="H1" s="3"/>
    </row>
    <row r="2" ht="15.6" customHeight="1" spans="1:8" x14ac:dyDescent="0.25">
      <c r="A2" s="2" t="s">
        <v>69</v>
      </c>
      <c r="B2" s="2"/>
      <c r="C2" s="2"/>
      <c r="D2" s="2"/>
      <c r="E2" s="2"/>
      <c r="F2" s="2"/>
      <c r="G2" s="2"/>
      <c r="H2" s="3"/>
    </row>
    <row r="3" ht="15.75" customHeight="1" spans="1:7" x14ac:dyDescent="0.25">
      <c r="A3" s="6" t="s">
        <v>2</v>
      </c>
      <c r="B3" s="6" t="s">
        <v>4</v>
      </c>
      <c r="C3" s="6"/>
      <c r="D3" s="8" t="s">
        <v>5</v>
      </c>
      <c r="E3" s="9" t="s">
        <v>6</v>
      </c>
      <c r="F3" s="10"/>
      <c r="G3" s="11"/>
    </row>
    <row r="4" ht="30.6" customHeight="1" spans="1:7" x14ac:dyDescent="0.25">
      <c r="A4" s="13"/>
      <c r="B4" s="13"/>
      <c r="C4" s="13" t="s">
        <v>70</v>
      </c>
      <c r="D4" s="8"/>
      <c r="E4" s="15" t="s">
        <v>7</v>
      </c>
      <c r="F4" s="15" t="s">
        <v>8</v>
      </c>
      <c r="G4" s="16" t="s">
        <v>9</v>
      </c>
    </row>
    <row r="5" ht="15.6" customHeight="1" spans="1:7" x14ac:dyDescent="0.25">
      <c r="A5" s="13"/>
      <c r="B5" s="15" t="s">
        <v>10</v>
      </c>
      <c r="C5" s="15" t="s">
        <v>11</v>
      </c>
      <c r="D5" s="16" t="s">
        <v>66</v>
      </c>
      <c r="E5" s="1" t="s">
        <v>12</v>
      </c>
      <c r="F5" s="15" t="s">
        <v>14</v>
      </c>
      <c r="G5" s="15" t="s">
        <v>15</v>
      </c>
    </row>
    <row r="6" ht="15.6" customHeight="1" spans="1:7" x14ac:dyDescent="0.25">
      <c r="A6" s="23">
        <v>1</v>
      </c>
      <c r="B6" s="29" t="s">
        <v>22</v>
      </c>
      <c r="C6" s="29" t="s">
        <v>71</v>
      </c>
      <c r="D6" s="25">
        <f>'Monthly District History'!D12</f>
        <v>160</v>
      </c>
      <c r="E6" s="25">
        <f t="shared" ref="E6:E19" si="0">D6-F6</f>
        <v>0</v>
      </c>
      <c r="F6" s="25">
        <f>'Monthly District History'!F12</f>
        <v>160</v>
      </c>
      <c r="G6" s="26">
        <f t="shared" ref="G6:G18" si="1">F6/D6</f>
        <v>1</v>
      </c>
    </row>
    <row r="7" ht="15.6" customHeight="1" spans="1:7" x14ac:dyDescent="0.25">
      <c r="A7" s="23">
        <v>2</v>
      </c>
      <c r="B7" s="25" t="s">
        <v>22</v>
      </c>
      <c r="C7" s="29" t="s">
        <v>72</v>
      </c>
      <c r="D7" s="25">
        <f>'Monthly District History'!D30</f>
        <v>230</v>
      </c>
      <c r="E7" s="25">
        <f t="shared" si="0"/>
        <v>0</v>
      </c>
      <c r="F7" s="25">
        <f>'Monthly District History'!F30</f>
        <v>230</v>
      </c>
      <c r="G7" s="26">
        <f t="shared" si="1"/>
        <v>1</v>
      </c>
    </row>
    <row r="8" ht="15.6" customHeight="1" spans="1:7" x14ac:dyDescent="0.25">
      <c r="A8" s="23">
        <v>3</v>
      </c>
      <c r="B8" s="29" t="s">
        <v>22</v>
      </c>
      <c r="C8" s="29" t="s">
        <v>73</v>
      </c>
      <c r="D8" s="29">
        <f>'Monthly District History'!D51</f>
        <v>1731</v>
      </c>
      <c r="E8" s="25">
        <f t="shared" si="0"/>
        <v>0</v>
      </c>
      <c r="F8" s="25">
        <f>'Monthly District History'!F51</f>
        <v>1731</v>
      </c>
      <c r="G8" s="26">
        <f t="shared" si="1"/>
        <v>1</v>
      </c>
    </row>
    <row r="9" ht="15.6" customHeight="1" spans="1:7" x14ac:dyDescent="0.25">
      <c r="A9" s="23">
        <v>4</v>
      </c>
      <c r="B9" s="201" t="s">
        <v>22</v>
      </c>
      <c r="C9" s="202" t="s">
        <v>74</v>
      </c>
      <c r="D9" s="75">
        <f>'Monthly District History'!D67</f>
        <v>2584</v>
      </c>
      <c r="E9" s="25">
        <f t="shared" si="0"/>
        <v>0</v>
      </c>
      <c r="F9" s="203">
        <f>'Monthly District History'!F67</f>
        <v>2584</v>
      </c>
      <c r="G9" s="26">
        <f t="shared" si="1"/>
        <v>1</v>
      </c>
    </row>
    <row r="10" ht="15.6" customHeight="1" spans="1:7" x14ac:dyDescent="0.25">
      <c r="A10" s="23">
        <v>5</v>
      </c>
      <c r="B10" s="201" t="s">
        <v>22</v>
      </c>
      <c r="C10" s="202" t="s">
        <v>75</v>
      </c>
      <c r="D10" s="75">
        <f>'Monthly District History'!D86</f>
        <v>235</v>
      </c>
      <c r="E10" s="25">
        <f t="shared" si="0"/>
        <v>0</v>
      </c>
      <c r="F10" s="75">
        <f>'Monthly District History'!F86</f>
        <v>235</v>
      </c>
      <c r="G10" s="26">
        <f t="shared" si="1"/>
        <v>1</v>
      </c>
    </row>
    <row r="11" ht="15.6" customHeight="1" spans="1:7" x14ac:dyDescent="0.25">
      <c r="A11" s="23">
        <v>6</v>
      </c>
      <c r="B11" s="201" t="s">
        <v>22</v>
      </c>
      <c r="C11" s="202" t="s">
        <v>76</v>
      </c>
      <c r="D11" s="75">
        <f>'Monthly District History'!D105</f>
        <v>126</v>
      </c>
      <c r="E11" s="25">
        <f t="shared" si="0"/>
        <v>0</v>
      </c>
      <c r="F11" s="75">
        <f>'Monthly District History'!F105</f>
        <v>126</v>
      </c>
      <c r="G11" s="26">
        <f t="shared" si="1"/>
        <v>1</v>
      </c>
    </row>
    <row r="12" ht="15.6" customHeight="1" spans="1:7" x14ac:dyDescent="0.25">
      <c r="A12" s="23">
        <v>7</v>
      </c>
      <c r="B12" s="204" t="s">
        <v>22</v>
      </c>
      <c r="C12" s="205" t="s">
        <v>77</v>
      </c>
      <c r="D12" s="206">
        <f>'Monthly District History'!D124</f>
        <v>1497</v>
      </c>
      <c r="E12" s="25">
        <f t="shared" si="0"/>
        <v>0</v>
      </c>
      <c r="F12" s="206">
        <f>'Monthly District History'!F124</f>
        <v>1497</v>
      </c>
      <c r="G12" s="26">
        <f t="shared" si="1"/>
        <v>1</v>
      </c>
    </row>
    <row r="13" ht="15.6" customHeight="1" spans="1:7" x14ac:dyDescent="0.25">
      <c r="A13" s="23">
        <v>8</v>
      </c>
      <c r="B13" s="207" t="s">
        <v>22</v>
      </c>
      <c r="C13" s="143" t="s">
        <v>78</v>
      </c>
      <c r="D13" s="208">
        <f>'Monthly District History'!D143</f>
        <v>127</v>
      </c>
      <c r="E13" s="25">
        <f t="shared" si="0"/>
        <v>0</v>
      </c>
      <c r="F13" s="208">
        <f>'Monthly District History'!F143</f>
        <v>127</v>
      </c>
      <c r="G13" s="26">
        <f t="shared" si="1"/>
        <v>1</v>
      </c>
    </row>
    <row r="14" ht="15.6" customHeight="1" spans="1:7" x14ac:dyDescent="0.25">
      <c r="A14" s="23">
        <v>9</v>
      </c>
      <c r="B14" s="207" t="s">
        <v>22</v>
      </c>
      <c r="C14" s="143" t="s">
        <v>79</v>
      </c>
      <c r="D14" s="208">
        <f>'Monthly District History'!D162</f>
        <v>69</v>
      </c>
      <c r="E14" s="25">
        <f t="shared" si="0"/>
        <v>0</v>
      </c>
      <c r="F14" s="208">
        <f>'Monthly District History'!F162</f>
        <v>69</v>
      </c>
      <c r="G14" s="26">
        <f t="shared" si="1"/>
        <v>1</v>
      </c>
    </row>
    <row r="15" ht="15.6" customHeight="1" spans="1:7" x14ac:dyDescent="0.25">
      <c r="A15" s="23">
        <v>10</v>
      </c>
      <c r="B15" s="207" t="s">
        <v>22</v>
      </c>
      <c r="C15" s="205" t="s">
        <v>80</v>
      </c>
      <c r="D15" s="208">
        <f>'Monthly District History'!D182</f>
        <v>167</v>
      </c>
      <c r="E15" s="25">
        <f t="shared" si="0"/>
        <v>0</v>
      </c>
      <c r="F15" s="208">
        <f>'Monthly District History'!F182</f>
        <v>167</v>
      </c>
      <c r="G15" s="26">
        <f t="shared" si="1"/>
        <v>1</v>
      </c>
    </row>
    <row r="16" ht="15.6" customHeight="1" spans="1:7" x14ac:dyDescent="0.25">
      <c r="A16" s="23">
        <v>11</v>
      </c>
      <c r="B16" s="207" t="s">
        <v>22</v>
      </c>
      <c r="C16" s="205" t="s">
        <v>81</v>
      </c>
      <c r="D16" s="208">
        <f>'Monthly District History'!D204</f>
        <v>100</v>
      </c>
      <c r="E16" s="25">
        <f t="shared" si="0"/>
        <v>0</v>
      </c>
      <c r="F16" s="208">
        <f>'Monthly District History'!F204</f>
        <v>100</v>
      </c>
      <c r="G16" s="26">
        <f t="shared" si="1"/>
        <v>1</v>
      </c>
    </row>
    <row r="17" ht="15.6" customHeight="1" spans="1:7" x14ac:dyDescent="0.25">
      <c r="A17" s="23">
        <v>12</v>
      </c>
      <c r="B17" s="207" t="s">
        <v>22</v>
      </c>
      <c r="C17" s="205" t="s">
        <v>82</v>
      </c>
      <c r="D17" s="208">
        <f>'Monthly District History'!J226</f>
        <v>54</v>
      </c>
      <c r="E17" s="25">
        <f t="shared" si="0"/>
        <v>23</v>
      </c>
      <c r="F17" s="208">
        <f>'Monthly District History'!M226</f>
        <v>31</v>
      </c>
      <c r="G17" s="26">
        <f t="shared" si="1"/>
        <v>0.5740740740740741</v>
      </c>
    </row>
    <row r="18" ht="15.6" customHeight="1" spans="1:7" x14ac:dyDescent="0.25">
      <c r="A18" s="23">
        <v>13</v>
      </c>
      <c r="B18" s="207" t="s">
        <v>22</v>
      </c>
      <c r="C18" s="205" t="s">
        <v>83</v>
      </c>
      <c r="D18" s="208">
        <f>'Monthly District History'!J246</f>
        <v>207</v>
      </c>
      <c r="E18" s="25">
        <f t="shared" si="0"/>
        <v>187</v>
      </c>
      <c r="F18" s="208">
        <f>'Monthly District History'!M246</f>
        <v>20</v>
      </c>
      <c r="G18" s="26">
        <f t="shared" si="1"/>
        <v>0.0966183574879227</v>
      </c>
    </row>
    <row r="19" ht="15.6" customHeight="1" spans="1:7" x14ac:dyDescent="0.25">
      <c r="A19" s="23">
        <v>14</v>
      </c>
      <c r="B19" s="207" t="s">
        <v>22</v>
      </c>
      <c r="C19" s="29" t="s">
        <v>84</v>
      </c>
      <c r="D19" s="25"/>
      <c r="E19" s="25">
        <f t="shared" si="0"/>
        <v>0</v>
      </c>
      <c r="F19" s="25"/>
      <c r="G19" s="26"/>
    </row>
    <row r="20" ht="15.6" customHeight="1" spans="1:7" x14ac:dyDescent="0.25">
      <c r="A20" s="209"/>
      <c r="B20" s="210"/>
      <c r="C20" s="211"/>
      <c r="D20" s="212">
        <f>SUM(D6:D19)</f>
        <v>7287</v>
      </c>
      <c r="E20" s="212">
        <f>SUM(E6:E19)</f>
        <v>210</v>
      </c>
      <c r="F20" s="212">
        <f>SUM(F6:F19)</f>
        <v>7077</v>
      </c>
      <c r="G20" s="213">
        <f t="shared" ref="G20:G33" si="2">F20/D20</f>
        <v>0.9711815561959655</v>
      </c>
    </row>
    <row r="21" ht="15.6" customHeight="1" spans="1:7" x14ac:dyDescent="0.25">
      <c r="A21" s="23">
        <v>1</v>
      </c>
      <c r="B21" s="25" t="s">
        <v>26</v>
      </c>
      <c r="C21" s="29" t="s">
        <v>71</v>
      </c>
      <c r="D21" s="25">
        <f>'Monthly District History'!D16</f>
        <v>292</v>
      </c>
      <c r="E21" s="25">
        <f t="shared" ref="E21:E34" si="3">D21-F21</f>
        <v>0</v>
      </c>
      <c r="F21" s="25">
        <f>'Monthly District History'!F16</f>
        <v>292</v>
      </c>
      <c r="G21" s="26">
        <f t="shared" si="2"/>
        <v>1</v>
      </c>
    </row>
    <row r="22" ht="15.6" customHeight="1" spans="1:7" x14ac:dyDescent="0.25">
      <c r="A22" s="23">
        <v>2</v>
      </c>
      <c r="B22" s="25" t="s">
        <v>26</v>
      </c>
      <c r="C22" s="29" t="s">
        <v>72</v>
      </c>
      <c r="D22" s="25">
        <f>'Monthly District History'!D37</f>
        <v>513</v>
      </c>
      <c r="E22" s="25">
        <f t="shared" si="3"/>
        <v>0</v>
      </c>
      <c r="F22" s="25">
        <f>'Monthly District History'!F37</f>
        <v>513</v>
      </c>
      <c r="G22" s="26">
        <f t="shared" si="2"/>
        <v>1</v>
      </c>
    </row>
    <row r="23" ht="15.6" customHeight="1" spans="1:7" x14ac:dyDescent="0.25">
      <c r="A23" s="23">
        <v>3</v>
      </c>
      <c r="B23" s="25" t="s">
        <v>26</v>
      </c>
      <c r="C23" s="29" t="s">
        <v>73</v>
      </c>
      <c r="D23" s="25">
        <f>'Monthly District History'!D55</f>
        <v>10510</v>
      </c>
      <c r="E23" s="25">
        <f t="shared" si="3"/>
        <v>0</v>
      </c>
      <c r="F23" s="25">
        <f>'Monthly District History'!F55</f>
        <v>10510</v>
      </c>
      <c r="G23" s="26">
        <f t="shared" si="2"/>
        <v>1</v>
      </c>
    </row>
    <row r="24" ht="15.6" customHeight="1" spans="1:7" x14ac:dyDescent="0.25">
      <c r="A24" s="23">
        <v>4</v>
      </c>
      <c r="B24" s="75" t="s">
        <v>26</v>
      </c>
      <c r="C24" s="202" t="s">
        <v>74</v>
      </c>
      <c r="D24" s="75">
        <f>'Monthly District History'!D68</f>
        <v>4589</v>
      </c>
      <c r="E24" s="25">
        <f t="shared" si="3"/>
        <v>54</v>
      </c>
      <c r="F24" s="203">
        <f>'Monthly District History'!F68</f>
        <v>4535</v>
      </c>
      <c r="G24" s="26">
        <f t="shared" si="2"/>
        <v>0.9882327304423622</v>
      </c>
    </row>
    <row r="25" ht="15.6" customHeight="1" spans="1:7" x14ac:dyDescent="0.25">
      <c r="A25" s="23">
        <v>5</v>
      </c>
      <c r="B25" s="202" t="s">
        <v>26</v>
      </c>
      <c r="C25" s="202" t="s">
        <v>75</v>
      </c>
      <c r="D25" s="75">
        <f>'Monthly District History'!D87</f>
        <v>3650</v>
      </c>
      <c r="E25" s="25">
        <f t="shared" si="3"/>
        <v>16</v>
      </c>
      <c r="F25" s="75">
        <f>'Monthly District History'!F87</f>
        <v>3634</v>
      </c>
      <c r="G25" s="26">
        <f t="shared" si="2"/>
        <v>0.9956164383561644</v>
      </c>
    </row>
    <row r="26" ht="15.6" customHeight="1" spans="1:7" x14ac:dyDescent="0.25">
      <c r="A26" s="23">
        <v>6</v>
      </c>
      <c r="B26" s="75" t="s">
        <v>26</v>
      </c>
      <c r="C26" s="202" t="s">
        <v>76</v>
      </c>
      <c r="D26" s="75">
        <f>'Monthly District History'!D106</f>
        <v>811</v>
      </c>
      <c r="E26" s="25">
        <f t="shared" si="3"/>
        <v>27</v>
      </c>
      <c r="F26" s="75">
        <f>'Monthly District History'!F106</f>
        <v>784</v>
      </c>
      <c r="G26" s="26">
        <f t="shared" si="2"/>
        <v>0.966707768187423</v>
      </c>
    </row>
    <row r="27" ht="15.6" customHeight="1" spans="1:7" x14ac:dyDescent="0.25">
      <c r="A27" s="23">
        <v>7</v>
      </c>
      <c r="B27" s="205" t="s">
        <v>26</v>
      </c>
      <c r="C27" s="205" t="s">
        <v>77</v>
      </c>
      <c r="D27" s="205">
        <f>'Monthly District History'!D125</f>
        <v>1334</v>
      </c>
      <c r="E27" s="25">
        <f t="shared" si="3"/>
        <v>30</v>
      </c>
      <c r="F27" s="206">
        <f>'Monthly District History'!F125</f>
        <v>1304</v>
      </c>
      <c r="G27" s="26">
        <f t="shared" si="2"/>
        <v>0.9775112443778111</v>
      </c>
    </row>
    <row r="28" ht="15.6" customHeight="1" spans="1:7" x14ac:dyDescent="0.25">
      <c r="A28" s="23">
        <v>8</v>
      </c>
      <c r="B28" s="208" t="s">
        <v>26</v>
      </c>
      <c r="C28" s="143" t="s">
        <v>78</v>
      </c>
      <c r="D28" s="208">
        <f>'Monthly District History'!D144</f>
        <v>850</v>
      </c>
      <c r="E28" s="25">
        <f t="shared" si="3"/>
        <v>41</v>
      </c>
      <c r="F28" s="208">
        <f>'Monthly District History'!F144</f>
        <v>809</v>
      </c>
      <c r="G28" s="26">
        <f t="shared" si="2"/>
        <v>0.951764705882353</v>
      </c>
    </row>
    <row r="29" ht="15.6" customHeight="1" spans="1:7" x14ac:dyDescent="0.25">
      <c r="A29" s="23">
        <v>9</v>
      </c>
      <c r="B29" s="208" t="s">
        <v>26</v>
      </c>
      <c r="C29" s="143" t="s">
        <v>79</v>
      </c>
      <c r="D29" s="208">
        <f>'Monthly District History'!D163</f>
        <v>4249</v>
      </c>
      <c r="E29" s="25">
        <f t="shared" si="3"/>
        <v>32</v>
      </c>
      <c r="F29" s="208">
        <f>'Monthly District History'!F163</f>
        <v>4217</v>
      </c>
      <c r="G29" s="26">
        <f t="shared" si="2"/>
        <v>0.9924688161920452</v>
      </c>
    </row>
    <row r="30" ht="15.6" customHeight="1" spans="1:7" x14ac:dyDescent="0.25">
      <c r="A30" s="23">
        <v>10</v>
      </c>
      <c r="B30" s="208" t="s">
        <v>26</v>
      </c>
      <c r="C30" s="205" t="s">
        <v>80</v>
      </c>
      <c r="D30" s="208">
        <f>'Monthly District History'!D183</f>
        <v>5197</v>
      </c>
      <c r="E30" s="25">
        <f t="shared" si="3"/>
        <v>25</v>
      </c>
      <c r="F30" s="208">
        <f>'Monthly District History'!F183</f>
        <v>5172</v>
      </c>
      <c r="G30" s="26">
        <f t="shared" si="2"/>
        <v>0.9951895324225515</v>
      </c>
    </row>
    <row r="31" ht="15.6" customHeight="1" spans="1:7" x14ac:dyDescent="0.25">
      <c r="A31" s="23">
        <v>11</v>
      </c>
      <c r="B31" s="208" t="s">
        <v>26</v>
      </c>
      <c r="C31" s="205" t="s">
        <v>81</v>
      </c>
      <c r="D31" s="208">
        <f>'Monthly District History'!D205</f>
        <v>4292</v>
      </c>
      <c r="E31" s="25">
        <f t="shared" si="3"/>
        <v>95</v>
      </c>
      <c r="F31" s="208">
        <f>'Monthly District History'!F205</f>
        <v>4197</v>
      </c>
      <c r="G31" s="26">
        <f t="shared" si="2"/>
        <v>0.977865796831314</v>
      </c>
    </row>
    <row r="32" ht="15.6" customHeight="1" spans="1:7" x14ac:dyDescent="0.25">
      <c r="A32" s="23">
        <v>12</v>
      </c>
      <c r="B32" s="208" t="s">
        <v>26</v>
      </c>
      <c r="C32" s="205" t="s">
        <v>82</v>
      </c>
      <c r="D32" s="208">
        <f>'Monthly District History'!J227</f>
        <v>3734</v>
      </c>
      <c r="E32" s="25">
        <f t="shared" si="3"/>
        <v>36</v>
      </c>
      <c r="F32" s="208">
        <f>'Monthly District History'!M227</f>
        <v>3698</v>
      </c>
      <c r="G32" s="26">
        <f t="shared" si="2"/>
        <v>0.9903588644884842</v>
      </c>
    </row>
    <row r="33" ht="15.6" customHeight="1" spans="1:7" x14ac:dyDescent="0.25">
      <c r="A33" s="23">
        <v>13</v>
      </c>
      <c r="B33" s="208" t="s">
        <v>26</v>
      </c>
      <c r="C33" s="205" t="s">
        <v>83</v>
      </c>
      <c r="D33" s="208">
        <f>'Monthly District History'!J247</f>
        <v>4342</v>
      </c>
      <c r="E33" s="25">
        <f t="shared" si="3"/>
        <v>4090</v>
      </c>
      <c r="F33" s="208">
        <f>'Monthly District History'!M247</f>
        <v>252</v>
      </c>
      <c r="G33" s="26">
        <f t="shared" si="2"/>
        <v>0.058037770612620915</v>
      </c>
    </row>
    <row r="34" ht="15.6" customHeight="1" spans="1:7" x14ac:dyDescent="0.25">
      <c r="A34" s="23">
        <v>14</v>
      </c>
      <c r="B34" s="208" t="s">
        <v>26</v>
      </c>
      <c r="C34" s="29" t="s">
        <v>84</v>
      </c>
      <c r="D34" s="25"/>
      <c r="E34" s="25">
        <f t="shared" si="3"/>
        <v>0</v>
      </c>
      <c r="F34" s="25"/>
      <c r="G34" s="26"/>
    </row>
    <row r="35" ht="15.6" customHeight="1" spans="1:7" x14ac:dyDescent="0.25">
      <c r="A35" s="209"/>
      <c r="B35" s="212"/>
      <c r="C35" s="211"/>
      <c r="D35" s="212">
        <f>SUM(D21:D34)</f>
        <v>44363</v>
      </c>
      <c r="E35" s="212">
        <f>SUM(E21:E34)</f>
        <v>4446</v>
      </c>
      <c r="F35" s="212">
        <f>SUM(F21:F34)</f>
        <v>39917</v>
      </c>
      <c r="G35" s="213">
        <f t="shared" ref="G35:G48" si="4">F35/D35</f>
        <v>0.8997813493226338</v>
      </c>
    </row>
    <row r="36" ht="15.6" customHeight="1" spans="1:7" x14ac:dyDescent="0.25">
      <c r="A36" s="23">
        <v>1</v>
      </c>
      <c r="B36" s="25" t="s">
        <v>28</v>
      </c>
      <c r="C36" s="29" t="s">
        <v>71</v>
      </c>
      <c r="D36" s="25">
        <f>'Monthly District History'!D18</f>
        <v>56</v>
      </c>
      <c r="E36" s="25">
        <f t="shared" ref="E36:E49" si="5">D36-F36</f>
        <v>12</v>
      </c>
      <c r="F36" s="25">
        <f>'Monthly District History'!F18</f>
        <v>44</v>
      </c>
      <c r="G36" s="26">
        <f t="shared" si="4"/>
        <v>0.7857142857142857</v>
      </c>
    </row>
    <row r="37" ht="15.6" customHeight="1" spans="1:7" x14ac:dyDescent="0.25">
      <c r="A37" s="23">
        <v>2</v>
      </c>
      <c r="B37" s="25" t="s">
        <v>28</v>
      </c>
      <c r="C37" s="29" t="s">
        <v>72</v>
      </c>
      <c r="D37" s="25">
        <f>'Monthly District History'!D36</f>
        <v>79</v>
      </c>
      <c r="E37" s="25">
        <f t="shared" si="5"/>
        <v>10</v>
      </c>
      <c r="F37" s="25">
        <f>'Monthly District History'!F36</f>
        <v>69</v>
      </c>
      <c r="G37" s="26">
        <f t="shared" si="4"/>
        <v>0.8734177215189873</v>
      </c>
    </row>
    <row r="38" ht="15.6" customHeight="1" spans="1:7" x14ac:dyDescent="0.25">
      <c r="A38" s="23">
        <v>3</v>
      </c>
      <c r="B38" s="29" t="s">
        <v>28</v>
      </c>
      <c r="C38" s="29" t="s">
        <v>73</v>
      </c>
      <c r="D38" s="25">
        <f>'Monthly District History'!D56</f>
        <v>220</v>
      </c>
      <c r="E38" s="25">
        <f t="shared" si="5"/>
        <v>8</v>
      </c>
      <c r="F38" s="25">
        <f>'Monthly District History'!F56</f>
        <v>212</v>
      </c>
      <c r="G38" s="26">
        <f t="shared" si="4"/>
        <v>0.9636363636363636</v>
      </c>
    </row>
    <row r="39" ht="15.6" customHeight="1" spans="1:7" x14ac:dyDescent="0.25">
      <c r="A39" s="23">
        <v>4</v>
      </c>
      <c r="B39" s="214" t="s">
        <v>28</v>
      </c>
      <c r="C39" s="202" t="s">
        <v>74</v>
      </c>
      <c r="D39" s="215">
        <f>'Monthly District History'!D69</f>
        <v>100</v>
      </c>
      <c r="E39" s="25">
        <f t="shared" si="5"/>
        <v>5</v>
      </c>
      <c r="F39" s="203">
        <f>'Monthly District History'!F69</f>
        <v>95</v>
      </c>
      <c r="G39" s="26">
        <f t="shared" si="4"/>
        <v>0.95</v>
      </c>
    </row>
    <row r="40" ht="15.6" customHeight="1" spans="1:7" x14ac:dyDescent="0.25">
      <c r="A40" s="23">
        <v>5</v>
      </c>
      <c r="B40" s="214" t="s">
        <v>28</v>
      </c>
      <c r="C40" s="202" t="s">
        <v>75</v>
      </c>
      <c r="D40" s="215">
        <f>'Monthly District History'!D88</f>
        <v>100</v>
      </c>
      <c r="E40" s="25">
        <f t="shared" si="5"/>
        <v>4</v>
      </c>
      <c r="F40" s="75">
        <f>'Monthly District History'!F88</f>
        <v>96</v>
      </c>
      <c r="G40" s="26">
        <f t="shared" si="4"/>
        <v>0.96</v>
      </c>
    </row>
    <row r="41" ht="15.6" customHeight="1" spans="1:7" x14ac:dyDescent="0.25">
      <c r="A41" s="23">
        <v>6</v>
      </c>
      <c r="B41" s="214" t="s">
        <v>28</v>
      </c>
      <c r="C41" s="202" t="s">
        <v>76</v>
      </c>
      <c r="D41" s="215">
        <f>'Monthly District History'!D107</f>
        <v>44</v>
      </c>
      <c r="E41" s="25">
        <f t="shared" si="5"/>
        <v>13</v>
      </c>
      <c r="F41" s="75">
        <f>'Monthly District History'!F107</f>
        <v>31</v>
      </c>
      <c r="G41" s="26">
        <f t="shared" si="4"/>
        <v>0.7045454545454546</v>
      </c>
    </row>
    <row r="42" ht="15.6" customHeight="1" spans="1:7" x14ac:dyDescent="0.25">
      <c r="A42" s="23">
        <v>7</v>
      </c>
      <c r="B42" s="216" t="s">
        <v>28</v>
      </c>
      <c r="C42" s="205" t="s">
        <v>77</v>
      </c>
      <c r="D42" s="206">
        <f>'Monthly District History'!D126</f>
        <v>54</v>
      </c>
      <c r="E42" s="25">
        <f t="shared" si="5"/>
        <v>14</v>
      </c>
      <c r="F42" s="206">
        <f>'Monthly District History'!F126</f>
        <v>40</v>
      </c>
      <c r="G42" s="26">
        <f t="shared" si="4"/>
        <v>0.7407407407407407</v>
      </c>
    </row>
    <row r="43" ht="15.6" customHeight="1" spans="1:7" x14ac:dyDescent="0.25">
      <c r="A43" s="23">
        <v>8</v>
      </c>
      <c r="B43" s="217" t="s">
        <v>28</v>
      </c>
      <c r="C43" s="143" t="s">
        <v>78</v>
      </c>
      <c r="D43" s="208">
        <f>'Monthly District History'!D145</f>
        <v>47</v>
      </c>
      <c r="E43" s="25">
        <f t="shared" si="5"/>
        <v>13</v>
      </c>
      <c r="F43" s="208">
        <f>'Monthly District History'!F145</f>
        <v>34</v>
      </c>
      <c r="G43" s="26">
        <f t="shared" si="4"/>
        <v>0.723404255319149</v>
      </c>
    </row>
    <row r="44" ht="15.6" customHeight="1" spans="1:7" x14ac:dyDescent="0.25">
      <c r="A44" s="23">
        <v>9</v>
      </c>
      <c r="B44" s="217" t="s">
        <v>28</v>
      </c>
      <c r="C44" s="143" t="s">
        <v>79</v>
      </c>
      <c r="D44" s="208">
        <f>'Monthly District History'!D164</f>
        <v>157</v>
      </c>
      <c r="E44" s="25">
        <f t="shared" si="5"/>
        <v>16</v>
      </c>
      <c r="F44" s="208">
        <f>'Monthly District History'!F164</f>
        <v>141</v>
      </c>
      <c r="G44" s="26">
        <f t="shared" si="4"/>
        <v>0.8980891719745223</v>
      </c>
    </row>
    <row r="45" ht="15.6" customHeight="1" spans="1:7" x14ac:dyDescent="0.25">
      <c r="A45" s="23">
        <v>10</v>
      </c>
      <c r="B45" s="217" t="s">
        <v>28</v>
      </c>
      <c r="C45" s="205" t="s">
        <v>80</v>
      </c>
      <c r="D45" s="208">
        <f>'Monthly District History'!D184</f>
        <v>168</v>
      </c>
      <c r="E45" s="25">
        <f t="shared" si="5"/>
        <v>29</v>
      </c>
      <c r="F45" s="208">
        <f>'Monthly District History'!F184</f>
        <v>139</v>
      </c>
      <c r="G45" s="26">
        <f t="shared" si="4"/>
        <v>0.8273809523809523</v>
      </c>
    </row>
    <row r="46" ht="15.6" customHeight="1" spans="1:7" x14ac:dyDescent="0.25">
      <c r="A46" s="23">
        <v>11</v>
      </c>
      <c r="B46" s="217" t="s">
        <v>28</v>
      </c>
      <c r="C46" s="205" t="s">
        <v>81</v>
      </c>
      <c r="D46" s="208">
        <f>'Monthly District History'!D206</f>
        <v>100</v>
      </c>
      <c r="E46" s="25">
        <f t="shared" si="5"/>
        <v>8</v>
      </c>
      <c r="F46" s="208">
        <f>'Monthly District History'!F206</f>
        <v>92</v>
      </c>
      <c r="G46" s="26">
        <f t="shared" si="4"/>
        <v>0.92</v>
      </c>
    </row>
    <row r="47" ht="15.6" customHeight="1" spans="1:7" x14ac:dyDescent="0.25">
      <c r="A47" s="23">
        <v>12</v>
      </c>
      <c r="B47" s="217" t="s">
        <v>28</v>
      </c>
      <c r="C47" s="205" t="s">
        <v>82</v>
      </c>
      <c r="D47" s="208">
        <f>'Monthly District History'!J228</f>
        <v>54</v>
      </c>
      <c r="E47" s="25">
        <f t="shared" si="5"/>
        <v>11</v>
      </c>
      <c r="F47" s="208">
        <f>'Monthly District History'!M228</f>
        <v>43</v>
      </c>
      <c r="G47" s="26">
        <f t="shared" si="4"/>
        <v>0.7962962962962963</v>
      </c>
    </row>
    <row r="48" ht="15.6" customHeight="1" spans="1:7" x14ac:dyDescent="0.25">
      <c r="A48" s="23">
        <v>13</v>
      </c>
      <c r="B48" s="217" t="s">
        <v>28</v>
      </c>
      <c r="C48" s="205" t="s">
        <v>83</v>
      </c>
      <c r="D48" s="208">
        <f>'Monthly District History'!J248</f>
        <v>268</v>
      </c>
      <c r="E48" s="25">
        <f t="shared" si="5"/>
        <v>219</v>
      </c>
      <c r="F48" s="208">
        <f>'Monthly District History'!M248</f>
        <v>49</v>
      </c>
      <c r="G48" s="26">
        <f t="shared" si="4"/>
        <v>0.1828358208955224</v>
      </c>
    </row>
    <row r="49" ht="15.6" customHeight="1" spans="1:7" x14ac:dyDescent="0.25">
      <c r="A49" s="23">
        <v>14</v>
      </c>
      <c r="B49" s="217" t="s">
        <v>28</v>
      </c>
      <c r="C49" s="29" t="s">
        <v>84</v>
      </c>
      <c r="D49" s="25"/>
      <c r="E49" s="25">
        <f t="shared" si="5"/>
        <v>0</v>
      </c>
      <c r="F49" s="25"/>
      <c r="G49" s="26"/>
    </row>
    <row r="50" ht="15.6" customHeight="1" spans="1:7" x14ac:dyDescent="0.25">
      <c r="A50" s="209"/>
      <c r="B50" s="210"/>
      <c r="C50" s="211"/>
      <c r="D50" s="212">
        <f>SUM(D36:D49)</f>
        <v>1447</v>
      </c>
      <c r="E50" s="212">
        <f>SUM(E36:E49)</f>
        <v>362</v>
      </c>
      <c r="F50" s="212">
        <f>SUM(F36:F49)</f>
        <v>1085</v>
      </c>
      <c r="G50" s="213">
        <f t="shared" ref="G50:G63" si="6">F50/D50</f>
        <v>0.7498272287491361</v>
      </c>
    </row>
    <row r="51" ht="15.6" customHeight="1" spans="1:7" x14ac:dyDescent="0.25">
      <c r="A51" s="23">
        <v>1</v>
      </c>
      <c r="B51" s="25" t="s">
        <v>24</v>
      </c>
      <c r="C51" s="29" t="s">
        <v>71</v>
      </c>
      <c r="D51" s="25">
        <f>'Monthly District History'!D14</f>
        <v>352</v>
      </c>
      <c r="E51" s="25">
        <f t="shared" ref="E51:E64" si="7">D51-F51</f>
        <v>0</v>
      </c>
      <c r="F51" s="25">
        <f>'Monthly District History'!F14</f>
        <v>352</v>
      </c>
      <c r="G51" s="26">
        <f t="shared" si="6"/>
        <v>1</v>
      </c>
    </row>
    <row r="52" ht="15.6" customHeight="1" spans="1:7" x14ac:dyDescent="0.25">
      <c r="A52" s="23">
        <v>2</v>
      </c>
      <c r="B52" s="29" t="s">
        <v>24</v>
      </c>
      <c r="C52" s="29" t="s">
        <v>72</v>
      </c>
      <c r="D52" s="29">
        <f>'Monthly District History'!D29</f>
        <v>818</v>
      </c>
      <c r="E52" s="25">
        <f t="shared" si="7"/>
        <v>0</v>
      </c>
      <c r="F52" s="29">
        <f>'Monthly District History'!F29</f>
        <v>818</v>
      </c>
      <c r="G52" s="26">
        <f t="shared" si="6"/>
        <v>1</v>
      </c>
    </row>
    <row r="53" ht="15.6" customHeight="1" spans="1:7" x14ac:dyDescent="0.25">
      <c r="A53" s="23">
        <v>3</v>
      </c>
      <c r="B53" s="25" t="s">
        <v>24</v>
      </c>
      <c r="C53" s="29" t="s">
        <v>73</v>
      </c>
      <c r="D53" s="25">
        <f>'Monthly District History'!D48</f>
        <v>1734</v>
      </c>
      <c r="E53" s="25">
        <f t="shared" si="7"/>
        <v>0</v>
      </c>
      <c r="F53" s="25">
        <f>'Monthly District History'!F48</f>
        <v>1734</v>
      </c>
      <c r="G53" s="26">
        <f t="shared" si="6"/>
        <v>1</v>
      </c>
    </row>
    <row r="54" ht="15.6" customHeight="1" spans="1:7" x14ac:dyDescent="0.25">
      <c r="A54" s="23">
        <v>4</v>
      </c>
      <c r="B54" s="201" t="s">
        <v>24</v>
      </c>
      <c r="C54" s="202" t="s">
        <v>74</v>
      </c>
      <c r="D54" s="75">
        <f>'Monthly District History'!D70</f>
        <v>448</v>
      </c>
      <c r="E54" s="25">
        <f t="shared" si="7"/>
        <v>0</v>
      </c>
      <c r="F54" s="203">
        <f>'Monthly District History'!F70</f>
        <v>448</v>
      </c>
      <c r="G54" s="26">
        <f t="shared" si="6"/>
        <v>1</v>
      </c>
    </row>
    <row r="55" ht="15.6" customHeight="1" spans="1:7" x14ac:dyDescent="0.25">
      <c r="A55" s="23">
        <v>5</v>
      </c>
      <c r="B55" s="201" t="s">
        <v>24</v>
      </c>
      <c r="C55" s="202" t="s">
        <v>75</v>
      </c>
      <c r="D55" s="75">
        <f>'Monthly District History'!D89</f>
        <v>48</v>
      </c>
      <c r="E55" s="25">
        <f t="shared" si="7"/>
        <v>0</v>
      </c>
      <c r="F55" s="75">
        <f>'Monthly District History'!F89</f>
        <v>48</v>
      </c>
      <c r="G55" s="26">
        <f t="shared" si="6"/>
        <v>1</v>
      </c>
    </row>
    <row r="56" ht="15.6" customHeight="1" spans="1:7" x14ac:dyDescent="0.25">
      <c r="A56" s="23">
        <v>6</v>
      </c>
      <c r="B56" s="201" t="s">
        <v>24</v>
      </c>
      <c r="C56" s="202" t="s">
        <v>76</v>
      </c>
      <c r="D56" s="75">
        <f>'Monthly District History'!D108</f>
        <v>163</v>
      </c>
      <c r="E56" s="25">
        <f t="shared" si="7"/>
        <v>4</v>
      </c>
      <c r="F56" s="75">
        <f>'Monthly District History'!F108</f>
        <v>159</v>
      </c>
      <c r="G56" s="26">
        <f t="shared" si="6"/>
        <v>0.9754601226993865</v>
      </c>
    </row>
    <row r="57" ht="15.6" customHeight="1" spans="1:7" x14ac:dyDescent="0.25">
      <c r="A57" s="23">
        <v>7</v>
      </c>
      <c r="B57" s="204" t="s">
        <v>24</v>
      </c>
      <c r="C57" s="205" t="s">
        <v>77</v>
      </c>
      <c r="D57" s="206">
        <f>'Monthly District History'!D127</f>
        <v>24</v>
      </c>
      <c r="E57" s="25">
        <f t="shared" si="7"/>
        <v>0</v>
      </c>
      <c r="F57" s="206">
        <f>'Monthly District History'!F127</f>
        <v>24</v>
      </c>
      <c r="G57" s="26">
        <f t="shared" si="6"/>
        <v>1</v>
      </c>
    </row>
    <row r="58" ht="15.6" customHeight="1" spans="1:7" x14ac:dyDescent="0.25">
      <c r="A58" s="23">
        <v>8</v>
      </c>
      <c r="B58" s="218" t="s">
        <v>24</v>
      </c>
      <c r="C58" s="143" t="s">
        <v>78</v>
      </c>
      <c r="D58" s="208">
        <f>'Monthly District History'!D146</f>
        <v>17</v>
      </c>
      <c r="E58" s="25">
        <f t="shared" si="7"/>
        <v>0</v>
      </c>
      <c r="F58" s="208">
        <f>'Monthly District History'!F146</f>
        <v>17</v>
      </c>
      <c r="G58" s="26">
        <f t="shared" si="6"/>
        <v>1</v>
      </c>
    </row>
    <row r="59" ht="15.6" customHeight="1" spans="1:7" x14ac:dyDescent="0.25">
      <c r="A59" s="23">
        <v>9</v>
      </c>
      <c r="B59" s="218" t="s">
        <v>24</v>
      </c>
      <c r="C59" s="143" t="s">
        <v>79</v>
      </c>
      <c r="D59" s="208">
        <f>'Monthly District History'!D165</f>
        <v>195</v>
      </c>
      <c r="E59" s="25">
        <f t="shared" si="7"/>
        <v>0</v>
      </c>
      <c r="F59" s="208">
        <f>'Monthly District History'!F165</f>
        <v>195</v>
      </c>
      <c r="G59" s="26">
        <f t="shared" si="6"/>
        <v>1</v>
      </c>
    </row>
    <row r="60" ht="15.6" customHeight="1" spans="1:7" x14ac:dyDescent="0.25">
      <c r="A60" s="23">
        <v>10</v>
      </c>
      <c r="B60" s="218" t="s">
        <v>24</v>
      </c>
      <c r="C60" s="205" t="s">
        <v>80</v>
      </c>
      <c r="D60" s="208">
        <f>'Monthly District History'!D185</f>
        <v>607</v>
      </c>
      <c r="E60" s="25">
        <f t="shared" si="7"/>
        <v>171</v>
      </c>
      <c r="F60" s="208">
        <f>'Monthly District History'!F185</f>
        <v>436</v>
      </c>
      <c r="G60" s="26">
        <f t="shared" si="6"/>
        <v>0.7182866556836903</v>
      </c>
    </row>
    <row r="61" ht="15.6" customHeight="1" spans="1:7" x14ac:dyDescent="0.25">
      <c r="A61" s="23">
        <v>11</v>
      </c>
      <c r="B61" s="218" t="s">
        <v>24</v>
      </c>
      <c r="C61" s="205" t="s">
        <v>81</v>
      </c>
      <c r="D61" s="208">
        <f>'Monthly District History'!D207</f>
        <v>43</v>
      </c>
      <c r="E61" s="25">
        <f t="shared" si="7"/>
        <v>0</v>
      </c>
      <c r="F61" s="208">
        <f>'Monthly District History'!F207</f>
        <v>43</v>
      </c>
      <c r="G61" s="26">
        <f t="shared" si="6"/>
        <v>1</v>
      </c>
    </row>
    <row r="62" ht="15.6" customHeight="1" spans="1:7" x14ac:dyDescent="0.25">
      <c r="A62" s="23">
        <v>12</v>
      </c>
      <c r="B62" s="218" t="s">
        <v>24</v>
      </c>
      <c r="C62" s="205" t="s">
        <v>82</v>
      </c>
      <c r="D62" s="208">
        <f>'Monthly District History'!J229</f>
        <v>192</v>
      </c>
      <c r="E62" s="25">
        <f t="shared" si="7"/>
        <v>192</v>
      </c>
      <c r="F62" s="208">
        <f>'Monthly District History'!M229</f>
      </c>
      <c r="G62" s="26">
        <f t="shared" si="6"/>
        <v>0</v>
      </c>
    </row>
    <row r="63" ht="15.6" customHeight="1" spans="1:7" x14ac:dyDescent="0.25">
      <c r="A63" s="23">
        <v>13</v>
      </c>
      <c r="B63" s="218" t="s">
        <v>24</v>
      </c>
      <c r="C63" s="205" t="s">
        <v>83</v>
      </c>
      <c r="D63" s="208">
        <f>'Monthly District History'!J250</f>
        <v>582</v>
      </c>
      <c r="E63" s="25">
        <f t="shared" si="7"/>
        <v>582</v>
      </c>
      <c r="F63" s="208">
        <f>'Monthly District History'!M250</f>
      </c>
      <c r="G63" s="26">
        <f t="shared" si="6"/>
        <v>0</v>
      </c>
    </row>
    <row r="64" ht="15.6" customHeight="1" spans="1:7" x14ac:dyDescent="0.25">
      <c r="A64" s="23">
        <v>14</v>
      </c>
      <c r="B64" s="218" t="s">
        <v>24</v>
      </c>
      <c r="C64" s="29" t="s">
        <v>84</v>
      </c>
      <c r="D64" s="25"/>
      <c r="E64" s="25">
        <f t="shared" si="7"/>
        <v>0</v>
      </c>
      <c r="F64" s="25"/>
      <c r="G64" s="26"/>
    </row>
    <row r="65" ht="15.6" customHeight="1" spans="1:7" x14ac:dyDescent="0.25">
      <c r="A65" s="209"/>
      <c r="B65" s="212"/>
      <c r="C65" s="211"/>
      <c r="D65" s="212">
        <f>SUM(D51:D64)</f>
        <v>5223</v>
      </c>
      <c r="E65" s="212">
        <f>SUM(E51:E64)</f>
        <v>949</v>
      </c>
      <c r="F65" s="212">
        <f>SUM(F51:F64)</f>
        <v>4274</v>
      </c>
      <c r="G65" s="213">
        <f t="shared" ref="G65:G108" si="8">F65/D65</f>
        <v>0.8183036569021636</v>
      </c>
    </row>
    <row r="66" ht="15.6" customHeight="1" spans="1:7" x14ac:dyDescent="0.25">
      <c r="A66" s="23">
        <v>1</v>
      </c>
      <c r="B66" s="25" t="s">
        <v>19</v>
      </c>
      <c r="C66" s="29" t="s">
        <v>71</v>
      </c>
      <c r="D66" s="25">
        <f>'Monthly District History'!D9</f>
        <v>1302</v>
      </c>
      <c r="E66" s="25">
        <f t="shared" ref="E66:E79" si="9">D66-F66</f>
        <v>4</v>
      </c>
      <c r="F66" s="25">
        <f>'Monthly District History'!F9</f>
        <v>1298</v>
      </c>
      <c r="G66" s="26">
        <f t="shared" si="8"/>
        <v>0.9969278033794163</v>
      </c>
    </row>
    <row r="67" ht="15.6" customHeight="1" spans="1:7" x14ac:dyDescent="0.25">
      <c r="A67" s="23">
        <v>2</v>
      </c>
      <c r="B67" s="25" t="s">
        <v>19</v>
      </c>
      <c r="C67" s="29" t="s">
        <v>72</v>
      </c>
      <c r="D67" s="25">
        <f>'Monthly District History'!D28</f>
        <v>1596</v>
      </c>
      <c r="E67" s="25">
        <f t="shared" si="9"/>
        <v>3</v>
      </c>
      <c r="F67" s="25">
        <f>'Monthly District History'!F28</f>
        <v>1593</v>
      </c>
      <c r="G67" s="26">
        <f t="shared" si="8"/>
        <v>0.9981203007518797</v>
      </c>
    </row>
    <row r="68" ht="15.6" customHeight="1" spans="1:7" x14ac:dyDescent="0.25">
      <c r="A68" s="23">
        <v>3</v>
      </c>
      <c r="B68" s="25" t="s">
        <v>19</v>
      </c>
      <c r="C68" s="29" t="s">
        <v>73</v>
      </c>
      <c r="D68" s="25">
        <f>'Monthly District History'!D47</f>
        <v>1406</v>
      </c>
      <c r="E68" s="25">
        <f t="shared" si="9"/>
        <v>4</v>
      </c>
      <c r="F68" s="25">
        <f>'Monthly District History'!F47</f>
        <v>1402</v>
      </c>
      <c r="G68" s="26">
        <f t="shared" si="8"/>
        <v>0.9971550497866287</v>
      </c>
    </row>
    <row r="69" ht="15.6" customHeight="1" spans="1:7" x14ac:dyDescent="0.25">
      <c r="A69" s="23">
        <v>4</v>
      </c>
      <c r="B69" s="202" t="s">
        <v>19</v>
      </c>
      <c r="C69" s="202" t="s">
        <v>74</v>
      </c>
      <c r="D69" s="75">
        <f>'Monthly District History'!D63</f>
        <v>1320</v>
      </c>
      <c r="E69" s="25">
        <f t="shared" si="9"/>
        <v>2</v>
      </c>
      <c r="F69" s="203">
        <f>'Monthly District History'!F63</f>
        <v>1318</v>
      </c>
      <c r="G69" s="26">
        <f t="shared" si="8"/>
        <v>0.9984848484848485</v>
      </c>
    </row>
    <row r="70" ht="15.6" customHeight="1" spans="1:7" x14ac:dyDescent="0.25">
      <c r="A70" s="23">
        <v>5</v>
      </c>
      <c r="B70" s="75" t="s">
        <v>19</v>
      </c>
      <c r="C70" s="202" t="s">
        <v>75</v>
      </c>
      <c r="D70" s="75">
        <f>'Monthly District History'!D82</f>
        <v>1058</v>
      </c>
      <c r="E70" s="25">
        <f t="shared" si="9"/>
        <v>4</v>
      </c>
      <c r="F70" s="75">
        <f>'Monthly District History'!F82</f>
        <v>1054</v>
      </c>
      <c r="G70" s="26">
        <f t="shared" si="8"/>
        <v>0.996219281663516</v>
      </c>
    </row>
    <row r="71" ht="15.6" customHeight="1" spans="1:7" x14ac:dyDescent="0.25">
      <c r="A71" s="23">
        <v>6</v>
      </c>
      <c r="B71" s="202" t="s">
        <v>19</v>
      </c>
      <c r="C71" s="202" t="s">
        <v>76</v>
      </c>
      <c r="D71" s="202">
        <f>'Monthly District History'!D101</f>
        <v>458</v>
      </c>
      <c r="E71" s="25">
        <f t="shared" si="9"/>
        <v>2</v>
      </c>
      <c r="F71" s="75">
        <f>'Monthly District History'!F101</f>
        <v>456</v>
      </c>
      <c r="G71" s="26">
        <f t="shared" si="8"/>
        <v>0.9956331877729258</v>
      </c>
    </row>
    <row r="72" ht="15.6" customHeight="1" spans="1:7" x14ac:dyDescent="0.25">
      <c r="A72" s="23">
        <v>7</v>
      </c>
      <c r="B72" s="206" t="s">
        <v>19</v>
      </c>
      <c r="C72" s="205" t="s">
        <v>77</v>
      </c>
      <c r="D72" s="206">
        <f>'Monthly District History'!D120</f>
        <v>446</v>
      </c>
      <c r="E72" s="25">
        <f t="shared" si="9"/>
        <v>1</v>
      </c>
      <c r="F72" s="206">
        <f>'Monthly District History'!F120</f>
        <v>445</v>
      </c>
      <c r="G72" s="26">
        <f t="shared" si="8"/>
        <v>0.9977578475336323</v>
      </c>
    </row>
    <row r="73" ht="15.6" customHeight="1" spans="1:7" x14ac:dyDescent="0.25">
      <c r="A73" s="23">
        <v>8</v>
      </c>
      <c r="B73" s="208" t="s">
        <v>19</v>
      </c>
      <c r="C73" s="143" t="s">
        <v>78</v>
      </c>
      <c r="D73" s="208">
        <f>'Monthly District History'!D139</f>
        <v>467</v>
      </c>
      <c r="E73" s="25">
        <f t="shared" si="9"/>
        <v>7</v>
      </c>
      <c r="F73" s="208">
        <f>'Monthly District History'!F139</f>
        <v>460</v>
      </c>
      <c r="G73" s="26">
        <f t="shared" si="8"/>
        <v>0.9850107066381156</v>
      </c>
    </row>
    <row r="74" ht="15.6" customHeight="1" spans="1:7" x14ac:dyDescent="0.25">
      <c r="A74" s="23">
        <v>9</v>
      </c>
      <c r="B74" s="208" t="s">
        <v>19</v>
      </c>
      <c r="C74" s="143" t="s">
        <v>79</v>
      </c>
      <c r="D74" s="208">
        <f>'Monthly District History'!D158</f>
        <v>504</v>
      </c>
      <c r="E74" s="25">
        <f t="shared" si="9"/>
        <v>2</v>
      </c>
      <c r="F74" s="208">
        <f>'Monthly District History'!F158</f>
        <v>502</v>
      </c>
      <c r="G74" s="26">
        <f t="shared" si="8"/>
        <v>0.996031746031746</v>
      </c>
    </row>
    <row r="75" ht="15.6" customHeight="1" spans="1:7" x14ac:dyDescent="0.25">
      <c r="A75" s="23">
        <v>10</v>
      </c>
      <c r="B75" s="208" t="s">
        <v>19</v>
      </c>
      <c r="C75" s="205" t="s">
        <v>80</v>
      </c>
      <c r="D75" s="208">
        <f>'Monthly District History'!D178</f>
        <v>601</v>
      </c>
      <c r="E75" s="25">
        <f t="shared" si="9"/>
        <v>5</v>
      </c>
      <c r="F75" s="208">
        <f>'Monthly District History'!F178</f>
        <v>596</v>
      </c>
      <c r="G75" s="26">
        <f t="shared" si="8"/>
        <v>0.9916805324459235</v>
      </c>
    </row>
    <row r="76" ht="15.6" customHeight="1" spans="1:7" x14ac:dyDescent="0.25">
      <c r="A76" s="23">
        <v>11</v>
      </c>
      <c r="B76" s="208" t="s">
        <v>19</v>
      </c>
      <c r="C76" s="205" t="s">
        <v>81</v>
      </c>
      <c r="D76" s="208">
        <f>'Monthly District History'!D200</f>
        <v>425</v>
      </c>
      <c r="E76" s="25">
        <f t="shared" si="9"/>
        <v>41</v>
      </c>
      <c r="F76" s="208">
        <f>'Monthly District History'!F200</f>
        <v>384</v>
      </c>
      <c r="G76" s="26">
        <f t="shared" si="8"/>
        <v>0.9035294117647059</v>
      </c>
    </row>
    <row r="77" ht="15.6" customHeight="1" spans="1:7" x14ac:dyDescent="0.25">
      <c r="A77" s="23">
        <v>12</v>
      </c>
      <c r="B77" s="208" t="s">
        <v>19</v>
      </c>
      <c r="C77" s="205" t="s">
        <v>82</v>
      </c>
      <c r="D77" s="208">
        <f>'Monthly District History'!J222</f>
        <v>353</v>
      </c>
      <c r="E77" s="25">
        <f t="shared" si="9"/>
        <v>21</v>
      </c>
      <c r="F77" s="208">
        <f>'Monthly District History'!M222</f>
        <v>332</v>
      </c>
      <c r="G77" s="26">
        <f t="shared" si="8"/>
        <v>0.9405099150141643</v>
      </c>
    </row>
    <row r="78" ht="15.6" customHeight="1" spans="1:7" x14ac:dyDescent="0.25">
      <c r="A78" s="23">
        <v>13</v>
      </c>
      <c r="B78" s="208" t="s">
        <v>19</v>
      </c>
      <c r="C78" s="205" t="s">
        <v>83</v>
      </c>
      <c r="D78" s="208">
        <f>'Monthly District History'!J242</f>
        <v>625</v>
      </c>
      <c r="E78" s="25">
        <f t="shared" si="9"/>
        <v>384</v>
      </c>
      <c r="F78" s="208">
        <f>'Monthly District History'!M242</f>
        <v>241</v>
      </c>
      <c r="G78" s="26">
        <f t="shared" si="8"/>
        <v>0.3856</v>
      </c>
    </row>
    <row r="79" ht="15.6" customHeight="1" spans="1:7" x14ac:dyDescent="0.25">
      <c r="A79" s="23">
        <v>14</v>
      </c>
      <c r="B79" s="208" t="s">
        <v>19</v>
      </c>
      <c r="C79" s="29" t="s">
        <v>84</v>
      </c>
      <c r="D79" s="25">
        <f>'Monthly District History'!J265</f>
        <v>903</v>
      </c>
      <c r="E79" s="25">
        <f t="shared" si="9"/>
        <v>192</v>
      </c>
      <c r="F79" s="25">
        <f>'Monthly District History'!M265</f>
        <v>711</v>
      </c>
      <c r="G79" s="26">
        <f t="shared" si="8"/>
        <v>0.7873754152823921</v>
      </c>
    </row>
    <row r="80" ht="15.6" customHeight="1" spans="1:7" x14ac:dyDescent="0.25">
      <c r="A80" s="219"/>
      <c r="B80" s="212"/>
      <c r="C80" s="211"/>
      <c r="D80" s="212">
        <f>SUM(D66:D79)</f>
        <v>11464</v>
      </c>
      <c r="E80" s="212">
        <f>SUM(E66:E79)</f>
        <v>672</v>
      </c>
      <c r="F80" s="212">
        <f>SUM(F66:F79)</f>
        <v>10792</v>
      </c>
      <c r="G80" s="213">
        <f t="shared" si="8"/>
        <v>0.9413817166782973</v>
      </c>
    </row>
    <row r="81" ht="15.6" customHeight="1" spans="1:7" x14ac:dyDescent="0.25">
      <c r="A81" s="220">
        <v>1</v>
      </c>
      <c r="B81" s="25" t="s">
        <v>27</v>
      </c>
      <c r="C81" s="29" t="s">
        <v>71</v>
      </c>
      <c r="D81" s="24">
        <f>'Monthly District History'!D17</f>
        <v>359</v>
      </c>
      <c r="E81" s="25">
        <f t="shared" ref="E81:E94" si="10">D81-F81</f>
        <v>12</v>
      </c>
      <c r="F81" s="25">
        <f>'Monthly District History'!F17</f>
        <v>347</v>
      </c>
      <c r="G81" s="26">
        <f t="shared" si="8"/>
        <v>0.9665738161559888</v>
      </c>
    </row>
    <row r="82" ht="15.6" customHeight="1" spans="1:7" x14ac:dyDescent="0.25">
      <c r="A82" s="220">
        <v>2</v>
      </c>
      <c r="B82" s="29" t="s">
        <v>27</v>
      </c>
      <c r="C82" s="29" t="s">
        <v>72</v>
      </c>
      <c r="D82" s="24">
        <f>'Monthly District History'!D35</f>
        <v>395</v>
      </c>
      <c r="E82" s="25">
        <f t="shared" si="10"/>
        <v>17</v>
      </c>
      <c r="F82" s="25">
        <f>'Monthly District History'!F35</f>
        <v>378</v>
      </c>
      <c r="G82" s="26">
        <f t="shared" si="8"/>
        <v>0.9569620253164557</v>
      </c>
    </row>
    <row r="83" ht="15.6" customHeight="1" spans="1:7" x14ac:dyDescent="0.25">
      <c r="A83" s="220">
        <v>3</v>
      </c>
      <c r="B83" s="25" t="s">
        <v>27</v>
      </c>
      <c r="C83" s="29" t="s">
        <v>73</v>
      </c>
      <c r="D83" s="24">
        <f>'Monthly District History'!D54</f>
        <v>405</v>
      </c>
      <c r="E83" s="25">
        <f t="shared" si="10"/>
        <v>15</v>
      </c>
      <c r="F83" s="25">
        <f>'Monthly District History'!F54</f>
        <v>390</v>
      </c>
      <c r="G83" s="26">
        <f t="shared" si="8"/>
        <v>0.9629629629629629</v>
      </c>
    </row>
    <row r="84" ht="15.6" customHeight="1" spans="1:7" x14ac:dyDescent="0.25">
      <c r="A84" s="220">
        <v>4</v>
      </c>
      <c r="B84" s="75" t="s">
        <v>27</v>
      </c>
      <c r="C84" s="202" t="s">
        <v>74</v>
      </c>
      <c r="D84" s="221">
        <f>'Monthly District History'!D71</f>
        <v>520</v>
      </c>
      <c r="E84" s="25">
        <f t="shared" si="10"/>
        <v>19</v>
      </c>
      <c r="F84" s="203">
        <f>'Monthly District History'!F71</f>
        <v>501</v>
      </c>
      <c r="G84" s="222">
        <f t="shared" si="8"/>
        <v>0.9634615384615385</v>
      </c>
    </row>
    <row r="85" ht="15.6" customHeight="1" spans="1:7" x14ac:dyDescent="0.25">
      <c r="A85" s="220">
        <v>5</v>
      </c>
      <c r="B85" s="75" t="s">
        <v>27</v>
      </c>
      <c r="C85" s="202" t="s">
        <v>75</v>
      </c>
      <c r="D85" s="221">
        <f>'Monthly District History'!D90</f>
        <v>625</v>
      </c>
      <c r="E85" s="25">
        <f t="shared" si="10"/>
        <v>29</v>
      </c>
      <c r="F85" s="75">
        <f>'Monthly District History'!F90</f>
        <v>596</v>
      </c>
      <c r="G85" s="26">
        <f t="shared" si="8"/>
        <v>0.9536</v>
      </c>
    </row>
    <row r="86" ht="15.6" customHeight="1" spans="1:7" x14ac:dyDescent="0.25">
      <c r="A86" s="220">
        <v>6</v>
      </c>
      <c r="B86" s="75" t="s">
        <v>27</v>
      </c>
      <c r="C86" s="202" t="s">
        <v>76</v>
      </c>
      <c r="D86" s="221">
        <f>'Monthly District History'!D109</f>
        <v>494</v>
      </c>
      <c r="E86" s="25">
        <f t="shared" si="10"/>
        <v>100</v>
      </c>
      <c r="F86" s="75">
        <f>'Monthly District History'!F109</f>
        <v>394</v>
      </c>
      <c r="G86" s="26">
        <f t="shared" si="8"/>
        <v>0.7975708502024291</v>
      </c>
    </row>
    <row r="87" ht="15.6" customHeight="1" spans="1:7" x14ac:dyDescent="0.25">
      <c r="A87" s="220">
        <v>7</v>
      </c>
      <c r="B87" s="206" t="s">
        <v>27</v>
      </c>
      <c r="C87" s="205" t="s">
        <v>77</v>
      </c>
      <c r="D87" s="206">
        <f>'Monthly District History'!D128</f>
        <v>6573</v>
      </c>
      <c r="E87" s="25">
        <f t="shared" si="10"/>
        <v>280</v>
      </c>
      <c r="F87" s="206">
        <f>'Monthly District History'!F128</f>
        <v>6293</v>
      </c>
      <c r="G87" s="26">
        <f t="shared" si="8"/>
        <v>0.9574014909478168</v>
      </c>
    </row>
    <row r="88" ht="15.6" customHeight="1" spans="1:7" x14ac:dyDescent="0.25">
      <c r="A88" s="220">
        <v>8</v>
      </c>
      <c r="B88" s="143" t="s">
        <v>27</v>
      </c>
      <c r="C88" s="143" t="s">
        <v>78</v>
      </c>
      <c r="D88" s="208">
        <f>'Monthly District History'!D147</f>
        <v>1314</v>
      </c>
      <c r="E88" s="25">
        <f t="shared" si="10"/>
        <v>214</v>
      </c>
      <c r="F88" s="208">
        <f>'Monthly District History'!F147</f>
        <v>1100</v>
      </c>
      <c r="G88" s="222">
        <f t="shared" si="8"/>
        <v>0.837138508371385</v>
      </c>
    </row>
    <row r="89" ht="15.6" customHeight="1" spans="1:7" x14ac:dyDescent="0.25">
      <c r="A89" s="220">
        <v>9</v>
      </c>
      <c r="B89" s="143" t="s">
        <v>27</v>
      </c>
      <c r="C89" s="143" t="s">
        <v>79</v>
      </c>
      <c r="D89" s="208">
        <f>'Monthly District History'!D166</f>
        <v>453</v>
      </c>
      <c r="E89" s="25">
        <f t="shared" si="10"/>
        <v>46</v>
      </c>
      <c r="F89" s="208">
        <f>'Monthly District History'!F166</f>
        <v>407</v>
      </c>
      <c r="G89" s="26">
        <f t="shared" si="8"/>
        <v>0.8984547461368654</v>
      </c>
    </row>
    <row r="90" ht="15.6" customHeight="1" spans="1:7" x14ac:dyDescent="0.25">
      <c r="A90" s="220">
        <v>10</v>
      </c>
      <c r="B90" s="143" t="s">
        <v>27</v>
      </c>
      <c r="C90" s="205" t="s">
        <v>80</v>
      </c>
      <c r="D90" s="208">
        <f>'Monthly District History'!D186</f>
        <v>307</v>
      </c>
      <c r="E90" s="25">
        <f t="shared" si="10"/>
        <v>11</v>
      </c>
      <c r="F90" s="208">
        <f>'Monthly District History'!F186</f>
        <v>296</v>
      </c>
      <c r="G90" s="26">
        <f t="shared" si="8"/>
        <v>0.9641693811074918</v>
      </c>
    </row>
    <row r="91" ht="15.6" customHeight="1" spans="1:7" x14ac:dyDescent="0.25">
      <c r="A91" s="220">
        <v>11</v>
      </c>
      <c r="B91" s="143" t="s">
        <v>27</v>
      </c>
      <c r="C91" s="205" t="s">
        <v>81</v>
      </c>
      <c r="D91" s="208">
        <f>'Monthly District History'!D208</f>
        <v>491</v>
      </c>
      <c r="E91" s="25">
        <f t="shared" si="10"/>
        <v>20</v>
      </c>
      <c r="F91" s="208">
        <f>'Monthly District History'!F208</f>
        <v>471</v>
      </c>
      <c r="G91" s="26">
        <f t="shared" si="8"/>
        <v>0.9592668024439919</v>
      </c>
    </row>
    <row r="92" ht="15.6" customHeight="1" spans="1:7" x14ac:dyDescent="0.25">
      <c r="A92" s="23">
        <v>12</v>
      </c>
      <c r="B92" s="143" t="s">
        <v>27</v>
      </c>
      <c r="C92" s="205" t="s">
        <v>82</v>
      </c>
      <c r="D92" s="208">
        <f>'Monthly District History'!J230</f>
        <v>179</v>
      </c>
      <c r="E92" s="25">
        <f t="shared" si="10"/>
        <v>58</v>
      </c>
      <c r="F92" s="208">
        <f>'Monthly District History'!M230</f>
        <v>121</v>
      </c>
      <c r="G92" s="222">
        <f t="shared" si="8"/>
        <v>0.6759776536312849</v>
      </c>
    </row>
    <row r="93" ht="15.6" customHeight="1" spans="1:7" x14ac:dyDescent="0.25">
      <c r="A93" s="23">
        <v>13</v>
      </c>
      <c r="B93" s="143" t="s">
        <v>27</v>
      </c>
      <c r="C93" s="205" t="s">
        <v>83</v>
      </c>
      <c r="D93" s="208">
        <f>'Monthly District History'!J250</f>
        <v>582</v>
      </c>
      <c r="E93" s="25">
        <f t="shared" si="10"/>
        <v>582</v>
      </c>
      <c r="F93" s="208">
        <f>'Monthly District History'!M250</f>
      </c>
      <c r="G93" s="26">
        <f t="shared" si="8"/>
        <v>0</v>
      </c>
    </row>
    <row r="94" ht="15.6" customHeight="1" spans="1:7" x14ac:dyDescent="0.25">
      <c r="A94" s="23">
        <v>14</v>
      </c>
      <c r="B94" s="143" t="s">
        <v>27</v>
      </c>
      <c r="C94" s="29" t="s">
        <v>84</v>
      </c>
      <c r="D94" s="24">
        <f>'Monthly District History'!J273</f>
        <v>120</v>
      </c>
      <c r="E94" s="25">
        <f t="shared" si="10"/>
        <v>75</v>
      </c>
      <c r="F94" s="25">
        <f>'Monthly District History'!M273</f>
        <v>45</v>
      </c>
      <c r="G94" s="26">
        <f t="shared" si="8"/>
        <v>0.375</v>
      </c>
    </row>
    <row r="95" ht="15.6" customHeight="1" spans="1:7" x14ac:dyDescent="0.25">
      <c r="A95" s="223"/>
      <c r="B95" s="210"/>
      <c r="C95" s="211"/>
      <c r="D95" s="224">
        <f>SUM(D81:D94)</f>
        <v>12817</v>
      </c>
      <c r="E95" s="224">
        <f>SUM(E81:E94)</f>
        <v>1478</v>
      </c>
      <c r="F95" s="224">
        <f>SUM(F81:F94)</f>
        <v>11339</v>
      </c>
      <c r="G95" s="225">
        <f t="shared" si="8"/>
        <v>0.8846844035265663</v>
      </c>
    </row>
    <row r="96" ht="15.6" customHeight="1" spans="1:7" x14ac:dyDescent="0.25">
      <c r="A96" s="226">
        <v>1</v>
      </c>
      <c r="B96" s="29" t="s">
        <v>20</v>
      </c>
      <c r="C96" s="29" t="s">
        <v>71</v>
      </c>
      <c r="D96" s="29">
        <f>'Monthly District History'!D10</f>
        <v>85</v>
      </c>
      <c r="E96" s="25">
        <f t="shared" ref="E96:E109" si="11">D96-F96</f>
        <v>2</v>
      </c>
      <c r="F96" s="25">
        <f>'Monthly District History'!F10</f>
        <v>83</v>
      </c>
      <c r="G96" s="26">
        <f t="shared" si="8"/>
        <v>0.9764705882352941</v>
      </c>
    </row>
    <row r="97" ht="15.6" customHeight="1" spans="1:7" x14ac:dyDescent="0.25">
      <c r="A97" s="226">
        <v>2</v>
      </c>
      <c r="B97" s="25" t="s">
        <v>20</v>
      </c>
      <c r="C97" s="29" t="s">
        <v>72</v>
      </c>
      <c r="D97" s="25">
        <f>'Monthly District History'!D32</f>
        <v>231</v>
      </c>
      <c r="E97" s="25">
        <f t="shared" si="11"/>
        <v>0</v>
      </c>
      <c r="F97" s="25">
        <f>'Monthly District History'!F32</f>
        <v>231</v>
      </c>
      <c r="G97" s="26">
        <f t="shared" si="8"/>
        <v>1</v>
      </c>
    </row>
    <row r="98" ht="15.6" customHeight="1" spans="1:7" x14ac:dyDescent="0.25">
      <c r="A98" s="226">
        <v>3</v>
      </c>
      <c r="B98" s="25" t="s">
        <v>20</v>
      </c>
      <c r="C98" s="29" t="s">
        <v>73</v>
      </c>
      <c r="D98" s="25">
        <f>'Monthly District History'!D49</f>
        <v>499</v>
      </c>
      <c r="E98" s="25">
        <f t="shared" si="11"/>
        <v>2</v>
      </c>
      <c r="F98" s="25">
        <f>'Monthly District History'!F49</f>
        <v>497</v>
      </c>
      <c r="G98" s="26">
        <f t="shared" si="8"/>
        <v>0.9959919839679359</v>
      </c>
    </row>
    <row r="99" ht="15.6" customHeight="1" spans="1:7" x14ac:dyDescent="0.25">
      <c r="A99" s="226">
        <v>4</v>
      </c>
      <c r="B99" s="201" t="s">
        <v>20</v>
      </c>
      <c r="C99" s="202" t="s">
        <v>74</v>
      </c>
      <c r="D99" s="75">
        <f>'Monthly District History'!D72</f>
        <v>235</v>
      </c>
      <c r="E99" s="25">
        <f t="shared" si="11"/>
        <v>1</v>
      </c>
      <c r="F99" s="203">
        <f>'Monthly District History'!F72</f>
        <v>234</v>
      </c>
      <c r="G99" s="26">
        <f t="shared" si="8"/>
        <v>0.9957446808510638</v>
      </c>
    </row>
    <row r="100" ht="15.6" customHeight="1" spans="1:7" x14ac:dyDescent="0.25">
      <c r="A100" s="226">
        <v>5</v>
      </c>
      <c r="B100" s="201" t="s">
        <v>20</v>
      </c>
      <c r="C100" s="202" t="s">
        <v>75</v>
      </c>
      <c r="D100" s="75">
        <f>'Monthly District History'!D91</f>
        <v>362</v>
      </c>
      <c r="E100" s="25">
        <f t="shared" si="11"/>
        <v>3</v>
      </c>
      <c r="F100" s="25">
        <f>'Monthly District History'!F91</f>
        <v>359</v>
      </c>
      <c r="G100" s="26">
        <f t="shared" si="8"/>
        <v>0.9917127071823204</v>
      </c>
    </row>
    <row r="101" ht="15.6" customHeight="1" spans="1:7" x14ac:dyDescent="0.25">
      <c r="A101" s="226">
        <v>6</v>
      </c>
      <c r="B101" s="227" t="s">
        <v>20</v>
      </c>
      <c r="C101" s="202" t="s">
        <v>76</v>
      </c>
      <c r="D101" s="75">
        <f>'Monthly District History'!D110</f>
        <v>4778</v>
      </c>
      <c r="E101" s="25">
        <f t="shared" si="11"/>
        <v>3</v>
      </c>
      <c r="F101" s="25">
        <f>'Monthly District History'!F110</f>
        <v>4775</v>
      </c>
      <c r="G101" s="26">
        <f t="shared" si="8"/>
        <v>0.9993721222268732</v>
      </c>
    </row>
    <row r="102" ht="15.6" customHeight="1" spans="1:7" x14ac:dyDescent="0.25">
      <c r="A102" s="226">
        <v>7</v>
      </c>
      <c r="B102" s="204" t="s">
        <v>20</v>
      </c>
      <c r="C102" s="205" t="s">
        <v>77</v>
      </c>
      <c r="D102" s="206">
        <f>'Monthly District History'!D129</f>
        <v>669</v>
      </c>
      <c r="E102" s="25">
        <f t="shared" si="11"/>
        <v>3</v>
      </c>
      <c r="F102" s="25">
        <f>'Monthly District History'!F129</f>
        <v>666</v>
      </c>
      <c r="G102" s="26">
        <f t="shared" si="8"/>
        <v>0.9955156950672646</v>
      </c>
    </row>
    <row r="103" ht="15.6" customHeight="1" spans="1:7" x14ac:dyDescent="0.25">
      <c r="A103" s="226">
        <v>8</v>
      </c>
      <c r="B103" s="207" t="s">
        <v>20</v>
      </c>
      <c r="C103" s="143" t="s">
        <v>78</v>
      </c>
      <c r="D103" s="208">
        <f>'Monthly District History'!D148</f>
        <v>214</v>
      </c>
      <c r="E103" s="25">
        <f t="shared" si="11"/>
        <v>1</v>
      </c>
      <c r="F103" s="203">
        <f>'Monthly District History'!F148</f>
        <v>213</v>
      </c>
      <c r="G103" s="26">
        <f t="shared" si="8"/>
        <v>0.9953271028037384</v>
      </c>
    </row>
    <row r="104" ht="15.6" customHeight="1" spans="1:7" x14ac:dyDescent="0.25">
      <c r="A104" s="226">
        <v>9</v>
      </c>
      <c r="B104" s="207" t="s">
        <v>20</v>
      </c>
      <c r="C104" s="143" t="s">
        <v>79</v>
      </c>
      <c r="D104" s="208">
        <f>'Monthly District History'!D167</f>
        <v>202</v>
      </c>
      <c r="E104" s="25">
        <f t="shared" si="11"/>
        <v>0</v>
      </c>
      <c r="F104" s="25">
        <f>'Monthly District History'!F167</f>
        <v>202</v>
      </c>
      <c r="G104" s="26">
        <f t="shared" si="8"/>
        <v>1</v>
      </c>
    </row>
    <row r="105" ht="15.6" customHeight="1" spans="1:7" x14ac:dyDescent="0.25">
      <c r="A105" s="226">
        <v>10</v>
      </c>
      <c r="B105" s="207" t="s">
        <v>20</v>
      </c>
      <c r="C105" s="205" t="s">
        <v>80</v>
      </c>
      <c r="D105" s="208">
        <f>'Monthly District History'!D187</f>
        <v>262</v>
      </c>
      <c r="E105" s="25">
        <f t="shared" si="11"/>
        <v>2</v>
      </c>
      <c r="F105" s="25">
        <f>'Monthly District History'!F187</f>
        <v>260</v>
      </c>
      <c r="G105" s="26">
        <f t="shared" si="8"/>
        <v>0.9923664122137404</v>
      </c>
    </row>
    <row r="106" ht="15.6" customHeight="1" spans="1:7" x14ac:dyDescent="0.25">
      <c r="A106" s="226">
        <v>11</v>
      </c>
      <c r="B106" s="207" t="s">
        <v>20</v>
      </c>
      <c r="C106" s="205" t="s">
        <v>81</v>
      </c>
      <c r="D106" s="208">
        <f>'Monthly District History'!D209</f>
        <v>258</v>
      </c>
      <c r="E106" s="25">
        <f t="shared" si="11"/>
        <v>21</v>
      </c>
      <c r="F106" s="25">
        <f>'Monthly District History'!F209</f>
        <v>237</v>
      </c>
      <c r="G106" s="26">
        <f t="shared" si="8"/>
        <v>0.9186046511627907</v>
      </c>
    </row>
    <row r="107" ht="15.6" customHeight="1" spans="1:7" x14ac:dyDescent="0.25">
      <c r="A107" s="23">
        <v>12</v>
      </c>
      <c r="B107" s="207" t="s">
        <v>20</v>
      </c>
      <c r="C107" s="205" t="s">
        <v>82</v>
      </c>
      <c r="D107" s="208">
        <f>'Monthly District History'!J231</f>
        <v>229</v>
      </c>
      <c r="E107" s="25">
        <f t="shared" si="11"/>
        <v>24</v>
      </c>
      <c r="F107" s="25">
        <f>'Monthly District History'!M231</f>
        <v>205</v>
      </c>
      <c r="G107" s="26">
        <f t="shared" si="8"/>
        <v>0.8951965065502183</v>
      </c>
    </row>
    <row r="108" ht="15.6" customHeight="1" spans="1:7" x14ac:dyDescent="0.25">
      <c r="A108" s="23">
        <v>13</v>
      </c>
      <c r="B108" s="207" t="s">
        <v>20</v>
      </c>
      <c r="C108" s="205" t="s">
        <v>83</v>
      </c>
      <c r="D108" s="208">
        <f>'Monthly District History'!J251</f>
        <v>234</v>
      </c>
      <c r="E108" s="25">
        <f t="shared" si="11"/>
        <v>28</v>
      </c>
      <c r="F108" s="25">
        <f>'Monthly District History'!M251</f>
        <v>206</v>
      </c>
      <c r="G108" s="26">
        <f t="shared" si="8"/>
        <v>0.8803418803418803</v>
      </c>
    </row>
    <row r="109" ht="15.6" customHeight="1" spans="1:7" x14ac:dyDescent="0.25">
      <c r="A109" s="23">
        <v>14</v>
      </c>
      <c r="B109" s="207" t="s">
        <v>20</v>
      </c>
      <c r="C109" s="29" t="s">
        <v>84</v>
      </c>
      <c r="D109" s="25"/>
      <c r="E109" s="25">
        <f t="shared" si="11"/>
        <v>0</v>
      </c>
      <c r="F109" s="25"/>
      <c r="G109" s="26"/>
    </row>
    <row r="110" ht="15.6" customHeight="1" spans="1:7" x14ac:dyDescent="0.25">
      <c r="A110" s="223"/>
      <c r="B110" s="212"/>
      <c r="C110" s="211"/>
      <c r="D110" s="212">
        <f>SUM(D96:D109)</f>
        <v>8258</v>
      </c>
      <c r="E110" s="212">
        <f>SUM(E96:E109)</f>
        <v>90</v>
      </c>
      <c r="F110" s="212">
        <f>SUM(F96:F109)</f>
        <v>8168</v>
      </c>
      <c r="G110" s="213">
        <f t="shared" ref="G110:G124" si="12">F110/D110</f>
        <v>0.9891014773552919</v>
      </c>
    </row>
    <row r="111" ht="15.6" customHeight="1" spans="1:7" x14ac:dyDescent="0.25">
      <c r="A111" s="226">
        <v>1</v>
      </c>
      <c r="B111" s="25" t="s">
        <v>16</v>
      </c>
      <c r="C111" s="29" t="s">
        <v>71</v>
      </c>
      <c r="D111" s="25">
        <f>'Monthly District History'!D6</f>
        <v>5</v>
      </c>
      <c r="E111" s="25">
        <f t="shared" ref="E111:E124" si="13">D111-F111</f>
        <v>0</v>
      </c>
      <c r="F111" s="25">
        <f>'Monthly District History'!F6</f>
        <v>5</v>
      </c>
      <c r="G111" s="26">
        <f t="shared" si="12"/>
        <v>1</v>
      </c>
    </row>
    <row r="112" ht="15.6" customHeight="1" spans="1:7" x14ac:dyDescent="0.25">
      <c r="A112" s="226">
        <v>2</v>
      </c>
      <c r="B112" s="25" t="s">
        <v>16</v>
      </c>
      <c r="C112" s="29" t="s">
        <v>72</v>
      </c>
      <c r="D112" s="25">
        <f>'Monthly District History'!D25</f>
        <v>14</v>
      </c>
      <c r="E112" s="25">
        <f t="shared" si="13"/>
        <v>0</v>
      </c>
      <c r="F112" s="25">
        <f>'Monthly District History'!F25</f>
        <v>14</v>
      </c>
      <c r="G112" s="26">
        <f t="shared" si="12"/>
        <v>1</v>
      </c>
    </row>
    <row r="113" ht="15.6" customHeight="1" spans="1:8" x14ac:dyDescent="0.25">
      <c r="A113" s="226">
        <v>3</v>
      </c>
      <c r="B113" s="29" t="s">
        <v>16</v>
      </c>
      <c r="C113" s="29" t="s">
        <v>73</v>
      </c>
      <c r="D113" s="25">
        <f>'Monthly District History'!D44</f>
        <v>14</v>
      </c>
      <c r="E113" s="25">
        <f t="shared" si="13"/>
        <v>0</v>
      </c>
      <c r="F113" s="25">
        <f>'Monthly District History'!F44</f>
        <v>14</v>
      </c>
      <c r="G113" s="26">
        <f t="shared" si="12"/>
        <v>1</v>
      </c>
      <c r="H113" s="1"/>
    </row>
    <row r="114" ht="15.6" customHeight="1" spans="1:7" x14ac:dyDescent="0.25">
      <c r="A114" s="226">
        <v>4</v>
      </c>
      <c r="B114" s="201" t="s">
        <v>16</v>
      </c>
      <c r="C114" s="202" t="s">
        <v>74</v>
      </c>
      <c r="D114" s="201">
        <f>'Monthly District History'!D74</f>
        <v>4</v>
      </c>
      <c r="E114" s="25">
        <f t="shared" si="13"/>
        <v>0</v>
      </c>
      <c r="F114" s="203">
        <f>'Monthly District History'!F74</f>
        <v>4</v>
      </c>
      <c r="G114" s="26">
        <f t="shared" si="12"/>
        <v>1</v>
      </c>
    </row>
    <row r="115" ht="15.6" customHeight="1" spans="1:7" x14ac:dyDescent="0.25">
      <c r="A115" s="226">
        <v>5</v>
      </c>
      <c r="B115" s="227" t="s">
        <v>16</v>
      </c>
      <c r="C115" s="202" t="s">
        <v>75</v>
      </c>
      <c r="D115" s="227">
        <f>'Monthly District History'!D93</f>
        <v>12</v>
      </c>
      <c r="E115" s="25">
        <f t="shared" si="13"/>
        <v>0</v>
      </c>
      <c r="F115" s="75">
        <f>'Monthly District History'!F93</f>
        <v>12</v>
      </c>
      <c r="G115" s="26">
        <f t="shared" si="12"/>
        <v>1</v>
      </c>
    </row>
    <row r="116" ht="15.6" customHeight="1" spans="1:7" x14ac:dyDescent="0.25">
      <c r="A116" s="226">
        <v>6</v>
      </c>
      <c r="B116" s="201" t="s">
        <v>16</v>
      </c>
      <c r="C116" s="202" t="s">
        <v>76</v>
      </c>
      <c r="D116" s="201">
        <f>'Monthly District History'!D112</f>
        <v>11</v>
      </c>
      <c r="E116" s="25">
        <f t="shared" si="13"/>
        <v>0</v>
      </c>
      <c r="F116" s="75">
        <f>'Monthly District History'!F112</f>
        <v>11</v>
      </c>
      <c r="G116" s="26">
        <f t="shared" si="12"/>
        <v>1</v>
      </c>
    </row>
    <row r="117" ht="15.6" customHeight="1" spans="1:7" x14ac:dyDescent="0.25">
      <c r="A117" s="226">
        <v>7</v>
      </c>
      <c r="B117" s="204" t="s">
        <v>16</v>
      </c>
      <c r="C117" s="205" t="s">
        <v>77</v>
      </c>
      <c r="D117" s="206">
        <v>0</v>
      </c>
      <c r="E117" s="25">
        <f t="shared" si="13"/>
        <v>0</v>
      </c>
      <c r="F117" s="206">
        <v>0</v>
      </c>
      <c r="G117" s="26"/>
    </row>
    <row r="118" ht="15.6" customHeight="1" spans="1:7" x14ac:dyDescent="0.25">
      <c r="A118" s="226">
        <v>8</v>
      </c>
      <c r="B118" s="207" t="s">
        <v>16</v>
      </c>
      <c r="C118" s="143" t="s">
        <v>78</v>
      </c>
      <c r="D118" s="208">
        <f>'Monthly District History'!D150</f>
        <v>11</v>
      </c>
      <c r="E118" s="25">
        <f t="shared" si="13"/>
        <v>0</v>
      </c>
      <c r="F118" s="208">
        <f>'Monthly District History'!F150</f>
        <v>11</v>
      </c>
      <c r="G118" s="26">
        <f t="shared" si="12"/>
        <v>1</v>
      </c>
    </row>
    <row r="119" ht="15.6" customHeight="1" spans="1:7" x14ac:dyDescent="0.25">
      <c r="A119" s="226">
        <v>9</v>
      </c>
      <c r="B119" s="207" t="s">
        <v>16</v>
      </c>
      <c r="C119" s="143" t="s">
        <v>79</v>
      </c>
      <c r="D119" s="208">
        <f>'Monthly District History'!D169</f>
        <v>29</v>
      </c>
      <c r="E119" s="25">
        <f t="shared" si="13"/>
        <v>10</v>
      </c>
      <c r="F119" s="208">
        <f>'Monthly District History'!F169</f>
        <v>19</v>
      </c>
      <c r="G119" s="26">
        <f t="shared" si="12"/>
        <v>0.6551724137931034</v>
      </c>
    </row>
    <row r="120" ht="15.6" customHeight="1" spans="1:7" x14ac:dyDescent="0.25">
      <c r="A120" s="226">
        <v>10</v>
      </c>
      <c r="B120" s="207" t="s">
        <v>16</v>
      </c>
      <c r="C120" s="205" t="s">
        <v>80</v>
      </c>
      <c r="D120" s="208"/>
      <c r="E120" s="25">
        <f t="shared" si="13"/>
        <v>0</v>
      </c>
      <c r="F120" s="208">
        <f>'Monthly District History'!M189</f>
      </c>
      <c r="G120" s="26"/>
    </row>
    <row r="121" ht="15.6" customHeight="1" spans="1:7" x14ac:dyDescent="0.25">
      <c r="A121" s="226">
        <v>11</v>
      </c>
      <c r="B121" s="207" t="s">
        <v>16</v>
      </c>
      <c r="C121" s="205" t="s">
        <v>81</v>
      </c>
      <c r="D121" s="208">
        <f>'Monthly District History'!D211</f>
      </c>
      <c r="E121" s="25">
        <f t="shared" si="13"/>
        <v>0</v>
      </c>
      <c r="F121" s="208">
        <f>'Monthly District History'!F211</f>
      </c>
      <c r="G121" s="26"/>
    </row>
    <row r="122" ht="15.6" customHeight="1" spans="1:7" x14ac:dyDescent="0.25">
      <c r="A122" s="23">
        <v>12</v>
      </c>
      <c r="B122" s="207" t="s">
        <v>16</v>
      </c>
      <c r="C122" s="205" t="s">
        <v>82</v>
      </c>
      <c r="D122" s="208">
        <f>'Monthly District History'!J233</f>
        <v>275</v>
      </c>
      <c r="E122" s="25">
        <f t="shared" si="13"/>
        <v>13</v>
      </c>
      <c r="F122" s="208">
        <f>'Monthly District History'!M233</f>
        <v>262</v>
      </c>
      <c r="G122" s="26">
        <f t="shared" si="12"/>
        <v>0.9527272727272728</v>
      </c>
    </row>
    <row r="123" ht="15.6" customHeight="1" spans="1:7" x14ac:dyDescent="0.25">
      <c r="A123" s="23">
        <v>13</v>
      </c>
      <c r="B123" s="207" t="s">
        <v>16</v>
      </c>
      <c r="C123" s="205" t="s">
        <v>83</v>
      </c>
      <c r="D123" s="208">
        <f>'Monthly District History'!J253</f>
        <v>300</v>
      </c>
      <c r="E123" s="25">
        <f t="shared" si="13"/>
        <v>300</v>
      </c>
      <c r="F123" s="208">
        <f>'Monthly District History'!M253</f>
      </c>
      <c r="G123" s="26">
        <f t="shared" si="12"/>
        <v>0</v>
      </c>
    </row>
    <row r="124" ht="15.6" customHeight="1" spans="1:7" x14ac:dyDescent="0.25">
      <c r="A124" s="23">
        <v>14</v>
      </c>
      <c r="B124" s="207" t="s">
        <v>16</v>
      </c>
      <c r="C124" s="29" t="s">
        <v>84</v>
      </c>
      <c r="D124" s="25">
        <f>'Monthly District History'!J275</f>
        <v>36</v>
      </c>
      <c r="E124" s="25">
        <f t="shared" si="13"/>
        <v>36</v>
      </c>
      <c r="F124" s="25">
        <f>'Monthly District History'!M275</f>
      </c>
      <c r="G124" s="26">
        <f t="shared" si="12"/>
        <v>0</v>
      </c>
    </row>
    <row r="125" ht="15.6" customHeight="1" spans="1:7" x14ac:dyDescent="0.25">
      <c r="A125" s="223"/>
      <c r="B125" s="210"/>
      <c r="C125" s="211"/>
      <c r="D125" s="212">
        <f>SUM(D111:D124)</f>
        <v>711</v>
      </c>
      <c r="E125" s="212">
        <f>SUM(E111:E124)</f>
        <v>359</v>
      </c>
      <c r="F125" s="212">
        <f>SUM(F111:F124)</f>
        <v>352</v>
      </c>
      <c r="G125" s="213">
        <f t="shared" ref="G125:G138" si="14">F125/D125</f>
        <v>0.49507735583684953</v>
      </c>
    </row>
    <row r="126" ht="15.6" customHeight="1" spans="1:7" x14ac:dyDescent="0.25">
      <c r="A126" s="226">
        <v>1</v>
      </c>
      <c r="B126" s="29" t="s">
        <v>17</v>
      </c>
      <c r="C126" s="29" t="s">
        <v>71</v>
      </c>
      <c r="D126" s="25">
        <f>'Monthly District History'!D7</f>
        <v>89</v>
      </c>
      <c r="E126" s="25">
        <f t="shared" ref="E126:E139" si="15">D126-F126</f>
        <v>1</v>
      </c>
      <c r="F126" s="25">
        <f>'Monthly District History'!F7</f>
        <v>88</v>
      </c>
      <c r="G126" s="26">
        <f t="shared" si="14"/>
        <v>0.9887640449438202</v>
      </c>
    </row>
    <row r="127" ht="15.6" customHeight="1" spans="1:7" x14ac:dyDescent="0.25">
      <c r="A127" s="226">
        <v>2</v>
      </c>
      <c r="B127" s="25" t="s">
        <v>17</v>
      </c>
      <c r="C127" s="29" t="s">
        <v>72</v>
      </c>
      <c r="D127" s="25">
        <f>'Monthly District History'!D34</f>
        <v>30</v>
      </c>
      <c r="E127" s="25">
        <f t="shared" si="15"/>
        <v>0</v>
      </c>
      <c r="F127" s="25">
        <f>'Monthly District History'!F34</f>
        <v>30</v>
      </c>
      <c r="G127" s="26">
        <f t="shared" si="14"/>
        <v>1</v>
      </c>
    </row>
    <row r="128" ht="15.6" customHeight="1" spans="1:7" x14ac:dyDescent="0.25">
      <c r="A128" s="226">
        <v>3</v>
      </c>
      <c r="B128" s="25" t="s">
        <v>17</v>
      </c>
      <c r="C128" s="29" t="s">
        <v>73</v>
      </c>
      <c r="D128" s="25">
        <f>'Monthly District History'!D53</f>
        <v>44</v>
      </c>
      <c r="E128" s="25">
        <f t="shared" si="15"/>
        <v>0</v>
      </c>
      <c r="F128" s="25">
        <f>'Monthly District History'!F53</f>
        <v>44</v>
      </c>
      <c r="G128" s="26">
        <f t="shared" si="14"/>
        <v>1</v>
      </c>
    </row>
    <row r="129" ht="15.6" customHeight="1" spans="1:7" x14ac:dyDescent="0.25">
      <c r="A129" s="226">
        <v>4</v>
      </c>
      <c r="B129" s="75" t="s">
        <v>17</v>
      </c>
      <c r="C129" s="202" t="s">
        <v>74</v>
      </c>
      <c r="D129" s="75">
        <f>'Monthly District History'!D75</f>
        <v>32</v>
      </c>
      <c r="E129" s="25">
        <f t="shared" si="15"/>
        <v>2</v>
      </c>
      <c r="F129" s="203">
        <f>'Monthly District History'!F75</f>
        <v>30</v>
      </c>
      <c r="G129" s="26">
        <f t="shared" si="14"/>
        <v>0.9375</v>
      </c>
    </row>
    <row r="130" ht="15.6" customHeight="1" spans="1:7" x14ac:dyDescent="0.25">
      <c r="A130" s="226">
        <v>5</v>
      </c>
      <c r="B130" s="75" t="s">
        <v>17</v>
      </c>
      <c r="C130" s="202" t="s">
        <v>75</v>
      </c>
      <c r="D130" s="75">
        <f>'Monthly District History'!D94</f>
        <v>40</v>
      </c>
      <c r="E130" s="25">
        <f t="shared" si="15"/>
        <v>1</v>
      </c>
      <c r="F130" s="75">
        <f>'Monthly District History'!F94</f>
        <v>39</v>
      </c>
      <c r="G130" s="26">
        <f t="shared" si="14"/>
        <v>0.975</v>
      </c>
    </row>
    <row r="131" ht="15.6" customHeight="1" spans="1:7" x14ac:dyDescent="0.25">
      <c r="A131" s="226">
        <v>6</v>
      </c>
      <c r="B131" s="75" t="s">
        <v>17</v>
      </c>
      <c r="C131" s="202" t="s">
        <v>76</v>
      </c>
      <c r="D131" s="75">
        <f>'Monthly District History'!D113</f>
        <v>14</v>
      </c>
      <c r="E131" s="25">
        <f t="shared" si="15"/>
        <v>0</v>
      </c>
      <c r="F131" s="75">
        <f>'Monthly District History'!F113</f>
        <v>14</v>
      </c>
      <c r="G131" s="26">
        <f t="shared" si="14"/>
        <v>1</v>
      </c>
    </row>
    <row r="132" ht="15.6" customHeight="1" spans="1:7" x14ac:dyDescent="0.25">
      <c r="A132" s="226">
        <v>7</v>
      </c>
      <c r="B132" s="205" t="s">
        <v>17</v>
      </c>
      <c r="C132" s="205" t="s">
        <v>77</v>
      </c>
      <c r="D132" s="206">
        <f>'Monthly District History'!D132</f>
        <v>93</v>
      </c>
      <c r="E132" s="25">
        <f t="shared" si="15"/>
        <v>1</v>
      </c>
      <c r="F132" s="206">
        <f>'Monthly District History'!F132</f>
        <v>92</v>
      </c>
      <c r="G132" s="26">
        <f t="shared" si="14"/>
        <v>0.989247311827957</v>
      </c>
    </row>
    <row r="133" ht="15.6" customHeight="1" spans="1:7" x14ac:dyDescent="0.25">
      <c r="A133" s="226">
        <v>8</v>
      </c>
      <c r="B133" s="208" t="s">
        <v>17</v>
      </c>
      <c r="C133" s="143" t="s">
        <v>78</v>
      </c>
      <c r="D133" s="208">
        <f>'Monthly District History'!D151</f>
        <v>131</v>
      </c>
      <c r="E133" s="25">
        <f t="shared" si="15"/>
        <v>0</v>
      </c>
      <c r="F133" s="208">
        <f>'Monthly District History'!F151</f>
        <v>131</v>
      </c>
      <c r="G133" s="26">
        <f t="shared" si="14"/>
        <v>1</v>
      </c>
    </row>
    <row r="134" ht="15.6" customHeight="1" spans="1:7" x14ac:dyDescent="0.25">
      <c r="A134" s="226">
        <v>9</v>
      </c>
      <c r="B134" s="208" t="s">
        <v>17</v>
      </c>
      <c r="C134" s="143" t="s">
        <v>79</v>
      </c>
      <c r="D134" s="143">
        <f>'Monthly District History'!D170</f>
        <v>2</v>
      </c>
      <c r="E134" s="25">
        <f t="shared" si="15"/>
        <v>0</v>
      </c>
      <c r="F134" s="208">
        <f>'Monthly District History'!F170</f>
        <v>2</v>
      </c>
      <c r="G134" s="26">
        <f t="shared" si="14"/>
        <v>1</v>
      </c>
    </row>
    <row r="135" ht="15.6" customHeight="1" spans="1:7" x14ac:dyDescent="0.25">
      <c r="A135" s="226">
        <v>10</v>
      </c>
      <c r="B135" s="208" t="s">
        <v>17</v>
      </c>
      <c r="C135" s="205" t="s">
        <v>80</v>
      </c>
      <c r="D135" s="143">
        <f>'Monthly District History'!D190</f>
        <v>20</v>
      </c>
      <c r="E135" s="25">
        <f t="shared" si="15"/>
        <v>2</v>
      </c>
      <c r="F135" s="208">
        <f>'Monthly District History'!F190</f>
        <v>18</v>
      </c>
      <c r="G135" s="26">
        <f t="shared" si="14"/>
        <v>0.9</v>
      </c>
    </row>
    <row r="136" ht="15.6" customHeight="1" spans="1:7" x14ac:dyDescent="0.25">
      <c r="A136" s="226">
        <v>11</v>
      </c>
      <c r="B136" s="208" t="s">
        <v>17</v>
      </c>
      <c r="C136" s="205" t="s">
        <v>81</v>
      </c>
      <c r="D136" s="143">
        <f>'Monthly District History'!D212</f>
        <v>59</v>
      </c>
      <c r="E136" s="25">
        <f t="shared" si="15"/>
        <v>40</v>
      </c>
      <c r="F136" s="208">
        <f>'Monthly District History'!F212</f>
        <v>19</v>
      </c>
      <c r="G136" s="26">
        <f t="shared" si="14"/>
        <v>0.3220338983050847</v>
      </c>
    </row>
    <row r="137" ht="15.6" customHeight="1" spans="1:7" x14ac:dyDescent="0.25">
      <c r="A137" s="23">
        <v>12</v>
      </c>
      <c r="B137" s="208" t="s">
        <v>17</v>
      </c>
      <c r="C137" s="205" t="s">
        <v>82</v>
      </c>
      <c r="D137" s="143">
        <f>'Monthly District History'!J234</f>
        <v>4</v>
      </c>
      <c r="E137" s="25">
        <f t="shared" si="15"/>
        <v>0</v>
      </c>
      <c r="F137" s="208">
        <f>'Monthly District History'!M234</f>
        <v>4</v>
      </c>
      <c r="G137" s="26">
        <f t="shared" si="14"/>
        <v>1</v>
      </c>
    </row>
    <row r="138" ht="15.6" customHeight="1" spans="1:7" x14ac:dyDescent="0.25">
      <c r="A138" s="23">
        <v>13</v>
      </c>
      <c r="B138" s="208" t="s">
        <v>17</v>
      </c>
      <c r="C138" s="205" t="s">
        <v>83</v>
      </c>
      <c r="D138" s="143">
        <f>'Monthly District History'!J254</f>
        <v>6</v>
      </c>
      <c r="E138" s="25">
        <f t="shared" si="15"/>
        <v>3</v>
      </c>
      <c r="F138" s="208">
        <f>'Monthly District History'!M254</f>
        <v>3</v>
      </c>
      <c r="G138" s="26">
        <f t="shared" si="14"/>
        <v>0.5</v>
      </c>
    </row>
    <row r="139" ht="15.6" customHeight="1" spans="1:7" x14ac:dyDescent="0.25">
      <c r="A139" s="23">
        <v>14</v>
      </c>
      <c r="B139" s="208" t="s">
        <v>17</v>
      </c>
      <c r="C139" s="29" t="s">
        <v>84</v>
      </c>
      <c r="D139" s="29"/>
      <c r="E139" s="25">
        <f t="shared" si="15"/>
        <v>0</v>
      </c>
      <c r="F139" s="25"/>
      <c r="G139" s="26"/>
    </row>
    <row r="140" ht="15.6" customHeight="1" spans="1:7" x14ac:dyDescent="0.25">
      <c r="A140" s="223"/>
      <c r="B140" s="210"/>
      <c r="C140" s="211"/>
      <c r="D140" s="210">
        <f>SUM(D126:D139)</f>
        <v>564</v>
      </c>
      <c r="E140" s="210">
        <f>SUM(E126:E139)</f>
        <v>50</v>
      </c>
      <c r="F140" s="210">
        <f>SUM(F126:F139)</f>
        <v>514</v>
      </c>
      <c r="G140" s="228">
        <f t="shared" ref="G140:G184" si="16">F140/D140</f>
        <v>0.9113475177304965</v>
      </c>
    </row>
    <row r="141" ht="15.6" customHeight="1" spans="1:7" x14ac:dyDescent="0.25">
      <c r="A141" s="229">
        <v>1</v>
      </c>
      <c r="B141" s="25" t="s">
        <v>18</v>
      </c>
      <c r="C141" s="29" t="s">
        <v>71</v>
      </c>
      <c r="D141" s="25">
        <f>'Monthly District History'!D8</f>
        <v>210</v>
      </c>
      <c r="E141" s="25">
        <f t="shared" ref="E141:E154" si="17">D141-F141</f>
        <v>2</v>
      </c>
      <c r="F141" s="25">
        <f>'Monthly District History'!F8</f>
        <v>208</v>
      </c>
      <c r="G141" s="26">
        <f t="shared" si="16"/>
        <v>0.9904761904761905</v>
      </c>
    </row>
    <row r="142" ht="15.6" customHeight="1" spans="1:7" x14ac:dyDescent="0.25">
      <c r="A142" s="229">
        <v>2</v>
      </c>
      <c r="B142" s="25" t="s">
        <v>18</v>
      </c>
      <c r="C142" s="29" t="s">
        <v>72</v>
      </c>
      <c r="D142" s="25">
        <f>'Monthly District History'!D26</f>
        <v>213</v>
      </c>
      <c r="E142" s="25">
        <f t="shared" si="17"/>
        <v>1</v>
      </c>
      <c r="F142" s="25">
        <f>'Monthly District History'!F26</f>
        <v>212</v>
      </c>
      <c r="G142" s="26">
        <f t="shared" si="16"/>
        <v>0.9953051643192489</v>
      </c>
    </row>
    <row r="143" ht="15.6" customHeight="1" spans="1:7" x14ac:dyDescent="0.25">
      <c r="A143" s="229">
        <v>3</v>
      </c>
      <c r="B143" s="25" t="s">
        <v>18</v>
      </c>
      <c r="C143" s="29" t="s">
        <v>73</v>
      </c>
      <c r="D143" s="29">
        <f>'Monthly District History'!D46</f>
        <v>424</v>
      </c>
      <c r="E143" s="25">
        <f t="shared" si="17"/>
        <v>3</v>
      </c>
      <c r="F143" s="25">
        <f>'Monthly District History'!F46</f>
        <v>421</v>
      </c>
      <c r="G143" s="26">
        <f t="shared" si="16"/>
        <v>0.9929245283018868</v>
      </c>
    </row>
    <row r="144" ht="15.6" customHeight="1" spans="1:7" x14ac:dyDescent="0.25">
      <c r="A144" s="229">
        <v>4</v>
      </c>
      <c r="B144" s="75" t="s">
        <v>18</v>
      </c>
      <c r="C144" s="202" t="s">
        <v>74</v>
      </c>
      <c r="D144" s="75">
        <f>'Monthly District History'!D64</f>
        <v>367</v>
      </c>
      <c r="E144" s="25">
        <f t="shared" si="17"/>
        <v>2</v>
      </c>
      <c r="F144" s="203">
        <f>'Monthly District History'!F64</f>
        <v>365</v>
      </c>
      <c r="G144" s="26">
        <f t="shared" si="16"/>
        <v>0.9945504087193461</v>
      </c>
    </row>
    <row r="145" ht="15.6" customHeight="1" spans="1:7" x14ac:dyDescent="0.25">
      <c r="A145" s="229">
        <v>5</v>
      </c>
      <c r="B145" s="202" t="s">
        <v>18</v>
      </c>
      <c r="C145" s="202" t="s">
        <v>75</v>
      </c>
      <c r="D145" s="75">
        <f>'Monthly District History'!D83</f>
        <v>156</v>
      </c>
      <c r="E145" s="25">
        <f t="shared" si="17"/>
        <v>0</v>
      </c>
      <c r="F145" s="75">
        <f>'Monthly District History'!F83</f>
        <v>156</v>
      </c>
      <c r="G145" s="26">
        <f t="shared" si="16"/>
        <v>1</v>
      </c>
    </row>
    <row r="146" ht="15.6" customHeight="1" spans="1:7" x14ac:dyDescent="0.25">
      <c r="A146" s="229">
        <v>6</v>
      </c>
      <c r="B146" s="75" t="s">
        <v>18</v>
      </c>
      <c r="C146" s="202" t="s">
        <v>76</v>
      </c>
      <c r="D146" s="202">
        <f>'Monthly District History'!D102</f>
        <v>126</v>
      </c>
      <c r="E146" s="25">
        <f t="shared" si="17"/>
        <v>1</v>
      </c>
      <c r="F146" s="75">
        <f>'Monthly District History'!F102</f>
        <v>125</v>
      </c>
      <c r="G146" s="26">
        <f t="shared" si="16"/>
        <v>0.9920634920634921</v>
      </c>
    </row>
    <row r="147" ht="15.6" customHeight="1" spans="1:7" x14ac:dyDescent="0.25">
      <c r="A147" s="229">
        <v>7</v>
      </c>
      <c r="B147" s="206" t="s">
        <v>18</v>
      </c>
      <c r="C147" s="205" t="s">
        <v>77</v>
      </c>
      <c r="D147" s="206">
        <f>'Monthly District History'!D121</f>
        <v>337</v>
      </c>
      <c r="E147" s="25">
        <f t="shared" si="17"/>
        <v>5</v>
      </c>
      <c r="F147" s="206">
        <f>'Monthly District History'!F121</f>
        <v>332</v>
      </c>
      <c r="G147" s="26">
        <f t="shared" si="16"/>
        <v>0.9851632047477745</v>
      </c>
    </row>
    <row r="148" ht="15.6" customHeight="1" spans="1:8" x14ac:dyDescent="0.25">
      <c r="A148" s="229">
        <v>8</v>
      </c>
      <c r="B148" s="208" t="s">
        <v>18</v>
      </c>
      <c r="C148" s="143" t="s">
        <v>78</v>
      </c>
      <c r="D148" s="208">
        <f>'Monthly District History'!D140</f>
        <v>1497</v>
      </c>
      <c r="E148" s="25">
        <f t="shared" si="17"/>
        <v>7</v>
      </c>
      <c r="F148" s="208">
        <f>'Monthly District History'!F140</f>
        <v>1490</v>
      </c>
      <c r="G148" s="26">
        <f t="shared" si="16"/>
        <v>0.9953239812959251</v>
      </c>
      <c r="H148" s="32"/>
    </row>
    <row r="149" ht="15.6" customHeight="1" spans="1:8" x14ac:dyDescent="0.25">
      <c r="A149" s="229">
        <v>9</v>
      </c>
      <c r="B149" s="208" t="s">
        <v>18</v>
      </c>
      <c r="C149" s="143" t="s">
        <v>79</v>
      </c>
      <c r="D149" s="143">
        <f>'Monthly District History'!D159</f>
        <v>162</v>
      </c>
      <c r="E149" s="25">
        <f t="shared" si="17"/>
        <v>2</v>
      </c>
      <c r="F149" s="208">
        <f>'Monthly District History'!F159</f>
        <v>160</v>
      </c>
      <c r="G149" s="26">
        <f t="shared" si="16"/>
        <v>0.9876543209876543</v>
      </c>
      <c r="H149" s="32"/>
    </row>
    <row r="150" ht="15.6" customHeight="1" spans="1:8" x14ac:dyDescent="0.25">
      <c r="A150" s="229">
        <v>10</v>
      </c>
      <c r="B150" s="208" t="s">
        <v>18</v>
      </c>
      <c r="C150" s="205" t="s">
        <v>80</v>
      </c>
      <c r="D150" s="143">
        <f>'Monthly District History'!D179</f>
        <v>137</v>
      </c>
      <c r="E150" s="25">
        <f t="shared" si="17"/>
        <v>2</v>
      </c>
      <c r="F150" s="208">
        <f>'Monthly District History'!F179</f>
        <v>135</v>
      </c>
      <c r="G150" s="26">
        <f t="shared" si="16"/>
        <v>0.9854014598540146</v>
      </c>
      <c r="H150" s="32"/>
    </row>
    <row r="151" ht="15.6" customHeight="1" spans="1:8" x14ac:dyDescent="0.25">
      <c r="A151" s="229">
        <v>11</v>
      </c>
      <c r="B151" s="208" t="s">
        <v>18</v>
      </c>
      <c r="C151" s="205" t="s">
        <v>81</v>
      </c>
      <c r="D151" s="143">
        <f>'Monthly District History'!D201</f>
        <v>281</v>
      </c>
      <c r="E151" s="25">
        <f t="shared" si="17"/>
        <v>1</v>
      </c>
      <c r="F151" s="208">
        <f>'Monthly District History'!F201</f>
        <v>280</v>
      </c>
      <c r="G151" s="26">
        <f t="shared" si="16"/>
        <v>0.99644128113879</v>
      </c>
      <c r="H151" s="32"/>
    </row>
    <row r="152" ht="15.6" customHeight="1" spans="1:8" x14ac:dyDescent="0.25">
      <c r="A152" s="23">
        <v>12</v>
      </c>
      <c r="B152" s="208" t="s">
        <v>18</v>
      </c>
      <c r="C152" s="205" t="s">
        <v>82</v>
      </c>
      <c r="D152" s="143">
        <f>'Monthly District History'!J223</f>
        <v>270</v>
      </c>
      <c r="E152" s="25">
        <f t="shared" si="17"/>
        <v>151</v>
      </c>
      <c r="F152" s="208">
        <f>'Monthly District History'!M223</f>
        <v>119</v>
      </c>
      <c r="G152" s="26">
        <f t="shared" si="16"/>
        <v>0.44074074074074077</v>
      </c>
      <c r="H152" s="32"/>
    </row>
    <row r="153" ht="15.6" customHeight="1" spans="1:8" x14ac:dyDescent="0.25">
      <c r="A153" s="23">
        <v>13</v>
      </c>
      <c r="B153" s="208" t="s">
        <v>18</v>
      </c>
      <c r="C153" s="205" t="s">
        <v>83</v>
      </c>
      <c r="D153" s="143">
        <f>'Monthly District History'!J243</f>
        <v>228</v>
      </c>
      <c r="E153" s="25">
        <f t="shared" si="17"/>
        <v>163</v>
      </c>
      <c r="F153" s="208">
        <f>'Monthly District History'!M243</f>
        <v>65</v>
      </c>
      <c r="G153" s="26">
        <f t="shared" si="16"/>
        <v>0.2850877192982456</v>
      </c>
      <c r="H153" s="32"/>
    </row>
    <row r="154" ht="15.6" customHeight="1" spans="1:7" x14ac:dyDescent="0.25">
      <c r="A154" s="23">
        <v>14</v>
      </c>
      <c r="B154" s="208" t="s">
        <v>18</v>
      </c>
      <c r="C154" s="29" t="s">
        <v>84</v>
      </c>
      <c r="D154" s="29">
        <f>'Monthly District History'!J266</f>
        <v>634</v>
      </c>
      <c r="E154" s="25">
        <f t="shared" si="17"/>
        <v>119</v>
      </c>
      <c r="F154" s="25">
        <f>'Monthly District History'!M266</f>
        <v>515</v>
      </c>
      <c r="G154" s="26">
        <f t="shared" si="16"/>
        <v>0.8123028391167192</v>
      </c>
    </row>
    <row r="155" ht="15.6" customHeight="1" spans="1:7" x14ac:dyDescent="0.25">
      <c r="A155" s="223"/>
      <c r="B155" s="212"/>
      <c r="C155" s="211"/>
      <c r="D155" s="210">
        <f>SUM(D141:D154)</f>
        <v>5042</v>
      </c>
      <c r="E155" s="210">
        <f>SUM(E141:E154)</f>
        <v>459</v>
      </c>
      <c r="F155" s="210">
        <f>SUM(F141:F154)</f>
        <v>4583</v>
      </c>
      <c r="G155" s="228">
        <f t="shared" si="16"/>
        <v>0.9089646965489885</v>
      </c>
    </row>
    <row r="156" ht="15.6" customHeight="1" spans="1:7" x14ac:dyDescent="0.25">
      <c r="A156" s="229">
        <v>1</v>
      </c>
      <c r="B156" s="25" t="s">
        <v>23</v>
      </c>
      <c r="C156" s="29" t="s">
        <v>71</v>
      </c>
      <c r="D156" s="25">
        <f>'Monthly District History'!D13</f>
        <v>401</v>
      </c>
      <c r="E156" s="25">
        <f t="shared" ref="E156:E169" si="18">D156-F156</f>
        <v>2</v>
      </c>
      <c r="F156" s="25">
        <f>'Monthly District History'!F13</f>
        <v>399</v>
      </c>
      <c r="G156" s="26">
        <f t="shared" si="16"/>
        <v>0.9950124688279302</v>
      </c>
    </row>
    <row r="157" ht="15.6" customHeight="1" spans="1:8" x14ac:dyDescent="0.25">
      <c r="A157" s="142">
        <v>2</v>
      </c>
      <c r="B157" s="29" t="s">
        <v>23</v>
      </c>
      <c r="C157" s="29" t="s">
        <v>72</v>
      </c>
      <c r="D157" s="25">
        <f>'Monthly District History'!D31</f>
        <v>1344</v>
      </c>
      <c r="E157" s="25">
        <f t="shared" si="18"/>
        <v>1</v>
      </c>
      <c r="F157" s="25">
        <f>'Monthly District History'!F31</f>
        <v>1343</v>
      </c>
      <c r="G157" s="26">
        <f t="shared" si="16"/>
        <v>0.9992559523809523</v>
      </c>
      <c r="H157" s="138"/>
    </row>
    <row r="158" ht="15.6" customHeight="1" spans="1:8" x14ac:dyDescent="0.25">
      <c r="A158" s="229">
        <v>3</v>
      </c>
      <c r="B158" s="25" t="s">
        <v>23</v>
      </c>
      <c r="C158" s="29" t="s">
        <v>73</v>
      </c>
      <c r="D158" s="25">
        <f>'Monthly District History'!D52</f>
        <v>746</v>
      </c>
      <c r="E158" s="25">
        <f t="shared" si="18"/>
        <v>4</v>
      </c>
      <c r="F158" s="25">
        <f>'Monthly District History'!F52</f>
        <v>742</v>
      </c>
      <c r="G158" s="26">
        <f t="shared" si="16"/>
        <v>0.9946380697050938</v>
      </c>
      <c r="H158" s="138"/>
    </row>
    <row r="159" ht="15.6" customHeight="1" spans="1:8" x14ac:dyDescent="0.25">
      <c r="A159" s="142">
        <v>4</v>
      </c>
      <c r="B159" s="202" t="s">
        <v>23</v>
      </c>
      <c r="C159" s="202" t="s">
        <v>74</v>
      </c>
      <c r="D159" s="75">
        <f>'Monthly District History'!D65</f>
        <v>575</v>
      </c>
      <c r="E159" s="25">
        <f t="shared" si="18"/>
        <v>5</v>
      </c>
      <c r="F159" s="203">
        <f>'Monthly District History'!F65</f>
        <v>570</v>
      </c>
      <c r="G159" s="26">
        <f t="shared" si="16"/>
        <v>0.991304347826087</v>
      </c>
      <c r="H159" s="230"/>
    </row>
    <row r="160" ht="15.6" customHeight="1" spans="1:8" x14ac:dyDescent="0.25">
      <c r="A160" s="229">
        <v>5</v>
      </c>
      <c r="B160" s="75" t="s">
        <v>23</v>
      </c>
      <c r="C160" s="202" t="s">
        <v>75</v>
      </c>
      <c r="D160" s="75">
        <f>'Monthly District History'!D84</f>
        <v>564</v>
      </c>
      <c r="E160" s="25">
        <f t="shared" si="18"/>
        <v>6</v>
      </c>
      <c r="F160" s="75">
        <f>'Monthly District History'!F84</f>
        <v>558</v>
      </c>
      <c r="G160" s="26">
        <f t="shared" si="16"/>
        <v>0.9893617021276596</v>
      </c>
      <c r="H160" s="138"/>
    </row>
    <row r="161" ht="15.6" customHeight="1" spans="1:8" x14ac:dyDescent="0.25">
      <c r="A161" s="142">
        <v>6</v>
      </c>
      <c r="B161" s="75" t="s">
        <v>23</v>
      </c>
      <c r="C161" s="202" t="s">
        <v>76</v>
      </c>
      <c r="D161" s="75">
        <f>'Monthly District History'!D103</f>
        <v>534</v>
      </c>
      <c r="E161" s="25">
        <f t="shared" si="18"/>
        <v>2</v>
      </c>
      <c r="F161" s="75">
        <f>'Monthly District History'!F103</f>
        <v>532</v>
      </c>
      <c r="G161" s="26">
        <f t="shared" si="16"/>
        <v>0.9962546816479401</v>
      </c>
      <c r="H161" s="138"/>
    </row>
    <row r="162" ht="15.6" customHeight="1" spans="1:8" x14ac:dyDescent="0.25">
      <c r="A162" s="229">
        <v>7</v>
      </c>
      <c r="B162" s="206" t="s">
        <v>23</v>
      </c>
      <c r="C162" s="205" t="s">
        <v>77</v>
      </c>
      <c r="D162" s="206">
        <f>'Monthly District History'!D122</f>
        <v>1393</v>
      </c>
      <c r="E162" s="25">
        <f t="shared" si="18"/>
        <v>2</v>
      </c>
      <c r="F162" s="206">
        <f>'Monthly District History'!F122</f>
        <v>1391</v>
      </c>
      <c r="G162" s="26">
        <f t="shared" si="16"/>
        <v>0.9985642498205313</v>
      </c>
      <c r="H162" s="138"/>
    </row>
    <row r="163" ht="15.6" customHeight="1" spans="1:8" x14ac:dyDescent="0.25">
      <c r="A163" s="142">
        <v>8</v>
      </c>
      <c r="B163" s="208" t="s">
        <v>23</v>
      </c>
      <c r="C163" s="143" t="s">
        <v>78</v>
      </c>
      <c r="D163" s="208">
        <f>'Monthly District History'!D141</f>
        <v>1481</v>
      </c>
      <c r="E163" s="25">
        <f t="shared" si="18"/>
        <v>9</v>
      </c>
      <c r="F163" s="208">
        <f>'Monthly District History'!F141</f>
        <v>1472</v>
      </c>
      <c r="G163" s="26">
        <f t="shared" si="16"/>
        <v>0.9939230249831195</v>
      </c>
      <c r="H163" s="138"/>
    </row>
    <row r="164" ht="15.6" customHeight="1" spans="1:8" x14ac:dyDescent="0.25">
      <c r="A164" s="229">
        <v>9</v>
      </c>
      <c r="B164" s="208" t="s">
        <v>23</v>
      </c>
      <c r="C164" s="143" t="s">
        <v>79</v>
      </c>
      <c r="D164" s="208">
        <f>'Monthly District History'!D160</f>
        <v>1158</v>
      </c>
      <c r="E164" s="25">
        <f t="shared" si="18"/>
        <v>4</v>
      </c>
      <c r="F164" s="208">
        <f>'Monthly District History'!F160</f>
        <v>1154</v>
      </c>
      <c r="G164" s="26">
        <f t="shared" si="16"/>
        <v>0.9965457685664939</v>
      </c>
      <c r="H164" s="138"/>
    </row>
    <row r="165" ht="15.6" customHeight="1" spans="1:8" x14ac:dyDescent="0.25">
      <c r="A165" s="142">
        <v>10</v>
      </c>
      <c r="B165" s="208" t="s">
        <v>23</v>
      </c>
      <c r="C165" s="205" t="s">
        <v>80</v>
      </c>
      <c r="D165" s="208">
        <f>'Monthly District History'!D180</f>
        <v>1024</v>
      </c>
      <c r="E165" s="25">
        <f t="shared" si="18"/>
        <v>51</v>
      </c>
      <c r="F165" s="208">
        <f>'Monthly District History'!F180</f>
        <v>973</v>
      </c>
      <c r="G165" s="26">
        <f t="shared" si="16"/>
        <v>0.9501953125</v>
      </c>
      <c r="H165" s="138"/>
    </row>
    <row r="166" ht="15.6" customHeight="1" spans="1:8" x14ac:dyDescent="0.25">
      <c r="A166" s="229">
        <v>11</v>
      </c>
      <c r="B166" s="208" t="s">
        <v>23</v>
      </c>
      <c r="C166" s="205" t="s">
        <v>81</v>
      </c>
      <c r="D166" s="208">
        <f>'Monthly District History'!D202</f>
        <v>317</v>
      </c>
      <c r="E166" s="25">
        <f t="shared" si="18"/>
        <v>122</v>
      </c>
      <c r="F166" s="208">
        <f>'Monthly District History'!F202</f>
        <v>195</v>
      </c>
      <c r="G166" s="26">
        <f t="shared" si="16"/>
        <v>0.6151419558359621</v>
      </c>
      <c r="H166" s="138"/>
    </row>
    <row r="167" ht="15.6" customHeight="1" spans="1:8" x14ac:dyDescent="0.25">
      <c r="A167" s="23">
        <v>12</v>
      </c>
      <c r="B167" s="208" t="s">
        <v>23</v>
      </c>
      <c r="C167" s="205" t="s">
        <v>82</v>
      </c>
      <c r="D167" s="208">
        <f>'Monthly District History'!J224</f>
        <v>224</v>
      </c>
      <c r="E167" s="25">
        <f t="shared" si="18"/>
        <v>66</v>
      </c>
      <c r="F167" s="208">
        <f>'Monthly District History'!M224</f>
        <v>158</v>
      </c>
      <c r="G167" s="26">
        <f t="shared" si="16"/>
        <v>0.7053571428571429</v>
      </c>
      <c r="H167" s="138"/>
    </row>
    <row r="168" ht="15.6" customHeight="1" spans="1:8" x14ac:dyDescent="0.25">
      <c r="A168" s="23">
        <v>13</v>
      </c>
      <c r="B168" s="208" t="s">
        <v>23</v>
      </c>
      <c r="C168" s="205" t="s">
        <v>83</v>
      </c>
      <c r="D168" s="208">
        <f>'Monthly District History'!J244</f>
        <v>818</v>
      </c>
      <c r="E168" s="25">
        <f t="shared" si="18"/>
        <v>810</v>
      </c>
      <c r="F168" s="208">
        <f>'Monthly District History'!M244</f>
        <v>8</v>
      </c>
      <c r="G168" s="26">
        <f t="shared" si="16"/>
        <v>0.009779951100244499</v>
      </c>
      <c r="H168" s="138"/>
    </row>
    <row r="169" ht="15.6" customHeight="1" spans="1:8" x14ac:dyDescent="0.25">
      <c r="A169" s="23">
        <v>14</v>
      </c>
      <c r="B169" s="208" t="s">
        <v>23</v>
      </c>
      <c r="C169" s="29" t="s">
        <v>84</v>
      </c>
      <c r="D169" s="25">
        <f>'Monthly District History'!J267</f>
        <v>6544</v>
      </c>
      <c r="E169" s="25">
        <f t="shared" si="18"/>
        <v>2937</v>
      </c>
      <c r="F169" s="25">
        <f>'Monthly District History'!M267</f>
        <v>3607</v>
      </c>
      <c r="G169" s="26">
        <f t="shared" si="16"/>
        <v>0.5511919315403423</v>
      </c>
      <c r="H169" s="138"/>
    </row>
    <row r="170" ht="15.6" customHeight="1" spans="1:8" x14ac:dyDescent="0.25">
      <c r="A170" s="223"/>
      <c r="B170" s="210"/>
      <c r="C170" s="211"/>
      <c r="D170" s="210">
        <f>SUM(D156:D169)</f>
        <v>17123</v>
      </c>
      <c r="E170" s="210">
        <f>SUM(E156:E169)</f>
        <v>4021</v>
      </c>
      <c r="F170" s="210">
        <f>SUM(F156:F169)</f>
        <v>13102</v>
      </c>
      <c r="G170" s="228">
        <f t="shared" si="16"/>
        <v>0.7651696548502015</v>
      </c>
      <c r="H170" s="138"/>
    </row>
    <row r="171" ht="15.6" customHeight="1" spans="1:8" x14ac:dyDescent="0.25">
      <c r="A171" s="142">
        <v>1</v>
      </c>
      <c r="B171" s="25" t="s">
        <v>25</v>
      </c>
      <c r="C171" s="29" t="s">
        <v>71</v>
      </c>
      <c r="D171" s="25">
        <f>'Monthly District History'!D15</f>
        <v>187</v>
      </c>
      <c r="E171" s="25">
        <f t="shared" ref="E171:E184" si="19">D171-F171</f>
        <v>0</v>
      </c>
      <c r="F171" s="25">
        <f>'Monthly District History'!F15</f>
        <v>187</v>
      </c>
      <c r="G171" s="26">
        <f t="shared" si="16"/>
        <v>1</v>
      </c>
      <c r="H171" s="138"/>
    </row>
    <row r="172" ht="15.6" customHeight="1" spans="1:8" x14ac:dyDescent="0.25">
      <c r="A172" s="142">
        <v>2</v>
      </c>
      <c r="B172" s="25" t="s">
        <v>25</v>
      </c>
      <c r="C172" s="29" t="s">
        <v>72</v>
      </c>
      <c r="D172" s="25">
        <f>'Monthly District History'!D27</f>
        <v>593</v>
      </c>
      <c r="E172" s="25">
        <f t="shared" si="19"/>
        <v>5</v>
      </c>
      <c r="F172" s="25">
        <f>'Monthly District History'!F27</f>
        <v>588</v>
      </c>
      <c r="G172" s="26">
        <f t="shared" si="16"/>
        <v>0.9915682967959528</v>
      </c>
      <c r="H172" s="138"/>
    </row>
    <row r="173" ht="15.6" customHeight="1" spans="1:8" x14ac:dyDescent="0.25">
      <c r="A173" s="142">
        <v>3</v>
      </c>
      <c r="B173" s="25" t="s">
        <v>25</v>
      </c>
      <c r="C173" s="29" t="s">
        <v>73</v>
      </c>
      <c r="D173" s="25">
        <f>'Monthly District History'!D45</f>
        <v>1659</v>
      </c>
      <c r="E173" s="25">
        <f t="shared" si="19"/>
        <v>12</v>
      </c>
      <c r="F173" s="25">
        <f>'Monthly District History'!F45</f>
        <v>1647</v>
      </c>
      <c r="G173" s="26">
        <f t="shared" si="16"/>
        <v>0.9927667269439421</v>
      </c>
      <c r="H173" s="138"/>
    </row>
    <row r="174" ht="15.6" customHeight="1" spans="1:8" x14ac:dyDescent="0.25">
      <c r="A174" s="142">
        <v>4</v>
      </c>
      <c r="B174" s="75" t="s">
        <v>25</v>
      </c>
      <c r="C174" s="202" t="s">
        <v>74</v>
      </c>
      <c r="D174" s="75">
        <f>'Monthly District History'!D66</f>
        <v>161</v>
      </c>
      <c r="E174" s="25">
        <f t="shared" si="19"/>
        <v>4</v>
      </c>
      <c r="F174" s="203">
        <f>'Monthly District History'!F66</f>
        <v>157</v>
      </c>
      <c r="G174" s="26">
        <f t="shared" si="16"/>
        <v>0.9751552795031055</v>
      </c>
      <c r="H174" s="138"/>
    </row>
    <row r="175" ht="15.6" customHeight="1" spans="1:8" x14ac:dyDescent="0.25">
      <c r="A175" s="142">
        <v>5</v>
      </c>
      <c r="B175" s="75" t="s">
        <v>25</v>
      </c>
      <c r="C175" s="202" t="s">
        <v>75</v>
      </c>
      <c r="D175" s="75">
        <f>'Monthly District History'!D85</f>
        <v>117</v>
      </c>
      <c r="E175" s="25">
        <f t="shared" si="19"/>
        <v>3</v>
      </c>
      <c r="F175" s="75">
        <f>'Monthly District History'!F85</f>
        <v>114</v>
      </c>
      <c r="G175" s="26">
        <f t="shared" si="16"/>
        <v>0.9743589743589743</v>
      </c>
      <c r="H175" s="138"/>
    </row>
    <row r="176" ht="15.6" customHeight="1" spans="1:9" x14ac:dyDescent="0.25">
      <c r="A176" s="142">
        <v>6</v>
      </c>
      <c r="B176" s="202" t="s">
        <v>25</v>
      </c>
      <c r="C176" s="75" t="s">
        <v>76</v>
      </c>
      <c r="D176" s="75">
        <f>'Monthly District History'!D104</f>
        <v>71</v>
      </c>
      <c r="E176" s="25">
        <f t="shared" si="19"/>
        <v>2</v>
      </c>
      <c r="F176" s="75">
        <f>'Monthly District History'!F104</f>
        <v>69</v>
      </c>
      <c r="G176" s="26">
        <f t="shared" si="16"/>
        <v>0.971830985915493</v>
      </c>
      <c r="H176" s="1"/>
      <c r="I176" s="1"/>
    </row>
    <row r="177" ht="15.6" customHeight="1" spans="1:9" x14ac:dyDescent="0.25">
      <c r="A177" s="142">
        <v>7</v>
      </c>
      <c r="B177" s="206" t="s">
        <v>25</v>
      </c>
      <c r="C177" s="206" t="s">
        <v>77</v>
      </c>
      <c r="D177" s="206">
        <f>'Monthly District History'!D123</f>
        <v>75</v>
      </c>
      <c r="E177" s="25">
        <f t="shared" si="19"/>
        <v>0</v>
      </c>
      <c r="F177" s="206">
        <f>'Monthly District History'!F123</f>
        <v>75</v>
      </c>
      <c r="G177" s="26">
        <f t="shared" si="16"/>
        <v>1</v>
      </c>
      <c r="H177" s="1"/>
      <c r="I177" s="1"/>
    </row>
    <row r="178" ht="15.6" customHeight="1" spans="1:9" x14ac:dyDescent="0.25">
      <c r="A178" s="142">
        <v>8</v>
      </c>
      <c r="B178" s="143" t="s">
        <v>25</v>
      </c>
      <c r="C178" s="208" t="s">
        <v>78</v>
      </c>
      <c r="D178" s="208">
        <f>'Monthly District History'!D142</f>
        <v>276</v>
      </c>
      <c r="E178" s="25">
        <f t="shared" si="19"/>
        <v>1</v>
      </c>
      <c r="F178" s="208">
        <f>'Monthly District History'!F142</f>
        <v>275</v>
      </c>
      <c r="G178" s="26">
        <f t="shared" si="16"/>
        <v>0.9963768115942029</v>
      </c>
      <c r="H178" s="1"/>
      <c r="I178" s="1"/>
    </row>
    <row r="179" ht="15.6" customHeight="1" spans="1:9" x14ac:dyDescent="0.25">
      <c r="A179" s="142">
        <v>9</v>
      </c>
      <c r="B179" s="143" t="s">
        <v>25</v>
      </c>
      <c r="C179" s="143" t="s">
        <v>79</v>
      </c>
      <c r="D179" s="208">
        <f>'Monthly District History'!D161</f>
        <v>82</v>
      </c>
      <c r="E179" s="25">
        <f t="shared" si="19"/>
        <v>10</v>
      </c>
      <c r="F179" s="208">
        <f>'Monthly District History'!F161</f>
        <v>72</v>
      </c>
      <c r="G179" s="26">
        <f t="shared" si="16"/>
        <v>0.8780487804878049</v>
      </c>
      <c r="H179" s="1"/>
      <c r="I179" s="1"/>
    </row>
    <row r="180" ht="15.6" customHeight="1" spans="1:9" x14ac:dyDescent="0.25">
      <c r="A180" s="142">
        <v>10</v>
      </c>
      <c r="B180" s="143" t="s">
        <v>25</v>
      </c>
      <c r="C180" s="205" t="s">
        <v>80</v>
      </c>
      <c r="D180" s="208">
        <f>'Monthly District History'!D181</f>
        <v>76</v>
      </c>
      <c r="E180" s="25">
        <f t="shared" si="19"/>
        <v>8</v>
      </c>
      <c r="F180" s="208">
        <f>'Monthly District History'!F181</f>
        <v>68</v>
      </c>
      <c r="G180" s="26">
        <f t="shared" si="16"/>
        <v>0.8947368421052632</v>
      </c>
      <c r="H180" s="1"/>
      <c r="I180" s="1"/>
    </row>
    <row r="181" ht="15.6" customHeight="1" spans="1:9" x14ac:dyDescent="0.25">
      <c r="A181" s="142">
        <v>11</v>
      </c>
      <c r="B181" s="143" t="s">
        <v>25</v>
      </c>
      <c r="C181" s="205" t="s">
        <v>81</v>
      </c>
      <c r="D181" s="208">
        <f>'Monthly District History'!D203</f>
        <v>238</v>
      </c>
      <c r="E181" s="25">
        <f t="shared" si="19"/>
        <v>3</v>
      </c>
      <c r="F181" s="208">
        <f>'Monthly District History'!F203</f>
        <v>235</v>
      </c>
      <c r="G181" s="26">
        <f t="shared" si="16"/>
        <v>0.9873949579831933</v>
      </c>
      <c r="H181" s="1"/>
      <c r="I181" s="1"/>
    </row>
    <row r="182" ht="15.6" customHeight="1" spans="1:9" x14ac:dyDescent="0.25">
      <c r="A182" s="23">
        <v>12</v>
      </c>
      <c r="B182" s="143" t="s">
        <v>25</v>
      </c>
      <c r="C182" s="205" t="s">
        <v>82</v>
      </c>
      <c r="D182" s="208">
        <f>'Monthly District History'!J225</f>
        <v>58</v>
      </c>
      <c r="E182" s="25">
        <f t="shared" si="19"/>
        <v>13</v>
      </c>
      <c r="F182" s="208">
        <f>'Monthly District History'!M225</f>
        <v>45</v>
      </c>
      <c r="G182" s="26">
        <f t="shared" si="16"/>
        <v>0.7758620689655172</v>
      </c>
      <c r="H182" s="1"/>
      <c r="I182" s="1"/>
    </row>
    <row r="183" ht="15.6" customHeight="1" spans="1:9" x14ac:dyDescent="0.25">
      <c r="A183" s="23">
        <v>13</v>
      </c>
      <c r="B183" s="143" t="s">
        <v>25</v>
      </c>
      <c r="C183" s="205" t="s">
        <v>83</v>
      </c>
      <c r="D183" s="208">
        <f>'Monthly District History'!J245</f>
        <v>160</v>
      </c>
      <c r="E183" s="25">
        <f t="shared" si="19"/>
        <v>140</v>
      </c>
      <c r="F183" s="208">
        <f>'Monthly District History'!M245</f>
        <v>20</v>
      </c>
      <c r="G183" s="26">
        <f t="shared" si="16"/>
        <v>0.125</v>
      </c>
      <c r="H183" s="1"/>
      <c r="I183" s="1"/>
    </row>
    <row r="184" ht="15.6" customHeight="1" spans="1:9" x14ac:dyDescent="0.25">
      <c r="A184" s="23">
        <v>14</v>
      </c>
      <c r="B184" s="143" t="s">
        <v>25</v>
      </c>
      <c r="C184" s="29" t="s">
        <v>84</v>
      </c>
      <c r="D184" s="25">
        <f>'Monthly District History'!J268</f>
        <v>1070</v>
      </c>
      <c r="E184" s="25">
        <f t="shared" si="19"/>
        <v>155</v>
      </c>
      <c r="F184" s="25">
        <f>'Monthly District History'!M268</f>
        <v>915</v>
      </c>
      <c r="G184" s="26">
        <f t="shared" si="16"/>
        <v>0.8551401869158879</v>
      </c>
      <c r="H184" s="31"/>
      <c r="I184" s="1"/>
    </row>
    <row r="185" ht="15.6" customHeight="1" spans="1:9" x14ac:dyDescent="0.25">
      <c r="A185" s="209"/>
      <c r="B185" s="212"/>
      <c r="C185" s="231"/>
      <c r="D185" s="212">
        <f>SUM(D171:D184)</f>
        <v>4823</v>
      </c>
      <c r="E185" s="212">
        <f>SUM(E171:E184)</f>
        <v>356</v>
      </c>
      <c r="F185" s="212">
        <f>SUM(F171:F184)</f>
        <v>4467</v>
      </c>
      <c r="G185" s="213">
        <f t="shared" ref="G185:G198" si="20">F185/D185</f>
        <v>0.9261870205266431</v>
      </c>
      <c r="H185" s="1"/>
      <c r="I185" s="1"/>
    </row>
    <row r="186" ht="15.6" customHeight="1" spans="1:9" x14ac:dyDescent="0.25">
      <c r="A186" s="23">
        <v>1</v>
      </c>
      <c r="B186" s="201" t="s">
        <v>35</v>
      </c>
      <c r="C186" s="75" t="s">
        <v>75</v>
      </c>
      <c r="D186" s="75">
        <f>'Monthly District History'!D92</f>
        <v>1057</v>
      </c>
      <c r="E186" s="75">
        <f t="shared" ref="E186:E199" si="21">D186-F186</f>
        <v>27</v>
      </c>
      <c r="F186" s="75">
        <f>'Monthly District History'!F92</f>
        <v>1030</v>
      </c>
      <c r="G186" s="232">
        <f t="shared" si="20"/>
        <v>0.9744560075685903</v>
      </c>
      <c r="H186" s="1"/>
      <c r="I186" s="1"/>
    </row>
    <row r="187" ht="15.6" customHeight="1" spans="1:9" x14ac:dyDescent="0.25">
      <c r="A187" s="23">
        <v>2</v>
      </c>
      <c r="B187" s="201" t="s">
        <v>35</v>
      </c>
      <c r="C187" s="75" t="s">
        <v>76</v>
      </c>
      <c r="D187" s="75">
        <f>'Monthly District History'!D111</f>
        <v>161</v>
      </c>
      <c r="E187" s="75">
        <f t="shared" si="21"/>
        <v>3</v>
      </c>
      <c r="F187" s="75">
        <f>'Monthly District History'!F111</f>
        <v>158</v>
      </c>
      <c r="G187" s="232">
        <f t="shared" si="20"/>
        <v>0.9813664596273292</v>
      </c>
      <c r="H187" s="1"/>
      <c r="I187" s="1"/>
    </row>
    <row r="188" ht="15.6" customHeight="1" spans="1:9" x14ac:dyDescent="0.25">
      <c r="A188" s="23">
        <v>3</v>
      </c>
      <c r="B188" s="25" t="s">
        <v>21</v>
      </c>
      <c r="C188" s="25" t="s">
        <v>71</v>
      </c>
      <c r="D188" s="25">
        <f>'Monthly District History'!D11</f>
        <v>41</v>
      </c>
      <c r="E188" s="75">
        <f t="shared" si="21"/>
        <v>0</v>
      </c>
      <c r="F188" s="25">
        <f>'Monthly District History'!F11</f>
        <v>41</v>
      </c>
      <c r="G188" s="232">
        <f t="shared" si="20"/>
        <v>1</v>
      </c>
      <c r="H188" s="1"/>
      <c r="I188" s="1"/>
    </row>
    <row r="189" ht="15.6" customHeight="1" spans="1:9" x14ac:dyDescent="0.25">
      <c r="A189" s="23">
        <v>4</v>
      </c>
      <c r="B189" s="29" t="s">
        <v>21</v>
      </c>
      <c r="C189" s="25" t="s">
        <v>72</v>
      </c>
      <c r="D189" s="25">
        <f>'Monthly District History'!D33</f>
        <v>83</v>
      </c>
      <c r="E189" s="75">
        <f t="shared" si="21"/>
        <v>0</v>
      </c>
      <c r="F189" s="25">
        <f>'Monthly District History'!F33</f>
        <v>83</v>
      </c>
      <c r="G189" s="232">
        <f t="shared" si="20"/>
        <v>1</v>
      </c>
      <c r="H189" s="1"/>
      <c r="I189" s="1"/>
    </row>
    <row r="190" ht="15.6" customHeight="1" spans="1:9" x14ac:dyDescent="0.25">
      <c r="A190" s="23">
        <v>5</v>
      </c>
      <c r="B190" s="25" t="s">
        <v>21</v>
      </c>
      <c r="C190" s="25" t="s">
        <v>73</v>
      </c>
      <c r="D190" s="25">
        <f>'Monthly District History'!D50</f>
        <v>251</v>
      </c>
      <c r="E190" s="75">
        <f t="shared" si="21"/>
        <v>0</v>
      </c>
      <c r="F190" s="25">
        <f>'Monthly District History'!F50</f>
        <v>251</v>
      </c>
      <c r="G190" s="232">
        <f t="shared" si="20"/>
        <v>1</v>
      </c>
      <c r="H190" s="1"/>
      <c r="I190" s="1"/>
    </row>
    <row r="191" ht="15.6" customHeight="1" spans="1:9" x14ac:dyDescent="0.25">
      <c r="A191" s="23">
        <v>6</v>
      </c>
      <c r="B191" s="201" t="s">
        <v>21</v>
      </c>
      <c r="C191" s="75" t="s">
        <v>74</v>
      </c>
      <c r="D191" s="75">
        <f>'Monthly District History'!D73</f>
        <v>132</v>
      </c>
      <c r="E191" s="75">
        <f t="shared" si="21"/>
        <v>0</v>
      </c>
      <c r="F191" s="203">
        <f>'Monthly District History'!F73</f>
        <v>132</v>
      </c>
      <c r="G191" s="232">
        <f t="shared" si="20"/>
        <v>1</v>
      </c>
      <c r="H191" s="1"/>
      <c r="I191" s="1"/>
    </row>
    <row r="192" ht="15.6" customHeight="1" spans="1:9" x14ac:dyDescent="0.25">
      <c r="A192" s="23">
        <v>7</v>
      </c>
      <c r="B192" s="204" t="s">
        <v>21</v>
      </c>
      <c r="C192" s="206" t="s">
        <v>77</v>
      </c>
      <c r="D192" s="206">
        <f>'Monthly District History'!D130</f>
        <v>485</v>
      </c>
      <c r="E192" s="75">
        <f t="shared" si="21"/>
        <v>0</v>
      </c>
      <c r="F192" s="206">
        <f>'Monthly District History'!F130</f>
        <v>485</v>
      </c>
      <c r="G192" s="232">
        <f t="shared" si="20"/>
        <v>1</v>
      </c>
      <c r="H192" s="1"/>
      <c r="I192" s="1"/>
    </row>
    <row r="193" ht="15.6" customHeight="1" spans="1:9" x14ac:dyDescent="0.25">
      <c r="A193" s="23">
        <v>8</v>
      </c>
      <c r="B193" s="207" t="s">
        <v>21</v>
      </c>
      <c r="C193" s="208" t="s">
        <v>78</v>
      </c>
      <c r="D193" s="208">
        <f>'Monthly District History'!D149</f>
        <v>1537</v>
      </c>
      <c r="E193" s="75">
        <f t="shared" si="21"/>
        <v>12</v>
      </c>
      <c r="F193" s="208">
        <f>'Monthly District History'!F149</f>
        <v>1525</v>
      </c>
      <c r="G193" s="232">
        <f t="shared" si="20"/>
        <v>0.9921925829538061</v>
      </c>
      <c r="H193" s="1"/>
      <c r="I193" s="1"/>
    </row>
    <row r="194" ht="15.6" customHeight="1" spans="1:9" x14ac:dyDescent="0.25">
      <c r="A194" s="23">
        <v>9</v>
      </c>
      <c r="B194" s="207" t="s">
        <v>21</v>
      </c>
      <c r="C194" s="143" t="s">
        <v>79</v>
      </c>
      <c r="D194" s="208">
        <f>'Monthly District History'!D168</f>
        <v>793</v>
      </c>
      <c r="E194" s="75">
        <f t="shared" si="21"/>
        <v>42</v>
      </c>
      <c r="F194" s="208">
        <f>'Monthly District History'!F168</f>
        <v>751</v>
      </c>
      <c r="G194" s="232">
        <f t="shared" si="20"/>
        <v>0.9470365699873896</v>
      </c>
      <c r="H194" s="1"/>
      <c r="I194" s="1"/>
    </row>
    <row r="195" ht="15.6" customHeight="1" spans="1:9" x14ac:dyDescent="0.25">
      <c r="A195" s="23">
        <v>10</v>
      </c>
      <c r="B195" s="207" t="s">
        <v>21</v>
      </c>
      <c r="C195" s="205" t="s">
        <v>80</v>
      </c>
      <c r="D195" s="208">
        <f>'Monthly District History'!D188</f>
        <v>65</v>
      </c>
      <c r="E195" s="75">
        <f t="shared" si="21"/>
        <v>15</v>
      </c>
      <c r="F195" s="208">
        <f>'Monthly District History'!F188</f>
        <v>50</v>
      </c>
      <c r="G195" s="232">
        <f t="shared" si="20"/>
        <v>0.7692307692307693</v>
      </c>
      <c r="H195" s="1"/>
      <c r="I195" s="1"/>
    </row>
    <row r="196" ht="15.6" customHeight="1" spans="1:9" x14ac:dyDescent="0.25">
      <c r="A196" s="23">
        <v>11</v>
      </c>
      <c r="B196" s="207" t="s">
        <v>21</v>
      </c>
      <c r="C196" s="205" t="s">
        <v>81</v>
      </c>
      <c r="D196" s="208">
        <f>'Monthly District History'!D210</f>
        <v>61</v>
      </c>
      <c r="E196" s="75">
        <f t="shared" si="21"/>
        <v>17</v>
      </c>
      <c r="F196" s="208">
        <f>'Monthly District History'!F210</f>
        <v>44</v>
      </c>
      <c r="G196" s="232">
        <f t="shared" si="20"/>
        <v>0.7213114754098361</v>
      </c>
      <c r="H196" s="1"/>
      <c r="I196" s="1"/>
    </row>
    <row r="197" ht="15.6" customHeight="1" spans="1:9" x14ac:dyDescent="0.25">
      <c r="A197" s="23">
        <v>12</v>
      </c>
      <c r="B197" s="207" t="s">
        <v>21</v>
      </c>
      <c r="C197" s="205" t="s">
        <v>82</v>
      </c>
      <c r="D197" s="208">
        <f>'Monthly District History'!J232</f>
        <v>36</v>
      </c>
      <c r="E197" s="75">
        <f t="shared" si="21"/>
        <v>9</v>
      </c>
      <c r="F197" s="208">
        <f>'Monthly District History'!M232</f>
        <v>27</v>
      </c>
      <c r="G197" s="232">
        <f t="shared" si="20"/>
        <v>0.75</v>
      </c>
      <c r="H197" s="1"/>
      <c r="I197" s="1"/>
    </row>
    <row r="198" ht="15.6" customHeight="1" spans="1:9" x14ac:dyDescent="0.25">
      <c r="A198" s="23">
        <v>13</v>
      </c>
      <c r="B198" s="207" t="s">
        <v>21</v>
      </c>
      <c r="C198" s="205" t="s">
        <v>83</v>
      </c>
      <c r="D198" s="208">
        <f>'Monthly District History'!J252</f>
        <v>101</v>
      </c>
      <c r="E198" s="75">
        <f t="shared" si="21"/>
        <v>90</v>
      </c>
      <c r="F198" s="208">
        <f>'Monthly District History'!M252</f>
        <v>11</v>
      </c>
      <c r="G198" s="232">
        <f t="shared" si="20"/>
        <v>0.10891089108910891</v>
      </c>
      <c r="H198" s="1"/>
      <c r="I198" s="1"/>
    </row>
    <row r="199" ht="15.6" customHeight="1" spans="1:9" x14ac:dyDescent="0.25">
      <c r="A199" s="23">
        <v>14</v>
      </c>
      <c r="B199" s="207" t="s">
        <v>21</v>
      </c>
      <c r="C199" s="29" t="s">
        <v>84</v>
      </c>
      <c r="D199" s="208"/>
      <c r="E199" s="75">
        <f t="shared" si="21"/>
        <v>0</v>
      </c>
      <c r="F199" s="208"/>
      <c r="G199" s="232"/>
      <c r="H199" s="1"/>
      <c r="I199" s="1"/>
    </row>
    <row r="200" ht="15.6" customHeight="1" spans="1:9" x14ac:dyDescent="0.25">
      <c r="A200" s="209"/>
      <c r="B200" s="233"/>
      <c r="C200" s="234"/>
      <c r="D200" s="235">
        <f>SUM(D186:D196)</f>
        <v>4666</v>
      </c>
      <c r="E200" s="235">
        <f>SUM(E186:E196)</f>
        <v>116</v>
      </c>
      <c r="F200" s="235">
        <f>SUM(F186:F196)</f>
        <v>4550</v>
      </c>
      <c r="G200" s="236">
        <f>F200/D200</f>
        <v>0.9751393056150879</v>
      </c>
      <c r="H200" s="1"/>
      <c r="I200" s="1"/>
    </row>
    <row r="201" ht="15.6" customHeight="1" spans="1:9" x14ac:dyDescent="0.25">
      <c r="A201" s="237"/>
      <c r="B201" s="238" t="s">
        <v>29</v>
      </c>
      <c r="C201" s="239"/>
      <c r="D201" s="240">
        <f>D200+D185+D170+D155+D140+D125+D110+D95+D80+D65+D50+D35+D20</f>
        <v>123788</v>
      </c>
      <c r="E201" s="240">
        <f>E200+E185+E170+E155+E140+E125+E110+E95+E80+E65+E50+E35+E20</f>
        <v>13568</v>
      </c>
      <c r="F201" s="240">
        <f>F200+F185+F170+F155+F140+F125+F110+F95+F80+F65+F50+F35+F20</f>
        <v>110220</v>
      </c>
      <c r="G201" s="241">
        <f>F201/D201</f>
        <v>0.8903932529809029</v>
      </c>
      <c r="H201" s="242"/>
      <c r="I201" s="1"/>
    </row>
    <row r="202" spans="6:6" x14ac:dyDescent="0.25">
      <c r="F202" s="31">
        <f>'District Ranking - Other Cases'!G19</f>
        <v>110220</v>
      </c>
    </row>
    <row r="203" spans="6:6" x14ac:dyDescent="0.25">
      <c r="F203" s="31">
        <f>F202-F201</f>
        <v>0</v>
      </c>
    </row>
    <row r="206" spans="4:4" x14ac:dyDescent="0.25">
      <c r="D206" s="31">
        <f>E36+E66+E81+E96+E126+E141+E156+E171+E186</f>
        <v>62</v>
      </c>
    </row>
  </sheetData>
  <mergeCells count="5">
    <mergeCell ref="A2:G2"/>
    <mergeCell ref="E3:G3"/>
    <mergeCell ref="A3:A4"/>
    <mergeCell ref="B3:B4"/>
    <mergeCell ref="D3:D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6"/>
  <sheetViews>
    <sheetView workbookViewId="0" zoomScale="100" zoomScaleNormal="100">
      <selection activeCell="H8" sqref="H8"/>
    </sheetView>
  </sheetViews>
  <sheetFormatPr defaultRowHeight="14.4" outlineLevelRow="0" outlineLevelCol="0" x14ac:dyDescent="0.3" customHeight="1"/>
  <cols>
    <col min="1" max="1" width="5.5546875" customWidth="1"/>
    <col min="2" max="2" width="14.33203125" customWidth="1"/>
    <col min="3" max="3" width="17.88671875" customWidth="1"/>
    <col min="4" max="4" width="14.33203125" customWidth="1"/>
    <col min="5" max="5" width="18.33203125" customWidth="1"/>
    <col min="6" max="6" width="14.33203125" customWidth="1"/>
    <col min="7" max="7" width="13.88671875" customWidth="1"/>
    <col min="8" max="8" width="14.33203125" customWidth="1"/>
    <col min="9" max="9" width="14.6640625" customWidth="1"/>
    <col min="10" max="10" width="14.33203125" customWidth="1"/>
    <col min="11" max="11" width="15.88671875" customWidth="1"/>
    <col min="12" max="12" width="17.33203125" customWidth="1"/>
    <col min="13" max="13" width="12" customWidth="1"/>
    <col min="14" max="14" width="12.109375" customWidth="1"/>
    <col min="15" max="15" width="13.44140625" customWidth="1"/>
    <col min="16" max="16" width="15.109375" customWidth="1"/>
  </cols>
  <sheetData>
    <row r="1" ht="17.4" customHeight="1" spans="1:12" x14ac:dyDescent="0.25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8"/>
      <c r="L1" s="98"/>
    </row>
    <row r="2" ht="17.4" customHeight="1" spans="1:12" x14ac:dyDescent="0.25">
      <c r="A2" s="97" t="s">
        <v>92</v>
      </c>
      <c r="B2" s="97"/>
      <c r="C2" s="97"/>
      <c r="D2" s="97"/>
      <c r="E2" s="97"/>
      <c r="F2" s="97"/>
      <c r="G2" s="97"/>
      <c r="H2" s="97"/>
      <c r="I2" s="97"/>
      <c r="J2" s="97"/>
      <c r="K2" s="98"/>
      <c r="L2" s="98"/>
    </row>
    <row r="3" ht="17.4" customHeight="1" spans="1:12" x14ac:dyDescent="0.25">
      <c r="A3" s="266" t="s">
        <v>93</v>
      </c>
      <c r="B3" s="266"/>
      <c r="C3" s="266"/>
      <c r="D3" s="266"/>
      <c r="E3" s="266"/>
      <c r="F3" s="266"/>
      <c r="G3" s="266"/>
      <c r="H3" s="266"/>
      <c r="I3" s="266"/>
      <c r="J3" s="266"/>
      <c r="K3" s="97"/>
      <c r="L3" s="97"/>
    </row>
    <row r="4" ht="17.4" customHeight="1" spans="1:13" x14ac:dyDescent="0.25">
      <c r="A4" s="244" t="s">
        <v>2</v>
      </c>
      <c r="B4" s="245" t="s">
        <v>3</v>
      </c>
      <c r="C4" s="244" t="s">
        <v>4</v>
      </c>
      <c r="D4" s="246" t="s">
        <v>94</v>
      </c>
      <c r="E4" s="246"/>
      <c r="F4" s="248"/>
      <c r="G4" s="248"/>
      <c r="H4" s="249"/>
      <c r="I4" s="245"/>
      <c r="J4" s="245"/>
      <c r="K4" s="97"/>
      <c r="L4" s="267"/>
      <c r="M4" s="168"/>
    </row>
    <row r="5" ht="52.8" customHeight="1" spans="1:13" x14ac:dyDescent="0.25">
      <c r="A5" s="244"/>
      <c r="B5" s="245"/>
      <c r="C5" s="244"/>
      <c r="D5" s="246"/>
      <c r="E5" s="246"/>
      <c r="F5" s="244" t="s">
        <v>8</v>
      </c>
      <c r="G5" s="245" t="s">
        <v>95</v>
      </c>
      <c r="H5" s="245" t="s">
        <v>96</v>
      </c>
      <c r="I5" s="245" t="s">
        <v>97</v>
      </c>
      <c r="J5" s="245" t="s">
        <v>98</v>
      </c>
      <c r="K5" s="97"/>
      <c r="L5" s="267"/>
      <c r="M5" s="168"/>
    </row>
    <row r="6" ht="17.4" customHeight="1" spans="1:13" x14ac:dyDescent="0.25">
      <c r="A6" s="250"/>
      <c r="B6" s="250" t="s">
        <v>10</v>
      </c>
      <c r="C6" s="250" t="s">
        <v>11</v>
      </c>
      <c r="D6" s="251" t="s">
        <v>7</v>
      </c>
      <c r="E6" s="251" t="s">
        <v>8</v>
      </c>
      <c r="F6" s="250" t="s">
        <v>15</v>
      </c>
      <c r="G6" s="250" t="s">
        <v>99</v>
      </c>
      <c r="H6" s="268" t="s">
        <v>54</v>
      </c>
      <c r="I6" s="268"/>
      <c r="J6" s="268"/>
      <c r="K6" s="97"/>
      <c r="L6" s="269"/>
      <c r="M6" s="270"/>
    </row>
    <row r="7" spans="1:13" x14ac:dyDescent="0.25">
      <c r="A7" s="90">
        <v>1</v>
      </c>
      <c r="B7" s="254">
        <v>36</v>
      </c>
      <c r="C7" s="255" t="s">
        <v>20</v>
      </c>
      <c r="D7" s="135">
        <v>8258</v>
      </c>
      <c r="E7" s="141">
        <v>8168</v>
      </c>
      <c r="F7" s="141">
        <f>D7-E7</f>
        <v>90</v>
      </c>
      <c r="G7" s="141">
        <f>E7</f>
        <v>8168</v>
      </c>
      <c r="H7" s="271">
        <f>E7/D7</f>
        <v>0.9891014773552919</v>
      </c>
      <c r="I7" s="272">
        <v>0.97</v>
      </c>
      <c r="J7" s="91">
        <f>H7-I7</f>
        <v>0.019101477355291885</v>
      </c>
      <c r="L7" s="269"/>
      <c r="M7" s="270"/>
    </row>
    <row r="8" spans="1:13" x14ac:dyDescent="0.25">
      <c r="A8" s="90">
        <v>2</v>
      </c>
      <c r="B8" s="70">
        <v>26</v>
      </c>
      <c r="C8" s="258" t="s">
        <v>21</v>
      </c>
      <c r="D8" s="65">
        <v>4666</v>
      </c>
      <c r="E8" s="66">
        <v>4550</v>
      </c>
      <c r="F8" s="141">
        <f t="shared" ref="F8:F19" si="0">D8-E8</f>
        <v>116</v>
      </c>
      <c r="G8" s="141">
        <f t="shared" ref="G8:G19" si="1">E8</f>
        <v>4550</v>
      </c>
      <c r="H8" s="271">
        <f t="shared" ref="H8:H19" si="2">E8/D8</f>
        <v>0.9751393056150879</v>
      </c>
      <c r="I8" s="272">
        <v>0.98</v>
      </c>
      <c r="J8" s="91">
        <f t="shared" ref="J8:J19" si="3">H8-I8</f>
        <v>-0.004860694384912101</v>
      </c>
      <c r="L8" s="269"/>
      <c r="M8" s="270"/>
    </row>
    <row r="9" spans="1:13" x14ac:dyDescent="0.25">
      <c r="A9" s="90">
        <v>3</v>
      </c>
      <c r="B9" s="254">
        <v>33</v>
      </c>
      <c r="C9" s="255" t="s">
        <v>22</v>
      </c>
      <c r="D9" s="65">
        <v>7287</v>
      </c>
      <c r="E9" s="202">
        <v>7077</v>
      </c>
      <c r="F9" s="141">
        <f t="shared" si="0"/>
        <v>210</v>
      </c>
      <c r="G9" s="141">
        <f>E9</f>
        <v>7077</v>
      </c>
      <c r="H9" s="271">
        <f t="shared" si="2"/>
        <v>0.9711815561959655</v>
      </c>
      <c r="I9" s="272">
        <v>0.95</v>
      </c>
      <c r="J9" s="91">
        <f t="shared" si="3"/>
        <v>0.021181556195965512</v>
      </c>
      <c r="L9" s="269"/>
      <c r="M9" s="270"/>
    </row>
    <row r="10" spans="1:13" x14ac:dyDescent="0.25">
      <c r="A10" s="90">
        <v>4</v>
      </c>
      <c r="B10" s="70">
        <v>49</v>
      </c>
      <c r="C10" s="70" t="s">
        <v>19</v>
      </c>
      <c r="D10" s="65">
        <v>11464</v>
      </c>
      <c r="E10" s="66">
        <v>10792</v>
      </c>
      <c r="F10" s="141">
        <f t="shared" si="0"/>
        <v>672</v>
      </c>
      <c r="G10" s="141">
        <f t="shared" si="1"/>
        <v>10792</v>
      </c>
      <c r="H10" s="271">
        <f t="shared" si="2"/>
        <v>0.9413817166782973</v>
      </c>
      <c r="I10" s="272">
        <v>0.9</v>
      </c>
      <c r="J10" s="91">
        <f t="shared" si="3"/>
        <v>0.041381716678297265</v>
      </c>
      <c r="L10" s="273"/>
      <c r="M10" s="270"/>
    </row>
    <row r="11" spans="1:13" x14ac:dyDescent="0.25">
      <c r="A11" s="90">
        <v>5</v>
      </c>
      <c r="B11" s="70">
        <v>57</v>
      </c>
      <c r="C11" s="70" t="s">
        <v>25</v>
      </c>
      <c r="D11" s="65">
        <v>4823</v>
      </c>
      <c r="E11" s="66">
        <v>4467</v>
      </c>
      <c r="F11" s="141">
        <f t="shared" si="0"/>
        <v>356</v>
      </c>
      <c r="G11" s="141">
        <f t="shared" si="1"/>
        <v>4467</v>
      </c>
      <c r="H11" s="271">
        <f t="shared" si="2"/>
        <v>0.9261870205266431</v>
      </c>
      <c r="I11" s="272">
        <v>0.9</v>
      </c>
      <c r="J11" s="274">
        <f t="shared" si="3"/>
        <v>0.026187020526643123</v>
      </c>
      <c r="L11" s="273"/>
      <c r="M11" s="32"/>
    </row>
    <row r="12" spans="1:13" x14ac:dyDescent="0.25">
      <c r="A12" s="90">
        <v>6</v>
      </c>
      <c r="B12" s="70">
        <v>7</v>
      </c>
      <c r="C12" s="70" t="s">
        <v>17</v>
      </c>
      <c r="D12" s="65">
        <v>564</v>
      </c>
      <c r="E12" s="66">
        <v>514</v>
      </c>
      <c r="F12" s="141">
        <f t="shared" si="0"/>
        <v>50</v>
      </c>
      <c r="G12" s="141">
        <f t="shared" si="1"/>
        <v>514</v>
      </c>
      <c r="H12" s="271">
        <f t="shared" si="2"/>
        <v>0.9113475177304965</v>
      </c>
      <c r="I12" s="272">
        <v>0.91</v>
      </c>
      <c r="J12" s="274">
        <f t="shared" si="3"/>
        <v>0.0013475177304964614</v>
      </c>
      <c r="L12" s="273"/>
      <c r="M12" s="270"/>
    </row>
    <row r="13" spans="1:13" x14ac:dyDescent="0.25">
      <c r="A13" s="90">
        <v>7</v>
      </c>
      <c r="B13" s="70">
        <v>42</v>
      </c>
      <c r="C13" s="70" t="s">
        <v>18</v>
      </c>
      <c r="D13" s="65">
        <v>5042</v>
      </c>
      <c r="E13" s="66">
        <v>4583</v>
      </c>
      <c r="F13" s="141">
        <f t="shared" si="0"/>
        <v>459</v>
      </c>
      <c r="G13" s="141">
        <f t="shared" si="1"/>
        <v>4583</v>
      </c>
      <c r="H13" s="271">
        <f t="shared" si="2"/>
        <v>0.9089646965489885</v>
      </c>
      <c r="I13" s="272">
        <v>0.9</v>
      </c>
      <c r="J13" s="274">
        <f t="shared" si="3"/>
        <v>0.00896469654898846</v>
      </c>
      <c r="L13" s="273"/>
      <c r="M13" s="270"/>
    </row>
    <row r="14" spans="1:13" x14ac:dyDescent="0.25">
      <c r="A14" s="90">
        <v>8</v>
      </c>
      <c r="B14" s="254">
        <v>25</v>
      </c>
      <c r="C14" s="254" t="s">
        <v>26</v>
      </c>
      <c r="D14" s="65">
        <v>44363</v>
      </c>
      <c r="E14" s="75">
        <v>39917</v>
      </c>
      <c r="F14" s="141">
        <f t="shared" si="0"/>
        <v>4446</v>
      </c>
      <c r="G14" s="141">
        <f t="shared" si="1"/>
        <v>39917</v>
      </c>
      <c r="H14" s="271">
        <f t="shared" si="2"/>
        <v>0.8997813493226338</v>
      </c>
      <c r="I14" s="272">
        <v>0.89</v>
      </c>
      <c r="J14" s="274">
        <f t="shared" si="3"/>
        <v>0.009781349322633748</v>
      </c>
      <c r="L14" s="273"/>
      <c r="M14" s="270"/>
    </row>
    <row r="15" spans="1:13" x14ac:dyDescent="0.25">
      <c r="A15" s="90">
        <v>9</v>
      </c>
      <c r="B15" s="70">
        <v>39</v>
      </c>
      <c r="C15" s="70" t="s">
        <v>27</v>
      </c>
      <c r="D15" s="65">
        <v>12817</v>
      </c>
      <c r="E15" s="70">
        <v>11339</v>
      </c>
      <c r="F15" s="141">
        <f t="shared" si="0"/>
        <v>1478</v>
      </c>
      <c r="G15" s="141">
        <f t="shared" si="1"/>
        <v>11339</v>
      </c>
      <c r="H15" s="271">
        <f t="shared" si="2"/>
        <v>0.8846844035265663</v>
      </c>
      <c r="I15" s="272">
        <v>0.85</v>
      </c>
      <c r="J15" s="91">
        <f t="shared" si="3"/>
        <v>0.03468440352656632</v>
      </c>
      <c r="L15" s="273"/>
      <c r="M15" s="32"/>
    </row>
    <row r="16" spans="1:13" x14ac:dyDescent="0.25">
      <c r="A16" s="90">
        <v>10</v>
      </c>
      <c r="B16" s="70">
        <v>17</v>
      </c>
      <c r="C16" s="258" t="s">
        <v>24</v>
      </c>
      <c r="D16" s="65">
        <v>5223</v>
      </c>
      <c r="E16" s="75">
        <v>4274</v>
      </c>
      <c r="F16" s="141">
        <f t="shared" si="0"/>
        <v>949</v>
      </c>
      <c r="G16" s="141">
        <f t="shared" si="1"/>
        <v>4274</v>
      </c>
      <c r="H16" s="271">
        <f t="shared" si="2"/>
        <v>0.8183036569021636</v>
      </c>
      <c r="I16" s="272">
        <v>0.83</v>
      </c>
      <c r="J16" s="274">
        <f t="shared" si="3"/>
        <v>-0.011696343097836404</v>
      </c>
      <c r="L16" s="269"/>
      <c r="M16" s="270"/>
    </row>
    <row r="17" spans="1:13" x14ac:dyDescent="0.25">
      <c r="A17" s="90">
        <v>11</v>
      </c>
      <c r="B17" s="70">
        <v>58</v>
      </c>
      <c r="C17" s="70" t="s">
        <v>23</v>
      </c>
      <c r="D17" s="65">
        <v>17123</v>
      </c>
      <c r="E17" s="66">
        <v>13102</v>
      </c>
      <c r="F17" s="141">
        <f t="shared" si="0"/>
        <v>4021</v>
      </c>
      <c r="G17" s="141">
        <f t="shared" si="1"/>
        <v>13102</v>
      </c>
      <c r="H17" s="271">
        <f t="shared" si="2"/>
        <v>0.7651696548502015</v>
      </c>
      <c r="I17" s="272">
        <v>0.72</v>
      </c>
      <c r="J17" s="274">
        <f t="shared" si="3"/>
        <v>0.045169654850201524</v>
      </c>
      <c r="L17" s="273"/>
      <c r="M17" s="32"/>
    </row>
    <row r="18" spans="1:13" x14ac:dyDescent="0.25">
      <c r="A18" s="90">
        <v>12</v>
      </c>
      <c r="B18" s="70">
        <v>11</v>
      </c>
      <c r="C18" s="70" t="s">
        <v>28</v>
      </c>
      <c r="D18" s="65">
        <v>1447</v>
      </c>
      <c r="E18" s="66">
        <v>1085</v>
      </c>
      <c r="F18" s="141">
        <f t="shared" si="0"/>
        <v>362</v>
      </c>
      <c r="G18" s="141">
        <f t="shared" si="1"/>
        <v>1085</v>
      </c>
      <c r="H18" s="271">
        <f t="shared" si="2"/>
        <v>0.7498272287491361</v>
      </c>
      <c r="I18" s="272">
        <v>0.72</v>
      </c>
      <c r="J18" s="274">
        <f t="shared" si="3"/>
        <v>0.029827228749136125</v>
      </c>
      <c r="L18" s="273"/>
      <c r="M18" s="270"/>
    </row>
    <row r="19" spans="1:13" x14ac:dyDescent="0.25">
      <c r="A19" s="90">
        <v>13</v>
      </c>
      <c r="B19" s="70">
        <v>20</v>
      </c>
      <c r="C19" s="258" t="s">
        <v>16</v>
      </c>
      <c r="D19" s="65">
        <v>711</v>
      </c>
      <c r="E19" s="74">
        <v>352</v>
      </c>
      <c r="F19" s="141">
        <f t="shared" si="0"/>
        <v>359</v>
      </c>
      <c r="G19" s="141">
        <f t="shared" si="1"/>
        <v>352</v>
      </c>
      <c r="H19" s="271">
        <f t="shared" si="2"/>
        <v>0.49507735583684953</v>
      </c>
      <c r="I19" s="275">
        <v>0.48</v>
      </c>
      <c r="J19" s="276">
        <f t="shared" si="3"/>
        <v>0.015077355836849549</v>
      </c>
      <c r="L19" s="269"/>
      <c r="M19" s="32"/>
    </row>
    <row r="20" ht="17.4" customHeight="1" spans="1:13" x14ac:dyDescent="0.25">
      <c r="A20" s="94"/>
      <c r="B20" s="79">
        <f>SUM(B7:B19)</f>
        <v>420</v>
      </c>
      <c r="C20" s="80" t="s">
        <v>29</v>
      </c>
      <c r="D20" s="81">
        <f>SUM(D7:D19)</f>
        <v>123788</v>
      </c>
      <c r="E20" s="81">
        <f t="shared" ref="E20:G20" si="4">SUM(E7:E19)</f>
        <v>110220</v>
      </c>
      <c r="F20" s="81">
        <f t="shared" si="4"/>
        <v>13568</v>
      </c>
      <c r="G20" s="81">
        <f t="shared" si="4"/>
        <v>110220</v>
      </c>
      <c r="H20" s="189"/>
      <c r="I20" s="189"/>
      <c r="J20" s="189"/>
      <c r="K20" s="97"/>
      <c r="L20" s="97"/>
    </row>
    <row r="21" ht="17.4" customHeight="1" spans="1:12" x14ac:dyDescent="0.25">
      <c r="A21" s="94"/>
      <c r="B21" s="94"/>
      <c r="C21" s="94"/>
      <c r="D21" s="91"/>
      <c r="E21" s="91">
        <f>E20/D20</f>
        <v>0.8903932529809029</v>
      </c>
      <c r="F21" s="94"/>
      <c r="G21" s="94"/>
      <c r="H21" s="189"/>
      <c r="I21" s="189"/>
      <c r="J21" s="189"/>
      <c r="K21" s="97"/>
      <c r="L21" s="97"/>
    </row>
    <row r="22" ht="18" customHeight="1" spans="1:12" x14ac:dyDescent="0.25">
      <c r="A22" s="277" t="s">
        <v>100</v>
      </c>
      <c r="B22" s="277"/>
      <c r="C22" s="277"/>
      <c r="D22" s="277"/>
      <c r="E22" s="277"/>
      <c r="F22" s="277"/>
      <c r="G22" s="277"/>
      <c r="H22" s="277"/>
      <c r="I22" s="277"/>
      <c r="J22" s="277"/>
      <c r="K22" s="277"/>
      <c r="L22" s="277"/>
    </row>
    <row r="23" ht="15.75" customHeight="1" spans="1:12" x14ac:dyDescent="0.25">
      <c r="A23" s="278" t="s">
        <v>2</v>
      </c>
      <c r="B23" s="279" t="s">
        <v>3</v>
      </c>
      <c r="C23" s="278" t="s">
        <v>4</v>
      </c>
      <c r="D23" s="173" t="s">
        <v>43</v>
      </c>
      <c r="E23" s="173"/>
      <c r="F23" s="173"/>
      <c r="G23" s="173"/>
      <c r="H23" s="173"/>
      <c r="I23" s="173"/>
      <c r="J23" s="173"/>
      <c r="K23" s="173"/>
      <c r="L23" s="100" t="s">
        <v>65</v>
      </c>
    </row>
    <row r="24" ht="15.6" customHeight="1" spans="1:12" x14ac:dyDescent="0.25">
      <c r="A24" s="280"/>
      <c r="B24" s="281"/>
      <c r="C24" s="280"/>
      <c r="D24" s="179" t="s">
        <v>52</v>
      </c>
      <c r="E24" s="179"/>
      <c r="F24" s="179"/>
      <c r="G24" s="179"/>
      <c r="H24" s="177" t="s">
        <v>53</v>
      </c>
      <c r="I24" s="177"/>
      <c r="J24" s="177"/>
      <c r="K24" s="177"/>
      <c r="L24" s="100"/>
    </row>
    <row r="25" ht="53.4" customHeight="1" spans="1:12" x14ac:dyDescent="0.25">
      <c r="A25" s="282"/>
      <c r="B25" s="283"/>
      <c r="C25" s="282"/>
      <c r="D25" s="100" t="s">
        <v>101</v>
      </c>
      <c r="E25" s="100" t="s">
        <v>102</v>
      </c>
      <c r="F25" s="100" t="s">
        <v>103</v>
      </c>
      <c r="G25" s="100" t="s">
        <v>104</v>
      </c>
      <c r="H25" s="100" t="s">
        <v>101</v>
      </c>
      <c r="I25" s="100" t="s">
        <v>102</v>
      </c>
      <c r="J25" s="100" t="s">
        <v>103</v>
      </c>
      <c r="K25" s="100" t="s">
        <v>104</v>
      </c>
      <c r="L25" s="100"/>
    </row>
    <row r="26" spans="1:12" x14ac:dyDescent="0.25">
      <c r="A26" s="99"/>
      <c r="B26" s="99" t="s">
        <v>10</v>
      </c>
      <c r="C26" s="99" t="s">
        <v>11</v>
      </c>
      <c r="D26" s="100" t="s">
        <v>66</v>
      </c>
      <c r="E26" s="100" t="s">
        <v>12</v>
      </c>
      <c r="F26" s="100" t="s">
        <v>13</v>
      </c>
      <c r="G26" s="100" t="s">
        <v>14</v>
      </c>
      <c r="H26" s="100" t="s">
        <v>15</v>
      </c>
      <c r="I26" s="100" t="s">
        <v>99</v>
      </c>
      <c r="J26" s="100" t="s">
        <v>54</v>
      </c>
      <c r="K26" s="100" t="s">
        <v>105</v>
      </c>
      <c r="L26" s="100" t="s">
        <v>106</v>
      </c>
    </row>
    <row r="27" spans="1:12" x14ac:dyDescent="0.25">
      <c r="A27" s="134">
        <v>1</v>
      </c>
      <c r="B27" s="141">
        <v>20</v>
      </c>
      <c r="C27" s="146" t="s">
        <v>16</v>
      </c>
      <c r="D27" s="141">
        <f>'[1]July 2025'!D17</f>
        <v>0</v>
      </c>
      <c r="E27" s="141">
        <f>'[1]July 2025'!E17+'[1]August,2025'!E17+'[1]Septeber,2025'!E17+'[1]October,2025'!E17+'[1]November,2025'!E17+'[1]December 2025'!E17+'[1]January,2026'!E16+'[1]February,2025'!E17+'[1]March,2026'!E17</f>
        <v>0</v>
      </c>
      <c r="F27" s="141">
        <f>G27+E27-D27</f>
        <v>129</v>
      </c>
      <c r="G27" s="141">
        <v>129</v>
      </c>
      <c r="H27" s="141">
        <v>68</v>
      </c>
      <c r="I27" s="141">
        <f>'[1]July 2025'!G17+'[1]August,2025'!G17+'[1]Septeber,2025'!G17+'[1]October,2025'!G17+'[1]November,2025'!G17+'[1]December 2025'!G17+'[1]January,2026'!G16+'[1]February,2025'!G17+'[1]March,2026'!G17</f>
        <v>280</v>
      </c>
      <c r="J27" s="141">
        <f t="shared" ref="J27:J39" si="5">K27+I27-H27</f>
        <v>4326</v>
      </c>
      <c r="K27" s="141">
        <v>4114</v>
      </c>
      <c r="L27" s="182">
        <f t="shared" ref="L27:L40" si="6">(E27+I27)/(D27+F27+H27+J27)</f>
        <v>0.061905814724740216</v>
      </c>
    </row>
    <row r="28" spans="1:12" x14ac:dyDescent="0.25">
      <c r="A28" s="134">
        <v>2</v>
      </c>
      <c r="B28" s="141">
        <v>49</v>
      </c>
      <c r="C28" s="141" t="s">
        <v>19</v>
      </c>
      <c r="D28" s="141">
        <f>'[1]July 2025'!D6</f>
        <v>359</v>
      </c>
      <c r="E28" s="141">
        <v>359</v>
      </c>
      <c r="F28" s="141">
        <f t="shared" ref="F28:F39" si="7">G28+E28-D28</f>
        <v>0</v>
      </c>
      <c r="G28" s="141">
        <v>0</v>
      </c>
      <c r="H28" s="141">
        <v>0</v>
      </c>
      <c r="I28" s="141">
        <f>'[1]July 2025'!G6+'[1]August,2025'!G6+'[1]Septeber,2025'!G6+'[1]October,2025'!G6+'[1]November,2025'!G6+'[1]December 2025'!G6+'[1]January,2026'!G5+'[1]February,2025'!G6+'[1]March,2026'!G6</f>
        <v>51948</v>
      </c>
      <c r="J28" s="141">
        <f t="shared" si="5"/>
        <v>76999</v>
      </c>
      <c r="K28" s="141">
        <v>25051</v>
      </c>
      <c r="L28" s="182">
        <f t="shared" si="6"/>
        <v>0.6761679464308799</v>
      </c>
    </row>
    <row r="29" spans="1:12" x14ac:dyDescent="0.25">
      <c r="A29" s="134">
        <v>3</v>
      </c>
      <c r="B29" s="140">
        <v>42</v>
      </c>
      <c r="C29" s="141" t="s">
        <v>18</v>
      </c>
      <c r="D29" s="141">
        <f>'[1]July 2025'!D7</f>
        <v>0</v>
      </c>
      <c r="E29" s="141">
        <f>'[1]July 2025'!E7+'[1]August,2025'!E7+'[1]Septeber,2025'!E7+'[1]October,2025'!E7+'[1]November,2025'!E7+'[1]December 2025'!E7+'[1]January,2026'!E6+'[1]February,2025'!E7+'[1]March,2026'!E7</f>
        <v>8582</v>
      </c>
      <c r="F29" s="141">
        <f t="shared" si="7"/>
        <v>13775</v>
      </c>
      <c r="G29" s="141">
        <v>5193</v>
      </c>
      <c r="H29" s="141">
        <v>5573</v>
      </c>
      <c r="I29" s="141">
        <f>'[1]July 2025'!G7+'[1]August,2025'!G7+'[1]Septeber,2025'!G7+'[1]October,2025'!G7+'[1]November,2025'!G7+'[1]December 2025'!G7+'[1]January,2026'!G6+'[1]February,2025'!G7+'[1]March,2026'!G7</f>
        <v>3614</v>
      </c>
      <c r="J29" s="141">
        <f t="shared" si="5"/>
        <v>14441</v>
      </c>
      <c r="K29" s="141">
        <v>16400</v>
      </c>
      <c r="L29" s="182">
        <f t="shared" si="6"/>
        <v>0.3609458699576785</v>
      </c>
    </row>
    <row r="30" spans="1:12" x14ac:dyDescent="0.25">
      <c r="A30" s="134">
        <v>4</v>
      </c>
      <c r="B30" s="140">
        <v>7</v>
      </c>
      <c r="C30" s="141" t="s">
        <v>17</v>
      </c>
      <c r="D30" s="141">
        <f>'[1]July 2025'!D18</f>
        <v>0</v>
      </c>
      <c r="E30" s="141">
        <f>'[1]July 2025'!E18+'[1]August,2025'!E18+'[1]Septeber,2025'!E18+'[1]October,2025'!E18+'[1]November,2025'!E18+'[1]December 2025'!E18+'[1]January,2026'!E17+'[1]February,2025'!E18+'[1]March,2026'!E18</f>
        <v>378</v>
      </c>
      <c r="F30" s="141">
        <f t="shared" si="7"/>
        <v>378</v>
      </c>
      <c r="G30" s="141">
        <v>0</v>
      </c>
      <c r="H30" s="141">
        <v>0</v>
      </c>
      <c r="I30" s="141">
        <f>'[1]July 2025'!G18+'[1]August,2025'!G18+'[1]Septeber,2025'!G18+'[1]October,2025'!G18+'[1]November,2025'!G18+'[1]December 2025'!G18+'[1]January,2026'!G17+'[1]February,2025'!G18+'[1]March,2026'!G18</f>
        <v>290</v>
      </c>
      <c r="J30" s="141">
        <f t="shared" si="5"/>
        <v>1824</v>
      </c>
      <c r="K30" s="141">
        <v>1534</v>
      </c>
      <c r="L30" s="182">
        <f t="shared" si="6"/>
        <v>0.3033605812897366</v>
      </c>
    </row>
    <row r="31" spans="1:12" x14ac:dyDescent="0.25">
      <c r="A31" s="134">
        <v>5</v>
      </c>
      <c r="B31" s="141">
        <v>11</v>
      </c>
      <c r="C31" s="141" t="s">
        <v>28</v>
      </c>
      <c r="D31" s="141">
        <f>'[1]July 2025'!D12</f>
        <v>0</v>
      </c>
      <c r="E31" s="141">
        <f>'[1]July 2025'!E12+'[1]August,2025'!E12+'[1]Septeber,2025'!E12+'[1]October,2025'!E12+'[1]November,2025'!E12+'[1]December 2025'!E12+'[1]January,2026'!E11+'[1]February,2025'!E12+'[1]March,2026'!E12</f>
        <v>2</v>
      </c>
      <c r="F31" s="141">
        <f t="shared" si="7"/>
        <v>1107</v>
      </c>
      <c r="G31" s="141">
        <v>1105</v>
      </c>
      <c r="H31" s="141">
        <v>767</v>
      </c>
      <c r="I31" s="141">
        <f>'[1]July 2025'!G12+'[1]August,2025'!G12+'[1]Septeber,2025'!G12+'[1]October,2025'!G12+'[1]November,2025'!G12+'[1]December 2025'!G12+'[1]January,2026'!G11+'[1]February,2025'!G12+'[1]March,2026'!G12</f>
        <v>927</v>
      </c>
      <c r="J31" s="141">
        <f t="shared" si="5"/>
        <v>2800</v>
      </c>
      <c r="K31" s="141">
        <v>2640</v>
      </c>
      <c r="L31" s="182">
        <f t="shared" si="6"/>
        <v>0.19875909285408644</v>
      </c>
    </row>
    <row r="32" spans="1:12" x14ac:dyDescent="0.25">
      <c r="A32" s="134">
        <v>6</v>
      </c>
      <c r="B32" s="141">
        <v>17</v>
      </c>
      <c r="C32" s="146" t="s">
        <v>24</v>
      </c>
      <c r="D32" s="141">
        <f>'[1]July 2025'!D13</f>
        <v>209</v>
      </c>
      <c r="E32" s="141">
        <f>'[1]July 2025'!E13+'[1]August,2025'!E13+'[1]Septeber,2025'!E13+'[1]October,2025'!E13+'[1]November,2025'!E13+'[1]December 2025'!E13+'[1]January,2026'!E12+'[1]February,2025'!E13+'[1]March,2026'!E13</f>
        <v>306</v>
      </c>
      <c r="F32" s="141">
        <f t="shared" si="7"/>
        <v>1463</v>
      </c>
      <c r="G32" s="141">
        <v>1366</v>
      </c>
      <c r="H32" s="141">
        <v>1084</v>
      </c>
      <c r="I32" s="141">
        <f>'[1]July 2025'!G13+'[1]August,2025'!G13+'[1]Septeber,2025'!G13+'[1]October,2025'!G13+'[1]November,2025'!G13+'[1]December 2025'!G13+'[1]January,2026'!G12+'[1]February,2025'!G13+'[1]March,2026'!G13</f>
        <v>2054</v>
      </c>
      <c r="J32" s="141">
        <f t="shared" si="5"/>
        <v>9011</v>
      </c>
      <c r="K32" s="141">
        <v>8041</v>
      </c>
      <c r="L32" s="182">
        <f t="shared" si="6"/>
        <v>0.20056089062632787</v>
      </c>
    </row>
    <row r="33" spans="1:12" x14ac:dyDescent="0.25">
      <c r="A33" s="134">
        <v>7</v>
      </c>
      <c r="B33" s="141">
        <v>25</v>
      </c>
      <c r="C33" s="141" t="s">
        <v>26</v>
      </c>
      <c r="D33" s="141">
        <f>'[1]July 2025'!D11</f>
        <v>0</v>
      </c>
      <c r="E33" s="141">
        <f>'[1]July 2025'!E11+'[1]August,2025'!E11+'[1]Septeber,2025'!E11+'[1]October,2025'!E11+'[1]November,2025'!E11+'[1]December 2025'!E11+'[1]January,2026'!E10+'[1]February,2025'!E11+'[1]March,2026'!E11</f>
        <v>947</v>
      </c>
      <c r="F33" s="141">
        <f t="shared" si="7"/>
        <v>2500</v>
      </c>
      <c r="G33" s="141">
        <v>1553</v>
      </c>
      <c r="H33" s="141">
        <v>1373</v>
      </c>
      <c r="I33" s="141">
        <f>'[1]July 2025'!G11+'[1]August,2025'!G11+'[1]Septeber,2025'!G11+'[1]October,2025'!G11+'[1]November,2025'!G11+'[1]December 2025'!G11+'[1]January,2026'!G10+'[1]February,2025'!G11+'[1]March,2026'!G11</f>
        <v>1455</v>
      </c>
      <c r="J33" s="141">
        <f t="shared" si="5"/>
        <v>8917</v>
      </c>
      <c r="K33" s="141">
        <v>8835</v>
      </c>
      <c r="L33" s="182">
        <f t="shared" si="6"/>
        <v>0.18780297107114932</v>
      </c>
    </row>
    <row r="34" spans="1:12" x14ac:dyDescent="0.25">
      <c r="A34" s="134">
        <v>8</v>
      </c>
      <c r="B34" s="141">
        <v>26</v>
      </c>
      <c r="C34" s="146" t="s">
        <v>21</v>
      </c>
      <c r="D34" s="141">
        <f>'[1]July 2025'!D16</f>
        <v>701</v>
      </c>
      <c r="E34" s="141">
        <f>'[1]July 2025'!E16+'[1]August,2025'!E16+'[1]Septeber,2025'!E16+'[1]October,2025'!E16+'[1]November,2025'!E16+'[1]December 2025'!E16+'[1]January,2026'!E15+'[1]February,2025'!E16+'[1]March,2026'!E16</f>
        <v>1048</v>
      </c>
      <c r="F34" s="141">
        <f t="shared" si="7"/>
        <v>569</v>
      </c>
      <c r="G34" s="141">
        <v>222</v>
      </c>
      <c r="H34" s="141">
        <v>726</v>
      </c>
      <c r="I34" s="141">
        <f>'[1]July 2025'!G16+'[1]August,2025'!G16+'[1]Septeber,2025'!G16+'[1]October,2025'!G16+'[1]November,2025'!G16+'[1]December 2025'!G16+'[1]January,2026'!G15+'[1]February,2025'!G16+'[1]March,2026'!G16</f>
        <v>2160</v>
      </c>
      <c r="J34" s="141">
        <f t="shared" si="5"/>
        <v>17859</v>
      </c>
      <c r="K34" s="141">
        <v>16425</v>
      </c>
      <c r="L34" s="182">
        <f t="shared" si="6"/>
        <v>0.16157139259632333</v>
      </c>
    </row>
    <row r="35" spans="1:12" x14ac:dyDescent="0.25">
      <c r="A35" s="134">
        <v>9</v>
      </c>
      <c r="B35" s="141">
        <v>36</v>
      </c>
      <c r="C35" s="146" t="s">
        <v>20</v>
      </c>
      <c r="D35" s="141">
        <f>'[1]July 2025'!D15</f>
        <v>0</v>
      </c>
      <c r="E35" s="141">
        <f>'[1]July 2025'!E15+'[1]August,2025'!E15+'[1]Septeber,2025'!E15+'[1]October,2025'!E15+'[1]November,2025'!E15+'[1]December 2025'!E15+'[1]January,2026'!E14+'[1]February,2025'!E15+'[1]March,2026'!E15</f>
        <v>377</v>
      </c>
      <c r="F35" s="141">
        <f t="shared" si="7"/>
        <v>6337</v>
      </c>
      <c r="G35" s="141">
        <v>5960</v>
      </c>
      <c r="H35" s="141">
        <v>4994</v>
      </c>
      <c r="I35" s="141">
        <f>'[1]July 2025'!G15+'[1]August,2025'!G15+'[1]Septeber,2025'!G15+'[1]October,2025'!G15+'[1]November,2025'!G15+'[1]December 2025'!G15+'[1]January,2026'!G14+'[1]February,2025'!G15+'[1]March,2026'!G15</f>
        <v>7051</v>
      </c>
      <c r="J35" s="141">
        <f t="shared" si="5"/>
        <v>49692</v>
      </c>
      <c r="K35" s="141">
        <v>47635</v>
      </c>
      <c r="L35" s="182">
        <f t="shared" si="6"/>
        <v>0.12172459564426527</v>
      </c>
    </row>
    <row r="36" spans="1:12" x14ac:dyDescent="0.25">
      <c r="A36" s="134">
        <v>10</v>
      </c>
      <c r="B36" s="141">
        <v>33</v>
      </c>
      <c r="C36" s="146" t="s">
        <v>22</v>
      </c>
      <c r="D36" s="141">
        <f>'[1]July 2025'!D10</f>
        <v>784</v>
      </c>
      <c r="E36" s="141">
        <f>'[1]July 2025'!E10+'[1]August,2025'!E10+'[1]Septeber,2025'!E10+'[1]October,2025'!E10+'[1]November,2025'!E10+'[1]December 2025'!E10+'[1]January,2026'!E9+'[1]February,2025'!E10+'[1]March,2026'!E10</f>
        <v>9</v>
      </c>
      <c r="F36" s="141">
        <f t="shared" si="7"/>
        <v>437</v>
      </c>
      <c r="G36" s="141">
        <v>1212</v>
      </c>
      <c r="H36" s="141">
        <v>1337</v>
      </c>
      <c r="I36" s="141">
        <f>'[1]July 2025'!G10+'[1]August,2025'!G10+'[1]Septeber,2025'!G10+'[1]October,2025'!G10+'[1]November,2025'!G10+'[1]December 2025'!G10+'[1]January,2026'!G9+'[1]February,2025'!G10+'[1]March,2026'!G10</f>
        <v>739</v>
      </c>
      <c r="J36" s="141">
        <f t="shared" si="5"/>
        <v>15968</v>
      </c>
      <c r="K36" s="141">
        <v>16566</v>
      </c>
      <c r="L36" s="182">
        <f t="shared" si="6"/>
        <v>0.04037568822195833</v>
      </c>
    </row>
    <row r="37" spans="1:12" x14ac:dyDescent="0.25">
      <c r="A37" s="134"/>
      <c r="B37" s="141">
        <v>52</v>
      </c>
      <c r="C37" s="141" t="s">
        <v>23</v>
      </c>
      <c r="D37" s="141">
        <f>'[1]July 2025'!D8</f>
        <v>150</v>
      </c>
      <c r="E37" s="141">
        <f>'[1]July 2025'!E8+'[1]August,2025'!E8+'[1]Septeber,2025'!E8+'[1]October,2025'!E8+'[1]November,2025'!E8+'[1]December 2025'!E8+'[1]January,2026'!E7+'[1]February,2025'!E8+'[1]March,2026'!E8</f>
        <v>48</v>
      </c>
      <c r="F37" s="141">
        <f t="shared" si="7"/>
        <v>7916</v>
      </c>
      <c r="G37" s="141">
        <v>8018</v>
      </c>
      <c r="H37" s="141">
        <v>7486</v>
      </c>
      <c r="I37" s="141">
        <f>'[1]July 2025'!G8+'[1]August,2025'!G8+'[1]Septeber,2025'!G8+'[1]October,2025'!G8+'[1]November,2025'!G8+'[1]December 2025'!G8+'[1]January,2026'!G7+'[1]February,2025'!G8+'[1]March,2026'!G8</f>
        <v>180</v>
      </c>
      <c r="J37" s="141">
        <f t="shared" si="5"/>
        <v>20198</v>
      </c>
      <c r="K37" s="141">
        <v>27504</v>
      </c>
      <c r="L37" s="182">
        <f t="shared" si="6"/>
        <v>0.006377622377622377</v>
      </c>
    </row>
    <row r="38" spans="1:12" x14ac:dyDescent="0.25">
      <c r="A38" s="134">
        <v>11</v>
      </c>
      <c r="B38" s="141">
        <v>39</v>
      </c>
      <c r="C38" s="141" t="s">
        <v>27</v>
      </c>
      <c r="D38" s="141">
        <f>'[1]July 2025'!D14</f>
        <v>0</v>
      </c>
      <c r="E38" s="141">
        <f>'[1]July 2025'!E14+'[1]August,2025'!E14+'[1]Septeber,2025'!E14+'[1]October,2025'!E14+'[1]November,2025'!E14+'[1]December 2025'!E14+'[1]January,2026'!E13+'[1]February,2025'!E14+'[1]March,2026'!E14</f>
        <v>109</v>
      </c>
      <c r="F38" s="141">
        <f t="shared" si="7"/>
        <v>3429</v>
      </c>
      <c r="G38" s="141">
        <v>3320</v>
      </c>
      <c r="H38" s="141">
        <v>2335</v>
      </c>
      <c r="I38" s="141">
        <f>'[1]July 2025'!G14+'[1]August,2025'!G14+'[1]Septeber,2025'!G14+'[1]October,2025'!G14+'[1]November,2025'!G14+'[1]December 2025'!G14+'[1]January,2026'!G13+'[1]February,2025'!G14+'[1]March,2026'!G14</f>
        <v>36</v>
      </c>
      <c r="J38" s="141">
        <f t="shared" si="5"/>
        <v>27569</v>
      </c>
      <c r="K38" s="141">
        <v>29868</v>
      </c>
      <c r="L38" s="182">
        <f t="shared" si="6"/>
        <v>0.004350043500435005</v>
      </c>
    </row>
    <row r="39" spans="1:12" x14ac:dyDescent="0.25">
      <c r="A39" s="284">
        <v>12</v>
      </c>
      <c r="B39" s="141">
        <v>65</v>
      </c>
      <c r="C39" s="141" t="s">
        <v>25</v>
      </c>
      <c r="D39" s="141">
        <f>'[1]July 2025'!D9</f>
        <v>779</v>
      </c>
      <c r="E39" s="141">
        <f>'[1]July 2025'!E9+'[1]August,2025'!E9+'[1]Septeber,2025'!E9+'[1]October,2025'!E9+'[1]November,2025'!E9+'[1]December 2025'!E9+'[1]January,2026'!E8+'[1]February,2025'!E9+'[1]March,2026'!E9</f>
        <v>3</v>
      </c>
      <c r="F39" s="141">
        <f t="shared" si="7"/>
        <v>5000</v>
      </c>
      <c r="G39" s="141">
        <v>5776</v>
      </c>
      <c r="H39" s="141">
        <v>5471</v>
      </c>
      <c r="I39" s="141">
        <f>'[1]July 2025'!G9+'[1]August,2025'!G9+'[1]Septeber,2025'!G9+'[1]October,2025'!G9+'[1]November,2025'!G9+'[1]December 2025'!G9+'[1]January,2026'!G8+'[1]February,2025'!G9+'[1]March,2026'!G9</f>
        <v>0</v>
      </c>
      <c r="J39" s="141">
        <f t="shared" si="5"/>
        <v>14438</v>
      </c>
      <c r="K39" s="141">
        <v>19909</v>
      </c>
      <c r="L39" s="182">
        <f t="shared" si="6"/>
        <v>0.00011678604796013703</v>
      </c>
    </row>
    <row r="40" spans="1:16" x14ac:dyDescent="0.25">
      <c r="A40" s="285"/>
      <c r="B40" s="286">
        <f>SUM(B27:B39)</f>
        <v>422</v>
      </c>
      <c r="C40" s="287" t="s">
        <v>29</v>
      </c>
      <c r="D40" s="288">
        <f>SUM(D27:D39)</f>
        <v>2982</v>
      </c>
      <c r="E40" s="288">
        <f t="shared" ref="E40:K40" si="8">SUM(E27:E39)</f>
        <v>12168</v>
      </c>
      <c r="F40" s="288">
        <f t="shared" si="8"/>
        <v>43040</v>
      </c>
      <c r="G40" s="288">
        <f t="shared" si="8"/>
        <v>33854</v>
      </c>
      <c r="H40" s="288">
        <f>SUM(H27:H39)</f>
        <v>31214</v>
      </c>
      <c r="I40" s="288">
        <f t="shared" si="8"/>
        <v>70734</v>
      </c>
      <c r="J40" s="288">
        <f t="shared" si="8"/>
        <v>264042</v>
      </c>
      <c r="K40" s="288">
        <f t="shared" si="8"/>
        <v>224522</v>
      </c>
      <c r="L40" s="289">
        <f t="shared" si="6"/>
        <v>0.24291633213978048</v>
      </c>
      <c r="M40" s="290">
        <f>D40+F40+H40+J40</f>
        <v>341278</v>
      </c>
      <c r="N40" s="290">
        <f>E40+I40</f>
        <v>82902</v>
      </c>
      <c r="O40" s="291">
        <f>N40/M40</f>
        <v>0.24291633213978048</v>
      </c>
      <c r="P40" s="290"/>
    </row>
    <row r="41" spans="1:12" x14ac:dyDescent="0.25">
      <c r="A41" s="285"/>
      <c r="B41" s="285"/>
      <c r="C41" s="285"/>
      <c r="D41" s="285"/>
      <c r="E41" s="285"/>
      <c r="F41" s="285"/>
      <c r="G41" s="285"/>
      <c r="H41" s="285"/>
      <c r="I41" s="285"/>
      <c r="J41" s="285"/>
      <c r="K41" s="285"/>
      <c r="L41" s="285"/>
    </row>
    <row r="42" spans="1:12" x14ac:dyDescent="0.25">
      <c r="A42" s="292"/>
      <c r="B42" s="292"/>
      <c r="C42" s="292"/>
      <c r="D42" s="292"/>
      <c r="E42" s="292"/>
      <c r="F42" s="292"/>
      <c r="G42" s="292"/>
      <c r="H42" s="292"/>
      <c r="I42" s="292"/>
      <c r="J42" s="292"/>
      <c r="K42" s="292"/>
      <c r="L42" s="292"/>
    </row>
    <row r="43" ht="15.6" customHeight="1" spans="1:12" x14ac:dyDescent="0.25">
      <c r="A43" s="293" t="s">
        <v>107</v>
      </c>
      <c r="B43" s="293"/>
      <c r="C43" s="293"/>
      <c r="D43" s="293"/>
      <c r="E43" s="293"/>
      <c r="F43" s="293"/>
      <c r="G43" s="293"/>
      <c r="H43" s="293"/>
      <c r="I43" s="294"/>
      <c r="J43" s="294"/>
      <c r="K43" s="294"/>
      <c r="L43" s="294"/>
    </row>
    <row r="44" ht="15.75" customHeight="1" spans="1:8" x14ac:dyDescent="0.25">
      <c r="A44" s="278" t="s">
        <v>2</v>
      </c>
      <c r="B44" s="279" t="s">
        <v>3</v>
      </c>
      <c r="C44" s="278" t="s">
        <v>4</v>
      </c>
      <c r="D44" s="179" t="s">
        <v>108</v>
      </c>
      <c r="E44" s="179"/>
      <c r="F44" s="179"/>
      <c r="G44" s="179"/>
      <c r="H44" s="100" t="s">
        <v>65</v>
      </c>
    </row>
    <row r="45" ht="15.75" customHeight="1" spans="1:11" x14ac:dyDescent="0.25">
      <c r="A45" s="280"/>
      <c r="B45" s="281"/>
      <c r="C45" s="280"/>
      <c r="D45" s="179"/>
      <c r="E45" s="179"/>
      <c r="F45" s="179"/>
      <c r="G45" s="179"/>
      <c r="H45" s="100"/>
      <c r="J45" s="290"/>
      <c r="K45" s="290"/>
    </row>
    <row r="46" ht="53.4" customHeight="1" spans="1:12" x14ac:dyDescent="0.25">
      <c r="A46" s="282"/>
      <c r="B46" s="283"/>
      <c r="C46" s="282"/>
      <c r="D46" s="100" t="s">
        <v>101</v>
      </c>
      <c r="E46" s="100" t="s">
        <v>102</v>
      </c>
      <c r="F46" s="100" t="s">
        <v>103</v>
      </c>
      <c r="G46" s="100" t="s">
        <v>104</v>
      </c>
      <c r="H46" s="100"/>
      <c r="I46" s="290"/>
      <c r="J46" s="290"/>
      <c r="K46" s="290"/>
      <c r="L46" s="290"/>
    </row>
    <row r="47" spans="1:12" x14ac:dyDescent="0.25">
      <c r="A47" s="99"/>
      <c r="B47" s="99" t="s">
        <v>10</v>
      </c>
      <c r="C47" s="99" t="s">
        <v>11</v>
      </c>
      <c r="D47" s="100" t="s">
        <v>66</v>
      </c>
      <c r="E47" s="100" t="s">
        <v>12</v>
      </c>
      <c r="F47" s="100" t="s">
        <v>13</v>
      </c>
      <c r="G47" s="100" t="s">
        <v>14</v>
      </c>
      <c r="H47" s="100" t="s">
        <v>15</v>
      </c>
      <c r="I47" s="290"/>
      <c r="J47" s="290"/>
      <c r="K47" s="290"/>
      <c r="L47" s="290"/>
    </row>
    <row r="48" spans="1:8" x14ac:dyDescent="0.25">
      <c r="A48" s="114">
        <v>1</v>
      </c>
      <c r="B48" s="141">
        <v>20</v>
      </c>
      <c r="C48" s="146" t="s">
        <v>16</v>
      </c>
      <c r="D48" s="141">
        <v>5</v>
      </c>
      <c r="E48" s="183">
        <v>5</v>
      </c>
      <c r="F48" s="141">
        <f t="shared" ref="F48:F60" si="9">G48+E48-D48</f>
        <v>32</v>
      </c>
      <c r="G48" s="183">
        <v>32</v>
      </c>
      <c r="H48" s="182">
        <f t="shared" ref="H48:H61" si="10">E48/(D48+F48)</f>
        <v>0.13513513513513514</v>
      </c>
    </row>
    <row r="49" spans="1:8" x14ac:dyDescent="0.25">
      <c r="A49" s="114">
        <v>2</v>
      </c>
      <c r="B49" s="141">
        <v>17</v>
      </c>
      <c r="C49" s="146" t="s">
        <v>24</v>
      </c>
      <c r="D49" s="141">
        <v>12</v>
      </c>
      <c r="E49" s="183">
        <f>'[1]July 2025'!I13+'[1]August,2025'!I13+'[1]Septeber,2025'!I13+'[1]October,2025'!I13+'[1]November,2025'!I13+'[1]December 2025'!I13+'[1]January,2026'!I12+'[1]February,2025'!I13+'[1]March,2026'!I13</f>
        <v>850</v>
      </c>
      <c r="F49" s="141">
        <f t="shared" si="9"/>
        <v>842</v>
      </c>
      <c r="G49" s="183">
        <v>4</v>
      </c>
      <c r="H49" s="182">
        <f t="shared" si="10"/>
        <v>0.9953161592505855</v>
      </c>
    </row>
    <row r="50" spans="1:8" x14ac:dyDescent="0.25">
      <c r="A50" s="114">
        <v>3</v>
      </c>
      <c r="B50" s="141">
        <v>26</v>
      </c>
      <c r="C50" s="146" t="s">
        <v>21</v>
      </c>
      <c r="D50" s="141">
        <v>39</v>
      </c>
      <c r="E50" s="183">
        <f>'[1]July 2025'!I16+'[1]August,2025'!I16+'[1]Septeber,2025'!I16+'[1]October,2025'!I16+'[1]November,2025'!I16+'[1]December 2025'!I16+'[1]January,2026'!I15+'[1]February,2025'!I16+'[1]March,2026'!I16</f>
        <v>252</v>
      </c>
      <c r="F50" s="141">
        <f t="shared" si="9"/>
        <v>253</v>
      </c>
      <c r="G50" s="183">
        <v>40</v>
      </c>
      <c r="H50" s="182">
        <f t="shared" si="10"/>
        <v>0.863013698630137</v>
      </c>
    </row>
    <row r="51" spans="1:8" x14ac:dyDescent="0.25">
      <c r="A51" s="114">
        <v>4</v>
      </c>
      <c r="B51" s="141">
        <v>49</v>
      </c>
      <c r="C51" s="141" t="s">
        <v>19</v>
      </c>
      <c r="D51" s="141">
        <v>110</v>
      </c>
      <c r="E51" s="183">
        <f>'[1]July 2025'!I6+'[1]August,2025'!I6+'[1]Septeber,2025'!I6+'[1]October,2025'!I6+'[1]November,2025'!I6+'[1]December 2025'!I6+'[1]January,2026'!I5+'[1]February,2025'!I6+'[1]March,2026'!I6</f>
        <v>1789</v>
      </c>
      <c r="F51" s="141">
        <f t="shared" si="9"/>
        <v>1810</v>
      </c>
      <c r="G51" s="183">
        <v>131</v>
      </c>
      <c r="H51" s="182">
        <f t="shared" si="10"/>
        <v>0.9317708333333333</v>
      </c>
    </row>
    <row r="52" spans="1:8" x14ac:dyDescent="0.25">
      <c r="A52" s="114">
        <v>5</v>
      </c>
      <c r="B52" s="140">
        <v>7</v>
      </c>
      <c r="C52" s="141" t="s">
        <v>17</v>
      </c>
      <c r="D52" s="141">
        <v>145</v>
      </c>
      <c r="E52" s="183">
        <v>145</v>
      </c>
      <c r="F52" s="141">
        <f t="shared" si="9"/>
        <v>0</v>
      </c>
      <c r="G52" s="183">
        <v>0</v>
      </c>
      <c r="H52" s="182">
        <f t="shared" si="10"/>
        <v>1</v>
      </c>
    </row>
    <row r="53" spans="1:8" x14ac:dyDescent="0.25">
      <c r="A53" s="114">
        <v>6</v>
      </c>
      <c r="B53" s="141">
        <v>52</v>
      </c>
      <c r="C53" s="141" t="s">
        <v>23</v>
      </c>
      <c r="D53" s="141">
        <v>268</v>
      </c>
      <c r="E53" s="183">
        <f>'[1]July 2025'!I8+'[1]August,2025'!I8+'[1]Septeber,2025'!I8+'[1]October,2025'!I8+'[1]November,2025'!I8+'[1]December 2025'!I8+'[1]January,2026'!I7+'[1]February,2025'!I8+'[1]March,2026'!I8</f>
        <v>1481</v>
      </c>
      <c r="F53" s="141">
        <f t="shared" si="9"/>
        <v>1525</v>
      </c>
      <c r="G53" s="183">
        <v>312</v>
      </c>
      <c r="H53" s="182">
        <f t="shared" si="10"/>
        <v>0.8259899609592861</v>
      </c>
    </row>
    <row r="54" spans="1:8" x14ac:dyDescent="0.25">
      <c r="A54" s="114">
        <v>7</v>
      </c>
      <c r="B54" s="141">
        <v>33</v>
      </c>
      <c r="C54" s="146" t="s">
        <v>22</v>
      </c>
      <c r="D54" s="141">
        <v>319</v>
      </c>
      <c r="E54" s="183">
        <v>255</v>
      </c>
      <c r="F54" s="141">
        <f t="shared" si="9"/>
        <v>-13</v>
      </c>
      <c r="G54" s="183">
        <v>51</v>
      </c>
      <c r="H54" s="182">
        <f t="shared" si="10"/>
        <v>0.8333333333333334</v>
      </c>
    </row>
    <row r="55" spans="1:8" x14ac:dyDescent="0.25">
      <c r="A55" s="114">
        <v>8</v>
      </c>
      <c r="B55" s="141">
        <v>36</v>
      </c>
      <c r="C55" s="146" t="s">
        <v>20</v>
      </c>
      <c r="D55" s="141">
        <v>39</v>
      </c>
      <c r="E55" s="183">
        <f>'[1]July 2025'!I15+'[1]August,2025'!I15+'[1]Septeber,2025'!I15+'[1]October,2025'!I15+'[1]November,2025'!I15+'[1]December 2025'!I15+'[1]January,2026'!I14+'[1]February,2025'!I15+'[1]March,2026'!I15</f>
        <v>65</v>
      </c>
      <c r="F55" s="141">
        <f t="shared" si="9"/>
        <v>66</v>
      </c>
      <c r="G55" s="183">
        <v>40</v>
      </c>
      <c r="H55" s="182">
        <f t="shared" si="10"/>
        <v>0.6190476190476191</v>
      </c>
    </row>
    <row r="56" spans="1:8" x14ac:dyDescent="0.25">
      <c r="A56" s="114">
        <v>9</v>
      </c>
      <c r="B56" s="141">
        <v>39</v>
      </c>
      <c r="C56" s="141" t="s">
        <v>27</v>
      </c>
      <c r="D56" s="141">
        <v>72</v>
      </c>
      <c r="E56" s="183">
        <f>'[1]July 2025'!I14+'[1]August,2025'!I14+'[1]Septeber,2025'!I14+'[1]October,2025'!I14+'[1]November,2025'!I14+'[1]December 2025'!I14+'[1]January,2026'!I13+'[1]February,2025'!I14+'[1]March,2026'!I14</f>
        <v>20</v>
      </c>
      <c r="F56" s="141">
        <f t="shared" si="9"/>
        <v>42</v>
      </c>
      <c r="G56" s="183">
        <v>94</v>
      </c>
      <c r="H56" s="182">
        <f t="shared" si="10"/>
        <v>0.17543859649122806</v>
      </c>
    </row>
    <row r="57" spans="1:8" x14ac:dyDescent="0.25">
      <c r="A57" s="114">
        <v>10</v>
      </c>
      <c r="B57" s="140">
        <v>42</v>
      </c>
      <c r="C57" s="141" t="s">
        <v>18</v>
      </c>
      <c r="D57" s="141">
        <v>116</v>
      </c>
      <c r="E57" s="183">
        <v>37</v>
      </c>
      <c r="F57" s="141">
        <f t="shared" si="9"/>
        <v>49</v>
      </c>
      <c r="G57" s="183">
        <v>128</v>
      </c>
      <c r="H57" s="182">
        <f t="shared" si="10"/>
        <v>0.22424242424242424</v>
      </c>
    </row>
    <row r="58" spans="1:8" x14ac:dyDescent="0.25">
      <c r="A58" s="114">
        <v>11</v>
      </c>
      <c r="B58" s="141">
        <v>25</v>
      </c>
      <c r="C58" s="141" t="s">
        <v>26</v>
      </c>
      <c r="D58" s="141">
        <v>28</v>
      </c>
      <c r="E58" s="183">
        <f>'[1]July 2025'!I11+'[1]August,2025'!I11+'[1]Septeber,2025'!I11+'[1]October,2025'!I11+'[1]November,2025'!I11+'[1]December 2025'!I11+'[1]January,2026'!I10+'[1]February,2025'!I11+'[1]March,2026'!I11</f>
        <v>10</v>
      </c>
      <c r="F58" s="141">
        <f t="shared" si="9"/>
        <v>24</v>
      </c>
      <c r="G58" s="183">
        <v>42</v>
      </c>
      <c r="H58" s="182">
        <f t="shared" si="10"/>
        <v>0.19230769230769232</v>
      </c>
    </row>
    <row r="59" spans="1:8" x14ac:dyDescent="0.25">
      <c r="A59" s="114">
        <v>12</v>
      </c>
      <c r="B59" s="141">
        <v>65</v>
      </c>
      <c r="C59" s="141" t="s">
        <v>25</v>
      </c>
      <c r="D59" s="141">
        <v>59</v>
      </c>
      <c r="E59" s="183">
        <f>'[1]July 2025'!I9+'[1]August,2025'!I9+'[1]Septeber,2025'!I9+'[1]October,2025'!I9+'[1]November,2025'!I9+'[1]December 2025'!I9+'[1]January,2026'!I8+'[1]February,2025'!I9+'[1]March,2026'!I9</f>
        <v>20</v>
      </c>
      <c r="F59" s="141">
        <f t="shared" si="9"/>
        <v>154</v>
      </c>
      <c r="G59" s="183">
        <v>193</v>
      </c>
      <c r="H59" s="182">
        <f t="shared" si="10"/>
        <v>0.09389671361502347</v>
      </c>
    </row>
    <row r="60" spans="1:8" x14ac:dyDescent="0.25">
      <c r="A60" s="114">
        <v>13</v>
      </c>
      <c r="B60" s="141">
        <v>11</v>
      </c>
      <c r="C60" s="141" t="s">
        <v>28</v>
      </c>
      <c r="D60" s="141">
        <v>30</v>
      </c>
      <c r="E60" s="183">
        <v>18</v>
      </c>
      <c r="F60" s="141">
        <f t="shared" si="9"/>
        <v>14</v>
      </c>
      <c r="G60" s="183">
        <v>26</v>
      </c>
      <c r="H60" s="182">
        <f t="shared" si="10"/>
        <v>0.4090909090909091</v>
      </c>
    </row>
    <row r="61" spans="1:12" x14ac:dyDescent="0.25">
      <c r="A61" s="295"/>
      <c r="B61" s="286">
        <f>SUM(B48:B60)</f>
        <v>422</v>
      </c>
      <c r="C61" s="287" t="s">
        <v>29</v>
      </c>
      <c r="D61" s="288">
        <f>SUM(D48:D60)</f>
        <v>1242</v>
      </c>
      <c r="E61" s="288">
        <f t="shared" ref="E61:G61" si="11">SUM(E48:E60)</f>
        <v>4947</v>
      </c>
      <c r="F61" s="288">
        <f t="shared" si="11"/>
        <v>4798</v>
      </c>
      <c r="G61" s="288">
        <f t="shared" si="11"/>
        <v>1093</v>
      </c>
      <c r="H61" s="289">
        <f t="shared" si="10"/>
        <v>0.8190397350993377</v>
      </c>
      <c r="I61" s="290">
        <f>D61+F61</f>
        <v>6040</v>
      </c>
      <c r="J61" s="290">
        <f>E61</f>
        <v>4947</v>
      </c>
      <c r="L61" s="290"/>
    </row>
    <row r="62" ht="15.6" customHeight="1" spans="1:12" x14ac:dyDescent="0.25">
      <c r="A62" s="266" t="s">
        <v>109</v>
      </c>
      <c r="B62" s="266"/>
      <c r="C62" s="266"/>
      <c r="D62" s="266"/>
      <c r="E62" s="266"/>
      <c r="F62" s="266"/>
      <c r="G62" s="266"/>
      <c r="H62" s="266"/>
      <c r="I62" s="296"/>
      <c r="J62" s="297">
        <f>J61/I61</f>
        <v>0.8190397350993377</v>
      </c>
      <c r="K62" s="296"/>
      <c r="L62" s="298"/>
    </row>
    <row r="63" spans="1:8" x14ac:dyDescent="0.25">
      <c r="A63" s="278" t="s">
        <v>2</v>
      </c>
      <c r="B63" s="279" t="s">
        <v>3</v>
      </c>
      <c r="C63" s="278" t="s">
        <v>4</v>
      </c>
      <c r="D63" s="175" t="s">
        <v>110</v>
      </c>
      <c r="E63" s="175"/>
      <c r="F63" s="175"/>
      <c r="G63" s="175"/>
      <c r="H63" s="100" t="s">
        <v>65</v>
      </c>
    </row>
    <row r="64" spans="1:10" x14ac:dyDescent="0.25">
      <c r="A64" s="280"/>
      <c r="B64" s="281"/>
      <c r="C64" s="280"/>
      <c r="D64" s="175"/>
      <c r="E64" s="175"/>
      <c r="F64" s="175"/>
      <c r="G64" s="175"/>
      <c r="H64" s="100"/>
      <c r="J64" s="290"/>
    </row>
    <row r="65" ht="53.4" customHeight="1" spans="1:11" x14ac:dyDescent="0.25">
      <c r="A65" s="282"/>
      <c r="B65" s="283"/>
      <c r="C65" s="282"/>
      <c r="D65" s="100" t="s">
        <v>101</v>
      </c>
      <c r="E65" s="100" t="s">
        <v>102</v>
      </c>
      <c r="F65" s="100" t="s">
        <v>103</v>
      </c>
      <c r="G65" s="100" t="s">
        <v>104</v>
      </c>
      <c r="H65" s="100"/>
      <c r="K65" s="290"/>
    </row>
    <row r="66" spans="1:11" x14ac:dyDescent="0.25">
      <c r="A66" s="99"/>
      <c r="B66" s="99" t="s">
        <v>10</v>
      </c>
      <c r="C66" s="99" t="s">
        <v>11</v>
      </c>
      <c r="D66" s="100" t="s">
        <v>66</v>
      </c>
      <c r="E66" s="100" t="s">
        <v>12</v>
      </c>
      <c r="F66" s="100" t="s">
        <v>13</v>
      </c>
      <c r="G66" s="100" t="s">
        <v>14</v>
      </c>
      <c r="H66" s="100" t="s">
        <v>15</v>
      </c>
      <c r="K66" s="290"/>
    </row>
    <row r="67" spans="1:8" x14ac:dyDescent="0.25">
      <c r="A67" s="114">
        <v>1</v>
      </c>
      <c r="B67" s="140">
        <v>7</v>
      </c>
      <c r="C67" s="141" t="s">
        <v>17</v>
      </c>
      <c r="D67" s="141">
        <v>11</v>
      </c>
      <c r="E67" s="183">
        <f>'[1]July 2025'!K18+'[1]August,2025'!K18+'[1]Septeber,2025'!K18+'[1]October,2025'!K18+'[1]November,2025'!K18+'[1]December 2025'!K18+'[1]January,2026'!K17+'[1]February,2025'!K18+'[1]March,2026'!K18</f>
        <v>16</v>
      </c>
      <c r="F67" s="141">
        <f t="shared" ref="F67:F79" si="12">G67+E67-D67</f>
        <v>5</v>
      </c>
      <c r="G67" s="183">
        <v>0</v>
      </c>
      <c r="H67" s="182">
        <f t="shared" ref="H67:H79" si="13">E67/(D67+F67)</f>
        <v>1</v>
      </c>
    </row>
    <row r="68" spans="1:8" x14ac:dyDescent="0.25">
      <c r="A68" s="114">
        <v>2</v>
      </c>
      <c r="B68" s="141">
        <v>20</v>
      </c>
      <c r="C68" s="146" t="s">
        <v>16</v>
      </c>
      <c r="D68" s="141">
        <v>30</v>
      </c>
      <c r="E68" s="183">
        <v>30</v>
      </c>
      <c r="F68" s="141">
        <f t="shared" si="12"/>
        <v>3238</v>
      </c>
      <c r="G68" s="183">
        <v>3238</v>
      </c>
      <c r="H68" s="182">
        <f t="shared" si="13"/>
        <v>0.009179926560587515</v>
      </c>
    </row>
    <row r="69" spans="1:8" x14ac:dyDescent="0.25">
      <c r="A69" s="114">
        <v>3</v>
      </c>
      <c r="B69" s="141">
        <v>39</v>
      </c>
      <c r="C69" s="141" t="s">
        <v>27</v>
      </c>
      <c r="D69" s="141">
        <v>3987</v>
      </c>
      <c r="E69" s="183">
        <v>3906</v>
      </c>
      <c r="F69" s="141">
        <f t="shared" si="12"/>
        <v>49</v>
      </c>
      <c r="G69" s="183">
        <v>130</v>
      </c>
      <c r="H69" s="182">
        <f t="shared" si="13"/>
        <v>0.9677898909811695</v>
      </c>
    </row>
    <row r="70" spans="1:8" x14ac:dyDescent="0.25">
      <c r="A70" s="114">
        <v>4</v>
      </c>
      <c r="B70" s="141">
        <v>36</v>
      </c>
      <c r="C70" s="146" t="s">
        <v>20</v>
      </c>
      <c r="D70" s="141">
        <v>3465</v>
      </c>
      <c r="E70" s="183">
        <f>'[1]July 2025'!K15+'[1]August,2025'!K15+'[1]Septeber,2025'!K15+'[1]October,2025'!K15+'[1]November,2025'!K15+'[1]December 2025'!K15+'[1]January,2026'!K14+'[1]February,2025'!K15+'[1]March,2026'!K15</f>
        <v>5767</v>
      </c>
      <c r="F70" s="141">
        <f t="shared" si="12"/>
        <v>2368</v>
      </c>
      <c r="G70" s="183">
        <v>66</v>
      </c>
      <c r="H70" s="182">
        <f t="shared" si="13"/>
        <v>0.9886850677181553</v>
      </c>
    </row>
    <row r="71" spans="1:8" x14ac:dyDescent="0.25">
      <c r="A71" s="114">
        <v>5</v>
      </c>
      <c r="B71" s="141">
        <v>65</v>
      </c>
      <c r="C71" s="141" t="s">
        <v>25</v>
      </c>
      <c r="D71" s="141">
        <v>15455</v>
      </c>
      <c r="E71" s="183">
        <v>14792</v>
      </c>
      <c r="F71" s="141">
        <f t="shared" si="12"/>
        <v>201</v>
      </c>
      <c r="G71" s="183">
        <v>864</v>
      </c>
      <c r="H71" s="182">
        <f t="shared" si="13"/>
        <v>0.9448134900357691</v>
      </c>
    </row>
    <row r="72" spans="1:8" x14ac:dyDescent="0.25">
      <c r="A72" s="114">
        <v>6</v>
      </c>
      <c r="B72" s="141">
        <v>33</v>
      </c>
      <c r="C72" s="146" t="s">
        <v>22</v>
      </c>
      <c r="D72" s="141">
        <v>8969</v>
      </c>
      <c r="E72" s="183">
        <v>8905</v>
      </c>
      <c r="F72" s="141">
        <f t="shared" si="12"/>
        <v>200</v>
      </c>
      <c r="G72" s="183">
        <v>264</v>
      </c>
      <c r="H72" s="182">
        <f t="shared" si="13"/>
        <v>0.9712073290435161</v>
      </c>
    </row>
    <row r="73" spans="1:8" x14ac:dyDescent="0.25">
      <c r="A73" s="114">
        <v>7</v>
      </c>
      <c r="B73" s="141">
        <v>49</v>
      </c>
      <c r="C73" s="141" t="s">
        <v>19</v>
      </c>
      <c r="D73" s="141">
        <v>10892</v>
      </c>
      <c r="E73" s="183">
        <f>'[1]July 2025'!K6+'[1]August,2025'!K6+'[1]Septeber,2025'!K6+'[1]October,2025'!K6+'[1]November,2025'!K6+'[1]December 2025'!K6+'[1]January,2026'!K5+'[1]February,2025'!K6+'[1]March,2026'!K6</f>
        <v>22533</v>
      </c>
      <c r="F73" s="141">
        <f t="shared" si="12"/>
        <v>15610</v>
      </c>
      <c r="G73" s="183">
        <v>3969</v>
      </c>
      <c r="H73" s="182">
        <f t="shared" si="13"/>
        <v>0.8502377179080824</v>
      </c>
    </row>
    <row r="74" spans="1:8" x14ac:dyDescent="0.25">
      <c r="A74" s="114">
        <v>8</v>
      </c>
      <c r="B74" s="141">
        <v>17</v>
      </c>
      <c r="C74" s="146" t="s">
        <v>24</v>
      </c>
      <c r="D74" s="141">
        <v>1301</v>
      </c>
      <c r="E74" s="183">
        <f>'[1]July 2025'!K13+'[1]August,2025'!K13+'[1]Septeber,2025'!K13+'[1]October,2025'!K13+'[1]November,2025'!K13+'[1]December 2025'!K13+'[1]January,2026'!K12+'[1]February,2025'!K13+'[1]March,2026'!K13</f>
        <v>4831</v>
      </c>
      <c r="F74" s="141">
        <f t="shared" si="12"/>
        <v>4701</v>
      </c>
      <c r="G74" s="183">
        <v>1171</v>
      </c>
      <c r="H74" s="182">
        <f t="shared" si="13"/>
        <v>0.8048983672109297</v>
      </c>
    </row>
    <row r="75" spans="1:8" x14ac:dyDescent="0.25">
      <c r="A75" s="114">
        <v>9</v>
      </c>
      <c r="B75" s="141">
        <v>25</v>
      </c>
      <c r="C75" s="141" t="s">
        <v>26</v>
      </c>
      <c r="D75" s="141">
        <v>184</v>
      </c>
      <c r="E75" s="183">
        <v>184</v>
      </c>
      <c r="F75" s="141">
        <f t="shared" si="12"/>
        <v>1</v>
      </c>
      <c r="G75" s="183">
        <v>1</v>
      </c>
      <c r="H75" s="182">
        <f t="shared" si="13"/>
        <v>0.9945945945945946</v>
      </c>
    </row>
    <row r="76" spans="1:8" x14ac:dyDescent="0.25">
      <c r="A76" s="114">
        <v>10</v>
      </c>
      <c r="B76" s="140">
        <v>42</v>
      </c>
      <c r="C76" s="141" t="s">
        <v>18</v>
      </c>
      <c r="D76" s="141">
        <v>5033</v>
      </c>
      <c r="E76" s="183">
        <f>'[1]July 2025'!K7+'[1]August,2025'!K7+'[1]Septeber,2025'!K7+'[1]October,2025'!K7+'[1]November,2025'!K7+'[1]December 2025'!K7+'[1]January,2026'!K6+'[1]February,2025'!K7+'[1]March,2026'!K7</f>
        <v>11920</v>
      </c>
      <c r="F76" s="141">
        <f t="shared" si="12"/>
        <v>13542</v>
      </c>
      <c r="G76" s="183">
        <v>6655</v>
      </c>
      <c r="H76" s="182">
        <f t="shared" si="13"/>
        <v>0.6417227456258412</v>
      </c>
    </row>
    <row r="77" spans="1:8" x14ac:dyDescent="0.25">
      <c r="A77" s="114">
        <v>11</v>
      </c>
      <c r="B77" s="141">
        <v>26</v>
      </c>
      <c r="C77" s="146" t="s">
        <v>21</v>
      </c>
      <c r="D77" s="141">
        <v>497</v>
      </c>
      <c r="E77" s="183">
        <f>'[1]July 2025'!K16+'[1]August,2025'!K16+'[1]Septeber,2025'!K16+'[1]October,2025'!K16+'[1]November,2025'!K16+'[1]December 2025'!K16+'[1]January,2026'!K15+'[1]February,2025'!K16+'[1]March,2026'!K16</f>
        <v>4657</v>
      </c>
      <c r="F77" s="141">
        <f t="shared" si="12"/>
        <v>4329</v>
      </c>
      <c r="G77" s="183">
        <v>169</v>
      </c>
      <c r="H77" s="182">
        <f t="shared" si="13"/>
        <v>0.9649813510153336</v>
      </c>
    </row>
    <row r="78" spans="1:8" x14ac:dyDescent="0.25">
      <c r="A78" s="114">
        <v>12</v>
      </c>
      <c r="B78" s="141">
        <v>11</v>
      </c>
      <c r="C78" s="141" t="s">
        <v>28</v>
      </c>
      <c r="D78" s="141">
        <v>0</v>
      </c>
      <c r="E78" s="183">
        <f>'[1]July 2025'!K12+'[1]August,2025'!K12+'[1]Septeber,2025'!K12+'[1]October,2025'!K12+'[1]November,2025'!K12+'[1]December 2025'!K12+'[1]January,2026'!K11+'[1]February,2025'!K12+'[1]March,2026'!K12</f>
        <v>597</v>
      </c>
      <c r="F78" s="141">
        <f t="shared" si="12"/>
        <v>3979</v>
      </c>
      <c r="G78" s="183">
        <v>3382</v>
      </c>
      <c r="H78" s="182">
        <f t="shared" si="13"/>
        <v>0.15003769791404875</v>
      </c>
    </row>
    <row r="79" spans="1:8" x14ac:dyDescent="0.25">
      <c r="A79" s="114">
        <v>13</v>
      </c>
      <c r="B79" s="141">
        <v>52</v>
      </c>
      <c r="C79" s="141" t="s">
        <v>23</v>
      </c>
      <c r="D79" s="141">
        <v>6828</v>
      </c>
      <c r="E79" s="183">
        <f>'[1]July 2025'!K8+'[1]August,2025'!K8+'[1]Septeber,2025'!K8+'[1]October,2025'!K8+'[1]November,2025'!K8+'[1]December 2025'!K8+'[1]January,2026'!K7+'[1]February,2025'!K8+'[1]March,2026'!K8</f>
        <v>3726</v>
      </c>
      <c r="F79" s="141">
        <f t="shared" si="12"/>
        <v>6867</v>
      </c>
      <c r="G79" s="183">
        <v>9969</v>
      </c>
      <c r="H79" s="182">
        <f t="shared" si="13"/>
        <v>0.2720700985761227</v>
      </c>
    </row>
    <row r="80" spans="1:12" x14ac:dyDescent="0.25">
      <c r="A80" s="299"/>
      <c r="B80" s="286">
        <f>SUM(B67:B79)</f>
        <v>422</v>
      </c>
      <c r="C80" s="287" t="s">
        <v>29</v>
      </c>
      <c r="D80" s="300">
        <f>SUM(D67:D79)</f>
        <v>56652</v>
      </c>
      <c r="E80" s="300">
        <f t="shared" ref="E80:G80" si="14">SUM(E67:E79)</f>
        <v>81864</v>
      </c>
      <c r="F80" s="300">
        <f t="shared" si="14"/>
        <v>55090</v>
      </c>
      <c r="G80" s="300">
        <f t="shared" si="14"/>
        <v>29878</v>
      </c>
      <c r="H80" s="301">
        <f t="shared" ref="H80" si="15">E80/(D80+F80)</f>
        <v>0.7326162051869485</v>
      </c>
      <c r="I80" s="290">
        <f>D80+F80</f>
        <v>111742</v>
      </c>
      <c r="J80" s="290">
        <f>E80</f>
        <v>81864</v>
      </c>
      <c r="L80" s="290"/>
    </row>
    <row r="81" ht="15.6" customHeight="1" spans="1:12" x14ac:dyDescent="0.25">
      <c r="A81" s="266" t="s">
        <v>111</v>
      </c>
      <c r="B81" s="266"/>
      <c r="C81" s="266"/>
      <c r="D81" s="266"/>
      <c r="E81" s="266"/>
      <c r="F81" s="266"/>
      <c r="G81" s="266"/>
      <c r="H81" s="266"/>
      <c r="I81" s="296"/>
      <c r="J81" s="297">
        <f>J80/I80</f>
        <v>0.7326162051869485</v>
      </c>
      <c r="K81" s="296"/>
      <c r="L81" s="298"/>
    </row>
    <row r="82" ht="15" customHeight="1" spans="1:8" x14ac:dyDescent="0.25">
      <c r="A82" s="278" t="s">
        <v>2</v>
      </c>
      <c r="B82" s="279" t="s">
        <v>3</v>
      </c>
      <c r="C82" s="278" t="s">
        <v>4</v>
      </c>
      <c r="D82" s="175" t="s">
        <v>112</v>
      </c>
      <c r="E82" s="175"/>
      <c r="F82" s="175"/>
      <c r="G82" s="175"/>
      <c r="H82" s="100" t="s">
        <v>65</v>
      </c>
    </row>
    <row r="83" spans="1:9" x14ac:dyDescent="0.25">
      <c r="A83" s="280"/>
      <c r="B83" s="281"/>
      <c r="C83" s="280"/>
      <c r="D83" s="175"/>
      <c r="E83" s="175"/>
      <c r="F83" s="175"/>
      <c r="G83" s="175"/>
      <c r="H83" s="100"/>
      <c r="I83" s="290"/>
    </row>
    <row r="84" ht="53.4" customHeight="1" spans="1:12" x14ac:dyDescent="0.25">
      <c r="A84" s="282"/>
      <c r="B84" s="283"/>
      <c r="C84" s="282"/>
      <c r="D84" s="100" t="s">
        <v>101</v>
      </c>
      <c r="E84" s="100" t="s">
        <v>102</v>
      </c>
      <c r="F84" s="100" t="s">
        <v>103</v>
      </c>
      <c r="G84" s="100" t="s">
        <v>104</v>
      </c>
      <c r="H84" s="100"/>
      <c r="L84" s="290"/>
    </row>
    <row r="85" spans="1:12" x14ac:dyDescent="0.25">
      <c r="A85" s="99"/>
      <c r="B85" s="99" t="s">
        <v>10</v>
      </c>
      <c r="C85" s="99" t="s">
        <v>11</v>
      </c>
      <c r="D85" s="100" t="s">
        <v>66</v>
      </c>
      <c r="E85" s="100" t="s">
        <v>12</v>
      </c>
      <c r="F85" s="100" t="s">
        <v>13</v>
      </c>
      <c r="G85" s="100" t="s">
        <v>14</v>
      </c>
      <c r="H85" s="100" t="s">
        <v>15</v>
      </c>
      <c r="L85" s="290"/>
    </row>
    <row r="86" spans="1:8" x14ac:dyDescent="0.25">
      <c r="A86" s="114">
        <v>1</v>
      </c>
      <c r="B86" s="141">
        <v>20</v>
      </c>
      <c r="C86" s="146" t="s">
        <v>16</v>
      </c>
      <c r="D86" s="141">
        <v>5740</v>
      </c>
      <c r="E86" s="183">
        <v>5740</v>
      </c>
      <c r="F86" s="141">
        <f t="shared" ref="F86:F98" si="16">G86+E86-D86</f>
        <v>62264</v>
      </c>
      <c r="G86" s="183">
        <v>62264</v>
      </c>
      <c r="H86" s="182">
        <f t="shared" ref="H86:H98" si="17">E86/(D86+F86)</f>
        <v>0.08440679960002352</v>
      </c>
    </row>
    <row r="87" spans="1:8" x14ac:dyDescent="0.25">
      <c r="A87" s="114">
        <v>2</v>
      </c>
      <c r="B87" s="141">
        <v>39</v>
      </c>
      <c r="C87" s="141" t="s">
        <v>27</v>
      </c>
      <c r="D87" s="141">
        <v>67924</v>
      </c>
      <c r="E87" s="183">
        <v>63734</v>
      </c>
      <c r="F87" s="141">
        <f t="shared" si="16"/>
        <v>14296</v>
      </c>
      <c r="G87" s="183">
        <v>18486</v>
      </c>
      <c r="H87" s="182">
        <f t="shared" si="17"/>
        <v>0.7751641936268547</v>
      </c>
    </row>
    <row r="88" spans="1:8" x14ac:dyDescent="0.25">
      <c r="A88" s="114">
        <v>3</v>
      </c>
      <c r="B88" s="141">
        <v>25</v>
      </c>
      <c r="C88" s="141" t="s">
        <v>26</v>
      </c>
      <c r="D88" s="141">
        <v>32750</v>
      </c>
      <c r="E88" s="183">
        <f>'[1]July 2025'!M11+'[1]August,2025'!M11+'[1]Septeber,2025'!M11+'[1]October,2025'!M11+'[1]November,2025'!M11+'[1]December 2025'!M11+'[1]January,2026'!M10+'[1]February,2025'!M11+'[1]March,2026'!M11</f>
        <v>94874</v>
      </c>
      <c r="F88" s="141">
        <f t="shared" si="16"/>
        <v>86538</v>
      </c>
      <c r="G88" s="183">
        <v>24414</v>
      </c>
      <c r="H88" s="182">
        <f t="shared" si="17"/>
        <v>0.7953356582388841</v>
      </c>
    </row>
    <row r="89" spans="1:8" x14ac:dyDescent="0.25">
      <c r="A89" s="114">
        <v>4</v>
      </c>
      <c r="B89" s="141">
        <v>11</v>
      </c>
      <c r="C89" s="141" t="s">
        <v>28</v>
      </c>
      <c r="D89" s="141">
        <v>1</v>
      </c>
      <c r="E89" s="183">
        <f>'[1]July 2025'!M12+'[1]August,2025'!M12+'[1]Septeber,2025'!M12+'[1]October,2025'!M12+'[1]November,2025'!M12+'[1]December 2025'!M12+'[1]January,2026'!M11+'[1]February,2025'!M12+'[1]March,2026'!M12</f>
        <v>40987</v>
      </c>
      <c r="F89" s="141">
        <f t="shared" si="16"/>
        <v>54561</v>
      </c>
      <c r="G89" s="183">
        <v>13575</v>
      </c>
      <c r="H89" s="182">
        <f t="shared" si="17"/>
        <v>0.751200469191012</v>
      </c>
    </row>
    <row r="90" spans="1:8" x14ac:dyDescent="0.25">
      <c r="A90" s="114">
        <v>5</v>
      </c>
      <c r="B90" s="140">
        <v>42</v>
      </c>
      <c r="C90" s="141" t="s">
        <v>18</v>
      </c>
      <c r="D90" s="141">
        <v>13201</v>
      </c>
      <c r="E90" s="183">
        <f>'[1]July 2025'!M7+'[1]August,2025'!M7+'[1]Septeber,2025'!M7+'[1]October,2025'!M7+'[1]November,2025'!M7+'[1]December 2025'!M7+'[1]January,2026'!M6+'[1]February,2025'!M7+'[1]March,2026'!M7</f>
        <v>48062</v>
      </c>
      <c r="F90" s="141">
        <f t="shared" si="16"/>
        <v>61940</v>
      </c>
      <c r="G90" s="183">
        <v>27079</v>
      </c>
      <c r="H90" s="182">
        <f t="shared" si="17"/>
        <v>0.6396241732210112</v>
      </c>
    </row>
    <row r="91" spans="1:8" x14ac:dyDescent="0.25">
      <c r="A91" s="114">
        <v>6</v>
      </c>
      <c r="B91" s="141">
        <v>49</v>
      </c>
      <c r="C91" s="141" t="s">
        <v>19</v>
      </c>
      <c r="D91" s="141">
        <v>52976</v>
      </c>
      <c r="E91" s="183">
        <f>'[1]July 2025'!M6+'[1]August,2025'!M6+'[1]Septeber,2025'!M6+'[1]October,2025'!M6+'[1]November,2025'!M6+'[1]December 2025'!M6+'[1]January,2026'!M5+'[1]February,2025'!M6+'[1]March,2026'!M6</f>
        <v>207094</v>
      </c>
      <c r="F91" s="141">
        <f t="shared" si="16"/>
        <v>241917</v>
      </c>
      <c r="G91" s="183">
        <v>87799</v>
      </c>
      <c r="H91" s="182">
        <f t="shared" si="17"/>
        <v>0.7022682803593168</v>
      </c>
    </row>
    <row r="92" spans="1:8" x14ac:dyDescent="0.25">
      <c r="A92" s="114">
        <v>7</v>
      </c>
      <c r="B92" s="141">
        <v>17</v>
      </c>
      <c r="C92" s="146" t="s">
        <v>24</v>
      </c>
      <c r="D92" s="141">
        <v>2989</v>
      </c>
      <c r="E92" s="183">
        <f>'[1]July 2025'!M13+'[1]August,2025'!M13+'[1]Septeber,2025'!M13+'[1]October,2025'!M13+'[1]November,2025'!M13+'[1]December 2025'!M13+'[1]January,2026'!M12+'[1]February,2025'!M13+'[1]March,2026'!M13</f>
        <v>25062</v>
      </c>
      <c r="F92" s="141">
        <f t="shared" si="16"/>
        <v>46077</v>
      </c>
      <c r="G92" s="183">
        <v>24004</v>
      </c>
      <c r="H92" s="182">
        <f t="shared" si="17"/>
        <v>0.5107813964863653</v>
      </c>
    </row>
    <row r="93" spans="1:8" x14ac:dyDescent="0.25">
      <c r="A93" s="114">
        <v>8</v>
      </c>
      <c r="B93" s="141">
        <v>36</v>
      </c>
      <c r="C93" s="146" t="s">
        <v>20</v>
      </c>
      <c r="D93" s="141">
        <v>25759</v>
      </c>
      <c r="E93" s="183">
        <f>'[1]July 2025'!M15+'[1]August,2025'!M15+'[1]Septeber,2025'!M15+'[1]October,2025'!M15+'[1]November,2025'!M15+'[1]December 2025'!M15+'[1]January,2026'!M14+'[1]February,2025'!M15+'[1]March,2026'!M15</f>
        <v>133697</v>
      </c>
      <c r="F93" s="141">
        <f t="shared" si="16"/>
        <v>228140</v>
      </c>
      <c r="G93" s="183">
        <v>120202</v>
      </c>
      <c r="H93" s="182">
        <f t="shared" si="17"/>
        <v>0.5265755280643091</v>
      </c>
    </row>
    <row r="94" spans="1:8" x14ac:dyDescent="0.25">
      <c r="A94" s="114">
        <v>9</v>
      </c>
      <c r="B94" s="141">
        <v>26</v>
      </c>
      <c r="C94" s="146" t="s">
        <v>21</v>
      </c>
      <c r="D94" s="141">
        <v>28489</v>
      </c>
      <c r="E94" s="183">
        <f>'[1]July 2025'!M16+'[1]August,2025'!M16+'[1]Septeber,2025'!M16+'[1]October,2025'!M16+'[1]November,2025'!M16+'[1]December 2025'!M16+'[1]January,2026'!M15+'[1]February,2025'!M16+'[1]March,2026'!M16</f>
        <v>48812</v>
      </c>
      <c r="F94" s="141">
        <f t="shared" si="16"/>
        <v>74142</v>
      </c>
      <c r="G94" s="183">
        <v>53819</v>
      </c>
      <c r="H94" s="182">
        <f t="shared" si="17"/>
        <v>0.47560678547417445</v>
      </c>
    </row>
    <row r="95" spans="1:8" x14ac:dyDescent="0.25">
      <c r="A95" s="114">
        <v>10</v>
      </c>
      <c r="B95" s="140">
        <v>7</v>
      </c>
      <c r="C95" s="141" t="s">
        <v>17</v>
      </c>
      <c r="D95" s="141">
        <v>4056</v>
      </c>
      <c r="E95" s="183">
        <f>'[1]July 2025'!M18+'[1]August,2025'!M18+'[1]Septeber,2025'!M18+'[1]October,2025'!M18+'[1]November,2025'!M18+'[1]December 2025'!M18+'[1]January,2026'!M17+'[1]February,2025'!M18+'[1]March,2026'!M18</f>
        <v>10319</v>
      </c>
      <c r="F95" s="141">
        <f t="shared" si="16"/>
        <v>12533</v>
      </c>
      <c r="G95" s="183">
        <v>6270</v>
      </c>
      <c r="H95" s="182">
        <f t="shared" si="17"/>
        <v>0.6220387003436012</v>
      </c>
    </row>
    <row r="96" spans="1:8" x14ac:dyDescent="0.25">
      <c r="A96" s="114">
        <v>11</v>
      </c>
      <c r="B96" s="141">
        <v>65</v>
      </c>
      <c r="C96" s="141" t="s">
        <v>25</v>
      </c>
      <c r="D96" s="141">
        <v>53771</v>
      </c>
      <c r="E96" s="183">
        <f>'[1]July 2025'!M9+'[1]August,2025'!M9+'[1]Septeber,2025'!M9+'[1]October,2025'!M9+'[1]November,2025'!M9+'[1]December 2025'!M9+'[1]January,2026'!M8+'[1]February,2025'!M9+'[1]March,2026'!M9</f>
        <v>27778</v>
      </c>
      <c r="F96" s="141">
        <f t="shared" si="16"/>
        <v>65247</v>
      </c>
      <c r="G96" s="183">
        <v>91240</v>
      </c>
      <c r="H96" s="182">
        <f t="shared" si="17"/>
        <v>0.2333932682451394</v>
      </c>
    </row>
    <row r="97" spans="1:8" x14ac:dyDescent="0.25">
      <c r="A97" s="114">
        <v>12</v>
      </c>
      <c r="B97" s="141">
        <v>33</v>
      </c>
      <c r="C97" s="146" t="s">
        <v>22</v>
      </c>
      <c r="D97" s="141">
        <v>68423</v>
      </c>
      <c r="E97" s="183">
        <f>'[1]July 2025'!M10+'[1]August,2025'!M10+'[1]Septeber,2025'!M10+'[1]October,2025'!M10+'[1]November,2025'!M10+'[1]December 2025'!M10+'[1]January,2026'!M9+'[1]February,2025'!M10+'[1]March,2026'!M10</f>
        <v>29190</v>
      </c>
      <c r="F97" s="141">
        <f t="shared" si="16"/>
        <v>55512</v>
      </c>
      <c r="G97" s="183">
        <v>94745</v>
      </c>
      <c r="H97" s="182">
        <f t="shared" si="17"/>
        <v>0.23552668737644733</v>
      </c>
    </row>
    <row r="98" spans="1:8" x14ac:dyDescent="0.25">
      <c r="A98" s="114">
        <v>13</v>
      </c>
      <c r="B98" s="141">
        <v>52</v>
      </c>
      <c r="C98" s="141" t="s">
        <v>23</v>
      </c>
      <c r="D98" s="141">
        <v>36501</v>
      </c>
      <c r="E98" s="183">
        <f>'[1]July 2025'!M8+'[1]August,2025'!M8+'[1]Septeber,2025'!M8+'[1]October,2025'!M8+'[1]November,2025'!M8+'[1]December 2025'!M8+'[1]January,2026'!M7+'[1]February,2025'!M8+'[1]March,2026'!M8</f>
        <v>17786</v>
      </c>
      <c r="F98" s="141">
        <f t="shared" si="16"/>
        <v>139444</v>
      </c>
      <c r="G98" s="183">
        <v>158159</v>
      </c>
      <c r="H98" s="182">
        <f t="shared" si="17"/>
        <v>0.10108840830941487</v>
      </c>
    </row>
    <row r="99" spans="1:12" x14ac:dyDescent="0.25">
      <c r="A99" s="295"/>
      <c r="B99" s="286">
        <f>SUM(B86:B98)</f>
        <v>422</v>
      </c>
      <c r="C99" s="287" t="s">
        <v>29</v>
      </c>
      <c r="D99" s="300">
        <f>SUM(D86:D98)</f>
        <v>392580</v>
      </c>
      <c r="E99" s="300">
        <f t="shared" ref="E99:G99" si="18">SUM(E86:E98)</f>
        <v>753135</v>
      </c>
      <c r="F99" s="300">
        <f t="shared" si="18"/>
        <v>1142611</v>
      </c>
      <c r="G99" s="300">
        <f t="shared" si="18"/>
        <v>782056</v>
      </c>
      <c r="H99" s="289">
        <f t="shared" ref="H99" si="19">E99/(D99+F99)</f>
        <v>0.49058065087666614</v>
      </c>
      <c r="I99" s="290">
        <f>D99+F99</f>
        <v>1535191</v>
      </c>
      <c r="J99" s="290">
        <f>E99</f>
        <v>753135</v>
      </c>
      <c r="L99" s="290"/>
    </row>
    <row r="100" ht="15.6" customHeight="1" spans="1:12" x14ac:dyDescent="0.25">
      <c r="A100" s="266" t="s">
        <v>113</v>
      </c>
      <c r="B100" s="266"/>
      <c r="C100" s="266"/>
      <c r="D100" s="266"/>
      <c r="E100" s="266"/>
      <c r="F100" s="266"/>
      <c r="G100" s="266"/>
      <c r="H100" s="266"/>
      <c r="I100" s="296"/>
      <c r="J100" s="297">
        <f>J118/I118</f>
        <v>0.3246801067844978</v>
      </c>
      <c r="K100" s="296"/>
      <c r="L100" s="298"/>
    </row>
    <row r="101" ht="15" customHeight="1" spans="1:8" x14ac:dyDescent="0.25">
      <c r="A101" s="99" t="s">
        <v>2</v>
      </c>
      <c r="B101" s="279" t="s">
        <v>3</v>
      </c>
      <c r="C101" s="278" t="s">
        <v>4</v>
      </c>
      <c r="D101" s="177" t="s">
        <v>47</v>
      </c>
      <c r="E101" s="177"/>
      <c r="F101" s="177"/>
      <c r="G101" s="177"/>
      <c r="H101" s="100" t="s">
        <v>65</v>
      </c>
    </row>
    <row r="102" spans="1:9" x14ac:dyDescent="0.25">
      <c r="A102" s="99"/>
      <c r="B102" s="281"/>
      <c r="C102" s="280"/>
      <c r="D102" s="177"/>
      <c r="E102" s="177"/>
      <c r="F102" s="177"/>
      <c r="G102" s="177"/>
      <c r="H102" s="100"/>
      <c r="I102" s="290"/>
    </row>
    <row r="103" ht="53.4" customHeight="1" spans="1:8" x14ac:dyDescent="0.25">
      <c r="A103" s="99"/>
      <c r="B103" s="283"/>
      <c r="C103" s="282"/>
      <c r="D103" s="100" t="s">
        <v>101</v>
      </c>
      <c r="E103" s="100" t="s">
        <v>102</v>
      </c>
      <c r="F103" s="100" t="s">
        <v>103</v>
      </c>
      <c r="G103" s="100" t="s">
        <v>104</v>
      </c>
      <c r="H103" s="100"/>
    </row>
    <row r="104" spans="1:8" x14ac:dyDescent="0.25">
      <c r="A104" s="99"/>
      <c r="B104" s="99" t="s">
        <v>10</v>
      </c>
      <c r="C104" s="99" t="s">
        <v>11</v>
      </c>
      <c r="D104" s="100" t="s">
        <v>66</v>
      </c>
      <c r="E104" s="100" t="s">
        <v>12</v>
      </c>
      <c r="F104" s="100" t="s">
        <v>13</v>
      </c>
      <c r="G104" s="100" t="s">
        <v>14</v>
      </c>
      <c r="H104" s="100" t="s">
        <v>15</v>
      </c>
    </row>
    <row r="105" spans="1:13" x14ac:dyDescent="0.25">
      <c r="A105" s="114">
        <v>1</v>
      </c>
      <c r="B105" s="141">
        <v>17</v>
      </c>
      <c r="C105" s="146" t="s">
        <v>24</v>
      </c>
      <c r="D105" s="141">
        <v>0</v>
      </c>
      <c r="E105" s="183">
        <f>'[1]July 2025'!O13+'[1]August,2025'!O13+'[1]Septeber,2025'!O13+'[1]October,2025'!O13+'[1]November,2025'!O13+'[1]December 2025'!O13+'[1]January,2026'!O12+'[1]February,2025'!O13+'[1]March,2026'!O13</f>
        <v>417</v>
      </c>
      <c r="F105" s="141">
        <f t="shared" ref="F105:F117" si="20">G105+E105-D105</f>
        <v>417</v>
      </c>
      <c r="G105" s="183">
        <v>0</v>
      </c>
      <c r="H105" s="182">
        <f t="shared" ref="H105:H117" si="21">E105/(D105+F105)</f>
        <v>1</v>
      </c>
      <c r="I105" s="137"/>
      <c r="K105" s="290"/>
      <c r="L105" s="290"/>
    </row>
    <row r="106" spans="1:13" x14ac:dyDescent="0.25">
      <c r="A106" s="114">
        <v>2</v>
      </c>
      <c r="B106" s="141">
        <v>26</v>
      </c>
      <c r="C106" s="146" t="s">
        <v>21</v>
      </c>
      <c r="D106" s="141">
        <v>2</v>
      </c>
      <c r="E106" s="183">
        <f>'[1]July 2025'!O16+'[1]August,2025'!O16+'[1]Septeber,2025'!O16+'[1]October,2025'!O16+'[1]November,2025'!O16+'[1]December 2025'!O16+'[1]January,2026'!O15+'[1]February,2025'!O16+'[1]March,2026'!O16</f>
        <v>18</v>
      </c>
      <c r="F106" s="141">
        <f t="shared" si="20"/>
        <v>16</v>
      </c>
      <c r="G106" s="183">
        <v>0</v>
      </c>
      <c r="H106" s="182">
        <f t="shared" si="21"/>
        <v>1</v>
      </c>
      <c r="I106" s="137"/>
      <c r="K106" s="290"/>
      <c r="L106" s="290"/>
    </row>
    <row r="107" spans="1:13" x14ac:dyDescent="0.25">
      <c r="A107" s="114">
        <v>3</v>
      </c>
      <c r="B107" s="141">
        <v>39</v>
      </c>
      <c r="C107" s="141" t="s">
        <v>27</v>
      </c>
      <c r="D107" s="141">
        <v>89</v>
      </c>
      <c r="E107" s="183">
        <v>89</v>
      </c>
      <c r="F107" s="141">
        <f t="shared" si="20"/>
        <v>1</v>
      </c>
      <c r="G107" s="183">
        <v>1</v>
      </c>
      <c r="H107" s="182">
        <f t="shared" si="21"/>
        <v>0.9888888888888889</v>
      </c>
      <c r="I107" s="137"/>
      <c r="K107" s="290"/>
      <c r="L107" s="290"/>
    </row>
    <row r="108" spans="1:13" x14ac:dyDescent="0.25">
      <c r="A108" s="114">
        <v>4</v>
      </c>
      <c r="B108" s="141">
        <v>20</v>
      </c>
      <c r="C108" s="146" t="s">
        <v>16</v>
      </c>
      <c r="D108" s="141">
        <v>26</v>
      </c>
      <c r="E108" s="183">
        <v>26</v>
      </c>
      <c r="F108" s="141">
        <f t="shared" si="20"/>
        <v>16</v>
      </c>
      <c r="G108" s="183">
        <v>16</v>
      </c>
      <c r="H108" s="182">
        <f t="shared" si="21"/>
        <v>0.6190476190476191</v>
      </c>
      <c r="I108" s="137"/>
      <c r="K108" s="290"/>
      <c r="L108" s="290"/>
    </row>
    <row r="109" spans="1:13" x14ac:dyDescent="0.25">
      <c r="A109" s="114">
        <v>5</v>
      </c>
      <c r="B109" s="141">
        <v>33</v>
      </c>
      <c r="C109" s="146" t="s">
        <v>22</v>
      </c>
      <c r="D109" s="141">
        <v>18</v>
      </c>
      <c r="E109" s="183">
        <f>'[1]July 2025'!O10+'[1]August,2025'!O10+'[1]Septeber,2025'!O10+'[1]October,2025'!O10+'[1]November,2025'!O10+'[1]December 2025'!O10+'[1]January,2026'!O9+'[1]February,2025'!O10+'[1]March,2026'!O10</f>
        <v>943</v>
      </c>
      <c r="F109" s="141">
        <f t="shared" si="20"/>
        <v>925</v>
      </c>
      <c r="G109" s="183">
        <v>0</v>
      </c>
      <c r="H109" s="182">
        <f t="shared" si="21"/>
        <v>1</v>
      </c>
      <c r="I109" s="153"/>
      <c r="K109" s="290"/>
      <c r="L109" s="290"/>
    </row>
    <row r="110" spans="1:13" x14ac:dyDescent="0.25">
      <c r="A110" s="114">
        <v>6</v>
      </c>
      <c r="B110" s="141">
        <v>49</v>
      </c>
      <c r="C110" s="141" t="s">
        <v>19</v>
      </c>
      <c r="D110" s="141">
        <v>48</v>
      </c>
      <c r="E110" s="183">
        <f>'[1]July 2025'!O6+'[1]August,2025'!O6+'[1]Septeber,2025'!O6+'[1]October,2025'!O6+'[1]November,2025'!O6+'[1]December 2025'!O6+'[1]January,2026'!O5+'[1]February,2025'!O6+'[1]March,2026'!O6</f>
        <v>206</v>
      </c>
      <c r="F110" s="141">
        <f t="shared" si="20"/>
        <v>207</v>
      </c>
      <c r="G110" s="183">
        <v>49</v>
      </c>
      <c r="H110" s="182">
        <f t="shared" si="21"/>
        <v>0.807843137254902</v>
      </c>
      <c r="I110" s="137"/>
      <c r="K110" s="290"/>
      <c r="L110" s="290"/>
    </row>
    <row r="111" spans="1:13" x14ac:dyDescent="0.25">
      <c r="A111" s="114">
        <v>7</v>
      </c>
      <c r="B111" s="141">
        <v>36</v>
      </c>
      <c r="C111" s="146" t="s">
        <v>20</v>
      </c>
      <c r="D111" s="141"/>
      <c r="E111" s="183">
        <f>'[1]July 2025'!O15+'[1]August,2025'!O15+'[1]Septeber,2025'!O15+'[1]October,2025'!O15+'[1]November,2025'!O15+'[1]December 2025'!O15+'[1]January,2026'!O14+'[1]February,2025'!O15+'[1]March,2026'!O15</f>
        <v>3</v>
      </c>
      <c r="F111" s="141">
        <f t="shared" si="20"/>
        <v>3</v>
      </c>
      <c r="G111" s="183">
        <v>0</v>
      </c>
      <c r="H111" s="182">
        <f t="shared" si="21"/>
        <v>1</v>
      </c>
      <c r="I111" s="137"/>
      <c r="K111" s="290"/>
      <c r="L111" s="290"/>
    </row>
    <row r="112" spans="1:13" x14ac:dyDescent="0.25">
      <c r="A112" s="114">
        <v>8</v>
      </c>
      <c r="B112" s="140">
        <v>7</v>
      </c>
      <c r="C112" s="141" t="s">
        <v>17</v>
      </c>
      <c r="D112" s="141">
        <v>332</v>
      </c>
      <c r="E112" s="183">
        <v>319</v>
      </c>
      <c r="F112" s="141">
        <f t="shared" si="20"/>
        <v>0</v>
      </c>
      <c r="G112" s="183">
        <v>13</v>
      </c>
      <c r="H112" s="182">
        <f t="shared" si="21"/>
        <v>0.9608433734939759</v>
      </c>
      <c r="I112" s="153"/>
      <c r="K112" s="290"/>
      <c r="L112" s="290"/>
    </row>
    <row r="113" spans="1:13" x14ac:dyDescent="0.25">
      <c r="A113" s="114">
        <v>9</v>
      </c>
      <c r="B113" s="140">
        <v>42</v>
      </c>
      <c r="C113" s="141" t="s">
        <v>18</v>
      </c>
      <c r="D113" s="141">
        <v>127</v>
      </c>
      <c r="E113" s="183">
        <f>'[1]July 2025'!O7+'[1]August,2025'!O7+'[1]Septeber,2025'!O7+'[1]October,2025'!O7+'[1]November,2025'!O7+'[1]December 2025'!O7+'[1]January,2026'!O6+'[1]February,2025'!O7+'[1]March,2026'!O7</f>
        <v>495</v>
      </c>
      <c r="F113" s="141">
        <f t="shared" si="20"/>
        <v>3311</v>
      </c>
      <c r="G113" s="183">
        <v>2943</v>
      </c>
      <c r="H113" s="182">
        <f t="shared" si="21"/>
        <v>0.14397905759162305</v>
      </c>
      <c r="I113" s="137"/>
      <c r="K113" s="290"/>
      <c r="L113" s="290"/>
    </row>
    <row r="114" spans="1:13" x14ac:dyDescent="0.25">
      <c r="A114" s="114">
        <v>10</v>
      </c>
      <c r="B114" s="141">
        <v>52</v>
      </c>
      <c r="C114" s="141" t="s">
        <v>23</v>
      </c>
      <c r="D114" s="141">
        <v>721</v>
      </c>
      <c r="E114" s="183">
        <v>218</v>
      </c>
      <c r="F114" s="141">
        <f t="shared" si="20"/>
        <v>656</v>
      </c>
      <c r="G114" s="183">
        <v>1159</v>
      </c>
      <c r="H114" s="182">
        <f t="shared" si="21"/>
        <v>0.15831517792302105</v>
      </c>
      <c r="I114" s="153"/>
      <c r="K114" s="290"/>
      <c r="L114" s="290"/>
    </row>
    <row r="115" spans="1:13" x14ac:dyDescent="0.25">
      <c r="A115" s="114">
        <v>11</v>
      </c>
      <c r="B115" s="141">
        <v>65</v>
      </c>
      <c r="C115" s="141" t="s">
        <v>25</v>
      </c>
      <c r="D115" s="141">
        <v>1891</v>
      </c>
      <c r="E115" s="183">
        <v>468</v>
      </c>
      <c r="F115" s="141">
        <f t="shared" si="20"/>
        <v>1387</v>
      </c>
      <c r="G115" s="183">
        <v>2810</v>
      </c>
      <c r="H115" s="182">
        <f t="shared" si="21"/>
        <v>0.1427699816961562</v>
      </c>
      <c r="I115" s="153"/>
      <c r="K115" s="290"/>
      <c r="L115" s="290"/>
    </row>
    <row r="116" spans="1:13" x14ac:dyDescent="0.25">
      <c r="A116" s="114">
        <v>12</v>
      </c>
      <c r="B116" s="141">
        <v>25</v>
      </c>
      <c r="C116" s="141" t="s">
        <v>26</v>
      </c>
      <c r="D116" s="141">
        <v>329</v>
      </c>
      <c r="E116" s="183">
        <v>325</v>
      </c>
      <c r="F116" s="141">
        <f t="shared" si="20"/>
        <v>341</v>
      </c>
      <c r="G116" s="183">
        <v>345</v>
      </c>
      <c r="H116" s="182">
        <f t="shared" si="21"/>
        <v>0.48507462686567165</v>
      </c>
      <c r="I116" s="153"/>
      <c r="K116" s="290"/>
      <c r="L116" s="290"/>
    </row>
    <row r="117" spans="1:13" x14ac:dyDescent="0.25">
      <c r="A117" s="114">
        <v>13</v>
      </c>
      <c r="B117" s="141">
        <v>11</v>
      </c>
      <c r="C117" s="141" t="s">
        <v>28</v>
      </c>
      <c r="D117" s="141">
        <v>0</v>
      </c>
      <c r="E117" s="183">
        <f>'[1]July 2025'!O12+'[1]August,2025'!O12+'[1]Septeber,2025'!O12+'[1]October,2025'!O12+'[1]November,2025'!O12+'[1]December 2025'!O12+'[1]January,2026'!O11+'[1]February,2025'!O12+'[1]March,2026'!O12</f>
        <v>0</v>
      </c>
      <c r="F117" s="141">
        <f t="shared" si="20"/>
        <v>0</v>
      </c>
      <c r="G117" s="183">
        <v>0</v>
      </c>
      <c r="H117" s="182" t="e">
        <f t="shared" si="21"/>
        <v>#DIV/0!</v>
      </c>
      <c r="I117" s="137"/>
      <c r="K117" s="290"/>
      <c r="L117" s="290"/>
    </row>
    <row r="118" spans="1:12" x14ac:dyDescent="0.25">
      <c r="A118" s="295"/>
      <c r="B118" s="286">
        <f>SUM(B105:B117)</f>
        <v>422</v>
      </c>
      <c r="C118" s="287" t="s">
        <v>29</v>
      </c>
      <c r="D118" s="300">
        <f>SUM(D105:D117)</f>
        <v>3583</v>
      </c>
      <c r="E118" s="300">
        <f t="shared" ref="E118:G118" si="22">SUM(E105:E117)</f>
        <v>3527</v>
      </c>
      <c r="F118" s="300">
        <f t="shared" si="22"/>
        <v>7280</v>
      </c>
      <c r="G118" s="300">
        <f t="shared" si="22"/>
        <v>7336</v>
      </c>
      <c r="H118" s="301">
        <f t="shared" ref="H118" si="23">E118/(D118+F118)</f>
        <v>0.3246801067844978</v>
      </c>
      <c r="I118" s="290">
        <f>D118+F118</f>
        <v>10863</v>
      </c>
      <c r="J118" s="290">
        <f>E118</f>
        <v>3527</v>
      </c>
      <c r="L118" s="290">
        <f>SUM(L105:L117)</f>
        <v>0</v>
      </c>
    </row>
    <row r="119" spans="10:12" x14ac:dyDescent="0.25">
      <c r="J119" s="291"/>
      <c r="L119" s="290"/>
    </row>
    <row r="120" spans="2:6" x14ac:dyDescent="0.25">
      <c r="B120" s="302" t="s">
        <v>114</v>
      </c>
      <c r="C120" s="302"/>
      <c r="D120" s="302"/>
      <c r="E120" s="302"/>
      <c r="F120" s="302"/>
    </row>
    <row r="121" ht="52.8" customHeight="1" spans="2:8" x14ac:dyDescent="0.25">
      <c r="B121" s="303" t="s">
        <v>4</v>
      </c>
      <c r="C121" s="304" t="s">
        <v>115</v>
      </c>
      <c r="D121" s="305" t="s">
        <v>116</v>
      </c>
      <c r="E121" s="305" t="s">
        <v>117</v>
      </c>
      <c r="F121" s="305" t="s">
        <v>98</v>
      </c>
      <c r="H121" s="290"/>
    </row>
    <row r="122" spans="2:6" x14ac:dyDescent="0.25">
      <c r="B122" s="303"/>
      <c r="C122" s="304"/>
      <c r="D122" s="305"/>
      <c r="E122" s="304"/>
      <c r="F122" s="304"/>
    </row>
    <row r="123" spans="2:6" x14ac:dyDescent="0.25">
      <c r="B123" s="146" t="s">
        <v>24</v>
      </c>
      <c r="C123" s="306">
        <v>157</v>
      </c>
      <c r="D123" s="307">
        <v>7385</v>
      </c>
      <c r="E123" s="308">
        <v>0</v>
      </c>
      <c r="F123" s="309">
        <f>C123-E123</f>
        <v>157</v>
      </c>
    </row>
    <row r="124" spans="2:6" x14ac:dyDescent="0.25">
      <c r="B124" s="146" t="s">
        <v>21</v>
      </c>
      <c r="C124" s="306">
        <v>0</v>
      </c>
      <c r="D124" s="310">
        <v>0</v>
      </c>
      <c r="E124" s="308">
        <v>0</v>
      </c>
      <c r="F124" s="309">
        <f>C124-E124</f>
        <v>0</v>
      </c>
    </row>
    <row r="125" spans="2:6" x14ac:dyDescent="0.25">
      <c r="B125" s="141" t="s">
        <v>27</v>
      </c>
      <c r="C125" s="306">
        <v>291</v>
      </c>
      <c r="D125" s="307">
        <v>19947.1</v>
      </c>
      <c r="E125" s="308">
        <v>1</v>
      </c>
      <c r="F125" s="309">
        <f t="shared" ref="F125:F135" si="24">C125-E125</f>
        <v>290</v>
      </c>
    </row>
    <row r="126" spans="2:6" x14ac:dyDescent="0.25">
      <c r="B126" s="146" t="s">
        <v>16</v>
      </c>
      <c r="C126" s="306">
        <v>32</v>
      </c>
      <c r="D126" s="307">
        <v>1307.25</v>
      </c>
      <c r="E126" s="308">
        <v>16</v>
      </c>
      <c r="F126" s="309">
        <f t="shared" si="24"/>
        <v>16</v>
      </c>
    </row>
    <row r="127" spans="2:6" x14ac:dyDescent="0.25">
      <c r="B127" s="146" t="s">
        <v>22</v>
      </c>
      <c r="C127" s="306">
        <v>0</v>
      </c>
      <c r="D127" s="306">
        <v>0</v>
      </c>
      <c r="E127" s="308">
        <v>0</v>
      </c>
      <c r="F127" s="309">
        <f t="shared" si="24"/>
        <v>0</v>
      </c>
    </row>
    <row r="128" spans="2:6" x14ac:dyDescent="0.25">
      <c r="B128" s="141" t="s">
        <v>19</v>
      </c>
      <c r="C128" s="306">
        <v>113</v>
      </c>
      <c r="D128" s="307">
        <v>7767.74</v>
      </c>
      <c r="E128" s="308">
        <v>49</v>
      </c>
      <c r="F128" s="309">
        <f t="shared" si="24"/>
        <v>64</v>
      </c>
    </row>
    <row r="129" spans="2:6" x14ac:dyDescent="0.25">
      <c r="B129" s="146" t="s">
        <v>20</v>
      </c>
      <c r="C129" s="306">
        <v>21</v>
      </c>
      <c r="D129" s="307">
        <v>3570</v>
      </c>
      <c r="E129" s="308">
        <v>0</v>
      </c>
      <c r="F129" s="309">
        <f t="shared" si="24"/>
        <v>21</v>
      </c>
    </row>
    <row r="130" spans="2:6" x14ac:dyDescent="0.25">
      <c r="B130" s="141" t="s">
        <v>17</v>
      </c>
      <c r="C130" s="310">
        <v>193</v>
      </c>
      <c r="D130" s="307">
        <v>10175.56</v>
      </c>
      <c r="E130" s="308">
        <v>13</v>
      </c>
      <c r="F130" s="309">
        <f t="shared" si="24"/>
        <v>180</v>
      </c>
    </row>
    <row r="131" spans="2:6" x14ac:dyDescent="0.25">
      <c r="B131" s="141" t="s">
        <v>18</v>
      </c>
      <c r="C131" s="311">
        <v>3440</v>
      </c>
      <c r="D131" s="307">
        <v>159532.45</v>
      </c>
      <c r="E131" s="308">
        <v>2943</v>
      </c>
      <c r="F131" s="309">
        <f t="shared" si="24"/>
        <v>497</v>
      </c>
    </row>
    <row r="132" spans="2:6" x14ac:dyDescent="0.25">
      <c r="B132" s="141" t="s">
        <v>23</v>
      </c>
      <c r="C132" s="307">
        <v>1144</v>
      </c>
      <c r="D132" s="311">
        <v>50937.25</v>
      </c>
      <c r="E132" s="308">
        <v>1159</v>
      </c>
      <c r="F132" s="309">
        <f t="shared" si="24"/>
        <v>-15</v>
      </c>
    </row>
    <row r="133" spans="2:6" x14ac:dyDescent="0.25">
      <c r="B133" s="141" t="s">
        <v>25</v>
      </c>
      <c r="C133" s="307">
        <v>4075</v>
      </c>
      <c r="D133" s="311">
        <v>178485</v>
      </c>
      <c r="E133" s="308">
        <v>2810</v>
      </c>
      <c r="F133" s="309">
        <f t="shared" si="24"/>
        <v>1265</v>
      </c>
    </row>
    <row r="134" spans="2:6" x14ac:dyDescent="0.25">
      <c r="B134" s="141" t="s">
        <v>26</v>
      </c>
      <c r="C134" s="306">
        <v>337</v>
      </c>
      <c r="D134" s="307">
        <v>14299.5</v>
      </c>
      <c r="E134" s="308">
        <v>345</v>
      </c>
      <c r="F134" s="309">
        <f t="shared" si="24"/>
        <v>-8</v>
      </c>
    </row>
    <row r="135" spans="2:6" x14ac:dyDescent="0.25">
      <c r="B135" s="141" t="s">
        <v>28</v>
      </c>
      <c r="C135" s="306"/>
      <c r="D135" s="306"/>
      <c r="E135" s="308">
        <v>0</v>
      </c>
      <c r="F135" s="309">
        <f t="shared" si="24"/>
        <v>0</v>
      </c>
    </row>
    <row r="136" spans="2:6" x14ac:dyDescent="0.25">
      <c r="B136" s="312" t="s">
        <v>29</v>
      </c>
      <c r="C136" s="313">
        <f>SUM(C123:C135)</f>
        <v>9803</v>
      </c>
      <c r="D136" s="313">
        <f t="shared" ref="D136:F136" si="25">SUM(D123:D135)</f>
        <v>453406.85</v>
      </c>
      <c r="E136" s="313">
        <f t="shared" si="25"/>
        <v>7336</v>
      </c>
      <c r="F136" s="313">
        <f t="shared" si="25"/>
        <v>2467</v>
      </c>
    </row>
  </sheetData>
  <mergeCells count="41">
    <mergeCell ref="A1:J1"/>
    <mergeCell ref="A2:J2"/>
    <mergeCell ref="A3:J3"/>
    <mergeCell ref="D4:E5"/>
    <mergeCell ref="F4:H4"/>
    <mergeCell ref="A4:A5"/>
    <mergeCell ref="B4:B5"/>
    <mergeCell ref="C4:C5"/>
    <mergeCell ref="A22:L22"/>
    <mergeCell ref="D23:K23"/>
    <mergeCell ref="A23:A25"/>
    <mergeCell ref="B23:B25"/>
    <mergeCell ref="C23:C25"/>
    <mergeCell ref="D24:G24"/>
    <mergeCell ref="H24:K24"/>
    <mergeCell ref="L23:L25"/>
    <mergeCell ref="A43:H43"/>
    <mergeCell ref="D44:G45"/>
    <mergeCell ref="A44:A46"/>
    <mergeCell ref="B44:B46"/>
    <mergeCell ref="C44:C46"/>
    <mergeCell ref="H44:H46"/>
    <mergeCell ref="A62:H62"/>
    <mergeCell ref="D63:G64"/>
    <mergeCell ref="A63:A65"/>
    <mergeCell ref="B63:B65"/>
    <mergeCell ref="C63:C65"/>
    <mergeCell ref="H63:H65"/>
    <mergeCell ref="A81:H81"/>
    <mergeCell ref="D82:G83"/>
    <mergeCell ref="A82:A84"/>
    <mergeCell ref="B82:B84"/>
    <mergeCell ref="C82:C84"/>
    <mergeCell ref="H82:H84"/>
    <mergeCell ref="A100:H100"/>
    <mergeCell ref="D101:G102"/>
    <mergeCell ref="A101:A102"/>
    <mergeCell ref="B101:B103"/>
    <mergeCell ref="C101:C103"/>
    <mergeCell ref="H101:H103"/>
    <mergeCell ref="B120:F120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4"/>
  <sheetViews>
    <sheetView workbookViewId="0" zoomScale="100" zoomScaleNormal="100">
      <selection activeCell="D4" sqref="D4"/>
    </sheetView>
  </sheetViews>
  <sheetFormatPr defaultRowHeight="14.4" outlineLevelRow="0" outlineLevelCol="0" x14ac:dyDescent="0.3" customHeight="1"/>
  <cols>
    <col min="1" max="1" width="4.6640625" customWidth="1"/>
    <col min="2" max="2" width="12.44140625" customWidth="1"/>
    <col min="3" max="3" width="12.88671875" customWidth="1"/>
    <col min="4" max="4" width="16" customWidth="1"/>
    <col min="5" max="5" width="18.33203125" customWidth="1"/>
    <col min="6" max="7" width="16" customWidth="1"/>
    <col min="8" max="8" width="11" customWidth="1"/>
    <col min="9" max="9" width="14.6640625" customWidth="1"/>
    <col min="10" max="10" width="14.33203125" customWidth="1"/>
    <col min="11" max="11" width="15.88671875" customWidth="1"/>
    <col min="12" max="12" width="17.33203125" customWidth="1"/>
  </cols>
  <sheetData>
    <row r="1" ht="17.4" customHeight="1" spans="1:12" x14ac:dyDescent="0.25">
      <c r="A1" s="97" t="s">
        <v>118</v>
      </c>
      <c r="B1" s="97"/>
      <c r="C1" s="97"/>
      <c r="D1" s="97"/>
      <c r="E1" s="97"/>
      <c r="F1" s="97"/>
      <c r="G1" s="97"/>
      <c r="H1" s="97"/>
      <c r="I1" s="98"/>
      <c r="J1" s="98"/>
      <c r="K1" s="98"/>
      <c r="L1" s="98"/>
    </row>
    <row r="2" ht="17.4" customHeight="1" spans="1:12" x14ac:dyDescent="0.25">
      <c r="A2" s="97" t="s">
        <v>92</v>
      </c>
      <c r="B2" s="97"/>
      <c r="C2" s="97"/>
      <c r="D2" s="97"/>
      <c r="E2" s="97"/>
      <c r="F2" s="97"/>
      <c r="G2" s="97"/>
      <c r="H2" s="97"/>
      <c r="I2" s="98"/>
      <c r="J2" s="98"/>
      <c r="K2" s="98"/>
      <c r="L2" s="98"/>
    </row>
    <row r="3" ht="17.4" customHeight="1" spans="1:12" x14ac:dyDescent="0.25">
      <c r="A3" s="243" t="s">
        <v>119</v>
      </c>
      <c r="B3" s="243"/>
      <c r="C3" s="243"/>
      <c r="D3" s="243"/>
      <c r="E3" s="243"/>
      <c r="F3" s="243"/>
      <c r="G3" s="243"/>
      <c r="H3" s="243"/>
      <c r="I3" s="314"/>
      <c r="J3" s="97"/>
      <c r="K3" s="97"/>
      <c r="L3" s="97"/>
    </row>
    <row r="4" ht="18" customHeight="1" spans="1:12" x14ac:dyDescent="0.25">
      <c r="A4" s="244" t="s">
        <v>2</v>
      </c>
      <c r="B4" s="245" t="s">
        <v>3</v>
      </c>
      <c r="C4" s="244" t="s">
        <v>4</v>
      </c>
      <c r="D4" s="246" t="s">
        <v>120</v>
      </c>
      <c r="E4" s="246"/>
      <c r="F4" s="247" t="s">
        <v>6</v>
      </c>
      <c r="G4" s="248"/>
      <c r="H4" s="249"/>
      <c r="I4" s="97"/>
      <c r="J4" s="97"/>
      <c r="K4" s="97"/>
      <c r="L4" s="97"/>
    </row>
    <row r="5" ht="39.6" customHeight="1" spans="1:12" x14ac:dyDescent="0.25">
      <c r="A5" s="244"/>
      <c r="B5" s="245"/>
      <c r="C5" s="244"/>
      <c r="D5" s="246"/>
      <c r="E5" s="246"/>
      <c r="F5" s="245" t="s">
        <v>89</v>
      </c>
      <c r="G5" s="244" t="s">
        <v>8</v>
      </c>
      <c r="H5" s="245" t="s">
        <v>121</v>
      </c>
      <c r="I5" s="97"/>
      <c r="J5" s="97"/>
      <c r="K5" s="97"/>
      <c r="L5" s="97"/>
    </row>
    <row r="6" ht="17.4" customHeight="1" spans="1:12" x14ac:dyDescent="0.25">
      <c r="A6" s="250"/>
      <c r="B6" s="250" t="s">
        <v>10</v>
      </c>
      <c r="C6" s="250" t="s">
        <v>11</v>
      </c>
      <c r="D6" s="251" t="s">
        <v>7</v>
      </c>
      <c r="E6" s="251" t="s">
        <v>8</v>
      </c>
      <c r="F6" s="250" t="s">
        <v>14</v>
      </c>
      <c r="G6" s="250" t="s">
        <v>15</v>
      </c>
      <c r="H6" s="268" t="s">
        <v>54</v>
      </c>
      <c r="I6" s="97"/>
      <c r="J6" s="97"/>
      <c r="K6" s="97"/>
      <c r="L6" s="97"/>
    </row>
    <row r="7" ht="17.4" customHeight="1" spans="1:12" x14ac:dyDescent="0.25">
      <c r="A7" s="90">
        <v>1</v>
      </c>
      <c r="B7" s="65">
        <v>25</v>
      </c>
      <c r="C7" s="65" t="s">
        <v>26</v>
      </c>
      <c r="D7" s="65">
        <f>'Weekly Executive Summary'!D13+'Weekly Executive Summary'!D33+'Weekly Executive Summary'!F33+'Weekly Executive Summary'!H33+'Weekly Executive Summary'!J33+'Weekly Executive Summary'!D58+'Weekly Executive Summary'!F58+'Weekly Executive Summary'!D75+'Weekly Executive Summary'!F75+'Weekly Executive Summary'!D88+'Weekly Executive Summary'!F88+'Weekly Executive Summary'!D116+'Weekly Executive Summary'!F116</f>
        <v>138027</v>
      </c>
      <c r="E7" s="65">
        <f>'Weekly Executive Summary'!E13+'Weekly Executive Summary'!E33+'Weekly Executive Summary'!I33+'Weekly Executive Summary'!E58+'Weekly Executive Summary'!E75+'Weekly Executive Summary'!E88+'Weekly Executive Summary'!E116</f>
        <v>102378</v>
      </c>
      <c r="F7" s="141">
        <f t="shared" ref="F7:F19" si="0">D7-E7</f>
        <v>35649</v>
      </c>
      <c r="G7" s="141">
        <f>E7</f>
        <v>102378</v>
      </c>
      <c r="H7" s="315">
        <f t="shared" ref="H7:H19" si="1">E7/D7</f>
        <v>0.7417244452172401</v>
      </c>
      <c r="I7" s="97"/>
      <c r="J7" s="97"/>
      <c r="K7" s="97"/>
      <c r="L7" s="97"/>
    </row>
    <row r="8" ht="17.4" customHeight="1" spans="1:12" x14ac:dyDescent="0.25">
      <c r="A8" s="90">
        <v>2</v>
      </c>
      <c r="B8" s="66">
        <v>49</v>
      </c>
      <c r="C8" s="66" t="s">
        <v>19</v>
      </c>
      <c r="D8" s="65">
        <f>'Weekly Executive Summary'!D14+'Weekly Executive Summary'!D28+'Weekly Executive Summary'!F28+'Weekly Executive Summary'!H28+'Weekly Executive Summary'!J28+'Weekly Executive Summary'!D51+'Weekly Executive Summary'!F51+'Weekly Executive Summary'!D73+'Weekly Executive Summary'!F73+'Weekly Executive Summary'!D91+'Weekly Executive Summary'!F91+'Weekly Executive Summary'!D110+'Weekly Executive Summary'!F110</f>
        <v>445291</v>
      </c>
      <c r="E8" s="65">
        <f>'Weekly Executive Summary'!E14+'Weekly Executive Summary'!E28+'Weekly Executive Summary'!I28+'Weekly Executive Summary'!E51+'Weekly Executive Summary'!E73+'Weekly Executive Summary'!E91+'Weekly Executive Summary'!E110</f>
        <v>323846</v>
      </c>
      <c r="F8" s="141">
        <f t="shared" si="0"/>
        <v>121445</v>
      </c>
      <c r="G8" s="141">
        <f t="shared" ref="G8:G19" si="2">E8</f>
        <v>323846</v>
      </c>
      <c r="H8" s="315">
        <f t="shared" si="1"/>
        <v>0.727268235827807</v>
      </c>
      <c r="I8" s="97"/>
      <c r="J8" s="97"/>
      <c r="K8" s="97"/>
      <c r="L8" s="97"/>
    </row>
    <row r="9" ht="17.4" customHeight="1" spans="1:12" x14ac:dyDescent="0.25">
      <c r="A9" s="90">
        <v>3</v>
      </c>
      <c r="B9" s="254">
        <v>7</v>
      </c>
      <c r="C9" s="65" t="s">
        <v>17</v>
      </c>
      <c r="D9" s="65">
        <f>'Weekly Executive Summary'!D12+'Weekly Executive Summary'!D30+'Weekly Executive Summary'!F30+'Weekly Executive Summary'!H30+'Weekly Executive Summary'!J30+'Weekly Executive Summary'!D52+'Weekly Executive Summary'!F52+'Weekly Executive Summary'!D67+'Weekly Executive Summary'!F67+'Weekly Executive Summary'!D95+'Weekly Executive Summary'!F95+'Weekly Executive Summary'!D112+'Weekly Executive Summary'!F112</f>
        <v>19848</v>
      </c>
      <c r="E9" s="65">
        <f>'Weekly Executive Summary'!E12+'Weekly Executive Summary'!E30+'Weekly Executive Summary'!I30+'Weekly Executive Summary'!E52+'Weekly Executive Summary'!E67+'Weekly Executive Summary'!E95+'Weekly Executive Summary'!E112</f>
        <v>11981</v>
      </c>
      <c r="F9" s="141">
        <f t="shared" si="0"/>
        <v>7867</v>
      </c>
      <c r="G9" s="141">
        <f t="shared" si="2"/>
        <v>11981</v>
      </c>
      <c r="H9" s="315">
        <f t="shared" si="1"/>
        <v>0.6036376461104394</v>
      </c>
      <c r="I9" s="97"/>
      <c r="J9" s="97"/>
      <c r="K9" s="97"/>
      <c r="L9" s="97"/>
    </row>
    <row r="10" ht="17.4" customHeight="1" spans="1:12" x14ac:dyDescent="0.25">
      <c r="A10" s="90">
        <v>4</v>
      </c>
      <c r="B10" s="66">
        <v>11</v>
      </c>
      <c r="C10" s="66" t="s">
        <v>28</v>
      </c>
      <c r="D10" s="65">
        <f>'Weekly Executive Summary'!D15+'Weekly Executive Summary'!D31+'Weekly Executive Summary'!F31+'Weekly Executive Summary'!H31+'Weekly Executive Summary'!J31+'Weekly Executive Summary'!D60+'Weekly Executive Summary'!F60+'Weekly Executive Summary'!D78+'Weekly Executive Summary'!F78+'Weekly Executive Summary'!D89+'Weekly Executive Summary'!F89+'Weekly Executive Summary'!D117+'Weekly Executive Summary'!F117</f>
        <v>76076</v>
      </c>
      <c r="E10" s="66">
        <f>'Weekly Executive Summary'!E15+'Weekly Executive Summary'!E31+'Weekly Executive Summary'!I31+'Weekly Executive Summary'!E60+'Weekly Executive Summary'!E78+'Weekly Executive Summary'!E89+'Weekly Executive Summary'!E117</f>
        <v>53870</v>
      </c>
      <c r="F10" s="141">
        <f t="shared" si="0"/>
        <v>22206</v>
      </c>
      <c r="G10" s="141">
        <f t="shared" si="2"/>
        <v>53870</v>
      </c>
      <c r="H10" s="315">
        <f t="shared" si="1"/>
        <v>0.7081076817918923</v>
      </c>
      <c r="I10" s="97"/>
      <c r="J10" s="97"/>
      <c r="K10" s="97"/>
      <c r="L10" s="97"/>
    </row>
    <row r="11" ht="17.4" customHeight="1" spans="1:12" x14ac:dyDescent="0.25">
      <c r="A11" s="90">
        <v>5</v>
      </c>
      <c r="B11" s="66">
        <v>39</v>
      </c>
      <c r="C11" s="66" t="s">
        <v>27</v>
      </c>
      <c r="D11" s="65">
        <f>'Weekly Executive Summary'!D16+'Weekly Executive Summary'!D38+'Weekly Executive Summary'!F38+'Weekly Executive Summary'!H38+'Weekly Executive Summary'!J38+'Weekly Executive Summary'!D56+'Weekly Executive Summary'!F56+'Weekly Executive Summary'!D69+'Weekly Executive Summary'!F69+'Weekly Executive Summary'!D87+'Weekly Executive Summary'!F87+'Weekly Executive Summary'!D107+'Weekly Executive Summary'!F107</f>
        <v>125016</v>
      </c>
      <c r="E11" s="70">
        <f>'Weekly Executive Summary'!E16+'Weekly Executive Summary'!E38+'Weekly Executive Summary'!I38+'Weekly Executive Summary'!E56+'Weekly Executive Summary'!E69+'Weekly Executive Summary'!E87+'Weekly Executive Summary'!E107</f>
        <v>72168</v>
      </c>
      <c r="F11" s="141">
        <f t="shared" si="0"/>
        <v>52848</v>
      </c>
      <c r="G11" s="141">
        <f t="shared" si="2"/>
        <v>72168</v>
      </c>
      <c r="H11" s="315">
        <f t="shared" si="1"/>
        <v>0.5772701094259934</v>
      </c>
      <c r="I11" s="97"/>
      <c r="J11" s="97"/>
      <c r="K11" s="97"/>
      <c r="L11" s="97"/>
    </row>
    <row r="12" ht="17.4" customHeight="1" spans="1:12" x14ac:dyDescent="0.25">
      <c r="A12" s="90">
        <v>6</v>
      </c>
      <c r="B12" s="70">
        <v>42</v>
      </c>
      <c r="C12" s="66" t="s">
        <v>18</v>
      </c>
      <c r="D12" s="65">
        <f>'Weekly Executive Summary'!D10+'Weekly Executive Summary'!D29+'Weekly Executive Summary'!F29+'Weekly Executive Summary'!H29+'Weekly Executive Summary'!J29+'Weekly Executive Summary'!D57+'Weekly Executive Summary'!F57+'Weekly Executive Summary'!D76+'Weekly Executive Summary'!F76+'Weekly Executive Summary'!D90+'Weekly Executive Summary'!F90+'Weekly Executive Summary'!D113+'Weekly Executive Summary'!F113</f>
        <v>142572</v>
      </c>
      <c r="E12" s="66">
        <f>'Weekly Executive Summary'!E10+'Weekly Executive Summary'!E29+'Weekly Executive Summary'!I29+'Weekly Executive Summary'!E57+'Weekly Executive Summary'!E76+'Weekly Executive Summary'!E90+'Weekly Executive Summary'!E113</f>
        <v>83502</v>
      </c>
      <c r="F12" s="141">
        <f t="shared" si="0"/>
        <v>59070</v>
      </c>
      <c r="G12" s="141">
        <f t="shared" si="2"/>
        <v>83502</v>
      </c>
      <c r="H12" s="315">
        <f t="shared" si="1"/>
        <v>0.5856830233145358</v>
      </c>
      <c r="I12" s="97"/>
      <c r="J12" s="97"/>
      <c r="K12" s="97"/>
      <c r="L12" s="97"/>
    </row>
    <row r="13" ht="17.4" customHeight="1" spans="1:12" x14ac:dyDescent="0.25">
      <c r="A13" s="90">
        <v>7</v>
      </c>
      <c r="B13" s="66">
        <v>17</v>
      </c>
      <c r="C13" s="74" t="s">
        <v>24</v>
      </c>
      <c r="D13" s="65">
        <f>'Weekly Executive Summary'!D11+'Weekly Executive Summary'!D32+'Weekly Executive Summary'!F32+'Weekly Executive Summary'!H32+'Weekly Executive Summary'!J32+'Weekly Executive Summary'!D49+'Weekly Executive Summary'!F49+'Weekly Executive Summary'!D74+'Weekly Executive Summary'!F74+'Weekly Executive Summary'!D92+'Weekly Executive Summary'!F92+'Weekly Executive Summary'!D105+'Weekly Executive Summary'!F105</f>
        <v>72929</v>
      </c>
      <c r="E13" s="75">
        <f>'Weekly Executive Summary'!E11+'Weekly Executive Summary'!E32+'Weekly Executive Summary'!I32+'Weekly Executive Summary'!E49+'Weekly Executive Summary'!E74+'Weekly Executive Summary'!E92+'Weekly Executive Summary'!E105</f>
        <v>37987</v>
      </c>
      <c r="F13" s="141">
        <f t="shared" si="0"/>
        <v>34942</v>
      </c>
      <c r="G13" s="141">
        <f t="shared" si="2"/>
        <v>37987</v>
      </c>
      <c r="H13" s="315">
        <f t="shared" si="1"/>
        <v>0.5208764688944042</v>
      </c>
      <c r="I13" s="97"/>
      <c r="J13" s="97"/>
      <c r="K13" s="97"/>
      <c r="L13" s="97"/>
    </row>
    <row r="14" ht="17.4" customHeight="1" spans="1:12" x14ac:dyDescent="0.25">
      <c r="A14" s="90">
        <v>8</v>
      </c>
      <c r="B14" s="65">
        <v>26</v>
      </c>
      <c r="C14" s="78" t="s">
        <v>21</v>
      </c>
      <c r="D14" s="135">
        <f>'Weekly Executive Summary'!D9+'Weekly Executive Summary'!D34+'Weekly Executive Summary'!F34+'Weekly Executive Summary'!H34+'Weekly Executive Summary'!J34+'Weekly Executive Summary'!D50+'Weekly Executive Summary'!F50+'Weekly Executive Summary'!D77+'Weekly Executive Summary'!F77+'Weekly Executive Summary'!D94+'Weekly Executive Summary'!F94+'Weekly Executive Summary'!D106+'Weekly Executive Summary'!F106</f>
        <v>134909</v>
      </c>
      <c r="E14" s="141">
        <f>'Weekly Executive Summary'!E9+'Weekly Executive Summary'!E34+'Weekly Executive Summary'!I34+'Weekly Executive Summary'!E50+'Weekly Executive Summary'!E77+'Weekly Executive Summary'!E94+'Weekly Executive Summary'!E106</f>
        <v>64024</v>
      </c>
      <c r="F14" s="141">
        <f t="shared" si="0"/>
        <v>70885</v>
      </c>
      <c r="G14" s="141">
        <f t="shared" si="2"/>
        <v>64024</v>
      </c>
      <c r="H14" s="315">
        <f t="shared" si="1"/>
        <v>0.47457174836371185</v>
      </c>
      <c r="I14" s="97"/>
      <c r="J14" s="97"/>
      <c r="K14" s="97"/>
      <c r="L14" s="97"/>
    </row>
    <row r="15" ht="17.4" customHeight="1" spans="1:12" x14ac:dyDescent="0.25">
      <c r="A15" s="90">
        <v>9</v>
      </c>
      <c r="B15" s="66">
        <v>36</v>
      </c>
      <c r="C15" s="74" t="s">
        <v>20</v>
      </c>
      <c r="D15" s="65">
        <f>'Weekly Executive Summary'!D7+'Weekly Executive Summary'!D35+'Weekly Executive Summary'!F35+'Weekly Executive Summary'!H35+'Weekly Executive Summary'!J35+'Weekly Executive Summary'!D55+'Weekly Executive Summary'!F55+'Weekly Executive Summary'!D70+'Weekly Executive Summary'!F70+'Weekly Executive Summary'!D93+'Weekly Executive Summary'!F93+'Weekly Executive Summary'!D111+'Weekly Executive Summary'!F111</f>
        <v>329121</v>
      </c>
      <c r="E15" s="66">
        <f>'Weekly Executive Summary'!E7+'Weekly Executive Summary'!E35+'Weekly Executive Summary'!I35+'Weekly Executive Summary'!E55+'Weekly Executive Summary'!E70+'Weekly Executive Summary'!E93+'Weekly Executive Summary'!E111</f>
        <v>155128</v>
      </c>
      <c r="F15" s="141">
        <f t="shared" si="0"/>
        <v>173993</v>
      </c>
      <c r="G15" s="141">
        <f t="shared" si="2"/>
        <v>155128</v>
      </c>
      <c r="H15" s="315">
        <f t="shared" si="1"/>
        <v>0.47134032772141554</v>
      </c>
      <c r="I15" s="97"/>
      <c r="J15" s="97"/>
      <c r="K15" s="97"/>
      <c r="L15" s="97"/>
    </row>
    <row r="16" ht="17.4" customHeight="1" spans="1:12" x14ac:dyDescent="0.25">
      <c r="A16" s="90">
        <v>10</v>
      </c>
      <c r="B16" s="66">
        <v>33</v>
      </c>
      <c r="C16" s="74" t="s">
        <v>22</v>
      </c>
      <c r="D16" s="65">
        <f>'Weekly Executive Summary'!D8+'Weekly Executive Summary'!D36+'Weekly Executive Summary'!F36+'Weekly Executive Summary'!H36+'Weekly Executive Summary'!J36+'Weekly Executive Summary'!D54+'Weekly Executive Summary'!F54+'Weekly Executive Summary'!D72+'Weekly Executive Summary'!F72+'Weekly Executive Summary'!D97+'Weekly Executive Summary'!F97+'Weekly Executive Summary'!D109+'Weekly Executive Summary'!F109</f>
        <v>157545</v>
      </c>
      <c r="E16" s="75">
        <f>'Weekly Executive Summary'!E8+'Weekly Executive Summary'!E36+'Weekly Executive Summary'!I36+'Weekly Executive Summary'!E54+'Weekly Executive Summary'!E72+'Weekly Executive Summary'!E97+'Weekly Executive Summary'!E109</f>
        <v>44591</v>
      </c>
      <c r="F16" s="141">
        <f t="shared" si="0"/>
        <v>112954</v>
      </c>
      <c r="G16" s="141">
        <f t="shared" si="2"/>
        <v>44591</v>
      </c>
      <c r="H16" s="315">
        <f t="shared" si="1"/>
        <v>0.28303659271954046</v>
      </c>
      <c r="I16" s="97"/>
      <c r="J16" s="97"/>
      <c r="K16" s="97"/>
      <c r="L16" s="97"/>
    </row>
    <row r="17" ht="17.4" customHeight="1" spans="1:12" x14ac:dyDescent="0.25">
      <c r="A17" s="90">
        <v>11</v>
      </c>
      <c r="B17" s="66">
        <v>57</v>
      </c>
      <c r="C17" s="66" t="s">
        <v>25</v>
      </c>
      <c r="D17" s="65">
        <f>'Weekly Executive Summary'!D19+'Weekly Executive Summary'!D39+'Weekly Executive Summary'!F39+'Weekly Executive Summary'!H39+'Weekly Executive Summary'!J39+'Weekly Executive Summary'!D59+'Weekly Executive Summary'!F59+'Weekly Executive Summary'!D71+'Weekly Executive Summary'!F71+'Weekly Executive Summary'!D96+'Weekly Executive Summary'!F96+'Weekly Executive Summary'!D115+'Weekly Executive Summary'!F115</f>
        <v>164564</v>
      </c>
      <c r="E17" s="66">
        <f>'Weekly Executive Summary'!E18+'Weekly Executive Summary'!E39+'Weekly Executive Summary'!I39+'Weekly Executive Summary'!E59+'Weekly Executive Summary'!E71+'Weekly Executive Summary'!E96+'Weekly Executive Summary'!E115</f>
        <v>44146</v>
      </c>
      <c r="F17" s="141">
        <f t="shared" si="0"/>
        <v>120418</v>
      </c>
      <c r="G17" s="141">
        <f t="shared" si="2"/>
        <v>44146</v>
      </c>
      <c r="H17" s="315">
        <f t="shared" si="1"/>
        <v>0.2682603728640529</v>
      </c>
      <c r="I17" s="97"/>
      <c r="J17" s="97"/>
      <c r="K17" s="97"/>
      <c r="L17" s="97"/>
    </row>
    <row r="18" ht="17.4" customHeight="1" spans="1:12" x14ac:dyDescent="0.25">
      <c r="A18" s="90">
        <v>12</v>
      </c>
      <c r="B18" s="66">
        <v>20</v>
      </c>
      <c r="C18" s="74" t="s">
        <v>16</v>
      </c>
      <c r="D18" s="65">
        <f>'Weekly Executive Summary'!D17+'Weekly Executive Summary'!D27+'Weekly Executive Summary'!F27+'Weekly Executive Summary'!H27+'Weekly Executive Summary'!J27+'Weekly Executive Summary'!D48+'Weekly Executive Summary'!F48+'Weekly Executive Summary'!D68+'Weekly Executive Summary'!F68+'Weekly Executive Summary'!D86+'Weekly Executive Summary'!F86+'Weekly Executive Summary'!D108+'Weekly Executive Summary'!F108</f>
        <v>92997</v>
      </c>
      <c r="E18" s="66">
        <f>'Weekly Executive Summary'!E17+'Weekly Executive Summary'!E27+'Weekly Executive Summary'!I27+'Weekly Executive Summary'!E48+'Weekly Executive Summary'!E68+'Weekly Executive Summary'!E86+'Weekly Executive Summary'!E108</f>
        <v>19183</v>
      </c>
      <c r="F18" s="141">
        <f t="shared" si="0"/>
        <v>73814</v>
      </c>
      <c r="G18" s="141">
        <f t="shared" si="2"/>
        <v>19183</v>
      </c>
      <c r="H18" s="315">
        <f t="shared" si="1"/>
        <v>0.20627547125176082</v>
      </c>
      <c r="I18" s="97"/>
      <c r="J18" s="97"/>
      <c r="K18" s="97"/>
      <c r="L18" s="97"/>
    </row>
    <row r="19" ht="17.4" customHeight="1" spans="1:12" x14ac:dyDescent="0.25">
      <c r="A19" s="90">
        <v>13</v>
      </c>
      <c r="B19" s="66">
        <v>58</v>
      </c>
      <c r="C19" s="66" t="s">
        <v>23</v>
      </c>
      <c r="D19" s="65">
        <f>'Weekly Executive Summary'!D18+'Weekly Executive Summary'!D37+'Weekly Executive Summary'!F37+'Weekly Executive Summary'!H37+'Weekly Executive Summary'!J37+'Weekly Executive Summary'!D53+'Weekly Executive Summary'!F53+'Weekly Executive Summary'!D79+'Weekly Executive Summary'!F79+'Weekly Executive Summary'!D98+'Weekly Executive Summary'!F98+'Weekly Executive Summary'!D114+'Weekly Executive Summary'!F114</f>
        <v>230007</v>
      </c>
      <c r="E19" s="66">
        <f>'Weekly Executive Summary'!E18+'Weekly Executive Summary'!E37+'Weekly Executive Summary'!I37+'Weekly Executive Summary'!E53+'Weekly Executive Summary'!E79+'Weekly Executive Summary'!E98+'Weekly Executive Summary'!E114</f>
        <v>24524</v>
      </c>
      <c r="F19" s="141">
        <f t="shared" si="0"/>
        <v>205483</v>
      </c>
      <c r="G19" s="141">
        <f t="shared" si="2"/>
        <v>24524</v>
      </c>
      <c r="H19" s="315">
        <f t="shared" si="1"/>
        <v>0.10662284191350697</v>
      </c>
      <c r="I19" s="97"/>
      <c r="J19" s="97"/>
      <c r="K19" s="97"/>
      <c r="L19" s="97"/>
    </row>
    <row r="20" ht="17.4" customHeight="1" spans="1:12" x14ac:dyDescent="0.25">
      <c r="A20" s="94"/>
      <c r="B20" s="79">
        <f>SUM(B7:B19)</f>
        <v>420</v>
      </c>
      <c r="C20" s="80" t="s">
        <v>29</v>
      </c>
      <c r="D20" s="81">
        <f>SUM(D7:D19)</f>
        <v>2128902</v>
      </c>
      <c r="E20" s="81">
        <f>SUM(E7:E19)</f>
        <v>1037328</v>
      </c>
      <c r="F20" s="81">
        <f>SUM(F7:F19)</f>
        <v>1091574</v>
      </c>
      <c r="G20" s="81">
        <f>SUM(G7:G19)</f>
        <v>1037328</v>
      </c>
      <c r="H20" s="189"/>
      <c r="I20" s="97"/>
      <c r="J20" s="97"/>
      <c r="K20" s="97"/>
      <c r="L20" s="97"/>
    </row>
    <row r="21" ht="17.4" customHeight="1" spans="1:12" x14ac:dyDescent="0.25">
      <c r="A21" s="94"/>
      <c r="B21" s="94"/>
      <c r="C21" s="94"/>
      <c r="D21" s="91"/>
      <c r="E21" s="94"/>
      <c r="F21" s="91">
        <f>F20/D20</f>
        <v>0.5127403703881156</v>
      </c>
      <c r="G21" s="91">
        <f>G20/D20</f>
        <v>0.48725962961188446</v>
      </c>
      <c r="H21" s="189"/>
      <c r="I21" s="97"/>
      <c r="J21" s="97"/>
      <c r="K21" s="97"/>
      <c r="L21" s="97"/>
    </row>
    <row r="22" spans="5:5" x14ac:dyDescent="0.25">
      <c r="E22" s="290">
        <f>'Weekly Executive Summary'!E20+'Weekly Executive Summary'!E40+'Weekly Executive Summary'!I40+'Weekly Executive Summary'!E61+'Weekly Executive Summary'!E80+'Weekly Executive Summary'!E99+'Weekly Executive Summary'!E118</f>
        <v>1036595</v>
      </c>
    </row>
    <row r="23" spans="4:5" x14ac:dyDescent="0.25">
      <c r="D23" s="76">
        <v>2128902</v>
      </c>
      <c r="E23" s="76">
        <v>1036595</v>
      </c>
    </row>
    <row r="24" spans="4:5" x14ac:dyDescent="0.25">
      <c r="D24" s="290">
        <f>D20-D23</f>
        <v>0</v>
      </c>
      <c r="E24" s="290">
        <f>E20-E23</f>
        <v>733</v>
      </c>
    </row>
  </sheetData>
  <mergeCells count="8">
    <mergeCell ref="A1:H1"/>
    <mergeCell ref="A2:H2"/>
    <mergeCell ref="A3:H3"/>
    <mergeCell ref="D4:E5"/>
    <mergeCell ref="F4:H4"/>
    <mergeCell ref="A4:A5"/>
    <mergeCell ref="B4:B5"/>
    <mergeCell ref="C4:C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 zoomScale="100" zoomScaleNormal="100">
      <selection activeCell="E23" sqref="E23"/>
    </sheetView>
  </sheetViews>
  <sheetFormatPr defaultRowHeight="14.4" outlineLevelRow="0" outlineLevelCol="0" x14ac:dyDescent="0.3" customHeight="1"/>
  <cols>
    <col min="1" max="1" width="4.6640625" customWidth="1"/>
    <col min="2" max="2" width="29.33203125" customWidth="1"/>
    <col min="3" max="3" width="16.6640625" customWidth="1"/>
    <col min="4" max="4" width="18.44140625" customWidth="1"/>
    <col min="5" max="5" width="18.33203125" customWidth="1"/>
    <col min="6" max="6" width="17.109375" customWidth="1"/>
    <col min="7" max="7" width="11.6640625" customWidth="1"/>
  </cols>
  <sheetData>
    <row r="1" ht="17.4" customHeight="1" spans="1:6" x14ac:dyDescent="0.25">
      <c r="A1" s="97"/>
      <c r="B1" s="97"/>
      <c r="C1" s="97"/>
      <c r="D1" s="97"/>
      <c r="E1" s="97"/>
      <c r="F1" s="97"/>
    </row>
    <row r="2" spans="1:8" x14ac:dyDescent="0.25">
      <c r="A2" s="316" t="s">
        <v>119</v>
      </c>
      <c r="B2" s="316"/>
      <c r="C2" s="316"/>
      <c r="D2" s="316"/>
      <c r="E2" s="316"/>
      <c r="F2" s="316"/>
      <c r="G2" s="316"/>
      <c r="H2" s="316"/>
    </row>
    <row r="3" spans="1:8" x14ac:dyDescent="0.25">
      <c r="A3" s="243" t="s">
        <v>122</v>
      </c>
      <c r="B3" s="243"/>
      <c r="C3" s="243"/>
      <c r="D3" s="243"/>
      <c r="E3" s="243"/>
      <c r="F3" s="243"/>
      <c r="G3" s="243"/>
      <c r="H3" s="243"/>
    </row>
    <row r="4" spans="1:8" x14ac:dyDescent="0.25">
      <c r="A4" s="317" t="s">
        <v>2</v>
      </c>
      <c r="B4" s="317" t="s">
        <v>57</v>
      </c>
      <c r="C4" s="245" t="s">
        <v>7</v>
      </c>
      <c r="D4" s="245" t="s">
        <v>8</v>
      </c>
      <c r="E4" s="245" t="s">
        <v>89</v>
      </c>
      <c r="F4" s="245" t="s">
        <v>123</v>
      </c>
      <c r="G4" s="245" t="s">
        <v>124</v>
      </c>
      <c r="H4" s="245" t="s">
        <v>125</v>
      </c>
    </row>
    <row r="5" ht="24.75" customHeight="1" spans="1:8" x14ac:dyDescent="0.25">
      <c r="A5" s="318"/>
      <c r="B5" s="318"/>
      <c r="C5" s="245"/>
      <c r="D5" s="245"/>
      <c r="E5" s="245"/>
      <c r="F5" s="245"/>
      <c r="G5" s="245"/>
      <c r="H5" s="245"/>
    </row>
    <row r="6" spans="1:8" x14ac:dyDescent="0.25">
      <c r="A6" s="319">
        <v>1</v>
      </c>
      <c r="B6" s="66" t="s">
        <v>64</v>
      </c>
      <c r="C6" s="81">
        <v>123788</v>
      </c>
      <c r="D6" s="66">
        <v>110220</v>
      </c>
      <c r="E6" s="141">
        <f>C6-D6</f>
        <v>13568</v>
      </c>
      <c r="F6" s="285" t="s">
        <v>126</v>
      </c>
      <c r="G6" s="320">
        <v>0.89</v>
      </c>
      <c r="H6" s="320">
        <v>0.88</v>
      </c>
    </row>
    <row r="7" ht="43.5" customHeight="1" spans="1:8" x14ac:dyDescent="0.25">
      <c r="A7" s="319">
        <v>2</v>
      </c>
      <c r="B7" s="70" t="s">
        <v>127</v>
      </c>
      <c r="C7" s="66">
        <v>341278</v>
      </c>
      <c r="D7" s="66">
        <v>82902</v>
      </c>
      <c r="E7" s="141">
        <f t="shared" ref="E7:E11" si="0">C7-D7</f>
        <v>258376</v>
      </c>
      <c r="F7" s="285" t="s">
        <v>128</v>
      </c>
      <c r="G7" s="320">
        <v>0.24</v>
      </c>
      <c r="H7" s="320">
        <v>0.25</v>
      </c>
    </row>
    <row r="8" ht="15" customHeight="1" spans="1:8" x14ac:dyDescent="0.25">
      <c r="A8" s="319">
        <v>3</v>
      </c>
      <c r="B8" s="321" t="s">
        <v>129</v>
      </c>
      <c r="C8" s="322">
        <v>6040</v>
      </c>
      <c r="D8" s="322">
        <v>4947</v>
      </c>
      <c r="E8" s="141">
        <f t="shared" si="0"/>
        <v>1093</v>
      </c>
      <c r="F8" s="285" t="s">
        <v>130</v>
      </c>
      <c r="G8" s="320">
        <v>0.82</v>
      </c>
      <c r="H8" s="320">
        <v>0.83</v>
      </c>
    </row>
    <row r="9" spans="1:8" x14ac:dyDescent="0.25">
      <c r="A9" s="319">
        <v>4</v>
      </c>
      <c r="B9" s="323" t="s">
        <v>131</v>
      </c>
      <c r="C9" s="322">
        <v>111742</v>
      </c>
      <c r="D9" s="322">
        <v>81864</v>
      </c>
      <c r="E9" s="141">
        <f t="shared" si="0"/>
        <v>29878</v>
      </c>
      <c r="F9" s="285" t="s">
        <v>132</v>
      </c>
      <c r="G9" s="320">
        <v>0.73</v>
      </c>
      <c r="H9" s="320">
        <v>0.76</v>
      </c>
    </row>
    <row r="10" spans="1:8" x14ac:dyDescent="0.25">
      <c r="A10" s="319">
        <v>5</v>
      </c>
      <c r="B10" s="321" t="s">
        <v>133</v>
      </c>
      <c r="C10" s="322">
        <v>1535191</v>
      </c>
      <c r="D10" s="322">
        <v>753135</v>
      </c>
      <c r="E10" s="141">
        <f t="shared" si="0"/>
        <v>782056</v>
      </c>
      <c r="F10" s="285" t="s">
        <v>134</v>
      </c>
      <c r="G10" s="320">
        <v>0.49</v>
      </c>
      <c r="H10" s="320">
        <v>0.54</v>
      </c>
    </row>
    <row r="11" ht="28.2" customHeight="1" spans="1:8" x14ac:dyDescent="0.25">
      <c r="A11" s="319">
        <v>6</v>
      </c>
      <c r="B11" s="70" t="s">
        <v>135</v>
      </c>
      <c r="C11" s="66">
        <v>10863</v>
      </c>
      <c r="D11" s="75">
        <v>3527</v>
      </c>
      <c r="E11" s="141">
        <f t="shared" si="0"/>
        <v>7336</v>
      </c>
      <c r="F11" s="285" t="s">
        <v>136</v>
      </c>
      <c r="G11" s="320">
        <v>0.32</v>
      </c>
      <c r="H11" s="320">
        <v>0.31</v>
      </c>
    </row>
    <row r="12" spans="1:8" x14ac:dyDescent="0.25">
      <c r="A12" s="94"/>
      <c r="B12" s="324" t="s">
        <v>29</v>
      </c>
      <c r="C12" s="325">
        <f>SUM(C6:C11)</f>
        <v>2128902</v>
      </c>
      <c r="D12" s="325">
        <f>SUM(D6:D11)</f>
        <v>1036595</v>
      </c>
      <c r="E12" s="188">
        <f>C12-D12</f>
        <v>1092307</v>
      </c>
      <c r="F12" s="325">
        <f t="shared" ref="F12" si="1">SUM(F6:F11)</f>
        <v>0</v>
      </c>
      <c r="G12" s="326">
        <f>D12/C12</f>
        <v>0.4869153206676493</v>
      </c>
      <c r="H12" s="301"/>
    </row>
    <row r="13" spans="1:8" x14ac:dyDescent="0.25">
      <c r="A13" s="94"/>
      <c r="B13" s="94"/>
      <c r="C13" s="91"/>
      <c r="D13" s="91">
        <f>D12/C12</f>
        <v>0.4869153206676493</v>
      </c>
      <c r="E13" s="91"/>
      <c r="F13" s="285"/>
      <c r="G13" s="295"/>
      <c r="H13" s="320"/>
    </row>
    <row r="14" spans="4:5" x14ac:dyDescent="0.25">
      <c r="D14" s="290"/>
      <c r="E14" s="290"/>
    </row>
  </sheetData>
  <mergeCells count="11">
    <mergeCell ref="A1:F1"/>
    <mergeCell ref="A2:H2"/>
    <mergeCell ref="A3:H3"/>
    <mergeCell ref="A4:A5"/>
    <mergeCell ref="B4:B5"/>
    <mergeCell ref="C4:C5"/>
    <mergeCell ref="D4:D5"/>
    <mergeCell ref="E4:E5"/>
    <mergeCell ref="F4:F5"/>
    <mergeCell ref="G4:G5"/>
    <mergeCell ref="H4:H5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 zoomScale="100" zoomScaleNormal="100">
      <selection activeCell="F14" sqref="F14"/>
    </sheetView>
  </sheetViews>
  <sheetFormatPr defaultRowHeight="14.4" outlineLevelRow="0" outlineLevelCol="0" x14ac:dyDescent="0.3" defaultColWidth="9" customHeight="1"/>
  <cols>
    <col min="1" max="1" width="6.88671875" style="1" customWidth="1"/>
    <col min="2" max="2" width="15.109375" style="1" customWidth="1"/>
    <col min="3" max="3" width="11.33203125" style="1" customWidth="1"/>
    <col min="4" max="4" width="16" style="1" customWidth="1"/>
    <col min="5" max="5" width="14.109375" style="1" customWidth="1"/>
    <col min="6" max="6" width="14" style="1" customWidth="1"/>
    <col min="7" max="7" width="12.33203125" style="1" customWidth="1"/>
    <col min="8" max="8" width="12.44140625" style="1" customWidth="1"/>
    <col min="9" max="9" width="9.5546875" style="1" customWidth="1"/>
    <col min="10" max="16384" width="9" style="1" customWidth="1"/>
  </cols>
  <sheetData>
    <row r="1" spans="1:7" x14ac:dyDescent="0.25">
      <c r="A1" s="327"/>
      <c r="B1" s="327"/>
      <c r="C1" s="327"/>
      <c r="D1" s="327"/>
      <c r="E1" s="327"/>
      <c r="F1" s="327"/>
      <c r="G1" s="327"/>
    </row>
    <row r="2" ht="15.6" customHeight="1" spans="1:7" x14ac:dyDescent="0.25">
      <c r="A2" s="2" t="s">
        <v>137</v>
      </c>
      <c r="B2" s="2"/>
      <c r="C2" s="2"/>
      <c r="D2" s="2"/>
      <c r="E2" s="2"/>
      <c r="F2" s="2"/>
      <c r="G2" s="2"/>
    </row>
    <row r="3" ht="15.6" customHeight="1" spans="1:7" x14ac:dyDescent="0.25">
      <c r="A3" s="328" t="s">
        <v>2</v>
      </c>
      <c r="B3" s="328" t="s">
        <v>4</v>
      </c>
      <c r="C3" s="328"/>
      <c r="D3" s="329" t="s">
        <v>5</v>
      </c>
      <c r="E3" s="330" t="s">
        <v>6</v>
      </c>
      <c r="F3" s="331"/>
      <c r="G3" s="332"/>
    </row>
    <row r="4" ht="30.6" customHeight="1" spans="1:7" x14ac:dyDescent="0.25">
      <c r="A4" s="333"/>
      <c r="B4" s="333"/>
      <c r="C4" s="333" t="s">
        <v>70</v>
      </c>
      <c r="D4" s="329"/>
      <c r="E4" s="334" t="s">
        <v>7</v>
      </c>
      <c r="F4" s="334" t="s">
        <v>8</v>
      </c>
      <c r="G4" s="335" t="s">
        <v>9</v>
      </c>
    </row>
    <row r="5" ht="15.6" customHeight="1" spans="1:7" x14ac:dyDescent="0.25">
      <c r="A5" s="333"/>
      <c r="B5" s="334" t="s">
        <v>10</v>
      </c>
      <c r="C5" s="334" t="s">
        <v>11</v>
      </c>
      <c r="D5" s="336" t="s">
        <v>66</v>
      </c>
      <c r="E5" s="168" t="s">
        <v>12</v>
      </c>
      <c r="F5" s="328" t="s">
        <v>14</v>
      </c>
      <c r="G5" s="328" t="s">
        <v>15</v>
      </c>
    </row>
    <row r="6" ht="15.6" customHeight="1" spans="1:9" x14ac:dyDescent="0.25">
      <c r="A6" s="337">
        <v>1</v>
      </c>
      <c r="B6" s="151" t="s">
        <v>20</v>
      </c>
      <c r="C6" s="338">
        <v>46204</v>
      </c>
      <c r="D6" s="208">
        <v>234</v>
      </c>
      <c r="E6" s="183">
        <f t="shared" ref="E6:E18" si="0">D6-F6</f>
        <v>28</v>
      </c>
      <c r="F6" s="339">
        <v>206</v>
      </c>
      <c r="G6" s="340">
        <f t="shared" ref="G6:G18" si="1">F6/D6</f>
        <v>0.8803418803418803</v>
      </c>
      <c r="H6" s="31"/>
      <c r="I6" s="31"/>
    </row>
    <row r="7" ht="15.6" customHeight="1" spans="1:9" x14ac:dyDescent="0.25">
      <c r="A7" s="337">
        <v>2</v>
      </c>
      <c r="B7" s="141" t="s">
        <v>17</v>
      </c>
      <c r="C7" s="338">
        <v>46204</v>
      </c>
      <c r="D7" s="208">
        <v>6</v>
      </c>
      <c r="E7" s="183">
        <f t="shared" si="0"/>
        <v>3</v>
      </c>
      <c r="F7" s="339">
        <v>3</v>
      </c>
      <c r="G7" s="340">
        <f t="shared" si="1"/>
        <v>0.5</v>
      </c>
      <c r="H7" s="31"/>
      <c r="I7" s="31"/>
    </row>
    <row r="8" ht="15.6" customHeight="1" spans="1:9" x14ac:dyDescent="0.25">
      <c r="A8" s="337">
        <v>3</v>
      </c>
      <c r="B8" s="135" t="s">
        <v>19</v>
      </c>
      <c r="C8" s="338">
        <v>46204</v>
      </c>
      <c r="D8" s="208">
        <v>625</v>
      </c>
      <c r="E8" s="183">
        <f t="shared" si="0"/>
        <v>384</v>
      </c>
      <c r="F8" s="339">
        <v>241</v>
      </c>
      <c r="G8" s="340">
        <f t="shared" si="1"/>
        <v>0.3856</v>
      </c>
      <c r="H8" s="31"/>
      <c r="I8" s="31"/>
    </row>
    <row r="9" ht="15.6" customHeight="1" spans="1:9" x14ac:dyDescent="0.25">
      <c r="A9" s="337">
        <v>4</v>
      </c>
      <c r="B9" s="141" t="s">
        <v>18</v>
      </c>
      <c r="C9" s="338">
        <v>46204</v>
      </c>
      <c r="D9" s="208">
        <v>228</v>
      </c>
      <c r="E9" s="183">
        <f t="shared" si="0"/>
        <v>163</v>
      </c>
      <c r="F9" s="339">
        <v>65</v>
      </c>
      <c r="G9" s="340">
        <f t="shared" si="1"/>
        <v>0.2850877192982456</v>
      </c>
      <c r="H9" s="31"/>
      <c r="I9" s="31"/>
    </row>
    <row r="10" ht="15.6" customHeight="1" spans="1:9" x14ac:dyDescent="0.25">
      <c r="A10" s="337">
        <v>5</v>
      </c>
      <c r="B10" s="141" t="s">
        <v>28</v>
      </c>
      <c r="C10" s="338">
        <v>46204</v>
      </c>
      <c r="D10" s="208">
        <v>268</v>
      </c>
      <c r="E10" s="183">
        <f t="shared" si="0"/>
        <v>219</v>
      </c>
      <c r="F10" s="339">
        <v>49</v>
      </c>
      <c r="G10" s="340">
        <f t="shared" si="1"/>
        <v>0.1828358208955224</v>
      </c>
      <c r="H10" s="31"/>
      <c r="I10" s="31"/>
    </row>
    <row r="11" ht="15.6" customHeight="1" spans="1:9" x14ac:dyDescent="0.25">
      <c r="A11" s="337">
        <v>6</v>
      </c>
      <c r="B11" s="141" t="s">
        <v>25</v>
      </c>
      <c r="C11" s="338">
        <v>46204</v>
      </c>
      <c r="D11" s="208">
        <v>160</v>
      </c>
      <c r="E11" s="183">
        <f t="shared" si="0"/>
        <v>140</v>
      </c>
      <c r="F11" s="339">
        <v>20</v>
      </c>
      <c r="G11" s="340">
        <f t="shared" si="1"/>
        <v>0.125</v>
      </c>
      <c r="H11" s="31"/>
      <c r="I11" s="31"/>
    </row>
    <row r="12" ht="15.6" customHeight="1" spans="1:9" x14ac:dyDescent="0.25">
      <c r="A12" s="337">
        <v>7</v>
      </c>
      <c r="B12" s="146" t="s">
        <v>21</v>
      </c>
      <c r="C12" s="338">
        <v>46204</v>
      </c>
      <c r="D12" s="208">
        <v>101</v>
      </c>
      <c r="E12" s="183">
        <f t="shared" si="0"/>
        <v>90</v>
      </c>
      <c r="F12" s="339">
        <v>11</v>
      </c>
      <c r="G12" s="340">
        <f t="shared" si="1"/>
        <v>0.10891089108910891</v>
      </c>
      <c r="H12" s="31"/>
      <c r="I12" s="31"/>
    </row>
    <row r="13" ht="15.6" customHeight="1" spans="1:9" x14ac:dyDescent="0.25">
      <c r="A13" s="337">
        <v>8</v>
      </c>
      <c r="B13" s="151" t="s">
        <v>22</v>
      </c>
      <c r="C13" s="338">
        <v>46204</v>
      </c>
      <c r="D13" s="208">
        <v>207</v>
      </c>
      <c r="E13" s="183">
        <f t="shared" si="0"/>
        <v>187</v>
      </c>
      <c r="F13" s="339">
        <v>20</v>
      </c>
      <c r="G13" s="340">
        <f t="shared" si="1"/>
        <v>0.0966183574879227</v>
      </c>
      <c r="H13" s="31"/>
      <c r="I13" s="31"/>
    </row>
    <row r="14" ht="15.6" customHeight="1" spans="1:9" x14ac:dyDescent="0.25">
      <c r="A14" s="337">
        <v>9</v>
      </c>
      <c r="B14" s="141" t="s">
        <v>26</v>
      </c>
      <c r="C14" s="338">
        <v>46204</v>
      </c>
      <c r="D14" s="208">
        <v>4342</v>
      </c>
      <c r="E14" s="183">
        <f t="shared" si="0"/>
        <v>4090</v>
      </c>
      <c r="F14" s="339">
        <v>252</v>
      </c>
      <c r="G14" s="26">
        <f t="shared" si="1"/>
        <v>0.058037770612620915</v>
      </c>
      <c r="H14" s="31"/>
      <c r="I14" s="31"/>
    </row>
    <row r="15" ht="15.6" customHeight="1" spans="1:9" x14ac:dyDescent="0.25">
      <c r="A15" s="337">
        <v>10</v>
      </c>
      <c r="B15" s="141" t="s">
        <v>23</v>
      </c>
      <c r="C15" s="338">
        <v>46204</v>
      </c>
      <c r="D15" s="208">
        <v>818</v>
      </c>
      <c r="E15" s="183">
        <f t="shared" si="0"/>
        <v>810</v>
      </c>
      <c r="F15" s="339">
        <v>8</v>
      </c>
      <c r="G15" s="340">
        <f t="shared" si="1"/>
        <v>0.009779951100244499</v>
      </c>
      <c r="H15" s="31"/>
      <c r="I15" s="31"/>
    </row>
    <row r="16" ht="15.6" customHeight="1" spans="1:9" x14ac:dyDescent="0.25">
      <c r="A16" s="337">
        <v>11</v>
      </c>
      <c r="B16" s="146" t="s">
        <v>24</v>
      </c>
      <c r="C16" s="338">
        <v>46204</v>
      </c>
      <c r="D16" s="208">
        <v>240</v>
      </c>
      <c r="E16" s="183">
        <f t="shared" si="0"/>
        <v>240</v>
      </c>
      <c r="F16" s="339">
        <v>0</v>
      </c>
      <c r="G16" s="340">
        <f t="shared" si="1"/>
        <v>0</v>
      </c>
      <c r="H16" s="31"/>
      <c r="I16" s="31"/>
    </row>
    <row r="17" ht="15.6" customHeight="1" spans="1:9" x14ac:dyDescent="0.25">
      <c r="A17" s="337">
        <v>12</v>
      </c>
      <c r="B17" s="141" t="s">
        <v>27</v>
      </c>
      <c r="C17" s="338">
        <v>46204</v>
      </c>
      <c r="D17" s="208">
        <v>582</v>
      </c>
      <c r="E17" s="183">
        <f t="shared" si="0"/>
        <v>582</v>
      </c>
      <c r="F17" s="339">
        <v>0</v>
      </c>
      <c r="G17" s="340">
        <f t="shared" si="1"/>
        <v>0</v>
      </c>
      <c r="H17" s="31"/>
      <c r="I17" s="31"/>
    </row>
    <row r="18" ht="15.6" customHeight="1" spans="1:9" x14ac:dyDescent="0.25">
      <c r="A18" s="23">
        <v>13</v>
      </c>
      <c r="B18" s="146" t="s">
        <v>16</v>
      </c>
      <c r="C18" s="338">
        <v>46204</v>
      </c>
      <c r="D18" s="208">
        <v>300</v>
      </c>
      <c r="E18" s="183">
        <f t="shared" si="0"/>
        <v>300</v>
      </c>
      <c r="F18" s="339">
        <v>0</v>
      </c>
      <c r="G18" s="340">
        <f t="shared" si="1"/>
        <v>0</v>
      </c>
      <c r="H18" s="31"/>
      <c r="I18" s="31"/>
    </row>
    <row r="19" ht="15.6" customHeight="1" spans="1:9" x14ac:dyDescent="0.25">
      <c r="A19" s="237"/>
      <c r="B19" s="238" t="s">
        <v>29</v>
      </c>
      <c r="C19" s="239"/>
      <c r="D19" s="240">
        <f>SUM(D6:D18)</f>
        <v>8111</v>
      </c>
      <c r="E19" s="240">
        <f>SUM(E6:E18)</f>
        <v>7236</v>
      </c>
      <c r="F19" s="240">
        <f>SUM(F6:F18)</f>
        <v>875</v>
      </c>
      <c r="G19" s="241">
        <f t="shared" ref="G19" si="2">F19/D19</f>
        <v>0.10787819011219332</v>
      </c>
      <c r="H19" s="31"/>
      <c r="I19" s="31"/>
    </row>
    <row r="20" spans="6:6" x14ac:dyDescent="0.25">
      <c r="F20" s="32">
        <f>F19/D19</f>
        <v>0.10787819011219332</v>
      </c>
    </row>
  </sheetData>
  <mergeCells count="6">
    <mergeCell ref="A1:G1"/>
    <mergeCell ref="A2:G2"/>
    <mergeCell ref="E3:G3"/>
    <mergeCell ref="A3:A4"/>
    <mergeCell ref="B3:B4"/>
    <mergeCell ref="D3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Monthly District History</vt:lpstr>
      <vt:lpstr>Monthly District Detail</vt:lpstr>
      <vt:lpstr>District Ranking - Other Cases</vt:lpstr>
      <vt:lpstr>Weekly Executive Summary</vt:lpstr>
      <vt:lpstr>District Ranking - All Cases</vt:lpstr>
      <vt:lpstr>Category Performance Summary</vt:lpstr>
      <vt:lpstr>Mid-Month District Snapshot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Wondimu Fullas</dc:creator>
  <cp:lastModifiedBy>HP</cp:lastModifiedBy>
  <cp:lastPrinted>2025-11-24T06:18:27Z</cp:lastPrinted>
  <dcterms:created xsi:type="dcterms:W3CDTF">2025-11-17T10:40:13Z</dcterms:created>
  <dcterms:modified xsi:type="dcterms:W3CDTF">2026-08-31T12:45:08Z</dcterms:modified>
</cp:coreProperties>
</file>
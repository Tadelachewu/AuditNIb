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EE14C5A-63B8-4AD6-BEC7-751189E8B254}" xr6:coauthVersionLast="36" xr6:coauthVersionMax="36" xr10:uidLastSave="{00000000-0000-0000-0000-000000000000}"/>
  <bookViews>
    <workbookView showHorizontalScroll="0" showVerticalScroll="0" xWindow="0" yWindow="0" windowWidth="23040" windowHeight="10380" xr2:uid="{00000000-000D-0000-FFFF-FFFF00000000}"/>
  </bookViews>
  <sheets>
    <sheet name="Summary July 25-August 24" sheetId="1" r:id="rId1"/>
    <sheet name="Detail monthly summaryBD" sheetId="7" r:id="rId2"/>
    <sheet name="Rank in other cases" sheetId="4" r:id="rId3"/>
    <sheet name="executive summary-edited" sheetId="9" r:id="rId4"/>
    <sheet name="Ranks in all cases" sheetId="10" r:id="rId5"/>
    <sheet name="Gross percentages" sheetId="11" r:id="rId6"/>
    <sheet name="Sheet1" sheetId="15" r:id="rId7"/>
  </sheets>
  <externalReferences>
    <externalReference r:id="rId8"/>
  </externalReferences>
  <calcPr calcId="191029"/>
</workbook>
</file>

<file path=xl/calcChain.xml><?xml version="1.0" encoding="utf-8"?>
<calcChain xmlns="http://schemas.openxmlformats.org/spreadsheetml/2006/main">
  <c r="H7" i="9" l="1"/>
  <c r="H8" i="9"/>
  <c r="H9" i="9"/>
  <c r="H10" i="9"/>
  <c r="H11" i="9"/>
  <c r="H12" i="9"/>
  <c r="H13" i="9"/>
  <c r="H14" i="9"/>
  <c r="H15" i="9"/>
  <c r="H16" i="9"/>
  <c r="H17" i="9"/>
  <c r="H18" i="9"/>
  <c r="H19" i="9"/>
  <c r="F8" i="9"/>
  <c r="F9" i="9"/>
  <c r="F10" i="9"/>
  <c r="F11" i="9"/>
  <c r="F12" i="9"/>
  <c r="F13" i="9"/>
  <c r="F14" i="9"/>
  <c r="F15" i="9"/>
  <c r="F16" i="9"/>
  <c r="F17" i="9"/>
  <c r="F18" i="9"/>
  <c r="F19" i="9"/>
  <c r="F7" i="9"/>
  <c r="G9" i="9"/>
  <c r="G8" i="9"/>
  <c r="G10" i="9"/>
  <c r="G11" i="9"/>
  <c r="G12" i="9"/>
  <c r="G13" i="9"/>
  <c r="G14" i="9"/>
  <c r="G15" i="9"/>
  <c r="G16" i="9"/>
  <c r="G17" i="9"/>
  <c r="G18" i="9"/>
  <c r="G19" i="9"/>
  <c r="G7" i="9"/>
  <c r="E9" i="15" l="1"/>
  <c r="E15" i="15"/>
  <c r="E11" i="15"/>
  <c r="E13" i="15"/>
  <c r="E14" i="15"/>
  <c r="E10" i="15"/>
  <c r="E16" i="15"/>
  <c r="E17" i="15"/>
  <c r="E6" i="15"/>
  <c r="E12" i="15"/>
  <c r="E18" i="15"/>
  <c r="E7" i="15"/>
  <c r="E8" i="15"/>
  <c r="L118" i="9"/>
  <c r="D18" i="7"/>
  <c r="D8" i="7"/>
  <c r="D7" i="7"/>
  <c r="D6" i="7"/>
  <c r="K277" i="1"/>
  <c r="M277" i="1"/>
  <c r="J277" i="1"/>
  <c r="F16" i="7" l="1"/>
  <c r="D16" i="7"/>
  <c r="F31" i="7"/>
  <c r="D31" i="7"/>
  <c r="F46" i="7"/>
  <c r="D46" i="7"/>
  <c r="F61" i="7"/>
  <c r="D61" i="7"/>
  <c r="F76" i="7"/>
  <c r="D76" i="7"/>
  <c r="F91" i="7"/>
  <c r="D91" i="7"/>
  <c r="F106" i="7"/>
  <c r="D106" i="7"/>
  <c r="F196" i="7"/>
  <c r="D196" i="7"/>
  <c r="F181" i="7"/>
  <c r="D181" i="7"/>
  <c r="F166" i="7"/>
  <c r="D166" i="7"/>
  <c r="F151" i="7"/>
  <c r="D151" i="7"/>
  <c r="F136" i="7"/>
  <c r="D136" i="7"/>
  <c r="F121" i="7"/>
  <c r="D121" i="7"/>
  <c r="F213" i="1" l="1"/>
  <c r="D213" i="1"/>
  <c r="B213" i="1"/>
  <c r="G212" i="1"/>
  <c r="E212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E213" i="1" l="1"/>
  <c r="G213" i="1"/>
  <c r="F214" i="1"/>
  <c r="L223" i="1" l="1"/>
  <c r="L224" i="1"/>
  <c r="L225" i="1"/>
  <c r="L226" i="1"/>
  <c r="L227" i="1"/>
  <c r="L228" i="1"/>
  <c r="L229" i="1"/>
  <c r="L230" i="1"/>
  <c r="L231" i="1"/>
  <c r="L232" i="1"/>
  <c r="L233" i="1"/>
  <c r="L234" i="1"/>
  <c r="L222" i="1"/>
  <c r="D24" i="7" l="1"/>
  <c r="D25" i="7"/>
  <c r="D26" i="7"/>
  <c r="D27" i="7"/>
  <c r="D28" i="7"/>
  <c r="D29" i="7"/>
  <c r="D30" i="7"/>
  <c r="D32" i="7"/>
  <c r="D33" i="7"/>
  <c r="E117" i="7"/>
  <c r="F184" i="7"/>
  <c r="F198" i="7" l="1"/>
  <c r="D198" i="7"/>
  <c r="F183" i="7"/>
  <c r="D183" i="7"/>
  <c r="F168" i="7"/>
  <c r="D168" i="7"/>
  <c r="E168" i="7" s="1"/>
  <c r="F153" i="7"/>
  <c r="D153" i="7"/>
  <c r="F138" i="7"/>
  <c r="D138" i="7"/>
  <c r="E138" i="7" s="1"/>
  <c r="F123" i="7"/>
  <c r="D123" i="7"/>
  <c r="F108" i="7"/>
  <c r="D108" i="7"/>
  <c r="F93" i="7"/>
  <c r="D93" i="7"/>
  <c r="E93" i="7" s="1"/>
  <c r="F78" i="7"/>
  <c r="D78" i="7"/>
  <c r="E78" i="7" s="1"/>
  <c r="F63" i="7"/>
  <c r="D63" i="7"/>
  <c r="E63" i="7" s="1"/>
  <c r="F48" i="7"/>
  <c r="D48" i="7"/>
  <c r="F33" i="7"/>
  <c r="G33" i="7" s="1"/>
  <c r="F18" i="7"/>
  <c r="N244" i="1"/>
  <c r="N245" i="1"/>
  <c r="N246" i="1"/>
  <c r="N247" i="1"/>
  <c r="N248" i="1"/>
  <c r="N249" i="1"/>
  <c r="N250" i="1"/>
  <c r="N251" i="1"/>
  <c r="N252" i="1"/>
  <c r="N253" i="1"/>
  <c r="N254" i="1"/>
  <c r="N243" i="1"/>
  <c r="N24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2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4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2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42" i="1"/>
  <c r="E108" i="7" l="1"/>
  <c r="E198" i="7"/>
  <c r="E18" i="7"/>
  <c r="G93" i="7"/>
  <c r="G183" i="7"/>
  <c r="G63" i="7"/>
  <c r="G123" i="7"/>
  <c r="G153" i="7"/>
  <c r="E48" i="7"/>
  <c r="Q255" i="1"/>
  <c r="G48" i="7"/>
  <c r="G78" i="7"/>
  <c r="G108" i="7"/>
  <c r="G138" i="7"/>
  <c r="G168" i="7"/>
  <c r="G198" i="7"/>
  <c r="G18" i="7"/>
  <c r="E123" i="7"/>
  <c r="E153" i="7"/>
  <c r="E183" i="7"/>
  <c r="E33" i="7"/>
  <c r="Q235" i="1"/>
  <c r="O255" i="1"/>
  <c r="M255" i="1"/>
  <c r="L255" i="1"/>
  <c r="K255" i="1"/>
  <c r="J255" i="1"/>
  <c r="I255" i="1"/>
  <c r="H255" i="1"/>
  <c r="G255" i="1"/>
  <c r="F255" i="1"/>
  <c r="E255" i="1"/>
  <c r="D255" i="1"/>
  <c r="B255" i="1"/>
  <c r="P255" i="1" l="1"/>
  <c r="O256" i="1"/>
  <c r="M256" i="1"/>
  <c r="N255" i="1"/>
  <c r="E136" i="9" l="1"/>
  <c r="D136" i="9"/>
  <c r="C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36" i="9" l="1"/>
  <c r="G14" i="15" l="1"/>
  <c r="D20" i="9"/>
  <c r="G17" i="15" l="1"/>
  <c r="E6" i="11"/>
  <c r="E20" i="9" l="1"/>
  <c r="F20" i="9"/>
  <c r="L266" i="1"/>
  <c r="L267" i="1"/>
  <c r="L268" i="1"/>
  <c r="L269" i="1"/>
  <c r="L270" i="1"/>
  <c r="L271" i="1"/>
  <c r="L272" i="1"/>
  <c r="L273" i="1"/>
  <c r="L274" i="1"/>
  <c r="L275" i="1"/>
  <c r="L265" i="1"/>
  <c r="G20" i="9" l="1"/>
  <c r="G132" i="1" l="1"/>
  <c r="F152" i="1" l="1"/>
  <c r="D152" i="1"/>
  <c r="J8" i="9" l="1"/>
  <c r="J9" i="9"/>
  <c r="J10" i="9"/>
  <c r="J11" i="9"/>
  <c r="J12" i="9"/>
  <c r="J13" i="9"/>
  <c r="J14" i="9"/>
  <c r="J15" i="9"/>
  <c r="J16" i="9"/>
  <c r="J17" i="9"/>
  <c r="J18" i="9"/>
  <c r="J19" i="9"/>
  <c r="J7" i="9"/>
  <c r="G13" i="15" l="1"/>
  <c r="G16" i="15"/>
  <c r="G11" i="15"/>
  <c r="G9" i="15"/>
  <c r="G15" i="15"/>
  <c r="G18" i="15"/>
  <c r="G8" i="15"/>
  <c r="G6" i="15"/>
  <c r="G10" i="15"/>
  <c r="G7" i="15"/>
  <c r="G12" i="15"/>
  <c r="E7" i="11"/>
  <c r="E8" i="11"/>
  <c r="E9" i="11"/>
  <c r="E10" i="11"/>
  <c r="E11" i="11"/>
  <c r="H40" i="9" l="1"/>
  <c r="F56" i="7" l="1"/>
  <c r="F57" i="7"/>
  <c r="F58" i="7"/>
  <c r="F59" i="7"/>
  <c r="F60" i="7"/>
  <c r="F62" i="7"/>
  <c r="F197" i="7" l="1"/>
  <c r="D197" i="7"/>
  <c r="F182" i="7"/>
  <c r="D182" i="7"/>
  <c r="F167" i="7"/>
  <c r="D167" i="7"/>
  <c r="F152" i="7"/>
  <c r="D152" i="7"/>
  <c r="F137" i="7"/>
  <c r="D137" i="7"/>
  <c r="F122" i="7"/>
  <c r="D122" i="7"/>
  <c r="F107" i="7"/>
  <c r="D107" i="7"/>
  <c r="F92" i="7"/>
  <c r="D92" i="7"/>
  <c r="F77" i="7"/>
  <c r="D77" i="7"/>
  <c r="D62" i="7"/>
  <c r="F47" i="7"/>
  <c r="D47" i="7"/>
  <c r="F32" i="7"/>
  <c r="F17" i="7"/>
  <c r="D17" i="7"/>
  <c r="G32" i="7" l="1"/>
  <c r="E32" i="7"/>
  <c r="E47" i="7"/>
  <c r="G47" i="7"/>
  <c r="E107" i="7"/>
  <c r="G107" i="7"/>
  <c r="E152" i="7"/>
  <c r="G152" i="7"/>
  <c r="E77" i="7"/>
  <c r="G77" i="7"/>
  <c r="G182" i="7"/>
  <c r="E182" i="7"/>
  <c r="G17" i="7"/>
  <c r="E17" i="7"/>
  <c r="G62" i="7"/>
  <c r="E62" i="7"/>
  <c r="G92" i="7"/>
  <c r="E92" i="7"/>
  <c r="G122" i="7"/>
  <c r="E122" i="7"/>
  <c r="E137" i="7"/>
  <c r="G137" i="7"/>
  <c r="G167" i="7"/>
  <c r="E167" i="7"/>
  <c r="G197" i="7"/>
  <c r="E197" i="7"/>
  <c r="O235" i="1"/>
  <c r="M235" i="1"/>
  <c r="K235" i="1"/>
  <c r="J235" i="1"/>
  <c r="I235" i="1"/>
  <c r="H235" i="1"/>
  <c r="G235" i="1"/>
  <c r="F235" i="1"/>
  <c r="E235" i="1"/>
  <c r="D235" i="1"/>
  <c r="B235" i="1"/>
  <c r="O236" i="1" l="1"/>
  <c r="P235" i="1"/>
  <c r="P236" i="1" s="1"/>
  <c r="M236" i="1"/>
  <c r="L235" i="1"/>
  <c r="N235" i="1"/>
  <c r="D9" i="7"/>
  <c r="C12" i="11"/>
  <c r="G178" i="1" l="1"/>
  <c r="G179" i="1"/>
  <c r="G180" i="1"/>
  <c r="G181" i="1"/>
  <c r="G182" i="1"/>
  <c r="G183" i="1"/>
  <c r="G184" i="1"/>
  <c r="G185" i="1"/>
  <c r="G186" i="1"/>
  <c r="G187" i="1"/>
  <c r="G188" i="1"/>
  <c r="G190" i="1"/>
  <c r="D95" i="1" l="1"/>
  <c r="F135" i="7" l="1"/>
  <c r="D135" i="7"/>
  <c r="F134" i="7"/>
  <c r="D134" i="7"/>
  <c r="F133" i="7"/>
  <c r="D133" i="7"/>
  <c r="E133" i="7" s="1"/>
  <c r="F193" i="7"/>
  <c r="D193" i="7"/>
  <c r="E193" i="7" s="1"/>
  <c r="F194" i="7"/>
  <c r="D194" i="7"/>
  <c r="F195" i="7"/>
  <c r="D195" i="7"/>
  <c r="E195" i="7" s="1"/>
  <c r="F180" i="7"/>
  <c r="D180" i="7"/>
  <c r="F165" i="7"/>
  <c r="D165" i="7"/>
  <c r="F150" i="7"/>
  <c r="D150" i="7"/>
  <c r="E150" i="7" s="1"/>
  <c r="F149" i="7"/>
  <c r="D149" i="7"/>
  <c r="E149" i="7" s="1"/>
  <c r="F179" i="7"/>
  <c r="D179" i="7"/>
  <c r="E179" i="7" s="1"/>
  <c r="F164" i="7"/>
  <c r="D164" i="7"/>
  <c r="F178" i="7"/>
  <c r="D178" i="7"/>
  <c r="F163" i="7"/>
  <c r="D163" i="7"/>
  <c r="E163" i="7" s="1"/>
  <c r="F148" i="7"/>
  <c r="D148" i="7"/>
  <c r="F118" i="7"/>
  <c r="D118" i="7"/>
  <c r="E118" i="7" s="1"/>
  <c r="F119" i="7"/>
  <c r="D119" i="7"/>
  <c r="F105" i="7"/>
  <c r="D105" i="7"/>
  <c r="E105" i="7" s="1"/>
  <c r="F104" i="7"/>
  <c r="D104" i="7"/>
  <c r="F103" i="7"/>
  <c r="D103" i="7"/>
  <c r="F88" i="7"/>
  <c r="D88" i="7"/>
  <c r="E88" i="7" s="1"/>
  <c r="F90" i="7"/>
  <c r="D90" i="7"/>
  <c r="E90" i="7" s="1"/>
  <c r="D89" i="7"/>
  <c r="F89" i="7"/>
  <c r="F75" i="7"/>
  <c r="D75" i="7"/>
  <c r="E75" i="7" s="1"/>
  <c r="F74" i="7"/>
  <c r="D74" i="7"/>
  <c r="F73" i="7"/>
  <c r="D73" i="7"/>
  <c r="D58" i="7"/>
  <c r="D59" i="7"/>
  <c r="D60" i="7"/>
  <c r="F45" i="7"/>
  <c r="D45" i="7"/>
  <c r="F44" i="7"/>
  <c r="D44" i="7"/>
  <c r="E44" i="7" s="1"/>
  <c r="F43" i="7"/>
  <c r="D43" i="7"/>
  <c r="E43" i="7" s="1"/>
  <c r="F30" i="7"/>
  <c r="F29" i="7"/>
  <c r="F28" i="7"/>
  <c r="F15" i="7"/>
  <c r="D15" i="7"/>
  <c r="E15" i="7" s="1"/>
  <c r="F14" i="7"/>
  <c r="F13" i="7"/>
  <c r="D14" i="7"/>
  <c r="E14" i="7" s="1"/>
  <c r="D13" i="7"/>
  <c r="E13" i="7" s="1"/>
  <c r="E45" i="7" l="1"/>
  <c r="E119" i="7"/>
  <c r="E134" i="7"/>
  <c r="E165" i="7"/>
  <c r="E74" i="7"/>
  <c r="E178" i="7"/>
  <c r="E164" i="7"/>
  <c r="E135" i="7"/>
  <c r="E180" i="7"/>
  <c r="E104" i="7"/>
  <c r="E194" i="7"/>
  <c r="E148" i="7"/>
  <c r="G89" i="7"/>
  <c r="G73" i="7"/>
  <c r="G103" i="7"/>
  <c r="G148" i="7"/>
  <c r="G149" i="7"/>
  <c r="G88" i="7"/>
  <c r="E28" i="7"/>
  <c r="G28" i="7"/>
  <c r="E29" i="7"/>
  <c r="G29" i="7"/>
  <c r="E30" i="7"/>
  <c r="G30" i="7"/>
  <c r="G104" i="7"/>
  <c r="G43" i="7"/>
  <c r="G45" i="7"/>
  <c r="G75" i="7"/>
  <c r="E103" i="7"/>
  <c r="G105" i="7"/>
  <c r="G194" i="7"/>
  <c r="G193" i="7"/>
  <c r="G179" i="7"/>
  <c r="G14" i="7"/>
  <c r="G150" i="7"/>
  <c r="E60" i="7"/>
  <c r="G60" i="7"/>
  <c r="G163" i="7"/>
  <c r="G134" i="7"/>
  <c r="G164" i="7"/>
  <c r="G13" i="7"/>
  <c r="G180" i="7"/>
  <c r="G44" i="7"/>
  <c r="E58" i="7"/>
  <c r="G58" i="7"/>
  <c r="E73" i="7"/>
  <c r="E89" i="7"/>
  <c r="G90" i="7"/>
  <c r="G15" i="7"/>
  <c r="G165" i="7"/>
  <c r="G195" i="7"/>
  <c r="G119" i="7"/>
  <c r="G118" i="7"/>
  <c r="E59" i="7"/>
  <c r="G59" i="7"/>
  <c r="G133" i="7"/>
  <c r="G74" i="7"/>
  <c r="G178" i="7"/>
  <c r="G135" i="7"/>
  <c r="G143" i="1"/>
  <c r="G144" i="1"/>
  <c r="G145" i="1"/>
  <c r="G146" i="1"/>
  <c r="G147" i="1"/>
  <c r="G148" i="1"/>
  <c r="G149" i="1"/>
  <c r="G150" i="1"/>
  <c r="G151" i="1"/>
  <c r="G142" i="1"/>
  <c r="G141" i="1"/>
  <c r="G140" i="1"/>
  <c r="G139" i="1"/>
  <c r="G162" i="1"/>
  <c r="G163" i="1"/>
  <c r="G164" i="1"/>
  <c r="G165" i="1"/>
  <c r="G166" i="1"/>
  <c r="G167" i="1"/>
  <c r="G168" i="1"/>
  <c r="G169" i="1"/>
  <c r="G170" i="1"/>
  <c r="G161" i="1"/>
  <c r="G160" i="1"/>
  <c r="G159" i="1"/>
  <c r="G158" i="1"/>
  <c r="E180" i="1" l="1"/>
  <c r="E181" i="1"/>
  <c r="E182" i="1"/>
  <c r="E183" i="1"/>
  <c r="E184" i="1"/>
  <c r="E185" i="1"/>
  <c r="E186" i="1"/>
  <c r="E187" i="1"/>
  <c r="E188" i="1"/>
  <c r="E189" i="1"/>
  <c r="E190" i="1"/>
  <c r="E179" i="1"/>
  <c r="E178" i="1"/>
  <c r="E160" i="1"/>
  <c r="E161" i="1"/>
  <c r="E162" i="1"/>
  <c r="E163" i="1"/>
  <c r="E164" i="1"/>
  <c r="E165" i="1"/>
  <c r="E166" i="1"/>
  <c r="E167" i="1"/>
  <c r="E168" i="1"/>
  <c r="E169" i="1"/>
  <c r="E170" i="1"/>
  <c r="E159" i="1"/>
  <c r="E158" i="1"/>
  <c r="E141" i="1"/>
  <c r="E142" i="1"/>
  <c r="E143" i="1"/>
  <c r="E144" i="1"/>
  <c r="E145" i="1"/>
  <c r="E146" i="1"/>
  <c r="E147" i="1"/>
  <c r="E148" i="1"/>
  <c r="E149" i="1"/>
  <c r="E150" i="1"/>
  <c r="E151" i="1"/>
  <c r="E140" i="1"/>
  <c r="E139" i="1"/>
  <c r="E152" i="1" l="1"/>
  <c r="F19" i="15"/>
  <c r="D19" i="15"/>
  <c r="F20" i="15" l="1"/>
  <c r="E19" i="15"/>
  <c r="G19" i="15"/>
  <c r="D12" i="11" l="1"/>
  <c r="E12" i="11" l="1"/>
  <c r="G12" i="11"/>
  <c r="E199" i="7" l="1"/>
  <c r="F192" i="7"/>
  <c r="D192" i="7"/>
  <c r="E192" i="7" s="1"/>
  <c r="F191" i="7"/>
  <c r="D191" i="7"/>
  <c r="F190" i="7"/>
  <c r="D190" i="7"/>
  <c r="F189" i="7"/>
  <c r="D189" i="7"/>
  <c r="F188" i="7"/>
  <c r="D188" i="7"/>
  <c r="F187" i="7"/>
  <c r="D187" i="7"/>
  <c r="F186" i="7"/>
  <c r="D186" i="7"/>
  <c r="D184" i="7"/>
  <c r="F177" i="7"/>
  <c r="D177" i="7"/>
  <c r="E177" i="7" s="1"/>
  <c r="F176" i="7"/>
  <c r="D176" i="7"/>
  <c r="E176" i="7" s="1"/>
  <c r="F175" i="7"/>
  <c r="D175" i="7"/>
  <c r="F174" i="7"/>
  <c r="D174" i="7"/>
  <c r="F173" i="7"/>
  <c r="D173" i="7"/>
  <c r="F172" i="7"/>
  <c r="D172" i="7"/>
  <c r="F171" i="7"/>
  <c r="D171" i="7"/>
  <c r="F169" i="7"/>
  <c r="D169" i="7"/>
  <c r="F162" i="7"/>
  <c r="D162" i="7"/>
  <c r="F161" i="7"/>
  <c r="D161" i="7"/>
  <c r="E161" i="7" s="1"/>
  <c r="F160" i="7"/>
  <c r="D160" i="7"/>
  <c r="E160" i="7" s="1"/>
  <c r="F159" i="7"/>
  <c r="D159" i="7"/>
  <c r="E159" i="7" s="1"/>
  <c r="F158" i="7"/>
  <c r="D158" i="7"/>
  <c r="F157" i="7"/>
  <c r="D157" i="7"/>
  <c r="F156" i="7"/>
  <c r="D156" i="7"/>
  <c r="F154" i="7"/>
  <c r="D154" i="7"/>
  <c r="F147" i="7"/>
  <c r="D147" i="7"/>
  <c r="E147" i="7" s="1"/>
  <c r="F146" i="7"/>
  <c r="D146" i="7"/>
  <c r="E146" i="7" s="1"/>
  <c r="F145" i="7"/>
  <c r="D145" i="7"/>
  <c r="E145" i="7" s="1"/>
  <c r="F144" i="7"/>
  <c r="D144" i="7"/>
  <c r="F143" i="7"/>
  <c r="D143" i="7"/>
  <c r="F142" i="7"/>
  <c r="D142" i="7"/>
  <c r="F141" i="7"/>
  <c r="D141" i="7"/>
  <c r="E139" i="7"/>
  <c r="F132" i="7"/>
  <c r="D132" i="7"/>
  <c r="F131" i="7"/>
  <c r="D131" i="7"/>
  <c r="F130" i="7"/>
  <c r="D130" i="7"/>
  <c r="E130" i="7" s="1"/>
  <c r="F129" i="7"/>
  <c r="D129" i="7"/>
  <c r="F128" i="7"/>
  <c r="D128" i="7"/>
  <c r="F127" i="7"/>
  <c r="D127" i="7"/>
  <c r="F126" i="7"/>
  <c r="D126" i="7"/>
  <c r="E126" i="7" s="1"/>
  <c r="F124" i="7"/>
  <c r="D124" i="7"/>
  <c r="E121" i="7"/>
  <c r="F120" i="7"/>
  <c r="E120" i="7" s="1"/>
  <c r="F116" i="7"/>
  <c r="D116" i="7"/>
  <c r="E116" i="7" s="1"/>
  <c r="F115" i="7"/>
  <c r="D115" i="7"/>
  <c r="E115" i="7" s="1"/>
  <c r="F114" i="7"/>
  <c r="D114" i="7"/>
  <c r="F113" i="7"/>
  <c r="D113" i="7"/>
  <c r="F112" i="7"/>
  <c r="D112" i="7"/>
  <c r="F111" i="7"/>
  <c r="D111" i="7"/>
  <c r="E111" i="7" s="1"/>
  <c r="E109" i="7"/>
  <c r="F102" i="7"/>
  <c r="D102" i="7"/>
  <c r="E102" i="7" s="1"/>
  <c r="F101" i="7"/>
  <c r="D101" i="7"/>
  <c r="E101" i="7" s="1"/>
  <c r="F100" i="7"/>
  <c r="D100" i="7"/>
  <c r="E100" i="7" s="1"/>
  <c r="F99" i="7"/>
  <c r="D99" i="7"/>
  <c r="E99" i="7" s="1"/>
  <c r="F98" i="7"/>
  <c r="D98" i="7"/>
  <c r="F97" i="7"/>
  <c r="D97" i="7"/>
  <c r="E97" i="7" s="1"/>
  <c r="F96" i="7"/>
  <c r="D96" i="7"/>
  <c r="F94" i="7"/>
  <c r="D94" i="7"/>
  <c r="F87" i="7"/>
  <c r="D87" i="7"/>
  <c r="E87" i="7" s="1"/>
  <c r="F86" i="7"/>
  <c r="D86" i="7"/>
  <c r="E86" i="7" s="1"/>
  <c r="F85" i="7"/>
  <c r="D85" i="7"/>
  <c r="F84" i="7"/>
  <c r="D84" i="7"/>
  <c r="F83" i="7"/>
  <c r="D83" i="7"/>
  <c r="F82" i="7"/>
  <c r="D82" i="7"/>
  <c r="F81" i="7"/>
  <c r="D81" i="7"/>
  <c r="F79" i="7"/>
  <c r="D79" i="7"/>
  <c r="F72" i="7"/>
  <c r="D72" i="7"/>
  <c r="F71" i="7"/>
  <c r="D71" i="7"/>
  <c r="F70" i="7"/>
  <c r="D70" i="7"/>
  <c r="E70" i="7" s="1"/>
  <c r="F69" i="7"/>
  <c r="D69" i="7"/>
  <c r="E69" i="7" s="1"/>
  <c r="F68" i="7"/>
  <c r="D68" i="7"/>
  <c r="F67" i="7"/>
  <c r="D67" i="7"/>
  <c r="F66" i="7"/>
  <c r="D66" i="7"/>
  <c r="E64" i="7"/>
  <c r="D57" i="7"/>
  <c r="D56" i="7"/>
  <c r="E56" i="7" s="1"/>
  <c r="F55" i="7"/>
  <c r="D55" i="7"/>
  <c r="F54" i="7"/>
  <c r="D54" i="7"/>
  <c r="E54" i="7" s="1"/>
  <c r="F53" i="7"/>
  <c r="D53" i="7"/>
  <c r="E53" i="7" s="1"/>
  <c r="F52" i="7"/>
  <c r="D52" i="7"/>
  <c r="F51" i="7"/>
  <c r="D51" i="7"/>
  <c r="E49" i="7"/>
  <c r="F42" i="7"/>
  <c r="D42" i="7"/>
  <c r="E42" i="7" s="1"/>
  <c r="F41" i="7"/>
  <c r="D41" i="7"/>
  <c r="E41" i="7" s="1"/>
  <c r="F40" i="7"/>
  <c r="D40" i="7"/>
  <c r="E40" i="7" s="1"/>
  <c r="F39" i="7"/>
  <c r="D39" i="7"/>
  <c r="F38" i="7"/>
  <c r="D38" i="7"/>
  <c r="F37" i="7"/>
  <c r="D37" i="7"/>
  <c r="F36" i="7"/>
  <c r="D36" i="7"/>
  <c r="E34" i="7"/>
  <c r="F27" i="7"/>
  <c r="F26" i="7"/>
  <c r="F25" i="7"/>
  <c r="E25" i="7" s="1"/>
  <c r="F24" i="7"/>
  <c r="F23" i="7"/>
  <c r="D23" i="7"/>
  <c r="F22" i="7"/>
  <c r="D22" i="7"/>
  <c r="F21" i="7"/>
  <c r="D21" i="7"/>
  <c r="E19" i="7"/>
  <c r="G16" i="7"/>
  <c r="F12" i="7"/>
  <c r="D12" i="7"/>
  <c r="E12" i="7" s="1"/>
  <c r="F11" i="7"/>
  <c r="D11" i="7"/>
  <c r="F10" i="7"/>
  <c r="D10" i="7"/>
  <c r="E10" i="7" s="1"/>
  <c r="F9" i="7"/>
  <c r="F8" i="7"/>
  <c r="F7" i="7"/>
  <c r="F6" i="7"/>
  <c r="G6" i="7" s="1"/>
  <c r="E11" i="7" l="1"/>
  <c r="E154" i="7"/>
  <c r="E55" i="7"/>
  <c r="E71" i="7"/>
  <c r="E94" i="7"/>
  <c r="E132" i="7"/>
  <c r="G21" i="7"/>
  <c r="E190" i="7"/>
  <c r="G72" i="7"/>
  <c r="E191" i="7"/>
  <c r="E189" i="7"/>
  <c r="E131" i="7"/>
  <c r="E174" i="7"/>
  <c r="E114" i="7"/>
  <c r="E175" i="7"/>
  <c r="G162" i="7"/>
  <c r="E79" i="7"/>
  <c r="E169" i="7"/>
  <c r="E124" i="7"/>
  <c r="G115" i="7"/>
  <c r="G176" i="7"/>
  <c r="G160" i="7"/>
  <c r="G124" i="7"/>
  <c r="G12" i="7"/>
  <c r="G146" i="7"/>
  <c r="G85" i="7"/>
  <c r="G41" i="7"/>
  <c r="G42" i="7"/>
  <c r="G130" i="7"/>
  <c r="G154" i="7"/>
  <c r="G26" i="7"/>
  <c r="E26" i="7"/>
  <c r="G27" i="7"/>
  <c r="E27" i="7"/>
  <c r="G161" i="7"/>
  <c r="E57" i="7"/>
  <c r="G57" i="7"/>
  <c r="G70" i="7"/>
  <c r="E113" i="7"/>
  <c r="G131" i="7"/>
  <c r="G192" i="7"/>
  <c r="G101" i="7"/>
  <c r="G191" i="7"/>
  <c r="G174" i="7"/>
  <c r="G177" i="7"/>
  <c r="G79" i="7"/>
  <c r="E184" i="7"/>
  <c r="G184" i="7"/>
  <c r="E162" i="7"/>
  <c r="G145" i="7"/>
  <c r="G169" i="7"/>
  <c r="G147" i="7"/>
  <c r="G86" i="7"/>
  <c r="G71" i="7"/>
  <c r="G132" i="7"/>
  <c r="G116" i="7"/>
  <c r="G102" i="7"/>
  <c r="G87" i="7"/>
  <c r="G94" i="7"/>
  <c r="E72" i="7"/>
  <c r="G114" i="7"/>
  <c r="G175" i="7"/>
  <c r="G31" i="7"/>
  <c r="E31" i="7"/>
  <c r="E16" i="7"/>
  <c r="G181" i="7"/>
  <c r="E181" i="7"/>
  <c r="E61" i="7"/>
  <c r="G61" i="7"/>
  <c r="E166" i="7"/>
  <c r="G166" i="7"/>
  <c r="G106" i="7"/>
  <c r="E106" i="7"/>
  <c r="E196" i="7"/>
  <c r="G196" i="7"/>
  <c r="G151" i="7"/>
  <c r="E151" i="7"/>
  <c r="E46" i="7"/>
  <c r="G46" i="7"/>
  <c r="G91" i="7"/>
  <c r="E91" i="7"/>
  <c r="G136" i="7"/>
  <c r="E136" i="7"/>
  <c r="G76" i="7"/>
  <c r="E76" i="7"/>
  <c r="E129" i="7"/>
  <c r="E37" i="7"/>
  <c r="E128" i="7"/>
  <c r="E112" i="7"/>
  <c r="E85" i="7"/>
  <c r="E84" i="7"/>
  <c r="E144" i="7"/>
  <c r="G9" i="7"/>
  <c r="E9" i="7"/>
  <c r="G10" i="7"/>
  <c r="E36" i="7"/>
  <c r="G11" i="7"/>
  <c r="G100" i="7"/>
  <c r="G188" i="7"/>
  <c r="E171" i="7"/>
  <c r="G189" i="7"/>
  <c r="G129" i="7"/>
  <c r="G190" i="7"/>
  <c r="G55" i="7"/>
  <c r="G56" i="7"/>
  <c r="G25" i="7"/>
  <c r="E38" i="7"/>
  <c r="E51" i="7"/>
  <c r="E158" i="7"/>
  <c r="E156" i="7"/>
  <c r="E157" i="7"/>
  <c r="E172" i="7"/>
  <c r="E98" i="7"/>
  <c r="E6" i="7"/>
  <c r="E8" i="7"/>
  <c r="G113" i="7"/>
  <c r="E143" i="7"/>
  <c r="E68" i="7"/>
  <c r="E67" i="7"/>
  <c r="E83" i="7"/>
  <c r="E142" i="7"/>
  <c r="E82" i="7"/>
  <c r="E81" i="7"/>
  <c r="G171" i="7"/>
  <c r="G143" i="7"/>
  <c r="G128" i="7"/>
  <c r="G69" i="7"/>
  <c r="E7" i="7"/>
  <c r="G40" i="7"/>
  <c r="G66" i="7"/>
  <c r="G51" i="7"/>
  <c r="G157" i="7"/>
  <c r="G158" i="7"/>
  <c r="G37" i="7"/>
  <c r="G98" i="7"/>
  <c r="G84" i="7"/>
  <c r="G99" i="7"/>
  <c r="G144" i="7"/>
  <c r="D140" i="7"/>
  <c r="G186" i="7"/>
  <c r="G187" i="7"/>
  <c r="G36" i="7"/>
  <c r="E21" i="7"/>
  <c r="E66" i="7"/>
  <c r="G172" i="7"/>
  <c r="G7" i="7"/>
  <c r="G81" i="7"/>
  <c r="G141" i="7"/>
  <c r="G38" i="7"/>
  <c r="G126" i="7"/>
  <c r="G8" i="7"/>
  <c r="G67" i="7"/>
  <c r="G97" i="7"/>
  <c r="G54" i="7"/>
  <c r="G68" i="7"/>
  <c r="G83" i="7"/>
  <c r="G159" i="7"/>
  <c r="G173" i="7"/>
  <c r="G111" i="7"/>
  <c r="G23" i="7"/>
  <c r="G96" i="7"/>
  <c r="G53" i="7"/>
  <c r="G82" i="7"/>
  <c r="G112" i="7"/>
  <c r="G142" i="7"/>
  <c r="G24" i="7"/>
  <c r="G127" i="7"/>
  <c r="D200" i="7"/>
  <c r="D50" i="7"/>
  <c r="D65" i="7"/>
  <c r="D125" i="7"/>
  <c r="D155" i="7"/>
  <c r="F170" i="7"/>
  <c r="E16" i="4" s="1"/>
  <c r="G16" i="4" s="1"/>
  <c r="E186" i="7"/>
  <c r="F185" i="7"/>
  <c r="E10" i="4" s="1"/>
  <c r="G10" i="4" s="1"/>
  <c r="F65" i="7"/>
  <c r="F80" i="7"/>
  <c r="F95" i="7"/>
  <c r="F125" i="7"/>
  <c r="E24" i="7"/>
  <c r="E39" i="7"/>
  <c r="G39" i="7"/>
  <c r="E23" i="7"/>
  <c r="E127" i="7"/>
  <c r="E96" i="7"/>
  <c r="F35" i="7"/>
  <c r="E22" i="7"/>
  <c r="E173" i="7"/>
  <c r="E187" i="7"/>
  <c r="G52" i="7"/>
  <c r="E188" i="7"/>
  <c r="D170" i="7"/>
  <c r="D16" i="4" s="1"/>
  <c r="G156" i="7"/>
  <c r="D20" i="7"/>
  <c r="D185" i="7"/>
  <c r="D10" i="4" s="1"/>
  <c r="F110" i="7"/>
  <c r="E6" i="4" s="1"/>
  <c r="E52" i="7"/>
  <c r="D95" i="7"/>
  <c r="D110" i="7"/>
  <c r="D6" i="4" s="1"/>
  <c r="E141" i="7"/>
  <c r="F20" i="7"/>
  <c r="G22" i="7"/>
  <c r="F140" i="7"/>
  <c r="E11" i="4" s="1"/>
  <c r="G11" i="4" s="1"/>
  <c r="D35" i="7"/>
  <c r="F200" i="7"/>
  <c r="E7" i="4" s="1"/>
  <c r="F50" i="7"/>
  <c r="F155" i="7"/>
  <c r="D80" i="7"/>
  <c r="F16" i="4" l="1"/>
  <c r="H6" i="4"/>
  <c r="F10" i="4"/>
  <c r="E200" i="7"/>
  <c r="G185" i="7"/>
  <c r="E80" i="7"/>
  <c r="E50" i="7"/>
  <c r="D206" i="7"/>
  <c r="G125" i="7"/>
  <c r="G140" i="7"/>
  <c r="G65" i="7"/>
  <c r="G50" i="7"/>
  <c r="E95" i="7"/>
  <c r="E140" i="7"/>
  <c r="E65" i="7"/>
  <c r="G155" i="7"/>
  <c r="E20" i="7"/>
  <c r="G170" i="7"/>
  <c r="E110" i="7"/>
  <c r="E170" i="7"/>
  <c r="G20" i="7"/>
  <c r="G80" i="7"/>
  <c r="E185" i="7"/>
  <c r="G35" i="7"/>
  <c r="G95" i="7"/>
  <c r="E125" i="7"/>
  <c r="D201" i="7"/>
  <c r="F201" i="7"/>
  <c r="G200" i="7"/>
  <c r="E35" i="7"/>
  <c r="G110" i="7"/>
  <c r="E155" i="7"/>
  <c r="E201" i="7" l="1"/>
  <c r="G201" i="7"/>
  <c r="D13" i="11" l="1"/>
  <c r="F12" i="11"/>
  <c r="B20" i="10"/>
  <c r="N267" i="1" l="1"/>
  <c r="N268" i="1"/>
  <c r="N273" i="1"/>
  <c r="N275" i="1"/>
  <c r="B152" i="1" l="1"/>
  <c r="R152" i="1"/>
  <c r="G152" i="1" l="1"/>
  <c r="F153" i="1"/>
  <c r="F191" i="1"/>
  <c r="E191" i="1"/>
  <c r="D191" i="1"/>
  <c r="B191" i="1"/>
  <c r="F192" i="1" l="1"/>
  <c r="G191" i="1"/>
  <c r="B20" i="9"/>
  <c r="G118" i="9"/>
  <c r="D118" i="9"/>
  <c r="B118" i="9"/>
  <c r="F108" i="9"/>
  <c r="H108" i="9" s="1"/>
  <c r="E117" i="9"/>
  <c r="F117" i="9" s="1"/>
  <c r="H117" i="9" s="1"/>
  <c r="F115" i="9"/>
  <c r="H115" i="9" s="1"/>
  <c r="F114" i="9"/>
  <c r="H114" i="9" s="1"/>
  <c r="E113" i="9"/>
  <c r="F113" i="9" s="1"/>
  <c r="H113" i="9" s="1"/>
  <c r="F112" i="9"/>
  <c r="H112" i="9" s="1"/>
  <c r="E111" i="9"/>
  <c r="F111" i="9" s="1"/>
  <c r="H111" i="9" s="1"/>
  <c r="E110" i="9"/>
  <c r="F110" i="9" s="1"/>
  <c r="H110" i="9" s="1"/>
  <c r="F107" i="9"/>
  <c r="H107" i="9" s="1"/>
  <c r="E106" i="9"/>
  <c r="F106" i="9" s="1"/>
  <c r="H106" i="9" s="1"/>
  <c r="E105" i="9"/>
  <c r="F105" i="9" s="1"/>
  <c r="H105" i="9" s="1"/>
  <c r="E109" i="9"/>
  <c r="G99" i="9"/>
  <c r="D99" i="9"/>
  <c r="B99" i="9"/>
  <c r="E98" i="9"/>
  <c r="F98" i="9" s="1"/>
  <c r="H98" i="9" s="1"/>
  <c r="E97" i="9"/>
  <c r="E96" i="9"/>
  <c r="F96" i="9" s="1"/>
  <c r="E94" i="9"/>
  <c r="F94" i="9" s="1"/>
  <c r="H94" i="9" s="1"/>
  <c r="E93" i="9"/>
  <c r="F93" i="9" s="1"/>
  <c r="H93" i="9" s="1"/>
  <c r="E92" i="9"/>
  <c r="E89" i="9"/>
  <c r="F89" i="9" s="1"/>
  <c r="E95" i="9"/>
  <c r="F95" i="9" s="1"/>
  <c r="H95" i="9" s="1"/>
  <c r="E91" i="9"/>
  <c r="F91" i="9" s="1"/>
  <c r="H91" i="9" s="1"/>
  <c r="E88" i="9"/>
  <c r="F87" i="9"/>
  <c r="H87" i="9" s="1"/>
  <c r="E90" i="9"/>
  <c r="F90" i="9" s="1"/>
  <c r="H90" i="9" s="1"/>
  <c r="F86" i="9"/>
  <c r="H86" i="9" s="1"/>
  <c r="G80" i="9"/>
  <c r="D80" i="9"/>
  <c r="B80" i="9"/>
  <c r="E79" i="9"/>
  <c r="E78" i="9"/>
  <c r="F78" i="9" s="1"/>
  <c r="E73" i="9"/>
  <c r="F73" i="9" s="1"/>
  <c r="H73" i="9" s="1"/>
  <c r="E76" i="9"/>
  <c r="F76" i="9" s="1"/>
  <c r="H76" i="9" s="1"/>
  <c r="E74" i="9"/>
  <c r="F68" i="9"/>
  <c r="H68" i="9" s="1"/>
  <c r="F75" i="9"/>
  <c r="H75" i="9" s="1"/>
  <c r="F72" i="9"/>
  <c r="H72" i="9" s="1"/>
  <c r="F71" i="9"/>
  <c r="H71" i="9" s="1"/>
  <c r="E70" i="9"/>
  <c r="F70" i="9" s="1"/>
  <c r="F69" i="9"/>
  <c r="H69" i="9" s="1"/>
  <c r="E77" i="9"/>
  <c r="E67" i="9"/>
  <c r="F67" i="9" s="1"/>
  <c r="G61" i="9"/>
  <c r="D61" i="9"/>
  <c r="B61" i="9"/>
  <c r="E59" i="9"/>
  <c r="F59" i="9" s="1"/>
  <c r="H59" i="9" s="1"/>
  <c r="E58" i="9"/>
  <c r="F58" i="9" s="1"/>
  <c r="H58" i="9" s="1"/>
  <c r="E56" i="9"/>
  <c r="F57" i="9"/>
  <c r="H57" i="9" s="1"/>
  <c r="F48" i="9"/>
  <c r="H48" i="9" s="1"/>
  <c r="E55" i="9"/>
  <c r="F55" i="9" s="1"/>
  <c r="H55" i="9" s="1"/>
  <c r="F54" i="9"/>
  <c r="H54" i="9" s="1"/>
  <c r="E53" i="9"/>
  <c r="F53" i="9" s="1"/>
  <c r="H53" i="9" s="1"/>
  <c r="E50" i="9"/>
  <c r="F50" i="9" s="1"/>
  <c r="H50" i="9" s="1"/>
  <c r="E51" i="9"/>
  <c r="E49" i="9"/>
  <c r="F49" i="9" s="1"/>
  <c r="H49" i="9" s="1"/>
  <c r="G40" i="9"/>
  <c r="B40" i="9"/>
  <c r="I39" i="9"/>
  <c r="J39" i="9" s="1"/>
  <c r="E39" i="9"/>
  <c r="D39" i="9"/>
  <c r="I38" i="9"/>
  <c r="J38" i="9" s="1"/>
  <c r="E38" i="9"/>
  <c r="D38" i="9"/>
  <c r="I37" i="9"/>
  <c r="J37" i="9" s="1"/>
  <c r="E37" i="9"/>
  <c r="D37" i="9"/>
  <c r="I36" i="9"/>
  <c r="J36" i="9" s="1"/>
  <c r="E36" i="9"/>
  <c r="D36" i="9"/>
  <c r="I35" i="9"/>
  <c r="J35" i="9" s="1"/>
  <c r="E35" i="9"/>
  <c r="D35" i="9"/>
  <c r="I34" i="9"/>
  <c r="J34" i="9" s="1"/>
  <c r="E34" i="9"/>
  <c r="D34" i="9"/>
  <c r="I33" i="9"/>
  <c r="J33" i="9" s="1"/>
  <c r="E33" i="9"/>
  <c r="E7" i="10" s="1"/>
  <c r="G7" i="10" s="1"/>
  <c r="D33" i="9"/>
  <c r="I31" i="9"/>
  <c r="J31" i="9" s="1"/>
  <c r="E31" i="9"/>
  <c r="D31" i="9"/>
  <c r="I32" i="9"/>
  <c r="J32" i="9" s="1"/>
  <c r="E32" i="9"/>
  <c r="E13" i="10" s="1"/>
  <c r="D32" i="9"/>
  <c r="I30" i="9"/>
  <c r="J30" i="9" s="1"/>
  <c r="E30" i="9"/>
  <c r="D30" i="9"/>
  <c r="I27" i="9"/>
  <c r="J27" i="9" s="1"/>
  <c r="E27" i="9"/>
  <c r="E18" i="10" s="1"/>
  <c r="D27" i="9"/>
  <c r="I29" i="9"/>
  <c r="E29" i="9"/>
  <c r="D29" i="9"/>
  <c r="I28" i="9"/>
  <c r="D28" i="9"/>
  <c r="E15" i="10" l="1"/>
  <c r="E8" i="10"/>
  <c r="E9" i="10"/>
  <c r="E11" i="10"/>
  <c r="E12" i="10"/>
  <c r="E16" i="10"/>
  <c r="G16" i="10" s="1"/>
  <c r="E17" i="10"/>
  <c r="E14" i="10"/>
  <c r="E19" i="10"/>
  <c r="E10" i="10"/>
  <c r="F27" i="9"/>
  <c r="L27" i="9" s="1"/>
  <c r="G9" i="10"/>
  <c r="G11" i="10"/>
  <c r="G10" i="10"/>
  <c r="G12" i="10"/>
  <c r="G14" i="10"/>
  <c r="G8" i="10"/>
  <c r="F60" i="9"/>
  <c r="H60" i="9" s="1"/>
  <c r="F38" i="9"/>
  <c r="L38" i="9" s="1"/>
  <c r="F30" i="9"/>
  <c r="L30" i="9" s="1"/>
  <c r="F34" i="9"/>
  <c r="L34" i="9" s="1"/>
  <c r="E21" i="9"/>
  <c r="E40" i="9"/>
  <c r="F31" i="9"/>
  <c r="L31" i="9" s="1"/>
  <c r="F36" i="9"/>
  <c r="L36" i="9" s="1"/>
  <c r="D40" i="9"/>
  <c r="F28" i="9"/>
  <c r="F32" i="9"/>
  <c r="L32" i="9" s="1"/>
  <c r="F33" i="9"/>
  <c r="L33" i="9" s="1"/>
  <c r="F35" i="9"/>
  <c r="L35" i="9" s="1"/>
  <c r="F37" i="9"/>
  <c r="L37" i="9" s="1"/>
  <c r="F39" i="9"/>
  <c r="L39" i="9" s="1"/>
  <c r="H67" i="9"/>
  <c r="H70" i="9"/>
  <c r="H78" i="9"/>
  <c r="H89" i="9"/>
  <c r="H96" i="9"/>
  <c r="E118" i="9"/>
  <c r="J118" i="9" s="1"/>
  <c r="E99" i="9"/>
  <c r="J99" i="9" s="1"/>
  <c r="J28" i="9"/>
  <c r="F29" i="9"/>
  <c r="I40" i="9"/>
  <c r="F51" i="9"/>
  <c r="H51" i="9" s="1"/>
  <c r="F56" i="9"/>
  <c r="H56" i="9" s="1"/>
  <c r="F52" i="9"/>
  <c r="H52" i="9" s="1"/>
  <c r="E61" i="9"/>
  <c r="J61" i="9" s="1"/>
  <c r="F77" i="9"/>
  <c r="H77" i="9" s="1"/>
  <c r="F74" i="9"/>
  <c r="H74" i="9" s="1"/>
  <c r="F79" i="9"/>
  <c r="H79" i="9" s="1"/>
  <c r="E80" i="9"/>
  <c r="J80" i="9" s="1"/>
  <c r="F88" i="9"/>
  <c r="H88" i="9" s="1"/>
  <c r="F92" i="9"/>
  <c r="H92" i="9" s="1"/>
  <c r="F97" i="9"/>
  <c r="H97" i="9" s="1"/>
  <c r="F109" i="9"/>
  <c r="H109" i="9" s="1"/>
  <c r="F116" i="9"/>
  <c r="H116" i="9" s="1"/>
  <c r="D7" i="10" l="1"/>
  <c r="N40" i="9"/>
  <c r="E22" i="10"/>
  <c r="D8" i="10"/>
  <c r="F8" i="10" s="1"/>
  <c r="D11" i="10"/>
  <c r="D9" i="10"/>
  <c r="D16" i="10"/>
  <c r="D10" i="10"/>
  <c r="D18" i="10"/>
  <c r="H18" i="10" s="1"/>
  <c r="D14" i="10"/>
  <c r="D13" i="10"/>
  <c r="F13" i="10" s="1"/>
  <c r="F7" i="10"/>
  <c r="D15" i="10"/>
  <c r="F15" i="10" s="1"/>
  <c r="D17" i="10"/>
  <c r="F17" i="10" s="1"/>
  <c r="D19" i="10"/>
  <c r="F19" i="10" s="1"/>
  <c r="G15" i="10"/>
  <c r="G17" i="10"/>
  <c r="G13" i="10"/>
  <c r="G19" i="10"/>
  <c r="G18" i="10"/>
  <c r="E20" i="10"/>
  <c r="E24" i="10" s="1"/>
  <c r="F61" i="9"/>
  <c r="I61" i="9" s="1"/>
  <c r="F99" i="9"/>
  <c r="I99" i="9" s="1"/>
  <c r="F40" i="9"/>
  <c r="F80" i="9"/>
  <c r="I80" i="9" s="1"/>
  <c r="L28" i="9"/>
  <c r="F118" i="9"/>
  <c r="I118" i="9" s="1"/>
  <c r="H17" i="10" l="1"/>
  <c r="H13" i="10"/>
  <c r="H61" i="9"/>
  <c r="H19" i="10"/>
  <c r="H7" i="10"/>
  <c r="H8" i="10"/>
  <c r="F9" i="10"/>
  <c r="H9" i="10"/>
  <c r="F14" i="10"/>
  <c r="H14" i="10"/>
  <c r="F11" i="10"/>
  <c r="H11" i="10"/>
  <c r="G20" i="10"/>
  <c r="F16" i="10"/>
  <c r="H16" i="10"/>
  <c r="J62" i="9"/>
  <c r="F10" i="10"/>
  <c r="H10" i="10"/>
  <c r="F18" i="10"/>
  <c r="H15" i="10"/>
  <c r="H80" i="9"/>
  <c r="J81" i="9"/>
  <c r="H118" i="9"/>
  <c r="H99" i="9"/>
  <c r="J100" i="9"/>
  <c r="F133" i="1" l="1"/>
  <c r="E122" i="1"/>
  <c r="E123" i="1"/>
  <c r="E124" i="1"/>
  <c r="E125" i="1"/>
  <c r="E126" i="1"/>
  <c r="E127" i="1"/>
  <c r="E128" i="1"/>
  <c r="E129" i="1"/>
  <c r="E130" i="1"/>
  <c r="E131" i="1"/>
  <c r="E132" i="1"/>
  <c r="E121" i="1"/>
  <c r="E120" i="1"/>
  <c r="D133" i="1"/>
  <c r="G133" i="1" l="1"/>
  <c r="F134" i="1"/>
  <c r="E133" i="1"/>
  <c r="F171" i="1" l="1"/>
  <c r="E171" i="1"/>
  <c r="D171" i="1"/>
  <c r="B171" i="1"/>
  <c r="G171" i="1" l="1"/>
  <c r="F172" i="1"/>
  <c r="I25" i="4"/>
  <c r="K7" i="4"/>
  <c r="E7" i="1" l="1"/>
  <c r="D11" i="4" l="1"/>
  <c r="F11" i="4" s="1"/>
  <c r="D13" i="4"/>
  <c r="P259" i="1" l="1"/>
  <c r="D8" i="4"/>
  <c r="E8" i="4" l="1"/>
  <c r="G8" i="4" s="1"/>
  <c r="F8" i="4" s="1"/>
  <c r="H8" i="4" l="1"/>
  <c r="E113" i="1" l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18" i="1"/>
  <c r="E17" i="1"/>
  <c r="E16" i="1"/>
  <c r="E15" i="1"/>
  <c r="E14" i="1"/>
  <c r="E13" i="1"/>
  <c r="E12" i="1"/>
  <c r="E11" i="1"/>
  <c r="E10" i="1"/>
  <c r="E9" i="1"/>
  <c r="E8" i="1"/>
  <c r="F19" i="1"/>
  <c r="D19" i="1"/>
  <c r="G19" i="1" l="1"/>
  <c r="E19" i="1"/>
  <c r="D7" i="4"/>
  <c r="D12" i="4" l="1"/>
  <c r="D18" i="4"/>
  <c r="D14" i="4"/>
  <c r="E9" i="4"/>
  <c r="G9" i="4" s="1"/>
  <c r="D9" i="4"/>
  <c r="D19" i="4" s="1"/>
  <c r="D15" i="4"/>
  <c r="D17" i="4"/>
  <c r="E13" i="4"/>
  <c r="G13" i="4" s="1"/>
  <c r="F13" i="4" s="1"/>
  <c r="F9" i="4" l="1"/>
  <c r="E12" i="4"/>
  <c r="G12" i="4" s="1"/>
  <c r="F12" i="4" s="1"/>
  <c r="E15" i="4"/>
  <c r="G15" i="4" s="1"/>
  <c r="F15" i="4" s="1"/>
  <c r="E14" i="4"/>
  <c r="G14" i="4" s="1"/>
  <c r="F14" i="4" s="1"/>
  <c r="E18" i="4"/>
  <c r="G18" i="4" s="1"/>
  <c r="F18" i="4" s="1"/>
  <c r="E17" i="4"/>
  <c r="G17" i="4" s="1"/>
  <c r="F17" i="4" s="1"/>
  <c r="G6" i="4"/>
  <c r="F6" i="4" s="1"/>
  <c r="H10" i="4" l="1"/>
  <c r="B19" i="4"/>
  <c r="G7" i="4"/>
  <c r="F7" i="4" s="1"/>
  <c r="G19" i="4" l="1"/>
  <c r="F202" i="7" s="1"/>
  <c r="F203" i="7" s="1"/>
  <c r="H14" i="4"/>
  <c r="E19" i="4"/>
  <c r="H16" i="4"/>
  <c r="H11" i="4"/>
  <c r="H9" i="4"/>
  <c r="H13" i="4"/>
  <c r="H15" i="4"/>
  <c r="H7" i="4"/>
  <c r="H12" i="4"/>
  <c r="H18" i="4"/>
  <c r="H17" i="4"/>
  <c r="G91" i="1"/>
  <c r="F19" i="4" l="1"/>
  <c r="F20" i="4" s="1"/>
  <c r="G20" i="4"/>
  <c r="G102" i="1" l="1"/>
  <c r="G103" i="1"/>
  <c r="G104" i="1"/>
  <c r="G105" i="1"/>
  <c r="G106" i="1"/>
  <c r="G107" i="1"/>
  <c r="G108" i="1"/>
  <c r="G109" i="1"/>
  <c r="G110" i="1"/>
  <c r="G111" i="1"/>
  <c r="G112" i="1"/>
  <c r="G113" i="1"/>
  <c r="G101" i="1"/>
  <c r="G122" i="1" l="1"/>
  <c r="G125" i="1" l="1"/>
  <c r="G126" i="1"/>
  <c r="G127" i="1"/>
  <c r="G128" i="1"/>
  <c r="G129" i="1"/>
  <c r="G130" i="1"/>
  <c r="G123" i="1"/>
  <c r="G124" i="1"/>
  <c r="B133" i="1" l="1"/>
  <c r="G121" i="1"/>
  <c r="G120" i="1"/>
  <c r="G50" i="1" l="1"/>
  <c r="G85" i="1" l="1"/>
  <c r="G86" i="1"/>
  <c r="G87" i="1"/>
  <c r="G88" i="1"/>
  <c r="G89" i="1"/>
  <c r="G90" i="1"/>
  <c r="G92" i="1"/>
  <c r="G93" i="1"/>
  <c r="G94" i="1"/>
  <c r="G73" i="1" l="1"/>
  <c r="G33" i="1" l="1"/>
  <c r="G11" i="1" l="1"/>
  <c r="D57" i="1" l="1"/>
  <c r="E95" i="1" l="1"/>
  <c r="F95" i="1"/>
  <c r="G95" i="1" s="1"/>
  <c r="F96" i="1" l="1"/>
  <c r="B114" i="1"/>
  <c r="E114" i="1"/>
  <c r="D114" i="1"/>
  <c r="F114" i="1" l="1"/>
  <c r="G114" i="1" s="1"/>
  <c r="F115" i="1" l="1"/>
  <c r="G64" i="1"/>
  <c r="G65" i="1"/>
  <c r="G66" i="1"/>
  <c r="G67" i="1"/>
  <c r="G68" i="1"/>
  <c r="G69" i="1"/>
  <c r="G70" i="1"/>
  <c r="G71" i="1"/>
  <c r="G72" i="1"/>
  <c r="G74" i="1"/>
  <c r="G75" i="1"/>
  <c r="G63" i="1"/>
  <c r="G83" i="1" l="1"/>
  <c r="G84" i="1"/>
  <c r="G82" i="1"/>
  <c r="B95" i="1" l="1"/>
  <c r="N265" i="1" l="1"/>
  <c r="D76" i="1" l="1"/>
  <c r="F76" i="1"/>
  <c r="G76" i="1" l="1"/>
  <c r="F77" i="1"/>
  <c r="B76" i="1"/>
  <c r="E76" i="1" l="1"/>
  <c r="G9" i="1" l="1"/>
  <c r="F38" i="1" l="1"/>
  <c r="D38" i="1"/>
  <c r="F57" i="1"/>
  <c r="F58" i="1" l="1"/>
  <c r="G57" i="1"/>
  <c r="G38" i="1"/>
  <c r="F39" i="1"/>
  <c r="I277" i="1"/>
  <c r="G277" i="1"/>
  <c r="F277" i="1"/>
  <c r="E277" i="1"/>
  <c r="B277" i="1"/>
  <c r="L276" i="1"/>
  <c r="L277" i="1" s="1"/>
  <c r="N266" i="1"/>
  <c r="G53" i="1"/>
  <c r="G44" i="1"/>
  <c r="G49" i="1"/>
  <c r="G54" i="1"/>
  <c r="G48" i="1"/>
  <c r="G56" i="1"/>
  <c r="G55" i="1"/>
  <c r="G51" i="1"/>
  <c r="G45" i="1"/>
  <c r="G52" i="1"/>
  <c r="G46" i="1"/>
  <c r="G47" i="1"/>
  <c r="B38" i="1"/>
  <c r="G34" i="1"/>
  <c r="G25" i="1"/>
  <c r="G32" i="1"/>
  <c r="G35" i="1"/>
  <c r="G29" i="1"/>
  <c r="G36" i="1"/>
  <c r="G37" i="1"/>
  <c r="G30" i="1"/>
  <c r="G27" i="1"/>
  <c r="G31" i="1"/>
  <c r="G26" i="1"/>
  <c r="G28" i="1"/>
  <c r="B19" i="1"/>
  <c r="G7" i="1"/>
  <c r="G6" i="1"/>
  <c r="G17" i="1"/>
  <c r="G16" i="1"/>
  <c r="G8" i="1"/>
  <c r="E38" i="1" l="1"/>
  <c r="E57" i="1"/>
  <c r="G13" i="1"/>
  <c r="G12" i="1"/>
  <c r="G10" i="1"/>
  <c r="G15" i="1"/>
  <c r="G14" i="1"/>
  <c r="G18" i="1"/>
  <c r="F20" i="1"/>
  <c r="K40" i="9" l="1"/>
  <c r="J29" i="9"/>
  <c r="L29" i="9" s="1"/>
  <c r="D12" i="10"/>
  <c r="D20" i="10" s="1"/>
  <c r="D24" i="10" l="1"/>
  <c r="G21" i="10"/>
  <c r="H12" i="10"/>
  <c r="F12" i="10"/>
  <c r="F20" i="10" s="1"/>
  <c r="F21" i="10" s="1"/>
  <c r="J40" i="9"/>
  <c r="M40" i="9" l="1"/>
  <c r="O40" i="9" s="1"/>
  <c r="L40" i="9"/>
</calcChain>
</file>

<file path=xl/sharedStrings.xml><?xml version="1.0" encoding="utf-8"?>
<sst xmlns="http://schemas.openxmlformats.org/spreadsheetml/2006/main" count="1162" uniqueCount="138">
  <si>
    <t>SUMMARIZED IRREGULARITIES</t>
  </si>
  <si>
    <t>SN</t>
  </si>
  <si>
    <t>Total No. of Branches</t>
  </si>
  <si>
    <t>District</t>
  </si>
  <si>
    <t xml:space="preserve">ATM Cases </t>
  </si>
  <si>
    <t>Amount involved in Birr</t>
  </si>
  <si>
    <t>Status of the irregularities</t>
  </si>
  <si>
    <t xml:space="preserve">Mismatch </t>
  </si>
  <si>
    <t xml:space="preserve">Long outstanding </t>
  </si>
  <si>
    <t>Unrectified</t>
  </si>
  <si>
    <t>Rectified</t>
  </si>
  <si>
    <t>rectified percetage</t>
  </si>
  <si>
    <t>A</t>
  </si>
  <si>
    <t>B</t>
  </si>
  <si>
    <t>D</t>
  </si>
  <si>
    <t>E</t>
  </si>
  <si>
    <t>F</t>
  </si>
  <si>
    <t>G</t>
  </si>
  <si>
    <t>East</t>
  </si>
  <si>
    <t>North</t>
  </si>
  <si>
    <t>South</t>
  </si>
  <si>
    <t>West</t>
  </si>
  <si>
    <t>Adama</t>
  </si>
  <si>
    <t>Bahi Dar</t>
  </si>
  <si>
    <t>Dessie</t>
  </si>
  <si>
    <t>DIREDAWA</t>
  </si>
  <si>
    <t>Hawassa</t>
  </si>
  <si>
    <t>Hossaena</t>
  </si>
  <si>
    <t>Jimma</t>
  </si>
  <si>
    <t>Mekelle</t>
  </si>
  <si>
    <t>TOTAL</t>
  </si>
  <si>
    <t>No. of zero &amp; inactive balance account</t>
  </si>
  <si>
    <t>Others Cases</t>
  </si>
  <si>
    <t>As at July 2025</t>
  </si>
  <si>
    <t>As at August 312025</t>
  </si>
  <si>
    <t>As at September 2025</t>
  </si>
  <si>
    <t>As at October 2025</t>
  </si>
  <si>
    <t>Internal Audit report</t>
  </si>
  <si>
    <t>Types of cases</t>
  </si>
  <si>
    <t>Total No. of Audited Branches</t>
  </si>
  <si>
    <t>Types of irregularities</t>
  </si>
  <si>
    <t>System case</t>
  </si>
  <si>
    <t>No of ATM cards &amp; PIN mailers were not delivered</t>
  </si>
  <si>
    <t>Absence of mobile banking,wallet customer file.</t>
  </si>
  <si>
    <t>Other cases</t>
  </si>
  <si>
    <t>Rectified percetage</t>
  </si>
  <si>
    <t>C</t>
  </si>
  <si>
    <t>As per the detail</t>
  </si>
  <si>
    <t>9 including district</t>
  </si>
  <si>
    <t xml:space="preserve">Others Case No </t>
  </si>
  <si>
    <t>Monthly Controllers report as at November 2025</t>
  </si>
  <si>
    <t xml:space="preserve">IT Case </t>
  </si>
  <si>
    <t>Cheque Book case</t>
  </si>
  <si>
    <t>Monthly Controllers report as at December 2025</t>
  </si>
  <si>
    <t>Wolkite</t>
  </si>
  <si>
    <t>Wolikite</t>
  </si>
  <si>
    <t>Monthly Controllers report as at January 2026</t>
  </si>
  <si>
    <t xml:space="preserve">Others Case </t>
  </si>
  <si>
    <t>unrectified Balance</t>
  </si>
  <si>
    <t>Rectified percetage on total other cases</t>
  </si>
  <si>
    <t>Monthly Controllers report as at February 2026</t>
  </si>
  <si>
    <t>No. of  Branches not dispatched</t>
  </si>
  <si>
    <t>No. of  Branches Dispatched reports</t>
  </si>
  <si>
    <t>Total No. of cases</t>
  </si>
  <si>
    <t>I</t>
  </si>
  <si>
    <t>Rank</t>
  </si>
  <si>
    <t>INTERNAL CONTROL DIVISION</t>
  </si>
  <si>
    <t>Remark</t>
  </si>
  <si>
    <t xml:space="preserve">Total Others Cases(July 2025-February 2026 </t>
  </si>
  <si>
    <t>Total  outstanding unrectified cases</t>
  </si>
  <si>
    <t>Month</t>
  </si>
  <si>
    <t>July,2025</t>
  </si>
  <si>
    <t>August,2025</t>
  </si>
  <si>
    <t>September,2025</t>
  </si>
  <si>
    <t>October,2025</t>
  </si>
  <si>
    <t>November,2025</t>
  </si>
  <si>
    <t>December,2025</t>
  </si>
  <si>
    <t>January,2026</t>
  </si>
  <si>
    <t>February,2026</t>
  </si>
  <si>
    <t>Various internal Audit report</t>
  </si>
  <si>
    <t>Monthly Controllers report as at March 2026</t>
  </si>
  <si>
    <t>March,2026</t>
  </si>
  <si>
    <t>1.Monthly rectification on  other cases</t>
  </si>
  <si>
    <t>H</t>
  </si>
  <si>
    <t>Previous Balance as of July,2025</t>
  </si>
  <si>
    <t>Rectified from July 2025 to March,2026</t>
  </si>
  <si>
    <t>Additional from July 2025 to March,2026</t>
  </si>
  <si>
    <t>Current unrectified Balance as of March,2026</t>
  </si>
  <si>
    <t>J</t>
  </si>
  <si>
    <t>K</t>
  </si>
  <si>
    <t xml:space="preserve">IT related  Case </t>
  </si>
  <si>
    <t>No. of zero  balance account</t>
  </si>
  <si>
    <t>No. of  Inactive  balance account</t>
  </si>
  <si>
    <t>2.Monthly rectification on  ATM-related cases (mismatches and long-outstanding items)</t>
  </si>
  <si>
    <t>3.Monthly rectification on  IT-related issues/cases</t>
  </si>
  <si>
    <t>4.Monthly rectification on Number of zero-balance</t>
  </si>
  <si>
    <t xml:space="preserve">5.Monthly rectification on Number of  inactive accounts </t>
  </si>
  <si>
    <t>6.Monthly rectification on Cheque book cases (cheques not delivered to customers in a timely manner)</t>
  </si>
  <si>
    <t>Monthly Controllers report as at April 2026</t>
  </si>
  <si>
    <t>April,2026</t>
  </si>
  <si>
    <t>EXECUTIVE SUMMARIZED IRREGULARITIES</t>
  </si>
  <si>
    <t>PERFORMANCE REPORT ON  RECTIFICATION OF THE ENTIRE IRREGULARITIES</t>
  </si>
  <si>
    <t>Rank in all cases</t>
  </si>
  <si>
    <t>Percentage ranges</t>
  </si>
  <si>
    <t>Gross percentage</t>
  </si>
  <si>
    <t>ATM-related cases (mismatches and long-outstanding items)</t>
  </si>
  <si>
    <t xml:space="preserve"> IT-related issues/cases</t>
  </si>
  <si>
    <t>Number of zero-balance</t>
  </si>
  <si>
    <t xml:space="preserve">Number of  inactive accounts </t>
  </si>
  <si>
    <t>cheques not delivered to customers</t>
  </si>
  <si>
    <t>Previous week</t>
  </si>
  <si>
    <t>Monthly Controllers report as at May 2026</t>
  </si>
  <si>
    <t>May,2026</t>
  </si>
  <si>
    <t>No. of zerobalance account</t>
  </si>
  <si>
    <t>No. of  inactive balance account</t>
  </si>
  <si>
    <t>Monthly Controllers report as at June 2026</t>
  </si>
  <si>
    <t>June,2026</t>
  </si>
  <si>
    <t>9% up to 100%</t>
  </si>
  <si>
    <t>ENTIRE SUMMARIZED IRREGULARITIES AS AT JULY 13,2026</t>
  </si>
  <si>
    <t>Difference</t>
  </si>
  <si>
    <t xml:space="preserve">Difference bn actual cheque report &amp; reported for the purpose of writeoff approval </t>
  </si>
  <si>
    <t>Reported for the purpose of writeoff approval No. of  Cheques</t>
  </si>
  <si>
    <t xml:space="preserve">Total cost reported for the purpose of writeoff </t>
  </si>
  <si>
    <t xml:space="preserve">Actual report of No. of  Cheques </t>
  </si>
  <si>
    <t>Monthly Controllers report as at July 2026</t>
  </si>
  <si>
    <t>July,2026</t>
  </si>
  <si>
    <t>ENTIRE SUMMARIZED IRREGULARITIES AS AT August 24,2026</t>
  </si>
  <si>
    <t>Covering from July,2025 up to August 24,2026</t>
  </si>
  <si>
    <t>PERFORMANCE REPORT ON  RECTIFICATION OF  THE ENTIRE IRREGULARITIES FROM JULY,2025 UP TO August 24,2026</t>
  </si>
  <si>
    <t>NB: Out of the total 123,788 cases, only 110,220 cases have been rectified, representing 89% of the total cases. Accordingly, 11% of the cases remain unrectified.</t>
  </si>
  <si>
    <t>50% up to 99%</t>
  </si>
  <si>
    <t>previous week</t>
  </si>
  <si>
    <t>0% up to 68%</t>
  </si>
  <si>
    <t>1% up to 100%</t>
  </si>
  <si>
    <t>8% up to 80%</t>
  </si>
  <si>
    <t>14% up to 100%</t>
  </si>
  <si>
    <t>Range of percentage &amp; Gross Percentage as of August 24,2026</t>
  </si>
  <si>
    <t>Total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</si>
</sst>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;[Red]0.00"/>
    <numFmt numFmtId="166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4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i/>
      <sz val="12"/>
      <color rgb="FFFF0000"/>
      <name val="Cambria"/>
      <family val="1"/>
      <scheme val="major"/>
    </font>
    <font>
      <i/>
      <sz val="10"/>
      <name val="Cambria"/>
      <family val="1"/>
      <scheme val="major"/>
    </font>
    <font>
      <b/>
      <i/>
      <sz val="10"/>
      <name val="Cambria"/>
      <family val="1"/>
      <scheme val="major"/>
    </font>
    <font>
      <i/>
      <sz val="9"/>
      <color theme="1"/>
      <name val="Cambria"/>
      <family val="1"/>
      <scheme val="major"/>
    </font>
    <font>
      <b/>
      <sz val="11"/>
      <name val="Calibri"/>
      <family val="2"/>
      <scheme val="minor"/>
    </font>
    <font>
      <b/>
      <i/>
      <sz val="11"/>
      <name val="Cambria"/>
      <family val="1"/>
      <scheme val="major"/>
    </font>
    <font>
      <b/>
      <sz val="12"/>
      <color rgb="FF000000"/>
      <name val="Times New Roman"/>
      <family val="1"/>
    </font>
    <font>
      <i/>
      <sz val="11"/>
      <color rgb="FF000000"/>
      <name val="Cambria"/>
      <family val="1"/>
    </font>
    <font>
      <i/>
      <sz val="11"/>
      <name val="Cambria"/>
      <family val="1"/>
    </font>
    <font>
      <i/>
      <sz val="10"/>
      <color rgb="FF000000"/>
      <name val="Cambria"/>
      <family val="1"/>
    </font>
    <font>
      <i/>
      <sz val="11"/>
      <color rgb="FF000000"/>
      <name val="Cambria"/>
      <family val="1"/>
      <scheme val="major"/>
    </font>
    <font>
      <sz val="11"/>
      <color theme="0"/>
      <name val="Calibri"/>
      <family val="2"/>
      <scheme val="minor"/>
    </font>
    <font>
      <b/>
      <i/>
      <sz val="10"/>
      <color theme="0"/>
      <name val="Cambria"/>
      <family val="1"/>
      <scheme val="major"/>
    </font>
    <font>
      <i/>
      <sz val="11"/>
      <color theme="0"/>
      <name val="Cambria"/>
      <family val="1"/>
      <scheme val="major"/>
    </font>
    <font>
      <b/>
      <i/>
      <sz val="14"/>
      <color theme="0"/>
      <name val="Cambria"/>
      <family val="1"/>
      <scheme val="major"/>
    </font>
    <font>
      <b/>
      <i/>
      <sz val="12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i/>
      <sz val="10"/>
      <color rgb="FF000000"/>
      <name val="Cambria"/>
      <family val="1"/>
    </font>
    <font>
      <b/>
      <i/>
      <sz val="10"/>
      <color rgb="FF002060"/>
      <name val="Cambria"/>
      <family val="1"/>
    </font>
    <font>
      <i/>
      <sz val="10"/>
      <color theme="1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63">
    <xf numFmtId="0" fontId="0" fillId="0" borderId="0" xfId="0"/>
    <xf numFmtId="43" fontId="9" fillId="2" borderId="6" xfId="1" applyNumberFormat="1" applyFont="1" applyFill="1" applyBorder="1"/>
    <xf numFmtId="9" fontId="9" fillId="2" borderId="6" xfId="2" applyFont="1" applyFill="1" applyBorder="1" applyAlignment="1">
      <alignment horizontal="right"/>
    </xf>
    <xf numFmtId="43" fontId="9" fillId="2" borderId="6" xfId="1" applyNumberFormat="1" applyFont="1" applyFill="1" applyBorder="1" applyAlignment="1"/>
    <xf numFmtId="43" fontId="9" fillId="2" borderId="6" xfId="1" applyNumberFormat="1" applyFont="1" applyFill="1" applyBorder="1" applyAlignment="1">
      <alignment horizontal="center"/>
    </xf>
    <xf numFmtId="43" fontId="9" fillId="2" borderId="6" xfId="1" applyNumberFormat="1" applyFont="1" applyFill="1" applyBorder="1" applyAlignment="1">
      <alignment wrapText="1"/>
    </xf>
    <xf numFmtId="0" fontId="3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164" fontId="6" fillId="2" borderId="6" xfId="1" applyNumberFormat="1" applyFont="1" applyFill="1" applyBorder="1"/>
    <xf numFmtId="43" fontId="6" fillId="2" borderId="5" xfId="1" applyNumberFormat="1" applyFont="1" applyFill="1" applyBorder="1" applyAlignment="1"/>
    <xf numFmtId="43" fontId="6" fillId="2" borderId="6" xfId="1" applyNumberFormat="1" applyFont="1" applyFill="1" applyBorder="1" applyAlignment="1"/>
    <xf numFmtId="43" fontId="6" fillId="2" borderId="6" xfId="1" applyNumberFormat="1" applyFont="1" applyFill="1" applyBorder="1"/>
    <xf numFmtId="9" fontId="6" fillId="2" borderId="6" xfId="2" applyFont="1" applyFill="1" applyBorder="1"/>
    <xf numFmtId="43" fontId="6" fillId="2" borderId="6" xfId="1" applyNumberFormat="1" applyFont="1" applyFill="1" applyBorder="1" applyAlignment="1">
      <alignment wrapText="1"/>
    </xf>
    <xf numFmtId="43" fontId="6" fillId="2" borderId="5" xfId="1" applyNumberFormat="1" applyFont="1" applyFill="1" applyBorder="1" applyAlignment="1">
      <alignment wrapText="1"/>
    </xf>
    <xf numFmtId="43" fontId="6" fillId="2" borderId="5" xfId="1" applyNumberFormat="1" applyFont="1" applyFill="1" applyBorder="1"/>
    <xf numFmtId="43" fontId="0" fillId="2" borderId="0" xfId="0" applyNumberFormat="1" applyFill="1"/>
    <xf numFmtId="9" fontId="0" fillId="2" borderId="0" xfId="0" applyNumberFormat="1" applyFill="1"/>
    <xf numFmtId="0" fontId="5" fillId="2" borderId="6" xfId="0" applyFont="1" applyFill="1" applyBorder="1"/>
    <xf numFmtId="43" fontId="7" fillId="2" borderId="6" xfId="0" applyNumberFormat="1" applyFont="1" applyFill="1" applyBorder="1"/>
    <xf numFmtId="0" fontId="7" fillId="2" borderId="3" xfId="0" applyFont="1" applyFill="1" applyBorder="1" applyAlignment="1"/>
    <xf numFmtId="43" fontId="5" fillId="2" borderId="6" xfId="0" applyNumberFormat="1" applyFont="1" applyFill="1" applyBorder="1"/>
    <xf numFmtId="9" fontId="5" fillId="2" borderId="6" xfId="2" applyFont="1" applyFill="1" applyBorder="1"/>
    <xf numFmtId="43" fontId="3" fillId="2" borderId="0" xfId="0" applyNumberFormat="1" applyFont="1" applyFill="1"/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164" fontId="5" fillId="2" borderId="6" xfId="1" applyNumberFormat="1" applyFont="1" applyFill="1" applyBorder="1"/>
    <xf numFmtId="43" fontId="5" fillId="2" borderId="5" xfId="1" applyNumberFormat="1" applyFont="1" applyFill="1" applyBorder="1" applyAlignment="1"/>
    <xf numFmtId="43" fontId="5" fillId="2" borderId="6" xfId="1" applyNumberFormat="1" applyFont="1" applyFill="1" applyBorder="1" applyAlignment="1"/>
    <xf numFmtId="43" fontId="5" fillId="2" borderId="6" xfId="1" applyNumberFormat="1" applyFont="1" applyFill="1" applyBorder="1"/>
    <xf numFmtId="43" fontId="5" fillId="2" borderId="6" xfId="1" applyNumberFormat="1" applyFont="1" applyFill="1" applyBorder="1" applyAlignment="1">
      <alignment wrapText="1"/>
    </xf>
    <xf numFmtId="43" fontId="5" fillId="2" borderId="5" xfId="1" applyNumberFormat="1" applyFont="1" applyFill="1" applyBorder="1"/>
    <xf numFmtId="0" fontId="7" fillId="2" borderId="6" xfId="0" applyFont="1" applyFill="1" applyBorder="1" applyAlignment="1">
      <alignment horizontal="center"/>
    </xf>
    <xf numFmtId="43" fontId="7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43" fontId="9" fillId="2" borderId="5" xfId="1" applyNumberFormat="1" applyFont="1" applyFill="1" applyBorder="1"/>
    <xf numFmtId="43" fontId="9" fillId="2" borderId="5" xfId="1" applyNumberFormat="1" applyFont="1" applyFill="1" applyBorder="1" applyAlignment="1"/>
    <xf numFmtId="43" fontId="10" fillId="2" borderId="6" xfId="1" applyNumberFormat="1" applyFont="1" applyFill="1" applyBorder="1" applyAlignment="1"/>
    <xf numFmtId="43" fontId="11" fillId="2" borderId="6" xfId="1" applyNumberFormat="1" applyFont="1" applyFill="1" applyBorder="1" applyAlignment="1"/>
    <xf numFmtId="43" fontId="9" fillId="2" borderId="6" xfId="1" applyNumberFormat="1" applyFont="1" applyFill="1" applyBorder="1" applyAlignment="1">
      <alignment horizontal="left"/>
    </xf>
    <xf numFmtId="43" fontId="10" fillId="2" borderId="5" xfId="1" applyNumberFormat="1" applyFont="1" applyFill="1" applyBorder="1" applyAlignment="1"/>
    <xf numFmtId="43" fontId="12" fillId="2" borderId="6" xfId="0" applyNumberFormat="1" applyFont="1" applyFill="1" applyBorder="1"/>
    <xf numFmtId="0" fontId="12" fillId="2" borderId="6" xfId="0" applyFont="1" applyFill="1" applyBorder="1" applyAlignment="1">
      <alignment horizontal="center"/>
    </xf>
    <xf numFmtId="43" fontId="12" fillId="2" borderId="6" xfId="0" applyNumberFormat="1" applyFont="1" applyFill="1" applyBorder="1" applyAlignment="1">
      <alignment horizontal="center"/>
    </xf>
    <xf numFmtId="164" fontId="10" fillId="2" borderId="6" xfId="1" applyNumberFormat="1" applyFont="1" applyFill="1" applyBorder="1"/>
    <xf numFmtId="9" fontId="9" fillId="2" borderId="6" xfId="2" applyFont="1" applyFill="1" applyBorder="1"/>
    <xf numFmtId="0" fontId="9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43" fontId="5" fillId="2" borderId="5" xfId="1" applyNumberFormat="1" applyFont="1" applyFill="1" applyBorder="1" applyAlignment="1">
      <alignment vertical="top" wrapText="1"/>
    </xf>
    <xf numFmtId="43" fontId="5" fillId="2" borderId="5" xfId="1" applyNumberFormat="1" applyFont="1" applyFill="1" applyBorder="1" applyAlignment="1">
      <alignment wrapText="1"/>
    </xf>
    <xf numFmtId="43" fontId="4" fillId="2" borderId="6" xfId="0" applyNumberFormat="1" applyFont="1" applyFill="1" applyBorder="1"/>
    <xf numFmtId="43" fontId="4" fillId="2" borderId="6" xfId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5" fillId="2" borderId="2" xfId="0" applyFont="1" applyFill="1" applyBorder="1"/>
    <xf numFmtId="9" fontId="5" fillId="2" borderId="2" xfId="2" applyFont="1" applyFill="1" applyBorder="1"/>
    <xf numFmtId="0" fontId="15" fillId="2" borderId="0" xfId="0" applyFont="1" applyFill="1" applyAlignment="1">
      <alignment horizontal="center"/>
    </xf>
    <xf numFmtId="0" fontId="2" fillId="2" borderId="0" xfId="0" applyFont="1" applyFill="1" applyBorder="1" applyAlignment="1"/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43" fontId="5" fillId="2" borderId="2" xfId="2" applyNumberFormat="1" applyFont="1" applyFill="1" applyBorder="1"/>
    <xf numFmtId="0" fontId="13" fillId="2" borderId="0" xfId="0" applyFont="1" applyFill="1" applyBorder="1" applyAlignment="1"/>
    <xf numFmtId="43" fontId="12" fillId="2" borderId="0" xfId="0" applyNumberFormat="1" applyFont="1" applyFill="1" applyBorder="1" applyAlignment="1">
      <alignment horizontal="center"/>
    </xf>
    <xf numFmtId="0" fontId="9" fillId="2" borderId="0" xfId="0" applyFont="1" applyFill="1" applyBorder="1"/>
    <xf numFmtId="0" fontId="8" fillId="2" borderId="0" xfId="0" applyFont="1" applyFill="1" applyBorder="1" applyAlignment="1"/>
    <xf numFmtId="43" fontId="5" fillId="4" borderId="6" xfId="1" applyNumberFormat="1" applyFont="1" applyFill="1" applyBorder="1"/>
    <xf numFmtId="43" fontId="9" fillId="4" borderId="5" xfId="1" applyNumberFormat="1" applyFont="1" applyFill="1" applyBorder="1" applyAlignment="1"/>
    <xf numFmtId="43" fontId="6" fillId="5" borderId="6" xfId="1" applyNumberFormat="1" applyFont="1" applyFill="1" applyBorder="1"/>
    <xf numFmtId="43" fontId="6" fillId="5" borderId="6" xfId="1" applyNumberFormat="1" applyFont="1" applyFill="1" applyBorder="1" applyAlignment="1"/>
    <xf numFmtId="0" fontId="8" fillId="3" borderId="6" xfId="0" applyFont="1" applyFill="1" applyBorder="1" applyAlignment="1">
      <alignment horizontal="center"/>
    </xf>
    <xf numFmtId="164" fontId="10" fillId="0" borderId="6" xfId="1" applyNumberFormat="1" applyFont="1" applyFill="1" applyBorder="1"/>
    <xf numFmtId="43" fontId="9" fillId="0" borderId="5" xfId="1" applyNumberFormat="1" applyFont="1" applyFill="1" applyBorder="1"/>
    <xf numFmtId="43" fontId="9" fillId="0" borderId="6" xfId="1" applyNumberFormat="1" applyFont="1" applyFill="1" applyBorder="1"/>
    <xf numFmtId="9" fontId="9" fillId="0" borderId="6" xfId="2" applyFont="1" applyFill="1" applyBorder="1"/>
    <xf numFmtId="43" fontId="9" fillId="0" borderId="6" xfId="1" applyNumberFormat="1" applyFont="1" applyFill="1" applyBorder="1" applyAlignment="1">
      <alignment wrapText="1"/>
    </xf>
    <xf numFmtId="43" fontId="9" fillId="0" borderId="5" xfId="1" applyNumberFormat="1" applyFont="1" applyFill="1" applyBorder="1" applyAlignment="1"/>
    <xf numFmtId="43" fontId="9" fillId="0" borderId="6" xfId="1" applyNumberFormat="1" applyFont="1" applyFill="1" applyBorder="1" applyAlignment="1"/>
    <xf numFmtId="43" fontId="10" fillId="0" borderId="6" xfId="1" applyNumberFormat="1" applyFont="1" applyFill="1" applyBorder="1" applyAlignment="1"/>
    <xf numFmtId="43" fontId="9" fillId="0" borderId="6" xfId="1" applyNumberFormat="1" applyFont="1" applyFill="1" applyBorder="1" applyAlignment="1">
      <alignment horizontal="center"/>
    </xf>
    <xf numFmtId="43" fontId="10" fillId="0" borderId="5" xfId="1" applyNumberFormat="1" applyFont="1" applyFill="1" applyBorder="1" applyAlignment="1"/>
    <xf numFmtId="164" fontId="16" fillId="2" borderId="6" xfId="1" applyNumberFormat="1" applyFont="1" applyFill="1" applyBorder="1"/>
    <xf numFmtId="43" fontId="16" fillId="2" borderId="5" xfId="1" applyNumberFormat="1" applyFont="1" applyFill="1" applyBorder="1" applyAlignment="1"/>
    <xf numFmtId="43" fontId="16" fillId="2" borderId="6" xfId="1" applyNumberFormat="1" applyFont="1" applyFill="1" applyBorder="1" applyAlignment="1"/>
    <xf numFmtId="43" fontId="16" fillId="2" borderId="6" xfId="1" applyNumberFormat="1" applyFont="1" applyFill="1" applyBorder="1"/>
    <xf numFmtId="9" fontId="16" fillId="2" borderId="6" xfId="2" applyFont="1" applyFill="1" applyBorder="1"/>
    <xf numFmtId="43" fontId="11" fillId="0" borderId="6" xfId="1" applyNumberFormat="1" applyFont="1" applyFill="1" applyBorder="1" applyAlignment="1"/>
    <xf numFmtId="43" fontId="9" fillId="0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0" fillId="2" borderId="6" xfId="0" applyFill="1" applyBorder="1"/>
    <xf numFmtId="9" fontId="0" fillId="2" borderId="6" xfId="2" applyFont="1" applyFill="1" applyBorder="1"/>
    <xf numFmtId="0" fontId="8" fillId="6" borderId="6" xfId="0" applyFont="1" applyFill="1" applyBorder="1" applyAlignment="1">
      <alignment horizontal="center" wrapText="1"/>
    </xf>
    <xf numFmtId="0" fontId="8" fillId="6" borderId="6" xfId="0" applyFont="1" applyFill="1" applyBorder="1" applyAlignment="1">
      <alignment horizontal="center"/>
    </xf>
    <xf numFmtId="0" fontId="0" fillId="6" borderId="6" xfId="0" applyFill="1" applyBorder="1"/>
    <xf numFmtId="0" fontId="0" fillId="2" borderId="0" xfId="0" applyFill="1" applyBorder="1"/>
    <xf numFmtId="0" fontId="13" fillId="0" borderId="0" xfId="0" applyFont="1" applyBorder="1" applyAlignment="1"/>
    <xf numFmtId="164" fontId="10" fillId="7" borderId="6" xfId="1" applyNumberFormat="1" applyFont="1" applyFill="1" applyBorder="1"/>
    <xf numFmtId="43" fontId="9" fillId="7" borderId="5" xfId="1" applyNumberFormat="1" applyFont="1" applyFill="1" applyBorder="1"/>
    <xf numFmtId="43" fontId="9" fillId="7" borderId="6" xfId="1" applyNumberFormat="1" applyFont="1" applyFill="1" applyBorder="1"/>
    <xf numFmtId="9" fontId="9" fillId="7" borderId="6" xfId="2" applyFont="1" applyFill="1" applyBorder="1"/>
    <xf numFmtId="43" fontId="9" fillId="7" borderId="6" xfId="0" applyNumberFormat="1" applyFont="1" applyFill="1" applyBorder="1"/>
    <xf numFmtId="43" fontId="0" fillId="7" borderId="6" xfId="0" applyNumberFormat="1" applyFill="1" applyBorder="1"/>
    <xf numFmtId="43" fontId="9" fillId="7" borderId="6" xfId="1" applyNumberFormat="1" applyFont="1" applyFill="1" applyBorder="1" applyAlignment="1">
      <alignment wrapText="1"/>
    </xf>
    <xf numFmtId="164" fontId="17" fillId="7" borderId="6" xfId="1" applyNumberFormat="1" applyFont="1" applyFill="1" applyBorder="1"/>
    <xf numFmtId="43" fontId="11" fillId="7" borderId="5" xfId="1" applyNumberFormat="1" applyFont="1" applyFill="1" applyBorder="1" applyAlignment="1"/>
    <xf numFmtId="43" fontId="11" fillId="7" borderId="6" xfId="1" applyNumberFormat="1" applyFont="1" applyFill="1" applyBorder="1"/>
    <xf numFmtId="43" fontId="9" fillId="7" borderId="6" xfId="1" applyNumberFormat="1" applyFont="1" applyFill="1" applyBorder="1" applyAlignment="1"/>
    <xf numFmtId="43" fontId="10" fillId="7" borderId="6" xfId="1" applyNumberFormat="1" applyFont="1" applyFill="1" applyBorder="1" applyAlignment="1"/>
    <xf numFmtId="43" fontId="11" fillId="7" borderId="6" xfId="1" applyNumberFormat="1" applyFont="1" applyFill="1" applyBorder="1" applyAlignment="1"/>
    <xf numFmtId="43" fontId="9" fillId="7" borderId="5" xfId="1" applyNumberFormat="1" applyFont="1" applyFill="1" applyBorder="1" applyAlignment="1"/>
    <xf numFmtId="164" fontId="10" fillId="7" borderId="6" xfId="1" applyNumberFormat="1" applyFont="1" applyFill="1" applyBorder="1" applyAlignment="1">
      <alignment horizontal="center"/>
    </xf>
    <xf numFmtId="43" fontId="9" fillId="7" borderId="6" xfId="1" applyNumberFormat="1" applyFont="1" applyFill="1" applyBorder="1" applyAlignment="1">
      <alignment horizontal="center"/>
    </xf>
    <xf numFmtId="43" fontId="9" fillId="7" borderId="6" xfId="1" applyNumberFormat="1" applyFont="1" applyFill="1" applyBorder="1" applyAlignment="1">
      <alignment horizontal="left"/>
    </xf>
    <xf numFmtId="43" fontId="10" fillId="7" borderId="5" xfId="1" applyNumberFormat="1" applyFont="1" applyFill="1" applyBorder="1" applyAlignment="1"/>
    <xf numFmtId="0" fontId="9" fillId="7" borderId="6" xfId="0" applyFont="1" applyFill="1" applyBorder="1"/>
    <xf numFmtId="43" fontId="12" fillId="7" borderId="6" xfId="0" applyNumberFormat="1" applyFont="1" applyFill="1" applyBorder="1"/>
    <xf numFmtId="0" fontId="12" fillId="7" borderId="6" xfId="0" applyFont="1" applyFill="1" applyBorder="1" applyAlignment="1">
      <alignment horizontal="center"/>
    </xf>
    <xf numFmtId="43" fontId="12" fillId="7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/>
    </xf>
    <xf numFmtId="0" fontId="19" fillId="0" borderId="6" xfId="0" applyFont="1" applyBorder="1" applyAlignment="1">
      <alignment horizontal="left" vertical="top" wrapText="1"/>
    </xf>
    <xf numFmtId="0" fontId="15" fillId="0" borderId="0" xfId="0" applyFont="1" applyAlignment="1"/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9" fontId="0" fillId="2" borderId="0" xfId="2" applyFont="1" applyFill="1"/>
    <xf numFmtId="9" fontId="9" fillId="7" borderId="0" xfId="2" applyFont="1" applyFill="1" applyBorder="1"/>
    <xf numFmtId="9" fontId="11" fillId="7" borderId="0" xfId="2" applyFont="1" applyFill="1" applyBorder="1"/>
    <xf numFmtId="43" fontId="4" fillId="2" borderId="0" xfId="1" applyFont="1" applyFill="1" applyBorder="1" applyAlignment="1">
      <alignment horizontal="center"/>
    </xf>
    <xf numFmtId="164" fontId="2" fillId="8" borderId="6" xfId="1" applyNumberFormat="1" applyFont="1" applyFill="1" applyBorder="1"/>
    <xf numFmtId="43" fontId="2" fillId="8" borderId="6" xfId="1" applyNumberFormat="1" applyFont="1" applyFill="1" applyBorder="1" applyAlignment="1"/>
    <xf numFmtId="9" fontId="2" fillId="8" borderId="6" xfId="1" applyNumberFormat="1" applyFont="1" applyFill="1" applyBorder="1" applyAlignment="1"/>
    <xf numFmtId="9" fontId="2" fillId="8" borderId="6" xfId="2" applyFont="1" applyFill="1" applyBorder="1" applyAlignment="1"/>
    <xf numFmtId="43" fontId="0" fillId="2" borderId="0" xfId="1" applyFont="1" applyFill="1" applyBorder="1"/>
    <xf numFmtId="2" fontId="0" fillId="2" borderId="0" xfId="2" applyNumberFormat="1" applyFont="1" applyFill="1"/>
    <xf numFmtId="43" fontId="0" fillId="2" borderId="0" xfId="1" applyFont="1" applyFill="1"/>
    <xf numFmtId="43" fontId="17" fillId="2" borderId="6" xfId="1" applyNumberFormat="1" applyFont="1" applyFill="1" applyBorder="1" applyAlignment="1"/>
    <xf numFmtId="43" fontId="11" fillId="2" borderId="5" xfId="1" applyNumberFormat="1" applyFont="1" applyFill="1" applyBorder="1"/>
    <xf numFmtId="165" fontId="11" fillId="2" borderId="6" xfId="2" applyNumberFormat="1" applyFont="1" applyFill="1" applyBorder="1"/>
    <xf numFmtId="9" fontId="11" fillId="2" borderId="6" xfId="2" applyFont="1" applyFill="1" applyBorder="1" applyAlignment="1">
      <alignment horizontal="right"/>
    </xf>
    <xf numFmtId="43" fontId="11" fillId="2" borderId="6" xfId="1" applyNumberFormat="1" applyFont="1" applyFill="1" applyBorder="1"/>
    <xf numFmtId="9" fontId="11" fillId="2" borderId="6" xfId="2" applyFont="1" applyFill="1" applyBorder="1"/>
    <xf numFmtId="43" fontId="17" fillId="0" borderId="6" xfId="1" applyNumberFormat="1" applyFont="1" applyFill="1" applyBorder="1" applyAlignment="1"/>
    <xf numFmtId="43" fontId="11" fillId="0" borderId="5" xfId="1" applyNumberFormat="1" applyFont="1" applyFill="1" applyBorder="1"/>
    <xf numFmtId="43" fontId="11" fillId="0" borderId="6" xfId="1" applyNumberFormat="1" applyFont="1" applyFill="1" applyBorder="1"/>
    <xf numFmtId="43" fontId="17" fillId="7" borderId="6" xfId="1" applyNumberFormat="1" applyFont="1" applyFill="1" applyBorder="1" applyAlignment="1"/>
    <xf numFmtId="43" fontId="11" fillId="7" borderId="5" xfId="1" applyNumberFormat="1" applyFont="1" applyFill="1" applyBorder="1"/>
    <xf numFmtId="43" fontId="2" fillId="8" borderId="5" xfId="1" applyNumberFormat="1" applyFont="1" applyFill="1" applyBorder="1" applyAlignment="1"/>
    <xf numFmtId="0" fontId="20" fillId="8" borderId="5" xfId="0" applyFont="1" applyFill="1" applyBorder="1"/>
    <xf numFmtId="43" fontId="11" fillId="2" borderId="5" xfId="1" applyNumberFormat="1" applyFont="1" applyFill="1" applyBorder="1" applyAlignment="1"/>
    <xf numFmtId="43" fontId="11" fillId="0" borderId="5" xfId="1" applyNumberFormat="1" applyFont="1" applyFill="1" applyBorder="1" applyAlignment="1"/>
    <xf numFmtId="43" fontId="11" fillId="2" borderId="6" xfId="1" applyNumberFormat="1" applyFont="1" applyFill="1" applyBorder="1" applyAlignment="1">
      <alignment horizontal="left"/>
    </xf>
    <xf numFmtId="43" fontId="11" fillId="2" borderId="6" xfId="1" applyNumberFormat="1" applyFont="1" applyFill="1" applyBorder="1" applyAlignment="1">
      <alignment horizontal="center"/>
    </xf>
    <xf numFmtId="43" fontId="11" fillId="0" borderId="6" xfId="1" applyNumberFormat="1" applyFont="1" applyFill="1" applyBorder="1" applyAlignment="1">
      <alignment horizontal="left"/>
    </xf>
    <xf numFmtId="43" fontId="11" fillId="7" borderId="6" xfId="1" applyNumberFormat="1" applyFont="1" applyFill="1" applyBorder="1" applyAlignment="1">
      <alignment horizontal="left"/>
    </xf>
    <xf numFmtId="43" fontId="17" fillId="7" borderId="5" xfId="1" applyNumberFormat="1" applyFont="1" applyFill="1" applyBorder="1" applyAlignment="1"/>
    <xf numFmtId="0" fontId="2" fillId="8" borderId="6" xfId="0" applyFont="1" applyFill="1" applyBorder="1"/>
    <xf numFmtId="43" fontId="2" fillId="8" borderId="6" xfId="1" applyNumberFormat="1" applyFont="1" applyFill="1" applyBorder="1"/>
    <xf numFmtId="9" fontId="2" fillId="8" borderId="6" xfId="2" applyFont="1" applyFill="1" applyBorder="1"/>
    <xf numFmtId="0" fontId="6" fillId="2" borderId="6" xfId="0" applyFont="1" applyFill="1" applyBorder="1"/>
    <xf numFmtId="43" fontId="11" fillId="2" borderId="6" xfId="1" applyNumberFormat="1" applyFont="1" applyFill="1" applyBorder="1" applyAlignment="1">
      <alignment wrapText="1"/>
    </xf>
    <xf numFmtId="164" fontId="18" fillId="8" borderId="6" xfId="1" applyNumberFormat="1" applyFont="1" applyFill="1" applyBorder="1"/>
    <xf numFmtId="43" fontId="2" fillId="8" borderId="5" xfId="1" applyNumberFormat="1" applyFont="1" applyFill="1" applyBorder="1" applyAlignment="1">
      <alignment wrapText="1"/>
    </xf>
    <xf numFmtId="9" fontId="2" fillId="8" borderId="5" xfId="2" applyFont="1" applyFill="1" applyBorder="1" applyAlignment="1">
      <alignment wrapText="1"/>
    </xf>
    <xf numFmtId="164" fontId="17" fillId="2" borderId="6" xfId="1" applyNumberFormat="1" applyFont="1" applyFill="1" applyBorder="1"/>
    <xf numFmtId="43" fontId="17" fillId="2" borderId="5" xfId="1" applyNumberFormat="1" applyFont="1" applyFill="1" applyBorder="1" applyAlignment="1"/>
    <xf numFmtId="43" fontId="2" fillId="8" borderId="5" xfId="1" applyNumberFormat="1" applyFont="1" applyFill="1" applyBorder="1"/>
    <xf numFmtId="9" fontId="2" fillId="8" borderId="5" xfId="2" applyFont="1" applyFill="1" applyBorder="1"/>
    <xf numFmtId="164" fontId="17" fillId="0" borderId="6" xfId="1" applyNumberFormat="1" applyFont="1" applyFill="1" applyBorder="1"/>
    <xf numFmtId="9" fontId="2" fillId="8" borderId="5" xfId="2" applyFont="1" applyFill="1" applyBorder="1" applyAlignment="1"/>
    <xf numFmtId="0" fontId="20" fillId="8" borderId="6" xfId="0" applyFont="1" applyFill="1" applyBorder="1"/>
    <xf numFmtId="43" fontId="18" fillId="8" borderId="6" xfId="1" applyNumberFormat="1" applyFont="1" applyFill="1" applyBorder="1" applyAlignment="1"/>
    <xf numFmtId="17" fontId="2" fillId="8" borderId="6" xfId="1" applyNumberFormat="1" applyFont="1" applyFill="1" applyBorder="1" applyAlignment="1"/>
    <xf numFmtId="43" fontId="21" fillId="8" borderId="6" xfId="1" applyNumberFormat="1" applyFont="1" applyFill="1" applyBorder="1"/>
    <xf numFmtId="9" fontId="21" fillId="8" borderId="6" xfId="2" applyFont="1" applyFill="1" applyBorder="1"/>
    <xf numFmtId="0" fontId="6" fillId="9" borderId="6" xfId="0" applyFont="1" applyFill="1" applyBorder="1"/>
    <xf numFmtId="0" fontId="2" fillId="9" borderId="3" xfId="0" applyFont="1" applyFill="1" applyBorder="1" applyAlignment="1"/>
    <xf numFmtId="17" fontId="2" fillId="9" borderId="7" xfId="0" applyNumberFormat="1" applyFont="1" applyFill="1" applyBorder="1" applyAlignment="1"/>
    <xf numFmtId="43" fontId="2" fillId="9" borderId="7" xfId="0" applyNumberFormat="1" applyFont="1" applyFill="1" applyBorder="1" applyAlignment="1"/>
    <xf numFmtId="9" fontId="2" fillId="9" borderId="7" xfId="2" applyFont="1" applyFill="1" applyBorder="1" applyAlignment="1"/>
    <xf numFmtId="9" fontId="0" fillId="7" borderId="6" xfId="2" applyFont="1" applyFill="1" applyBorder="1"/>
    <xf numFmtId="0" fontId="0" fillId="7" borderId="6" xfId="0" applyFill="1" applyBorder="1"/>
    <xf numFmtId="0" fontId="8" fillId="3" borderId="6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9" fontId="12" fillId="2" borderId="6" xfId="0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9" fontId="9" fillId="0" borderId="0" xfId="2" applyFont="1" applyFill="1" applyBorder="1"/>
    <xf numFmtId="43" fontId="9" fillId="0" borderId="0" xfId="1" applyNumberFormat="1" applyFont="1" applyFill="1" applyBorder="1"/>
    <xf numFmtId="43" fontId="9" fillId="0" borderId="0" xfId="1" applyNumberFormat="1" applyFont="1" applyFill="1" applyBorder="1" applyAlignment="1"/>
    <xf numFmtId="9" fontId="9" fillId="2" borderId="0" xfId="2" applyFont="1" applyFill="1" applyBorder="1"/>
    <xf numFmtId="0" fontId="8" fillId="7" borderId="0" xfId="0" applyFont="1" applyFill="1" applyBorder="1" applyAlignment="1">
      <alignment horizontal="center" wrapText="1"/>
    </xf>
    <xf numFmtId="43" fontId="9" fillId="7" borderId="6" xfId="1" applyFont="1" applyFill="1" applyBorder="1"/>
    <xf numFmtId="43" fontId="9" fillId="7" borderId="6" xfId="1" applyFont="1" applyFill="1" applyBorder="1" applyAlignment="1"/>
    <xf numFmtId="164" fontId="9" fillId="7" borderId="6" xfId="1" applyNumberFormat="1" applyFont="1" applyFill="1" applyBorder="1"/>
    <xf numFmtId="0" fontId="9" fillId="0" borderId="6" xfId="0" applyFont="1" applyBorder="1"/>
    <xf numFmtId="43" fontId="12" fillId="0" borderId="6" xfId="0" applyNumberFormat="1" applyFont="1" applyBorder="1"/>
    <xf numFmtId="0" fontId="12" fillId="0" borderId="6" xfId="0" applyFont="1" applyBorder="1" applyAlignment="1">
      <alignment horizontal="center"/>
    </xf>
    <xf numFmtId="43" fontId="12" fillId="0" borderId="6" xfId="0" applyNumberFormat="1" applyFont="1" applyBorder="1" applyAlignment="1">
      <alignment horizontal="center"/>
    </xf>
    <xf numFmtId="9" fontId="12" fillId="0" borderId="6" xfId="2" applyFont="1" applyBorder="1" applyAlignment="1">
      <alignment horizontal="center"/>
    </xf>
    <xf numFmtId="0" fontId="0" fillId="3" borderId="6" xfId="0" applyFill="1" applyBorder="1"/>
    <xf numFmtId="0" fontId="22" fillId="0" borderId="9" xfId="0" applyFont="1" applyBorder="1" applyAlignment="1">
      <alignment vertical="center"/>
    </xf>
    <xf numFmtId="43" fontId="0" fillId="0" borderId="0" xfId="0" applyNumberFormat="1"/>
    <xf numFmtId="43" fontId="0" fillId="0" borderId="0" xfId="0" applyNumberFormat="1" applyFill="1" applyBorder="1"/>
    <xf numFmtId="164" fontId="10" fillId="0" borderId="6" xfId="1" applyNumberFormat="1" applyFont="1" applyBorder="1"/>
    <xf numFmtId="43" fontId="0" fillId="7" borderId="6" xfId="1" applyFont="1" applyFill="1" applyBorder="1"/>
    <xf numFmtId="0" fontId="0" fillId="0" borderId="2" xfId="0" applyBorder="1"/>
    <xf numFmtId="0" fontId="22" fillId="0" borderId="0" xfId="0" applyFont="1" applyBorder="1" applyAlignment="1">
      <alignment vertical="center"/>
    </xf>
    <xf numFmtId="0" fontId="0" fillId="0" borderId="6" xfId="0" applyBorder="1"/>
    <xf numFmtId="43" fontId="15" fillId="0" borderId="6" xfId="0" applyNumberFormat="1" applyFont="1" applyBorder="1"/>
    <xf numFmtId="9" fontId="15" fillId="0" borderId="6" xfId="2" applyFont="1" applyBorder="1"/>
    <xf numFmtId="0" fontId="13" fillId="0" borderId="0" xfId="0" applyFont="1" applyBorder="1" applyAlignment="1">
      <alignment horizontal="center"/>
    </xf>
    <xf numFmtId="43" fontId="23" fillId="10" borderId="5" xfId="1" applyNumberFormat="1" applyFont="1" applyFill="1" applyBorder="1"/>
    <xf numFmtId="43" fontId="23" fillId="10" borderId="6" xfId="1" applyNumberFormat="1" applyFont="1" applyFill="1" applyBorder="1"/>
    <xf numFmtId="43" fontId="24" fillId="10" borderId="5" xfId="1" applyNumberFormat="1" applyFont="1" applyFill="1" applyBorder="1" applyAlignment="1"/>
    <xf numFmtId="43" fontId="24" fillId="10" borderId="6" xfId="1" applyNumberFormat="1" applyFont="1" applyFill="1" applyBorder="1" applyAlignment="1"/>
    <xf numFmtId="43" fontId="23" fillId="10" borderId="6" xfId="1" applyNumberFormat="1" applyFont="1" applyFill="1" applyBorder="1" applyAlignment="1"/>
    <xf numFmtId="43" fontId="23" fillId="10" borderId="6" xfId="1" applyNumberFormat="1" applyFont="1" applyFill="1" applyBorder="1" applyAlignment="1">
      <alignment horizontal="center"/>
    </xf>
    <xf numFmtId="43" fontId="23" fillId="10" borderId="6" xfId="1" applyNumberFormat="1" applyFont="1" applyFill="1" applyBorder="1" applyAlignment="1">
      <alignment wrapText="1"/>
    </xf>
    <xf numFmtId="43" fontId="25" fillId="10" borderId="6" xfId="1" applyNumberFormat="1" applyFont="1" applyFill="1" applyBorder="1" applyAlignment="1"/>
    <xf numFmtId="43" fontId="5" fillId="2" borderId="6" xfId="1" applyFont="1" applyFill="1" applyBorder="1" applyAlignment="1"/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8" fillId="2" borderId="0" xfId="0" applyFont="1" applyFill="1" applyBorder="1" applyAlignment="1"/>
    <xf numFmtId="43" fontId="9" fillId="2" borderId="5" xfId="1" applyNumberFormat="1" applyFont="1" applyFill="1" applyBorder="1" applyAlignment="1">
      <alignment wrapText="1"/>
    </xf>
    <xf numFmtId="43" fontId="9" fillId="2" borderId="6" xfId="1" applyFont="1" applyFill="1" applyBorder="1" applyAlignment="1">
      <alignment horizontal="center"/>
    </xf>
    <xf numFmtId="164" fontId="9" fillId="2" borderId="6" xfId="1" applyNumberFormat="1" applyFont="1" applyFill="1" applyBorder="1"/>
    <xf numFmtId="43" fontId="9" fillId="2" borderId="6" xfId="1" applyFont="1" applyFill="1" applyBorder="1"/>
    <xf numFmtId="9" fontId="0" fillId="0" borderId="6" xfId="0" applyNumberFormat="1" applyBorder="1"/>
    <xf numFmtId="0" fontId="26" fillId="0" borderId="6" xfId="0" applyFont="1" applyBorder="1" applyAlignment="1">
      <alignment vertical="center" wrapText="1"/>
    </xf>
    <xf numFmtId="43" fontId="26" fillId="0" borderId="6" xfId="1" applyFont="1" applyBorder="1" applyAlignment="1">
      <alignment vertical="center"/>
    </xf>
    <xf numFmtId="0" fontId="26" fillId="0" borderId="6" xfId="0" applyFont="1" applyBorder="1" applyAlignment="1">
      <alignment horizontal="left" vertical="center" wrapText="1"/>
    </xf>
    <xf numFmtId="43" fontId="11" fillId="2" borderId="6" xfId="1" applyFont="1" applyFill="1" applyBorder="1" applyAlignment="1"/>
    <xf numFmtId="0" fontId="9" fillId="2" borderId="6" xfId="0" applyFont="1" applyFill="1" applyBorder="1" applyAlignment="1">
      <alignment horizontal="center"/>
    </xf>
    <xf numFmtId="43" fontId="9" fillId="7" borderId="0" xfId="1" applyNumberFormat="1" applyFont="1" applyFill="1" applyBorder="1"/>
    <xf numFmtId="9" fontId="0" fillId="0" borderId="6" xfId="2" applyFont="1" applyBorder="1"/>
    <xf numFmtId="43" fontId="0" fillId="0" borderId="0" xfId="0" applyNumberFormat="1" applyBorder="1"/>
    <xf numFmtId="43" fontId="9" fillId="7" borderId="0" xfId="1" applyNumberFormat="1" applyFont="1" applyFill="1" applyBorder="1" applyAlignment="1"/>
    <xf numFmtId="43" fontId="10" fillId="7" borderId="0" xfId="1" applyNumberFormat="1" applyFont="1" applyFill="1" applyBorder="1" applyAlignment="1"/>
    <xf numFmtId="43" fontId="15" fillId="0" borderId="6" xfId="1" applyFont="1" applyBorder="1"/>
    <xf numFmtId="9" fontId="22" fillId="0" borderId="0" xfId="2" applyFont="1" applyBorder="1" applyAlignment="1">
      <alignment vertical="center"/>
    </xf>
    <xf numFmtId="43" fontId="23" fillId="11" borderId="6" xfId="1" applyNumberFormat="1" applyFont="1" applyFill="1" applyBorder="1"/>
    <xf numFmtId="43" fontId="25" fillId="12" borderId="6" xfId="1" applyNumberFormat="1" applyFont="1" applyFill="1" applyBorder="1" applyAlignment="1"/>
    <xf numFmtId="43" fontId="23" fillId="11" borderId="5" xfId="1" applyNumberFormat="1" applyFont="1" applyFill="1" applyBorder="1" applyAlignment="1"/>
    <xf numFmtId="43" fontId="23" fillId="13" borderId="6" xfId="1" applyNumberFormat="1" applyFont="1" applyFill="1" applyBorder="1"/>
    <xf numFmtId="43" fontId="23" fillId="0" borderId="6" xfId="1" applyNumberFormat="1" applyFont="1" applyFill="1" applyBorder="1"/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43" fontId="9" fillId="7" borderId="0" xfId="0" applyNumberFormat="1" applyFont="1" applyFill="1" applyBorder="1"/>
    <xf numFmtId="43" fontId="0" fillId="7" borderId="0" xfId="0" applyNumberFormat="1" applyFill="1" applyBorder="1"/>
    <xf numFmtId="43" fontId="11" fillId="7" borderId="0" xfId="1" applyNumberFormat="1" applyFont="1" applyFill="1" applyBorder="1" applyAlignment="1"/>
    <xf numFmtId="43" fontId="11" fillId="7" borderId="0" xfId="1" applyNumberFormat="1" applyFont="1" applyFill="1" applyBorder="1"/>
    <xf numFmtId="43" fontId="11" fillId="7" borderId="0" xfId="0" applyNumberFormat="1" applyFont="1" applyFill="1" applyBorder="1"/>
    <xf numFmtId="43" fontId="9" fillId="7" borderId="0" xfId="1" applyNumberFormat="1" applyFont="1" applyFill="1" applyBorder="1" applyAlignment="1">
      <alignment horizontal="center"/>
    </xf>
    <xf numFmtId="43" fontId="9" fillId="7" borderId="0" xfId="0" applyNumberFormat="1" applyFont="1" applyFill="1" applyBorder="1" applyAlignment="1">
      <alignment horizontal="center"/>
    </xf>
    <xf numFmtId="43" fontId="9" fillId="7" borderId="0" xfId="1" applyNumberFormat="1" applyFont="1" applyFill="1" applyBorder="1" applyAlignment="1">
      <alignment wrapText="1"/>
    </xf>
    <xf numFmtId="43" fontId="12" fillId="7" borderId="0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43" fontId="23" fillId="14" borderId="0" xfId="1" applyNumberFormat="1" applyFont="1" applyFill="1" applyBorder="1"/>
    <xf numFmtId="43" fontId="24" fillId="14" borderId="0" xfId="1" applyNumberFormat="1" applyFont="1" applyFill="1" applyBorder="1" applyAlignment="1"/>
    <xf numFmtId="0" fontId="9" fillId="7" borderId="0" xfId="0" applyFont="1" applyFill="1" applyBorder="1"/>
    <xf numFmtId="0" fontId="0" fillId="7" borderId="0" xfId="0" applyFill="1" applyBorder="1"/>
    <xf numFmtId="43" fontId="23" fillId="14" borderId="0" xfId="1" applyNumberFormat="1" applyFont="1" applyFill="1" applyBorder="1" applyAlignment="1"/>
    <xf numFmtId="43" fontId="23" fillId="14" borderId="0" xfId="1" applyNumberFormat="1" applyFont="1" applyFill="1" applyBorder="1" applyAlignment="1">
      <alignment horizontal="center"/>
    </xf>
    <xf numFmtId="43" fontId="23" fillId="14" borderId="0" xfId="1" applyNumberFormat="1" applyFont="1" applyFill="1" applyBorder="1" applyAlignment="1">
      <alignment wrapText="1"/>
    </xf>
    <xf numFmtId="43" fontId="25" fillId="14" borderId="0" xfId="1" applyNumberFormat="1" applyFont="1" applyFill="1" applyBorder="1" applyAlignment="1"/>
    <xf numFmtId="0" fontId="2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wrapText="1"/>
    </xf>
    <xf numFmtId="9" fontId="16" fillId="2" borderId="0" xfId="2" applyFont="1" applyFill="1" applyBorder="1"/>
    <xf numFmtId="9" fontId="6" fillId="2" borderId="0" xfId="2" applyFont="1" applyFill="1" applyBorder="1"/>
    <xf numFmtId="43" fontId="7" fillId="2" borderId="0" xfId="0" applyNumberFormat="1" applyFont="1" applyFill="1" applyBorder="1"/>
    <xf numFmtId="43" fontId="5" fillId="2" borderId="0" xfId="0" applyNumberFormat="1" applyFont="1" applyFill="1" applyBorder="1"/>
    <xf numFmtId="9" fontId="5" fillId="2" borderId="0" xfId="2" applyFont="1" applyFill="1" applyBorder="1"/>
    <xf numFmtId="43" fontId="7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8" fillId="2" borderId="0" xfId="0" applyFont="1" applyFill="1" applyBorder="1" applyAlignment="1">
      <alignment horizontal="center" wrapText="1"/>
    </xf>
    <xf numFmtId="9" fontId="9" fillId="2" borderId="0" xfId="2" applyFont="1" applyFill="1" applyBorder="1" applyAlignment="1">
      <alignment horizontal="right"/>
    </xf>
    <xf numFmtId="0" fontId="13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43" fontId="12" fillId="0" borderId="0" xfId="0" applyNumberFormat="1" applyFont="1" applyFill="1" applyBorder="1" applyAlignment="1">
      <alignment horizontal="center"/>
    </xf>
    <xf numFmtId="43" fontId="11" fillId="0" borderId="0" xfId="1" applyNumberFormat="1" applyFont="1" applyFill="1" applyBorder="1" applyAlignment="1"/>
    <xf numFmtId="0" fontId="28" fillId="0" borderId="0" xfId="0" applyFont="1" applyFill="1" applyBorder="1" applyAlignment="1">
      <alignment horizontal="center"/>
    </xf>
    <xf numFmtId="0" fontId="27" fillId="0" borderId="0" xfId="0" applyFont="1" applyFill="1"/>
    <xf numFmtId="0" fontId="28" fillId="0" borderId="0" xfId="0" applyFont="1" applyFill="1" applyBorder="1" applyAlignment="1">
      <alignment horizontal="center" wrapText="1"/>
    </xf>
    <xf numFmtId="9" fontId="29" fillId="0" borderId="0" xfId="2" applyFont="1" applyFill="1" applyBorder="1"/>
    <xf numFmtId="0" fontId="29" fillId="0" borderId="0" xfId="0" applyFont="1" applyFill="1" applyBorder="1"/>
    <xf numFmtId="0" fontId="30" fillId="0" borderId="0" xfId="0" applyFont="1" applyFill="1" applyBorder="1" applyAlignment="1">
      <alignment horizontal="center"/>
    </xf>
    <xf numFmtId="0" fontId="30" fillId="0" borderId="0" xfId="0" applyFont="1" applyFill="1" applyBorder="1" applyAlignment="1"/>
    <xf numFmtId="0" fontId="31" fillId="0" borderId="0" xfId="0" applyFont="1" applyFill="1" applyBorder="1" applyAlignment="1">
      <alignment wrapText="1"/>
    </xf>
    <xf numFmtId="43" fontId="29" fillId="0" borderId="0" xfId="1" applyNumberFormat="1" applyFont="1" applyFill="1" applyBorder="1"/>
    <xf numFmtId="43" fontId="29" fillId="0" borderId="0" xfId="1" applyNumberFormat="1" applyFont="1" applyFill="1" applyBorder="1" applyAlignment="1"/>
    <xf numFmtId="9" fontId="32" fillId="0" borderId="0" xfId="0" applyNumberFormat="1" applyFont="1" applyFill="1" applyBorder="1" applyAlignment="1">
      <alignment horizontal="center"/>
    </xf>
    <xf numFmtId="43" fontId="32" fillId="0" borderId="0" xfId="0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9" fontId="7" fillId="2" borderId="6" xfId="0" applyNumberFormat="1" applyFont="1" applyFill="1" applyBorder="1" applyAlignment="1">
      <alignment horizontal="center"/>
    </xf>
    <xf numFmtId="9" fontId="12" fillId="7" borderId="6" xfId="2" applyFont="1" applyFill="1" applyBorder="1" applyAlignment="1">
      <alignment horizontal="center"/>
    </xf>
    <xf numFmtId="9" fontId="0" fillId="0" borderId="0" xfId="2" applyFont="1"/>
    <xf numFmtId="43" fontId="0" fillId="2" borderId="0" xfId="0" applyNumberFormat="1" applyFill="1" applyBorder="1"/>
    <xf numFmtId="9" fontId="12" fillId="7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 wrapText="1"/>
    </xf>
    <xf numFmtId="0" fontId="0" fillId="0" borderId="0" xfId="0" applyBorder="1"/>
    <xf numFmtId="9" fontId="11" fillId="0" borderId="6" xfId="2" applyFont="1" applyBorder="1" applyAlignment="1">
      <alignment horizontal="center"/>
    </xf>
    <xf numFmtId="9" fontId="9" fillId="2" borderId="6" xfId="1" applyNumberFormat="1" applyFont="1" applyFill="1" applyBorder="1" applyAlignment="1"/>
    <xf numFmtId="9" fontId="9" fillId="5" borderId="6" xfId="1" applyNumberFormat="1" applyFont="1" applyFill="1" applyBorder="1" applyAlignment="1"/>
    <xf numFmtId="0" fontId="4" fillId="7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0" fillId="7" borderId="0" xfId="0" applyFill="1"/>
    <xf numFmtId="164" fontId="6" fillId="7" borderId="6" xfId="1" applyNumberFormat="1" applyFont="1" applyFill="1" applyBorder="1"/>
    <xf numFmtId="43" fontId="6" fillId="7" borderId="6" xfId="1" applyNumberFormat="1" applyFont="1" applyFill="1" applyBorder="1"/>
    <xf numFmtId="9" fontId="6" fillId="7" borderId="6" xfId="2" applyFont="1" applyFill="1" applyBorder="1"/>
    <xf numFmtId="9" fontId="12" fillId="2" borderId="6" xfId="2" applyFont="1" applyFill="1" applyBorder="1" applyAlignment="1">
      <alignment horizontal="center"/>
    </xf>
    <xf numFmtId="9" fontId="7" fillId="2" borderId="6" xfId="2" applyFont="1" applyFill="1" applyBorder="1" applyAlignment="1">
      <alignment horizontal="center"/>
    </xf>
    <xf numFmtId="9" fontId="7" fillId="2" borderId="6" xfId="2" applyFont="1" applyFill="1" applyBorder="1"/>
    <xf numFmtId="43" fontId="22" fillId="0" borderId="0" xfId="0" applyNumberFormat="1" applyFont="1" applyBorder="1" applyAlignment="1">
      <alignment vertical="center"/>
    </xf>
    <xf numFmtId="43" fontId="0" fillId="0" borderId="0" xfId="1" applyFont="1" applyBorder="1"/>
    <xf numFmtId="0" fontId="33" fillId="15" borderId="6" xfId="0" applyFont="1" applyFill="1" applyBorder="1" applyAlignment="1">
      <alignment horizontal="center" vertical="center"/>
    </xf>
    <xf numFmtId="0" fontId="33" fillId="15" borderId="6" xfId="0" applyFont="1" applyFill="1" applyBorder="1" applyAlignment="1">
      <alignment horizontal="center" vertical="center" wrapText="1"/>
    </xf>
    <xf numFmtId="0" fontId="34" fillId="15" borderId="6" xfId="0" applyFont="1" applyFill="1" applyBorder="1" applyAlignment="1">
      <alignment horizontal="center" vertical="center" wrapText="1"/>
    </xf>
    <xf numFmtId="0" fontId="35" fillId="16" borderId="6" xfId="0" applyFont="1" applyFill="1" applyBorder="1" applyAlignment="1">
      <alignment vertical="center"/>
    </xf>
    <xf numFmtId="4" fontId="35" fillId="16" borderId="6" xfId="0" applyNumberFormat="1" applyFont="1" applyFill="1" applyBorder="1" applyAlignment="1">
      <alignment vertical="center"/>
    </xf>
    <xf numFmtId="43" fontId="0" fillId="0" borderId="6" xfId="1" applyFont="1" applyBorder="1"/>
    <xf numFmtId="43" fontId="33" fillId="15" borderId="6" xfId="0" applyNumberFormat="1" applyFont="1" applyFill="1" applyBorder="1" applyAlignment="1">
      <alignment horizontal="center" vertical="center"/>
    </xf>
    <xf numFmtId="0" fontId="35" fillId="16" borderId="6" xfId="0" applyFont="1" applyFill="1" applyBorder="1" applyAlignment="1">
      <alignment vertical="center" wrapText="1"/>
    </xf>
    <xf numFmtId="4" fontId="35" fillId="16" borderId="6" xfId="0" applyNumberFormat="1" applyFont="1" applyFill="1" applyBorder="1" applyAlignment="1">
      <alignment vertical="center" wrapText="1"/>
    </xf>
    <xf numFmtId="0" fontId="33" fillId="17" borderId="6" xfId="0" applyFont="1" applyFill="1" applyBorder="1" applyAlignment="1">
      <alignment horizontal="center" vertical="center"/>
    </xf>
    <xf numFmtId="4" fontId="33" fillId="17" borderId="6" xfId="0" applyNumberFormat="1" applyFont="1" applyFill="1" applyBorder="1" applyAlignment="1">
      <alignment horizontal="center" vertical="center"/>
    </xf>
    <xf numFmtId="9" fontId="0" fillId="7" borderId="0" xfId="2" applyFont="1" applyFill="1" applyBorder="1"/>
    <xf numFmtId="0" fontId="13" fillId="7" borderId="0" xfId="0" applyFont="1" applyFill="1" applyBorder="1" applyAlignment="1">
      <alignment horizontal="center"/>
    </xf>
    <xf numFmtId="9" fontId="11" fillId="8" borderId="6" xfId="2" applyFont="1" applyFill="1" applyBorder="1" applyAlignment="1">
      <alignment horizontal="center"/>
    </xf>
    <xf numFmtId="9" fontId="9" fillId="8" borderId="6" xfId="1" applyNumberFormat="1" applyFont="1" applyFill="1" applyBorder="1" applyAlignment="1"/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43" fontId="14" fillId="7" borderId="6" xfId="0" applyNumberFormat="1" applyFont="1" applyFill="1" applyBorder="1"/>
    <xf numFmtId="0" fontId="8" fillId="6" borderId="6" xfId="0" applyFont="1" applyFill="1" applyBorder="1" applyAlignment="1">
      <alignment horizontal="center" vertical="center" wrapText="1"/>
    </xf>
    <xf numFmtId="17" fontId="11" fillId="0" borderId="5" xfId="1" applyNumberFormat="1" applyFont="1" applyFill="1" applyBorder="1"/>
    <xf numFmtId="43" fontId="10" fillId="2" borderId="0" xfId="1" applyNumberFormat="1" applyFont="1" applyFill="1" applyBorder="1" applyAlignment="1"/>
    <xf numFmtId="43" fontId="9" fillId="2" borderId="0" xfId="1" applyNumberFormat="1" applyFont="1" applyFill="1" applyBorder="1"/>
    <xf numFmtId="43" fontId="9" fillId="2" borderId="0" xfId="1" applyNumberFormat="1" applyFont="1" applyFill="1" applyBorder="1" applyAlignment="1"/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0" fillId="6" borderId="6" xfId="0" applyFill="1" applyBorder="1" applyAlignment="1">
      <alignment wrapText="1"/>
    </xf>
    <xf numFmtId="43" fontId="10" fillId="2" borderId="5" xfId="1" applyNumberFormat="1" applyFont="1" applyFill="1" applyBorder="1" applyAlignment="1">
      <alignment wrapText="1"/>
    </xf>
    <xf numFmtId="43" fontId="9" fillId="7" borderId="5" xfId="1" applyNumberFormat="1" applyFont="1" applyFill="1" applyBorder="1" applyAlignment="1">
      <alignment wrapText="1"/>
    </xf>
    <xf numFmtId="9" fontId="0" fillId="7" borderId="6" xfId="2" applyFont="1" applyFill="1" applyBorder="1" applyAlignment="1">
      <alignment wrapText="1"/>
    </xf>
    <xf numFmtId="43" fontId="10" fillId="2" borderId="6" xfId="1" applyNumberFormat="1" applyFont="1" applyFill="1" applyBorder="1" applyAlignment="1">
      <alignment wrapText="1"/>
    </xf>
    <xf numFmtId="43" fontId="11" fillId="2" borderId="5" xfId="1" applyNumberFormat="1" applyFont="1" applyFill="1" applyBorder="1" applyAlignment="1">
      <alignment wrapText="1"/>
    </xf>
    <xf numFmtId="9" fontId="0" fillId="2" borderId="6" xfId="2" applyFont="1" applyFill="1" applyBorder="1" applyAlignment="1">
      <alignment wrapText="1"/>
    </xf>
    <xf numFmtId="9" fontId="0" fillId="2" borderId="0" xfId="2" applyFont="1" applyFill="1" applyBorder="1"/>
    <xf numFmtId="43" fontId="14" fillId="2" borderId="6" xfId="1" applyFont="1" applyFill="1" applyBorder="1" applyAlignment="1">
      <alignment horizontal="center"/>
    </xf>
    <xf numFmtId="43" fontId="14" fillId="7" borderId="6" xfId="1" applyFont="1" applyFill="1" applyBorder="1"/>
    <xf numFmtId="9" fontId="14" fillId="2" borderId="6" xfId="1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0" fontId="1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0" fontId="1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164" fontId="4" fillId="3" borderId="6" xfId="0" applyNumberFormat="1" applyFont="1" applyFill="1" applyBorder="1" applyAlignment="1">
      <alignment horizontal="center" wrapText="1"/>
    </xf>
    <xf numFmtId="0" fontId="4" fillId="7" borderId="0" xfId="0" applyFont="1" applyFill="1" applyBorder="1" applyAlignment="1">
      <alignment horizontal="center" wrapText="1"/>
    </xf>
    <xf numFmtId="164" fontId="4" fillId="7" borderId="0" xfId="0" applyNumberFormat="1" applyFont="1" applyFill="1" applyBorder="1" applyAlignment="1">
      <alignment horizontal="center" wrapText="1"/>
    </xf>
    <xf numFmtId="0" fontId="8" fillId="7" borderId="0" xfId="0" applyFont="1" applyFill="1" applyBorder="1" applyAlignment="1">
      <alignment horizontal="center" wrapText="1"/>
    </xf>
    <xf numFmtId="0" fontId="8" fillId="7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wrapText="1"/>
    </xf>
    <xf numFmtId="164" fontId="4" fillId="2" borderId="5" xfId="0" applyNumberFormat="1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left" wrapText="1"/>
    </xf>
    <xf numFmtId="0" fontId="8" fillId="6" borderId="6" xfId="0" applyFont="1" applyFill="1" applyBorder="1" applyAlignment="1">
      <alignment horizontal="center" vertical="center" wrapText="1"/>
    </xf>
    <xf numFmtId="164" fontId="4" fillId="6" borderId="6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22" fillId="0" borderId="1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43" fontId="8" fillId="7" borderId="7" xfId="1" applyNumberFormat="1" applyFont="1" applyFill="1" applyBorder="1" applyAlignment="1">
      <alignment horizontal="center"/>
    </xf>
    <xf numFmtId="0" fontId="22" fillId="0" borderId="0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2" borderId="0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4" fillId="7" borderId="6" xfId="0" applyNumberFormat="1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Comma 3" xfId="3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TIES/Monthly/Long%20outstanding%20specilal%20investigation/Summarized%20unrectified%20Irreg%20%20report%20of%20ATM,IT,Zero,inactive%20&amp;%20chequebook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-M"/>
      <sheetName val="July 2025"/>
      <sheetName val="August,2025"/>
      <sheetName val="Septeber,2025"/>
      <sheetName val="October,2025"/>
      <sheetName val="November,2025"/>
      <sheetName val="December 2025"/>
      <sheetName val="January,2026"/>
      <sheetName val="February,2025"/>
      <sheetName val="March,2026"/>
    </sheetNames>
    <sheetDataSet>
      <sheetData sheetId="0" refreshError="1"/>
      <sheetData sheetId="1" refreshError="1">
        <row r="6">
          <cell r="D6">
            <v>359</v>
          </cell>
          <cell r="G6">
            <v>211</v>
          </cell>
          <cell r="I6">
            <v>0</v>
          </cell>
          <cell r="K6">
            <v>0</v>
          </cell>
          <cell r="M6">
            <v>1636</v>
          </cell>
          <cell r="O6">
            <v>0</v>
          </cell>
        </row>
        <row r="7">
          <cell r="D7">
            <v>0</v>
          </cell>
          <cell r="E7">
            <v>0</v>
          </cell>
          <cell r="G7">
            <v>240</v>
          </cell>
          <cell r="K7">
            <v>1150</v>
          </cell>
          <cell r="M7">
            <v>3225</v>
          </cell>
          <cell r="O7">
            <v>0</v>
          </cell>
        </row>
        <row r="8">
          <cell r="D8">
            <v>150</v>
          </cell>
          <cell r="E8">
            <v>0</v>
          </cell>
          <cell r="G8">
            <v>29</v>
          </cell>
          <cell r="I8">
            <v>2</v>
          </cell>
          <cell r="K8">
            <v>1111</v>
          </cell>
          <cell r="M8">
            <v>2743</v>
          </cell>
        </row>
        <row r="9">
          <cell r="D9">
            <v>779</v>
          </cell>
          <cell r="E9">
            <v>0</v>
          </cell>
          <cell r="G9">
            <v>0</v>
          </cell>
          <cell r="I9">
            <v>0</v>
          </cell>
          <cell r="M9">
            <v>279</v>
          </cell>
        </row>
        <row r="10">
          <cell r="D10">
            <v>784</v>
          </cell>
          <cell r="E10">
            <v>0</v>
          </cell>
          <cell r="G10">
            <v>268</v>
          </cell>
          <cell r="M10">
            <v>4435</v>
          </cell>
          <cell r="O10">
            <v>0</v>
          </cell>
        </row>
        <row r="11">
          <cell r="D11">
            <v>0</v>
          </cell>
          <cell r="E11">
            <v>0</v>
          </cell>
          <cell r="G11">
            <v>107</v>
          </cell>
          <cell r="I11">
            <v>0</v>
          </cell>
          <cell r="M11">
            <v>0</v>
          </cell>
        </row>
        <row r="12">
          <cell r="D12">
            <v>0</v>
          </cell>
          <cell r="E12">
            <v>0</v>
          </cell>
          <cell r="G12">
            <v>0</v>
          </cell>
          <cell r="K12">
            <v>0</v>
          </cell>
          <cell r="M12">
            <v>0</v>
          </cell>
          <cell r="O12">
            <v>0</v>
          </cell>
        </row>
        <row r="13">
          <cell r="D13">
            <v>209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G14">
            <v>0</v>
          </cell>
          <cell r="I14">
            <v>0</v>
          </cell>
        </row>
        <row r="15">
          <cell r="D15">
            <v>0</v>
          </cell>
          <cell r="E15">
            <v>0</v>
          </cell>
          <cell r="G15">
            <v>691</v>
          </cell>
          <cell r="I15">
            <v>8</v>
          </cell>
          <cell r="K15">
            <v>377</v>
          </cell>
          <cell r="M15">
            <v>554</v>
          </cell>
          <cell r="O15">
            <v>0</v>
          </cell>
        </row>
        <row r="16">
          <cell r="D16">
            <v>701</v>
          </cell>
          <cell r="E16">
            <v>673</v>
          </cell>
          <cell r="G16">
            <v>764</v>
          </cell>
          <cell r="I16">
            <v>12</v>
          </cell>
          <cell r="K16">
            <v>163</v>
          </cell>
          <cell r="M16">
            <v>515</v>
          </cell>
          <cell r="O16">
            <v>2</v>
          </cell>
        </row>
        <row r="17">
          <cell r="D17">
            <v>0</v>
          </cell>
          <cell r="E17">
            <v>0</v>
          </cell>
          <cell r="G17">
            <v>0</v>
          </cell>
        </row>
        <row r="18">
          <cell r="D18">
            <v>0</v>
          </cell>
          <cell r="E18">
            <v>0</v>
          </cell>
          <cell r="G18">
            <v>0</v>
          </cell>
          <cell r="K18">
            <v>0</v>
          </cell>
          <cell r="M18">
            <v>597</v>
          </cell>
        </row>
      </sheetData>
      <sheetData sheetId="2" refreshError="1">
        <row r="6">
          <cell r="G6">
            <v>239</v>
          </cell>
          <cell r="I6">
            <v>1</v>
          </cell>
          <cell r="K6">
            <v>865</v>
          </cell>
          <cell r="M6">
            <v>4758</v>
          </cell>
          <cell r="O6">
            <v>5</v>
          </cell>
        </row>
        <row r="7">
          <cell r="E7">
            <v>618</v>
          </cell>
          <cell r="G7">
            <v>119</v>
          </cell>
          <cell r="K7">
            <v>2399</v>
          </cell>
          <cell r="M7">
            <v>2933</v>
          </cell>
          <cell r="O7">
            <v>1</v>
          </cell>
        </row>
        <row r="8">
          <cell r="E8">
            <v>0</v>
          </cell>
          <cell r="G8">
            <v>29</v>
          </cell>
          <cell r="I8">
            <v>0</v>
          </cell>
          <cell r="K8">
            <v>542</v>
          </cell>
          <cell r="M8">
            <v>3630</v>
          </cell>
        </row>
        <row r="9">
          <cell r="E9">
            <v>0</v>
          </cell>
          <cell r="G9">
            <v>0</v>
          </cell>
          <cell r="I9">
            <v>15</v>
          </cell>
          <cell r="M9">
            <v>21115</v>
          </cell>
        </row>
        <row r="10">
          <cell r="E10">
            <v>0</v>
          </cell>
          <cell r="G10">
            <v>0</v>
          </cell>
          <cell r="M10">
            <v>0</v>
          </cell>
          <cell r="O10">
            <v>0</v>
          </cell>
        </row>
        <row r="11">
          <cell r="E11">
            <v>0</v>
          </cell>
          <cell r="G11">
            <v>0</v>
          </cell>
          <cell r="I11">
            <v>0</v>
          </cell>
          <cell r="M11">
            <v>0</v>
          </cell>
        </row>
        <row r="12">
          <cell r="E12">
            <v>0</v>
          </cell>
          <cell r="G12">
            <v>0</v>
          </cell>
          <cell r="K12">
            <v>0</v>
          </cell>
          <cell r="M12">
            <v>0</v>
          </cell>
          <cell r="O12">
            <v>0</v>
          </cell>
        </row>
        <row r="13">
          <cell r="E13">
            <v>5</v>
          </cell>
          <cell r="G13">
            <v>10</v>
          </cell>
          <cell r="I13">
            <v>1</v>
          </cell>
          <cell r="K13">
            <v>5</v>
          </cell>
          <cell r="M13">
            <v>40</v>
          </cell>
          <cell r="O13">
            <v>0</v>
          </cell>
        </row>
        <row r="14">
          <cell r="E14">
            <v>0</v>
          </cell>
          <cell r="G14">
            <v>0</v>
          </cell>
          <cell r="I14">
            <v>0</v>
          </cell>
        </row>
        <row r="15">
          <cell r="E15">
            <v>0</v>
          </cell>
          <cell r="G15">
            <v>615</v>
          </cell>
          <cell r="I15">
            <v>1</v>
          </cell>
          <cell r="K15">
            <v>0</v>
          </cell>
          <cell r="M15">
            <v>3427</v>
          </cell>
          <cell r="O15">
            <v>0</v>
          </cell>
        </row>
        <row r="16">
          <cell r="E16">
            <v>0</v>
          </cell>
          <cell r="G16">
            <v>304</v>
          </cell>
          <cell r="I16">
            <v>1</v>
          </cell>
          <cell r="K16">
            <v>1145</v>
          </cell>
          <cell r="M16">
            <v>3187</v>
          </cell>
          <cell r="O16">
            <v>1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13</v>
          </cell>
          <cell r="K18">
            <v>2</v>
          </cell>
          <cell r="M18">
            <v>5128</v>
          </cell>
        </row>
      </sheetData>
      <sheetData sheetId="3" refreshError="1">
        <row r="6">
          <cell r="G6">
            <v>6</v>
          </cell>
          <cell r="I6">
            <v>1473</v>
          </cell>
          <cell r="K6">
            <v>1473</v>
          </cell>
          <cell r="M6">
            <v>6786</v>
          </cell>
          <cell r="O6">
            <v>5</v>
          </cell>
        </row>
        <row r="7">
          <cell r="E7">
            <v>355</v>
          </cell>
          <cell r="G7">
            <v>682</v>
          </cell>
          <cell r="K7">
            <v>1942</v>
          </cell>
          <cell r="M7">
            <v>7933</v>
          </cell>
          <cell r="O7">
            <v>82</v>
          </cell>
        </row>
        <row r="8">
          <cell r="E8">
            <v>48</v>
          </cell>
          <cell r="G8">
            <v>21</v>
          </cell>
          <cell r="I8">
            <v>1469</v>
          </cell>
          <cell r="K8">
            <v>166</v>
          </cell>
          <cell r="M8">
            <v>734</v>
          </cell>
        </row>
        <row r="9">
          <cell r="E9">
            <v>0</v>
          </cell>
          <cell r="G9">
            <v>0</v>
          </cell>
          <cell r="I9">
            <v>5</v>
          </cell>
          <cell r="M9">
            <v>6260</v>
          </cell>
        </row>
        <row r="10">
          <cell r="E10">
            <v>0</v>
          </cell>
          <cell r="G10">
            <v>0</v>
          </cell>
          <cell r="M10">
            <v>0</v>
          </cell>
          <cell r="O10">
            <v>1</v>
          </cell>
        </row>
        <row r="11">
          <cell r="E11">
            <v>107</v>
          </cell>
          <cell r="G11">
            <v>310</v>
          </cell>
          <cell r="I11">
            <v>1</v>
          </cell>
          <cell r="M11">
            <v>2165</v>
          </cell>
        </row>
        <row r="12">
          <cell r="E12">
            <v>0</v>
          </cell>
          <cell r="G12">
            <v>0</v>
          </cell>
          <cell r="K12">
            <v>0</v>
          </cell>
          <cell r="M12">
            <v>0</v>
          </cell>
          <cell r="O12">
            <v>0</v>
          </cell>
        </row>
        <row r="13">
          <cell r="E13">
            <v>5</v>
          </cell>
          <cell r="G13">
            <v>1559</v>
          </cell>
          <cell r="I13">
            <v>710</v>
          </cell>
          <cell r="K13">
            <v>429</v>
          </cell>
          <cell r="M13">
            <v>118</v>
          </cell>
          <cell r="O13">
            <v>0</v>
          </cell>
        </row>
        <row r="14">
          <cell r="E14">
            <v>0</v>
          </cell>
          <cell r="G14">
            <v>3</v>
          </cell>
          <cell r="I14">
            <v>8</v>
          </cell>
        </row>
        <row r="15">
          <cell r="E15">
            <v>157</v>
          </cell>
          <cell r="G15">
            <v>797</v>
          </cell>
          <cell r="I15">
            <v>43</v>
          </cell>
          <cell r="K15">
            <v>1236</v>
          </cell>
          <cell r="M15">
            <v>6631</v>
          </cell>
          <cell r="O15">
            <v>0</v>
          </cell>
        </row>
        <row r="16">
          <cell r="E16">
            <v>370</v>
          </cell>
          <cell r="G16">
            <v>645</v>
          </cell>
          <cell r="I16">
            <v>1</v>
          </cell>
          <cell r="K16">
            <v>588</v>
          </cell>
          <cell r="M16">
            <v>2905</v>
          </cell>
          <cell r="O16">
            <v>4</v>
          </cell>
        </row>
        <row r="17">
          <cell r="E17">
            <v>0</v>
          </cell>
          <cell r="G17">
            <v>280</v>
          </cell>
        </row>
        <row r="18">
          <cell r="E18">
            <v>0</v>
          </cell>
          <cell r="G18">
            <v>5</v>
          </cell>
          <cell r="K18">
            <v>2</v>
          </cell>
          <cell r="M18">
            <v>4506</v>
          </cell>
        </row>
      </sheetData>
      <sheetData sheetId="4" refreshError="1">
        <row r="6">
          <cell r="G6">
            <v>23694</v>
          </cell>
          <cell r="I6">
            <v>163</v>
          </cell>
          <cell r="K6">
            <v>8736</v>
          </cell>
          <cell r="M6">
            <v>89583</v>
          </cell>
          <cell r="O6">
            <v>108</v>
          </cell>
        </row>
        <row r="7">
          <cell r="E7">
            <v>2465</v>
          </cell>
          <cell r="G7">
            <v>680</v>
          </cell>
          <cell r="K7">
            <v>1108</v>
          </cell>
          <cell r="M7">
            <v>11021</v>
          </cell>
          <cell r="O7">
            <v>104</v>
          </cell>
        </row>
        <row r="8">
          <cell r="E8">
            <v>0</v>
          </cell>
          <cell r="G8">
            <v>19</v>
          </cell>
          <cell r="I8">
            <v>2</v>
          </cell>
          <cell r="K8">
            <v>911</v>
          </cell>
          <cell r="M8">
            <v>6188</v>
          </cell>
        </row>
        <row r="9">
          <cell r="E9">
            <v>0</v>
          </cell>
          <cell r="G9">
            <v>0</v>
          </cell>
          <cell r="I9">
            <v>0</v>
          </cell>
          <cell r="M9">
            <v>0</v>
          </cell>
        </row>
        <row r="10">
          <cell r="E10">
            <v>0</v>
          </cell>
          <cell r="G10">
            <v>470</v>
          </cell>
          <cell r="M10">
            <v>6984</v>
          </cell>
          <cell r="O10">
            <v>887</v>
          </cell>
        </row>
        <row r="11">
          <cell r="E11">
            <v>566</v>
          </cell>
          <cell r="G11">
            <v>688</v>
          </cell>
          <cell r="I11">
            <v>3</v>
          </cell>
          <cell r="M11">
            <v>30703</v>
          </cell>
        </row>
        <row r="12">
          <cell r="E12">
            <v>1</v>
          </cell>
          <cell r="G12">
            <v>291</v>
          </cell>
          <cell r="K12">
            <v>100</v>
          </cell>
          <cell r="M12">
            <v>4704</v>
          </cell>
          <cell r="O12">
            <v>0</v>
          </cell>
        </row>
        <row r="13">
          <cell r="E13">
            <v>228</v>
          </cell>
          <cell r="G13">
            <v>228</v>
          </cell>
          <cell r="I13">
            <v>131</v>
          </cell>
          <cell r="K13">
            <v>653</v>
          </cell>
          <cell r="M13">
            <v>5692</v>
          </cell>
          <cell r="O13">
            <v>0</v>
          </cell>
        </row>
        <row r="14">
          <cell r="E14">
            <v>0</v>
          </cell>
          <cell r="G14">
            <v>2</v>
          </cell>
          <cell r="I14">
            <v>5</v>
          </cell>
        </row>
        <row r="15">
          <cell r="E15">
            <v>182</v>
          </cell>
          <cell r="G15">
            <v>3626</v>
          </cell>
          <cell r="I15">
            <v>3</v>
          </cell>
          <cell r="K15">
            <v>2006</v>
          </cell>
          <cell r="M15">
            <v>18652</v>
          </cell>
          <cell r="O15">
            <v>0</v>
          </cell>
        </row>
        <row r="16">
          <cell r="E16">
            <v>0</v>
          </cell>
          <cell r="G16">
            <v>0</v>
          </cell>
          <cell r="I16">
            <v>1</v>
          </cell>
          <cell r="K16">
            <v>0</v>
          </cell>
          <cell r="M16">
            <v>77</v>
          </cell>
          <cell r="O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256</v>
          </cell>
          <cell r="K18">
            <v>0</v>
          </cell>
          <cell r="M18">
            <v>0</v>
          </cell>
        </row>
      </sheetData>
      <sheetData sheetId="5" refreshError="1">
        <row r="6">
          <cell r="G6">
            <v>26676</v>
          </cell>
          <cell r="I6">
            <v>148</v>
          </cell>
          <cell r="K6">
            <v>6447</v>
          </cell>
          <cell r="M6">
            <v>74354</v>
          </cell>
          <cell r="O6">
            <v>84</v>
          </cell>
        </row>
        <row r="7">
          <cell r="E7">
            <v>1325</v>
          </cell>
          <cell r="G7">
            <v>880</v>
          </cell>
          <cell r="K7">
            <v>1314</v>
          </cell>
          <cell r="M7">
            <v>11111</v>
          </cell>
          <cell r="O7">
            <v>206</v>
          </cell>
        </row>
        <row r="8">
          <cell r="E8">
            <v>0</v>
          </cell>
          <cell r="G8">
            <v>20</v>
          </cell>
          <cell r="I8">
            <v>4</v>
          </cell>
          <cell r="K8">
            <v>822</v>
          </cell>
          <cell r="M8">
            <v>3498</v>
          </cell>
        </row>
        <row r="9">
          <cell r="E9">
            <v>3</v>
          </cell>
          <cell r="G9">
            <v>0</v>
          </cell>
          <cell r="I9">
            <v>0</v>
          </cell>
          <cell r="M9">
            <v>124</v>
          </cell>
        </row>
        <row r="10">
          <cell r="E10">
            <v>9</v>
          </cell>
          <cell r="G10">
            <v>0</v>
          </cell>
          <cell r="M10">
            <v>4166</v>
          </cell>
          <cell r="O10">
            <v>20</v>
          </cell>
        </row>
        <row r="11">
          <cell r="E11">
            <v>220</v>
          </cell>
          <cell r="G11">
            <v>256</v>
          </cell>
          <cell r="I11">
            <v>5</v>
          </cell>
          <cell r="M11">
            <v>26838</v>
          </cell>
        </row>
        <row r="12">
          <cell r="E12">
            <v>1</v>
          </cell>
          <cell r="G12">
            <v>370</v>
          </cell>
          <cell r="K12">
            <v>22</v>
          </cell>
          <cell r="M12">
            <v>26838</v>
          </cell>
          <cell r="O12">
            <v>0</v>
          </cell>
        </row>
        <row r="13">
          <cell r="E13">
            <v>25</v>
          </cell>
          <cell r="G13">
            <v>83</v>
          </cell>
          <cell r="I13">
            <v>2</v>
          </cell>
          <cell r="K13">
            <v>810</v>
          </cell>
          <cell r="M13">
            <v>10288</v>
          </cell>
          <cell r="O13">
            <v>1</v>
          </cell>
        </row>
        <row r="14">
          <cell r="E14">
            <v>109</v>
          </cell>
          <cell r="G14">
            <v>13</v>
          </cell>
          <cell r="I14">
            <v>5</v>
          </cell>
        </row>
        <row r="15">
          <cell r="E15">
            <v>34</v>
          </cell>
          <cell r="G15">
            <v>561</v>
          </cell>
          <cell r="I15">
            <v>1</v>
          </cell>
          <cell r="K15">
            <v>0</v>
          </cell>
          <cell r="M15">
            <v>0</v>
          </cell>
          <cell r="O15">
            <v>0</v>
          </cell>
        </row>
        <row r="16">
          <cell r="E16">
            <v>5</v>
          </cell>
          <cell r="G16">
            <v>23</v>
          </cell>
          <cell r="I16">
            <v>0</v>
          </cell>
          <cell r="K16">
            <v>0</v>
          </cell>
          <cell r="M16">
            <v>1001</v>
          </cell>
          <cell r="O16">
            <v>4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2</v>
          </cell>
          <cell r="K18">
            <v>0</v>
          </cell>
          <cell r="M18">
            <v>0</v>
          </cell>
        </row>
      </sheetData>
      <sheetData sheetId="6" refreshError="1">
        <row r="6">
          <cell r="G6">
            <v>124</v>
          </cell>
          <cell r="I6">
            <v>1</v>
          </cell>
          <cell r="K6">
            <v>3052</v>
          </cell>
          <cell r="M6">
            <v>13896</v>
          </cell>
          <cell r="O6">
            <v>3</v>
          </cell>
        </row>
        <row r="7">
          <cell r="E7">
            <v>1384</v>
          </cell>
          <cell r="G7">
            <v>465</v>
          </cell>
          <cell r="K7">
            <v>338</v>
          </cell>
          <cell r="M7">
            <v>4719</v>
          </cell>
          <cell r="O7">
            <v>4</v>
          </cell>
        </row>
        <row r="8">
          <cell r="E8">
            <v>0</v>
          </cell>
          <cell r="G8">
            <v>0</v>
          </cell>
          <cell r="I8">
            <v>0</v>
          </cell>
          <cell r="K8">
            <v>2</v>
          </cell>
          <cell r="M8">
            <v>183</v>
          </cell>
        </row>
        <row r="9">
          <cell r="E9">
            <v>0</v>
          </cell>
          <cell r="G9">
            <v>0</v>
          </cell>
          <cell r="I9">
            <v>0</v>
          </cell>
          <cell r="M9">
            <v>0</v>
          </cell>
        </row>
        <row r="10">
          <cell r="E10">
            <v>0</v>
          </cell>
          <cell r="G10">
            <v>0</v>
          </cell>
          <cell r="M10">
            <v>0</v>
          </cell>
          <cell r="O10">
            <v>15</v>
          </cell>
        </row>
        <row r="11">
          <cell r="E11">
            <v>6</v>
          </cell>
          <cell r="G11">
            <v>24</v>
          </cell>
          <cell r="I11">
            <v>1</v>
          </cell>
          <cell r="M11">
            <v>17835</v>
          </cell>
        </row>
        <row r="12">
          <cell r="E12">
            <v>0</v>
          </cell>
          <cell r="G12">
            <v>77</v>
          </cell>
          <cell r="K12">
            <v>85</v>
          </cell>
          <cell r="M12">
            <v>1832</v>
          </cell>
          <cell r="O12">
            <v>0</v>
          </cell>
        </row>
        <row r="13">
          <cell r="E13">
            <v>43</v>
          </cell>
          <cell r="G13">
            <v>80</v>
          </cell>
          <cell r="I13">
            <v>4</v>
          </cell>
          <cell r="K13">
            <v>2516</v>
          </cell>
          <cell r="M13">
            <v>8697</v>
          </cell>
          <cell r="O13">
            <v>2</v>
          </cell>
        </row>
        <row r="14">
          <cell r="E14">
            <v>0</v>
          </cell>
          <cell r="G14">
            <v>0</v>
          </cell>
          <cell r="I14">
            <v>0</v>
          </cell>
        </row>
        <row r="15">
          <cell r="E15">
            <v>4</v>
          </cell>
          <cell r="G15">
            <v>121</v>
          </cell>
          <cell r="I15">
            <v>4</v>
          </cell>
          <cell r="K15">
            <v>772</v>
          </cell>
          <cell r="M15">
            <v>18518</v>
          </cell>
          <cell r="O15">
            <v>1</v>
          </cell>
        </row>
        <row r="16">
          <cell r="E16">
            <v>0</v>
          </cell>
          <cell r="G16">
            <v>5</v>
          </cell>
          <cell r="I16">
            <v>3</v>
          </cell>
          <cell r="K16">
            <v>350</v>
          </cell>
          <cell r="M16">
            <v>2802</v>
          </cell>
          <cell r="O16">
            <v>7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2</v>
          </cell>
          <cell r="K18">
            <v>6</v>
          </cell>
          <cell r="M18">
            <v>48</v>
          </cell>
        </row>
      </sheetData>
      <sheetData sheetId="7" refreshError="1">
        <row r="5">
          <cell r="G5">
            <v>982</v>
          </cell>
          <cell r="I5">
            <v>2</v>
          </cell>
          <cell r="K5">
            <v>1004</v>
          </cell>
          <cell r="M5">
            <v>13309</v>
          </cell>
          <cell r="O5">
            <v>0</v>
          </cell>
        </row>
        <row r="6">
          <cell r="E6">
            <v>1394</v>
          </cell>
          <cell r="G6">
            <v>349</v>
          </cell>
          <cell r="K6">
            <v>1690</v>
          </cell>
          <cell r="M6">
            <v>3417</v>
          </cell>
          <cell r="O6">
            <v>98</v>
          </cell>
        </row>
        <row r="7">
          <cell r="E7">
            <v>0</v>
          </cell>
          <cell r="G7">
            <v>0</v>
          </cell>
          <cell r="I7">
            <v>0</v>
          </cell>
          <cell r="K7">
            <v>0</v>
          </cell>
          <cell r="M7">
            <v>394</v>
          </cell>
        </row>
        <row r="8">
          <cell r="E8">
            <v>0</v>
          </cell>
          <cell r="G8">
            <v>0</v>
          </cell>
          <cell r="I8">
            <v>0</v>
          </cell>
          <cell r="M8">
            <v>0</v>
          </cell>
        </row>
        <row r="9">
          <cell r="E9">
            <v>0</v>
          </cell>
          <cell r="G9">
            <v>0</v>
          </cell>
          <cell r="M9">
            <v>13605</v>
          </cell>
          <cell r="O9">
            <v>17</v>
          </cell>
        </row>
        <row r="10">
          <cell r="E10">
            <v>5</v>
          </cell>
          <cell r="G10">
            <v>8</v>
          </cell>
          <cell r="I10">
            <v>0</v>
          </cell>
          <cell r="M10">
            <v>7861</v>
          </cell>
        </row>
        <row r="11">
          <cell r="E11">
            <v>0</v>
          </cell>
          <cell r="G11">
            <v>154</v>
          </cell>
          <cell r="K11">
            <v>150</v>
          </cell>
          <cell r="M11">
            <v>2271</v>
          </cell>
          <cell r="O11">
            <v>0</v>
          </cell>
        </row>
        <row r="12">
          <cell r="E12">
            <v>0</v>
          </cell>
          <cell r="G12">
            <v>66</v>
          </cell>
          <cell r="I12">
            <v>0</v>
          </cell>
          <cell r="K12">
            <v>414</v>
          </cell>
          <cell r="M12">
            <v>223</v>
          </cell>
          <cell r="O12">
            <v>414</v>
          </cell>
        </row>
        <row r="13">
          <cell r="E13">
            <v>0</v>
          </cell>
          <cell r="G13">
            <v>15</v>
          </cell>
          <cell r="I13">
            <v>2</v>
          </cell>
        </row>
        <row r="14">
          <cell r="E14">
            <v>0</v>
          </cell>
          <cell r="G14">
            <v>544</v>
          </cell>
          <cell r="I14">
            <v>4</v>
          </cell>
          <cell r="K14">
            <v>725</v>
          </cell>
          <cell r="M14">
            <v>42807</v>
          </cell>
          <cell r="O14">
            <v>0</v>
          </cell>
        </row>
        <row r="15">
          <cell r="E15">
            <v>0</v>
          </cell>
          <cell r="G15">
            <v>59</v>
          </cell>
          <cell r="I15">
            <v>143</v>
          </cell>
          <cell r="K15">
            <v>343</v>
          </cell>
          <cell r="M15">
            <v>6163</v>
          </cell>
          <cell r="O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4</v>
          </cell>
          <cell r="K17">
            <v>6</v>
          </cell>
          <cell r="M17">
            <v>40</v>
          </cell>
        </row>
      </sheetData>
      <sheetData sheetId="8" refreshError="1">
        <row r="6">
          <cell r="G6">
            <v>16</v>
          </cell>
          <cell r="I6">
            <v>1</v>
          </cell>
          <cell r="K6">
            <v>956</v>
          </cell>
          <cell r="M6">
            <v>2772</v>
          </cell>
          <cell r="O6">
            <v>1</v>
          </cell>
        </row>
        <row r="7">
          <cell r="E7">
            <v>1041</v>
          </cell>
          <cell r="G7">
            <v>199</v>
          </cell>
          <cell r="K7">
            <v>1979</v>
          </cell>
          <cell r="M7">
            <v>3703</v>
          </cell>
          <cell r="O7">
            <v>0</v>
          </cell>
        </row>
        <row r="8">
          <cell r="E8">
            <v>0</v>
          </cell>
          <cell r="G8">
            <v>62</v>
          </cell>
          <cell r="I8">
            <v>4</v>
          </cell>
          <cell r="K8">
            <v>172</v>
          </cell>
          <cell r="M8">
            <v>416</v>
          </cell>
        </row>
        <row r="9">
          <cell r="E9">
            <v>0</v>
          </cell>
          <cell r="G9">
            <v>0</v>
          </cell>
          <cell r="I9">
            <v>0</v>
          </cell>
          <cell r="M9">
            <v>0</v>
          </cell>
        </row>
        <row r="10">
          <cell r="E10">
            <v>0</v>
          </cell>
          <cell r="G10">
            <v>1</v>
          </cell>
          <cell r="M10">
            <v>0</v>
          </cell>
          <cell r="O10">
            <v>3</v>
          </cell>
        </row>
        <row r="11">
          <cell r="E11">
            <v>43</v>
          </cell>
          <cell r="G11">
            <v>62</v>
          </cell>
          <cell r="I11">
            <v>0</v>
          </cell>
          <cell r="M11">
            <v>9472</v>
          </cell>
        </row>
        <row r="12">
          <cell r="E12">
            <v>0</v>
          </cell>
          <cell r="G12">
            <v>35</v>
          </cell>
          <cell r="K12">
            <v>240</v>
          </cell>
          <cell r="M12">
            <v>5342</v>
          </cell>
          <cell r="O12">
            <v>0</v>
          </cell>
        </row>
        <row r="13">
          <cell r="E13">
            <v>0</v>
          </cell>
          <cell r="G13">
            <v>28</v>
          </cell>
          <cell r="I13">
            <v>2</v>
          </cell>
          <cell r="K13">
            <v>4</v>
          </cell>
          <cell r="M13">
            <v>4</v>
          </cell>
          <cell r="O13">
            <v>0</v>
          </cell>
        </row>
        <row r="14">
          <cell r="E14">
            <v>0</v>
          </cell>
          <cell r="G14">
            <v>3</v>
          </cell>
          <cell r="I14">
            <v>0</v>
          </cell>
        </row>
        <row r="15">
          <cell r="E15">
            <v>0</v>
          </cell>
          <cell r="G15">
            <v>96</v>
          </cell>
          <cell r="I15">
            <v>1</v>
          </cell>
          <cell r="K15">
            <v>651</v>
          </cell>
          <cell r="M15">
            <v>43108</v>
          </cell>
          <cell r="O15">
            <v>2</v>
          </cell>
        </row>
        <row r="16">
          <cell r="E16">
            <v>0</v>
          </cell>
          <cell r="G16">
            <v>360</v>
          </cell>
          <cell r="I16">
            <v>91</v>
          </cell>
          <cell r="K16">
            <v>2068</v>
          </cell>
          <cell r="M16">
            <v>32162</v>
          </cell>
          <cell r="O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378</v>
          </cell>
          <cell r="G18">
            <v>8</v>
          </cell>
          <cell r="K18">
            <v>0</v>
          </cell>
          <cell r="M18">
            <v>0</v>
          </cell>
        </row>
      </sheetData>
      <sheetData sheetId="9" refreshError="1">
        <row r="6">
          <cell r="G6">
            <v>0</v>
          </cell>
          <cell r="I6">
            <v>0</v>
          </cell>
          <cell r="K6">
            <v>0</v>
          </cell>
          <cell r="M6">
            <v>0</v>
          </cell>
          <cell r="O6">
            <v>0</v>
          </cell>
        </row>
        <row r="7">
          <cell r="E7">
            <v>0</v>
          </cell>
          <cell r="G7">
            <v>0</v>
          </cell>
          <cell r="K7">
            <v>0</v>
          </cell>
          <cell r="M7">
            <v>0</v>
          </cell>
          <cell r="O7">
            <v>0</v>
          </cell>
        </row>
        <row r="8">
          <cell r="E8">
            <v>0</v>
          </cell>
          <cell r="G8">
            <v>0</v>
          </cell>
          <cell r="I8">
            <v>0</v>
          </cell>
          <cell r="K8">
            <v>0</v>
          </cell>
          <cell r="M8">
            <v>0</v>
          </cell>
        </row>
        <row r="9">
          <cell r="E9">
            <v>0</v>
          </cell>
          <cell r="G9">
            <v>0</v>
          </cell>
          <cell r="I9">
            <v>0</v>
          </cell>
          <cell r="M9">
            <v>0</v>
          </cell>
        </row>
        <row r="10">
          <cell r="E10">
            <v>0</v>
          </cell>
          <cell r="G10">
            <v>0</v>
          </cell>
          <cell r="M10">
            <v>0</v>
          </cell>
          <cell r="O10">
            <v>0</v>
          </cell>
        </row>
        <row r="11">
          <cell r="E11">
            <v>0</v>
          </cell>
          <cell r="G11">
            <v>0</v>
          </cell>
          <cell r="I11">
            <v>0</v>
          </cell>
          <cell r="M11">
            <v>0</v>
          </cell>
        </row>
        <row r="12">
          <cell r="E12">
            <v>0</v>
          </cell>
          <cell r="G12">
            <v>0</v>
          </cell>
          <cell r="K12">
            <v>0</v>
          </cell>
          <cell r="M12">
            <v>0</v>
          </cell>
          <cell r="O12">
            <v>0</v>
          </cell>
        </row>
        <row r="13"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</row>
        <row r="14">
          <cell r="E14">
            <v>0</v>
          </cell>
          <cell r="G14">
            <v>0</v>
          </cell>
          <cell r="I14">
            <v>0</v>
          </cell>
        </row>
        <row r="15"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</row>
        <row r="16"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0</v>
          </cell>
          <cell r="K18">
            <v>0</v>
          </cell>
          <cell r="M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"/>
  <sheetViews>
    <sheetView tabSelected="1" topLeftCell="A15" zoomScaleNormal="100" workbookViewId="0">
      <selection activeCell="E284" sqref="E284"/>
    </sheetView>
  </sheetViews>
  <sheetFormatPr defaultColWidth="9" defaultRowHeight="14.4" x14ac:dyDescent="0.3"/>
  <cols>
    <col min="1" max="1" width="5.5546875" style="7" customWidth="1"/>
    <col min="2" max="2" width="13.6640625" style="7" customWidth="1"/>
    <col min="3" max="3" width="12.88671875" style="7" customWidth="1"/>
    <col min="4" max="4" width="18.5546875" style="7" customWidth="1"/>
    <col min="5" max="5" width="20.5546875" style="7" bestFit="1" customWidth="1"/>
    <col min="6" max="6" width="14" style="7" customWidth="1"/>
    <col min="7" max="8" width="16.44140625" style="7" customWidth="1"/>
    <col min="9" max="9" width="21.6640625" style="7" customWidth="1"/>
    <col min="10" max="10" width="15.109375" style="7" customWidth="1"/>
    <col min="11" max="11" width="30.5546875" style="7" customWidth="1"/>
    <col min="12" max="12" width="16" style="7" bestFit="1" customWidth="1"/>
    <col min="13" max="13" width="16.6640625" style="7" bestFit="1" customWidth="1"/>
    <col min="14" max="14" width="12" style="7" customWidth="1"/>
    <col min="15" max="16" width="11.44140625" style="7" customWidth="1"/>
    <col min="17" max="17" width="16.109375" style="7" bestFit="1" customWidth="1"/>
    <col min="18" max="16384" width="9" style="7"/>
  </cols>
  <sheetData>
    <row r="1" spans="1:14" ht="15.6" x14ac:dyDescent="0.3">
      <c r="A1" s="406" t="s">
        <v>0</v>
      </c>
      <c r="B1" s="406"/>
      <c r="C1" s="406"/>
      <c r="D1" s="406"/>
      <c r="E1" s="406"/>
      <c r="F1" s="406"/>
      <c r="G1" s="406"/>
      <c r="H1" s="281"/>
      <c r="I1" s="6"/>
      <c r="J1" s="6"/>
      <c r="K1" s="6"/>
      <c r="L1" s="6"/>
      <c r="M1" s="6"/>
      <c r="N1" s="6"/>
    </row>
    <row r="2" spans="1:14" ht="15.6" x14ac:dyDescent="0.3">
      <c r="A2" s="407" t="s">
        <v>33</v>
      </c>
      <c r="B2" s="407"/>
      <c r="C2" s="407"/>
      <c r="D2" s="407"/>
      <c r="E2" s="407"/>
      <c r="F2" s="407"/>
      <c r="G2" s="407"/>
      <c r="H2" s="281"/>
      <c r="I2" s="8"/>
      <c r="J2" s="6"/>
      <c r="K2" s="6"/>
      <c r="L2" s="6"/>
      <c r="M2" s="6"/>
      <c r="N2" s="6"/>
    </row>
    <row r="3" spans="1:14" ht="15" customHeight="1" x14ac:dyDescent="0.3">
      <c r="A3" s="411" t="s">
        <v>1</v>
      </c>
      <c r="B3" s="413" t="s">
        <v>2</v>
      </c>
      <c r="C3" s="411" t="s">
        <v>3</v>
      </c>
      <c r="D3" s="402" t="s">
        <v>32</v>
      </c>
      <c r="E3" s="419" t="s">
        <v>6</v>
      </c>
      <c r="F3" s="420"/>
      <c r="G3" s="421"/>
      <c r="H3" s="286"/>
    </row>
    <row r="4" spans="1:14" ht="30.6" x14ac:dyDescent="0.3">
      <c r="A4" s="412"/>
      <c r="B4" s="414"/>
      <c r="C4" s="412"/>
      <c r="D4" s="402"/>
      <c r="E4" s="9" t="s">
        <v>9</v>
      </c>
      <c r="F4" s="9" t="s">
        <v>10</v>
      </c>
      <c r="G4" s="10" t="s">
        <v>11</v>
      </c>
      <c r="H4" s="287"/>
    </row>
    <row r="5" spans="1:14" ht="15.6" x14ac:dyDescent="0.3">
      <c r="A5" s="11"/>
      <c r="B5" s="9" t="s">
        <v>12</v>
      </c>
      <c r="C5" s="9" t="s">
        <v>13</v>
      </c>
      <c r="D5" s="10" t="s">
        <v>14</v>
      </c>
      <c r="E5" s="7" t="s">
        <v>15</v>
      </c>
      <c r="F5" s="9" t="s">
        <v>16</v>
      </c>
      <c r="G5" s="9" t="s">
        <v>17</v>
      </c>
      <c r="H5" s="286"/>
    </row>
    <row r="6" spans="1:14" ht="15.6" x14ac:dyDescent="0.3">
      <c r="A6" s="86">
        <v>1</v>
      </c>
      <c r="B6" s="87">
        <v>20</v>
      </c>
      <c r="C6" s="87" t="s">
        <v>28</v>
      </c>
      <c r="D6" s="88">
        <v>5</v>
      </c>
      <c r="E6" s="89"/>
      <c r="F6" s="88">
        <v>5</v>
      </c>
      <c r="G6" s="90">
        <f t="shared" ref="G6:G18" si="0">F6/D6</f>
        <v>1</v>
      </c>
      <c r="H6" s="288"/>
    </row>
    <row r="7" spans="1:14" ht="15.6" x14ac:dyDescent="0.3">
      <c r="A7" s="12">
        <v>2</v>
      </c>
      <c r="B7" s="17">
        <v>7</v>
      </c>
      <c r="C7" s="15" t="s">
        <v>29</v>
      </c>
      <c r="D7" s="15">
        <v>89</v>
      </c>
      <c r="E7" s="15">
        <f>D7-F7</f>
        <v>1</v>
      </c>
      <c r="F7" s="14">
        <v>88</v>
      </c>
      <c r="G7" s="16">
        <f t="shared" si="0"/>
        <v>0.9887640449438202</v>
      </c>
      <c r="H7" s="289"/>
    </row>
    <row r="8" spans="1:14" ht="15.6" x14ac:dyDescent="0.3">
      <c r="A8" s="12">
        <v>3</v>
      </c>
      <c r="B8" s="18">
        <v>42</v>
      </c>
      <c r="C8" s="19" t="s">
        <v>19</v>
      </c>
      <c r="D8" s="19">
        <v>210</v>
      </c>
      <c r="E8" s="15">
        <f t="shared" ref="E8:E18" si="1">D8-F8</f>
        <v>2</v>
      </c>
      <c r="F8" s="14">
        <v>208</v>
      </c>
      <c r="G8" s="16">
        <f t="shared" si="0"/>
        <v>0.99047619047619051</v>
      </c>
      <c r="H8" s="289"/>
    </row>
    <row r="9" spans="1:14" ht="15.6" x14ac:dyDescent="0.3">
      <c r="A9" s="12">
        <v>4</v>
      </c>
      <c r="B9" s="15">
        <v>49</v>
      </c>
      <c r="C9" s="15" t="s">
        <v>18</v>
      </c>
      <c r="D9" s="15">
        <v>1302</v>
      </c>
      <c r="E9" s="15">
        <f t="shared" si="1"/>
        <v>4</v>
      </c>
      <c r="F9" s="15">
        <v>1298</v>
      </c>
      <c r="G9" s="16">
        <f t="shared" si="0"/>
        <v>0.99692780337941633</v>
      </c>
      <c r="H9" s="289"/>
    </row>
    <row r="10" spans="1:14" ht="15.6" x14ac:dyDescent="0.3">
      <c r="A10" s="12">
        <v>5</v>
      </c>
      <c r="B10" s="14">
        <v>36</v>
      </c>
      <c r="C10" s="14" t="s">
        <v>27</v>
      </c>
      <c r="D10" s="15">
        <v>85</v>
      </c>
      <c r="E10" s="15">
        <f t="shared" si="1"/>
        <v>2</v>
      </c>
      <c r="F10" s="14">
        <v>83</v>
      </c>
      <c r="G10" s="16">
        <f t="shared" si="0"/>
        <v>0.97647058823529409</v>
      </c>
      <c r="H10" s="289"/>
    </row>
    <row r="11" spans="1:14" ht="15.6" x14ac:dyDescent="0.3">
      <c r="A11" s="86">
        <v>6</v>
      </c>
      <c r="B11" s="88">
        <v>26</v>
      </c>
      <c r="C11" s="88" t="s">
        <v>54</v>
      </c>
      <c r="D11" s="89">
        <v>41</v>
      </c>
      <c r="E11" s="89">
        <f t="shared" si="1"/>
        <v>0</v>
      </c>
      <c r="F11" s="88">
        <v>41</v>
      </c>
      <c r="G11" s="90">
        <f t="shared" si="0"/>
        <v>1</v>
      </c>
      <c r="H11" s="288"/>
    </row>
    <row r="12" spans="1:14" ht="15.6" x14ac:dyDescent="0.3">
      <c r="A12" s="86">
        <v>7</v>
      </c>
      <c r="B12" s="88">
        <v>33</v>
      </c>
      <c r="C12" s="88" t="s">
        <v>22</v>
      </c>
      <c r="D12" s="88">
        <v>160</v>
      </c>
      <c r="E12" s="89">
        <f t="shared" si="1"/>
        <v>0</v>
      </c>
      <c r="F12" s="88">
        <v>160</v>
      </c>
      <c r="G12" s="90">
        <f t="shared" si="0"/>
        <v>1</v>
      </c>
      <c r="H12" s="288"/>
    </row>
    <row r="13" spans="1:14" ht="15.6" x14ac:dyDescent="0.3">
      <c r="A13" s="12">
        <v>8</v>
      </c>
      <c r="B13" s="14">
        <v>52</v>
      </c>
      <c r="C13" s="14" t="s">
        <v>20</v>
      </c>
      <c r="D13" s="14">
        <v>401</v>
      </c>
      <c r="E13" s="15">
        <f t="shared" si="1"/>
        <v>2</v>
      </c>
      <c r="F13" s="14">
        <v>399</v>
      </c>
      <c r="G13" s="16">
        <f t="shared" si="0"/>
        <v>0.99501246882793015</v>
      </c>
      <c r="H13" s="289"/>
    </row>
    <row r="14" spans="1:14" ht="15.6" x14ac:dyDescent="0.3">
      <c r="A14" s="12">
        <v>9</v>
      </c>
      <c r="B14" s="13">
        <v>17</v>
      </c>
      <c r="C14" s="13" t="s">
        <v>25</v>
      </c>
      <c r="D14" s="14">
        <v>352</v>
      </c>
      <c r="E14" s="15">
        <f t="shared" si="1"/>
        <v>0</v>
      </c>
      <c r="F14" s="14">
        <v>352</v>
      </c>
      <c r="G14" s="16">
        <f t="shared" si="0"/>
        <v>1</v>
      </c>
      <c r="H14" s="289"/>
    </row>
    <row r="15" spans="1:14" ht="15.6" x14ac:dyDescent="0.3">
      <c r="A15" s="12">
        <v>10</v>
      </c>
      <c r="B15" s="15">
        <v>57</v>
      </c>
      <c r="C15" s="15" t="s">
        <v>21</v>
      </c>
      <c r="D15" s="73">
        <v>187</v>
      </c>
      <c r="E15" s="15">
        <f t="shared" si="1"/>
        <v>0</v>
      </c>
      <c r="F15" s="74">
        <v>187</v>
      </c>
      <c r="G15" s="16">
        <f t="shared" si="0"/>
        <v>1</v>
      </c>
      <c r="H15" s="289"/>
      <c r="J15" s="20"/>
      <c r="K15" s="21"/>
    </row>
    <row r="16" spans="1:14" ht="15.6" x14ac:dyDescent="0.3">
      <c r="A16" s="12">
        <v>11</v>
      </c>
      <c r="B16" s="14">
        <v>25</v>
      </c>
      <c r="C16" s="14" t="s">
        <v>23</v>
      </c>
      <c r="D16" s="14">
        <v>292</v>
      </c>
      <c r="E16" s="15">
        <f t="shared" si="1"/>
        <v>0</v>
      </c>
      <c r="F16" s="14">
        <v>292</v>
      </c>
      <c r="G16" s="16">
        <f t="shared" si="0"/>
        <v>1</v>
      </c>
      <c r="H16" s="289"/>
    </row>
    <row r="17" spans="1:14" ht="15.6" x14ac:dyDescent="0.3">
      <c r="A17" s="12">
        <v>12</v>
      </c>
      <c r="B17" s="14">
        <v>39</v>
      </c>
      <c r="C17" s="14" t="s">
        <v>26</v>
      </c>
      <c r="D17" s="17">
        <v>359</v>
      </c>
      <c r="E17" s="15">
        <f t="shared" si="1"/>
        <v>12</v>
      </c>
      <c r="F17" s="14">
        <v>347</v>
      </c>
      <c r="G17" s="16">
        <f t="shared" si="0"/>
        <v>0.96657381615598881</v>
      </c>
      <c r="H17" s="289"/>
    </row>
    <row r="18" spans="1:14" ht="15.6" x14ac:dyDescent="0.3">
      <c r="A18" s="12">
        <v>13</v>
      </c>
      <c r="B18" s="14">
        <v>11</v>
      </c>
      <c r="C18" s="14" t="s">
        <v>24</v>
      </c>
      <c r="D18" s="14">
        <v>56</v>
      </c>
      <c r="E18" s="15">
        <f t="shared" si="1"/>
        <v>12</v>
      </c>
      <c r="F18" s="14">
        <v>44</v>
      </c>
      <c r="G18" s="16">
        <f t="shared" si="0"/>
        <v>0.7857142857142857</v>
      </c>
      <c r="H18" s="289"/>
    </row>
    <row r="19" spans="1:14" ht="15.6" x14ac:dyDescent="0.3">
      <c r="A19" s="22"/>
      <c r="B19" s="23">
        <f>SUM(B6:B18)</f>
        <v>414</v>
      </c>
      <c r="C19" s="24" t="s">
        <v>30</v>
      </c>
      <c r="D19" s="23">
        <f>SUM(D6:D18)</f>
        <v>3539</v>
      </c>
      <c r="E19" s="23">
        <f t="shared" ref="E19:F19" si="2">SUM(E6:E18)</f>
        <v>35</v>
      </c>
      <c r="F19" s="23">
        <f t="shared" si="2"/>
        <v>3504</v>
      </c>
      <c r="G19" s="340">
        <f>F19/D19</f>
        <v>0.99011020062164457</v>
      </c>
      <c r="H19" s="290"/>
      <c r="J19" s="20"/>
    </row>
    <row r="20" spans="1:14" ht="15.6" x14ac:dyDescent="0.3">
      <c r="A20" s="22"/>
      <c r="B20" s="22"/>
      <c r="C20" s="22"/>
      <c r="D20" s="25"/>
      <c r="E20" s="22"/>
      <c r="F20" s="26">
        <f>F19/D19</f>
        <v>0.99011020062164457</v>
      </c>
      <c r="G20" s="25"/>
      <c r="H20" s="291"/>
      <c r="I20" s="6"/>
      <c r="J20" s="6"/>
      <c r="L20" s="6"/>
      <c r="M20" s="6"/>
      <c r="N20" s="6"/>
    </row>
    <row r="21" spans="1:14" ht="15" customHeight="1" x14ac:dyDescent="0.3">
      <c r="A21" s="407" t="s">
        <v>34</v>
      </c>
      <c r="B21" s="407"/>
      <c r="C21" s="407"/>
      <c r="D21" s="407"/>
      <c r="E21" s="407"/>
      <c r="F21" s="407"/>
      <c r="G21" s="407"/>
      <c r="H21" s="281"/>
      <c r="I21" s="6"/>
      <c r="J21" s="6"/>
      <c r="L21" s="6"/>
      <c r="M21" s="6"/>
      <c r="N21" s="27"/>
    </row>
    <row r="22" spans="1:14" ht="15" customHeight="1" x14ac:dyDescent="0.3">
      <c r="A22" s="401" t="s">
        <v>1</v>
      </c>
      <c r="B22" s="400" t="s">
        <v>2</v>
      </c>
      <c r="C22" s="401" t="s">
        <v>3</v>
      </c>
      <c r="D22" s="402" t="s">
        <v>32</v>
      </c>
      <c r="E22" s="401" t="s">
        <v>6</v>
      </c>
      <c r="F22" s="401"/>
      <c r="G22" s="401"/>
      <c r="H22" s="286"/>
      <c r="I22" s="6"/>
      <c r="J22" s="6"/>
      <c r="K22" s="6"/>
      <c r="L22" s="6"/>
      <c r="M22" s="6"/>
      <c r="N22" s="27"/>
    </row>
    <row r="23" spans="1:14" ht="47.25" customHeight="1" x14ac:dyDescent="0.3">
      <c r="A23" s="401"/>
      <c r="B23" s="400"/>
      <c r="C23" s="401"/>
      <c r="D23" s="402"/>
      <c r="E23" s="9" t="s">
        <v>9</v>
      </c>
      <c r="F23" s="9" t="s">
        <v>10</v>
      </c>
      <c r="G23" s="10" t="s">
        <v>11</v>
      </c>
      <c r="H23" s="287"/>
      <c r="I23" s="6"/>
      <c r="J23" s="6"/>
      <c r="K23" s="6"/>
      <c r="L23" s="6"/>
      <c r="M23" s="6"/>
      <c r="N23" s="6"/>
    </row>
    <row r="24" spans="1:14" ht="15.75" customHeight="1" x14ac:dyDescent="0.3">
      <c r="A24" s="9"/>
      <c r="B24" s="9" t="s">
        <v>12</v>
      </c>
      <c r="C24" s="9" t="s">
        <v>13</v>
      </c>
      <c r="D24" s="10" t="s">
        <v>14</v>
      </c>
      <c r="E24" s="9" t="s">
        <v>15</v>
      </c>
      <c r="F24" s="9" t="s">
        <v>16</v>
      </c>
      <c r="G24" s="9" t="s">
        <v>17</v>
      </c>
      <c r="H24" s="286"/>
      <c r="I24" s="6"/>
      <c r="J24" s="6"/>
      <c r="K24" s="6"/>
      <c r="L24" s="6"/>
      <c r="M24" s="6"/>
      <c r="N24" s="6"/>
    </row>
    <row r="25" spans="1:14" ht="15.6" x14ac:dyDescent="0.3">
      <c r="A25" s="86">
        <v>1</v>
      </c>
      <c r="B25" s="87">
        <v>20</v>
      </c>
      <c r="C25" s="87" t="s">
        <v>28</v>
      </c>
      <c r="D25" s="88">
        <v>14</v>
      </c>
      <c r="E25" s="89">
        <f t="shared" ref="E25:E37" si="3">D25-F25</f>
        <v>0</v>
      </c>
      <c r="F25" s="88">
        <v>14</v>
      </c>
      <c r="G25" s="90">
        <f t="shared" ref="G25:G37" si="4">F25/D25</f>
        <v>1</v>
      </c>
      <c r="H25" s="288"/>
    </row>
    <row r="26" spans="1:14" ht="15.75" customHeight="1" x14ac:dyDescent="0.3">
      <c r="A26" s="30">
        <v>2</v>
      </c>
      <c r="B26" s="34">
        <v>42</v>
      </c>
      <c r="C26" s="33" t="s">
        <v>19</v>
      </c>
      <c r="D26" s="33">
        <v>213</v>
      </c>
      <c r="E26" s="33">
        <f t="shared" si="3"/>
        <v>1</v>
      </c>
      <c r="F26" s="32">
        <v>212</v>
      </c>
      <c r="G26" s="26">
        <f t="shared" si="4"/>
        <v>0.99530516431924887</v>
      </c>
      <c r="H26" s="292"/>
      <c r="I26" s="7">
        <v>44</v>
      </c>
      <c r="J26" s="20"/>
    </row>
    <row r="27" spans="1:14" ht="15" customHeight="1" x14ac:dyDescent="0.3">
      <c r="A27" s="30">
        <v>3</v>
      </c>
      <c r="B27" s="35">
        <v>57</v>
      </c>
      <c r="C27" s="35" t="s">
        <v>21</v>
      </c>
      <c r="D27" s="35">
        <v>593</v>
      </c>
      <c r="E27" s="33">
        <f t="shared" si="3"/>
        <v>5</v>
      </c>
      <c r="F27" s="32">
        <v>588</v>
      </c>
      <c r="G27" s="26">
        <f t="shared" si="4"/>
        <v>0.99156829679595282</v>
      </c>
      <c r="H27" s="292"/>
    </row>
    <row r="28" spans="1:14" ht="15.75" customHeight="1" x14ac:dyDescent="0.3">
      <c r="A28" s="12">
        <v>4</v>
      </c>
      <c r="B28" s="15">
        <v>49</v>
      </c>
      <c r="C28" s="15" t="s">
        <v>18</v>
      </c>
      <c r="D28" s="15">
        <v>1596</v>
      </c>
      <c r="E28" s="15">
        <f t="shared" si="3"/>
        <v>3</v>
      </c>
      <c r="F28" s="15">
        <v>1593</v>
      </c>
      <c r="G28" s="16">
        <f t="shared" si="4"/>
        <v>0.99812030075187974</v>
      </c>
      <c r="H28" s="289"/>
    </row>
    <row r="29" spans="1:14" ht="15.75" customHeight="1" x14ac:dyDescent="0.3">
      <c r="A29" s="30">
        <v>5</v>
      </c>
      <c r="B29" s="32">
        <v>17</v>
      </c>
      <c r="C29" s="32" t="s">
        <v>25</v>
      </c>
      <c r="D29" s="14">
        <v>818</v>
      </c>
      <c r="E29" s="33">
        <f t="shared" si="3"/>
        <v>0</v>
      </c>
      <c r="F29" s="32">
        <v>818</v>
      </c>
      <c r="G29" s="26">
        <f t="shared" si="4"/>
        <v>1</v>
      </c>
      <c r="H29" s="292"/>
    </row>
    <row r="30" spans="1:14" ht="15" customHeight="1" x14ac:dyDescent="0.3">
      <c r="A30" s="86">
        <v>6</v>
      </c>
      <c r="B30" s="88">
        <v>33</v>
      </c>
      <c r="C30" s="88" t="s">
        <v>22</v>
      </c>
      <c r="D30" s="88">
        <v>230</v>
      </c>
      <c r="E30" s="89">
        <f t="shared" si="3"/>
        <v>0</v>
      </c>
      <c r="F30" s="88">
        <v>230</v>
      </c>
      <c r="G30" s="90">
        <f t="shared" si="4"/>
        <v>1</v>
      </c>
      <c r="H30" s="288"/>
    </row>
    <row r="31" spans="1:14" ht="15" customHeight="1" x14ac:dyDescent="0.3">
      <c r="A31" s="30">
        <v>7</v>
      </c>
      <c r="B31" s="32">
        <v>52</v>
      </c>
      <c r="C31" s="32" t="s">
        <v>20</v>
      </c>
      <c r="D31" s="32">
        <v>1344</v>
      </c>
      <c r="E31" s="33">
        <f t="shared" si="3"/>
        <v>1</v>
      </c>
      <c r="F31" s="32">
        <v>1343</v>
      </c>
      <c r="G31" s="26">
        <f t="shared" si="4"/>
        <v>0.99925595238095233</v>
      </c>
      <c r="H31" s="292"/>
    </row>
    <row r="32" spans="1:14" ht="15" customHeight="1" x14ac:dyDescent="0.3">
      <c r="A32" s="30">
        <v>8</v>
      </c>
      <c r="B32" s="31">
        <v>36</v>
      </c>
      <c r="C32" s="31" t="s">
        <v>27</v>
      </c>
      <c r="D32" s="33">
        <v>231</v>
      </c>
      <c r="E32" s="33">
        <f t="shared" si="3"/>
        <v>0</v>
      </c>
      <c r="F32" s="32">
        <v>231</v>
      </c>
      <c r="G32" s="26">
        <f t="shared" si="4"/>
        <v>1</v>
      </c>
      <c r="H32" s="292"/>
    </row>
    <row r="33" spans="1:14" ht="15" customHeight="1" x14ac:dyDescent="0.3">
      <c r="A33" s="12">
        <v>9</v>
      </c>
      <c r="B33" s="14">
        <v>26</v>
      </c>
      <c r="C33" s="14" t="s">
        <v>54</v>
      </c>
      <c r="D33" s="33">
        <v>83</v>
      </c>
      <c r="E33" s="33">
        <f t="shared" si="3"/>
        <v>0</v>
      </c>
      <c r="F33" s="32">
        <v>83</v>
      </c>
      <c r="G33" s="26">
        <f t="shared" si="4"/>
        <v>1</v>
      </c>
      <c r="H33" s="292"/>
    </row>
    <row r="34" spans="1:14" ht="15.6" x14ac:dyDescent="0.3">
      <c r="A34" s="30">
        <v>10</v>
      </c>
      <c r="B34" s="34">
        <v>7</v>
      </c>
      <c r="C34" s="33" t="s">
        <v>29</v>
      </c>
      <c r="D34" s="33">
        <v>30</v>
      </c>
      <c r="E34" s="33">
        <f t="shared" si="3"/>
        <v>0</v>
      </c>
      <c r="F34" s="32">
        <v>30</v>
      </c>
      <c r="G34" s="26">
        <f t="shared" si="4"/>
        <v>1</v>
      </c>
      <c r="H34" s="292"/>
    </row>
    <row r="35" spans="1:14" ht="15" customHeight="1" x14ac:dyDescent="0.3">
      <c r="A35" s="30">
        <v>11</v>
      </c>
      <c r="B35" s="32">
        <v>39</v>
      </c>
      <c r="C35" s="32" t="s">
        <v>26</v>
      </c>
      <c r="D35" s="34">
        <v>395</v>
      </c>
      <c r="E35" s="33">
        <f t="shared" si="3"/>
        <v>17</v>
      </c>
      <c r="F35" s="32">
        <v>378</v>
      </c>
      <c r="G35" s="26">
        <f t="shared" si="4"/>
        <v>0.95696202531645569</v>
      </c>
      <c r="H35" s="292"/>
    </row>
    <row r="36" spans="1:14" ht="15" customHeight="1" x14ac:dyDescent="0.3">
      <c r="A36" s="30">
        <v>12</v>
      </c>
      <c r="B36" s="32">
        <v>11</v>
      </c>
      <c r="C36" s="32" t="s">
        <v>24</v>
      </c>
      <c r="D36" s="32">
        <v>79</v>
      </c>
      <c r="E36" s="33">
        <f t="shared" si="3"/>
        <v>10</v>
      </c>
      <c r="F36" s="32">
        <v>69</v>
      </c>
      <c r="G36" s="26">
        <f t="shared" si="4"/>
        <v>0.87341772151898733</v>
      </c>
      <c r="H36" s="292"/>
    </row>
    <row r="37" spans="1:14" ht="15.6" x14ac:dyDescent="0.3">
      <c r="A37" s="30">
        <v>13</v>
      </c>
      <c r="B37" s="32">
        <v>25</v>
      </c>
      <c r="C37" s="32" t="s">
        <v>23</v>
      </c>
      <c r="D37" s="32">
        <v>513</v>
      </c>
      <c r="E37" s="33">
        <f t="shared" si="3"/>
        <v>0</v>
      </c>
      <c r="F37" s="32">
        <v>513</v>
      </c>
      <c r="G37" s="26">
        <f t="shared" si="4"/>
        <v>1</v>
      </c>
      <c r="H37" s="292"/>
    </row>
    <row r="38" spans="1:14" ht="15.6" x14ac:dyDescent="0.3">
      <c r="A38" s="22"/>
      <c r="B38" s="23">
        <f>SUM(B25:B37)</f>
        <v>414</v>
      </c>
      <c r="C38" s="36" t="s">
        <v>30</v>
      </c>
      <c r="D38" s="37">
        <f>SUM(D25:D37)</f>
        <v>6139</v>
      </c>
      <c r="E38" s="37">
        <f>SUM(E25:E37)</f>
        <v>37</v>
      </c>
      <c r="F38" s="37">
        <f>SUM(F25:F37)</f>
        <v>6102</v>
      </c>
      <c r="G38" s="319">
        <f>F38/D38</f>
        <v>0.99397295976543409</v>
      </c>
      <c r="H38" s="293"/>
      <c r="I38" s="6"/>
      <c r="J38" s="27"/>
      <c r="K38" s="6"/>
      <c r="L38" s="6"/>
      <c r="M38" s="6"/>
      <c r="N38" s="6"/>
    </row>
    <row r="39" spans="1:14" ht="15.6" x14ac:dyDescent="0.3">
      <c r="A39" s="22"/>
      <c r="B39" s="22"/>
      <c r="C39" s="22"/>
      <c r="D39" s="25"/>
      <c r="E39" s="22"/>
      <c r="F39" s="26">
        <f>F38/D38</f>
        <v>0.99397295976543409</v>
      </c>
      <c r="G39" s="25"/>
      <c r="H39" s="291"/>
      <c r="I39" s="6"/>
      <c r="J39" s="6"/>
      <c r="K39" s="6"/>
      <c r="L39" s="6"/>
      <c r="M39" s="6"/>
      <c r="N39" s="6"/>
    </row>
    <row r="40" spans="1:14" ht="15.6" x14ac:dyDescent="0.3">
      <c r="A40" s="407" t="s">
        <v>35</v>
      </c>
      <c r="B40" s="407"/>
      <c r="C40" s="407"/>
      <c r="D40" s="407"/>
      <c r="E40" s="407"/>
      <c r="F40" s="407"/>
      <c r="G40" s="407"/>
      <c r="H40" s="281"/>
      <c r="I40" s="6"/>
      <c r="J40" s="6"/>
      <c r="K40" s="6"/>
      <c r="L40" s="6"/>
      <c r="M40" s="6"/>
      <c r="N40" s="6"/>
    </row>
    <row r="41" spans="1:14" ht="15" customHeight="1" x14ac:dyDescent="0.3">
      <c r="A41" s="401" t="s">
        <v>1</v>
      </c>
      <c r="B41" s="400" t="s">
        <v>2</v>
      </c>
      <c r="C41" s="401" t="s">
        <v>3</v>
      </c>
      <c r="D41" s="402" t="s">
        <v>32</v>
      </c>
      <c r="E41" s="401" t="s">
        <v>6</v>
      </c>
      <c r="F41" s="401"/>
      <c r="G41" s="401"/>
      <c r="H41" s="286"/>
      <c r="I41" s="27"/>
      <c r="J41" s="6"/>
      <c r="K41" s="6"/>
      <c r="L41" s="6"/>
      <c r="M41" s="6"/>
      <c r="N41" s="6"/>
    </row>
    <row r="42" spans="1:14" ht="47.25" customHeight="1" x14ac:dyDescent="0.3">
      <c r="A42" s="401"/>
      <c r="B42" s="400"/>
      <c r="C42" s="401"/>
      <c r="D42" s="402"/>
      <c r="E42" s="9" t="s">
        <v>9</v>
      </c>
      <c r="F42" s="9" t="s">
        <v>10</v>
      </c>
      <c r="G42" s="10" t="s">
        <v>11</v>
      </c>
      <c r="H42" s="287"/>
    </row>
    <row r="43" spans="1:14" ht="15.6" x14ac:dyDescent="0.3">
      <c r="A43" s="9"/>
      <c r="B43" s="28" t="s">
        <v>12</v>
      </c>
      <c r="C43" s="28" t="s">
        <v>13</v>
      </c>
      <c r="D43" s="29" t="s">
        <v>14</v>
      </c>
      <c r="E43" s="62" t="s">
        <v>15</v>
      </c>
      <c r="F43" s="28" t="s">
        <v>16</v>
      </c>
      <c r="G43" s="28" t="s">
        <v>17</v>
      </c>
      <c r="H43" s="286"/>
    </row>
    <row r="44" spans="1:14" ht="15.6" x14ac:dyDescent="0.3">
      <c r="A44" s="30">
        <v>1</v>
      </c>
      <c r="B44" s="31">
        <v>20</v>
      </c>
      <c r="C44" s="31" t="s">
        <v>28</v>
      </c>
      <c r="D44" s="32">
        <v>14</v>
      </c>
      <c r="E44" s="33">
        <f t="shared" ref="E44:E56" si="5">D44-F44</f>
        <v>0</v>
      </c>
      <c r="F44" s="32">
        <v>14</v>
      </c>
      <c r="G44" s="26">
        <f t="shared" ref="G44:G56" si="6">F44/D44</f>
        <v>1</v>
      </c>
      <c r="H44" s="292"/>
    </row>
    <row r="45" spans="1:14" ht="15.6" x14ac:dyDescent="0.3">
      <c r="A45" s="30">
        <v>2</v>
      </c>
      <c r="B45" s="32">
        <v>57</v>
      </c>
      <c r="C45" s="33" t="s">
        <v>21</v>
      </c>
      <c r="D45" s="33">
        <v>1659</v>
      </c>
      <c r="E45" s="33">
        <f t="shared" si="5"/>
        <v>12</v>
      </c>
      <c r="F45" s="32">
        <v>1647</v>
      </c>
      <c r="G45" s="26">
        <f t="shared" si="6"/>
        <v>0.99276672694394208</v>
      </c>
      <c r="H45" s="292"/>
    </row>
    <row r="46" spans="1:14" ht="15.6" x14ac:dyDescent="0.3">
      <c r="A46" s="30">
        <v>3</v>
      </c>
      <c r="B46" s="35">
        <v>49</v>
      </c>
      <c r="C46" s="35" t="s">
        <v>19</v>
      </c>
      <c r="D46" s="35">
        <v>424</v>
      </c>
      <c r="E46" s="33">
        <f t="shared" si="5"/>
        <v>3</v>
      </c>
      <c r="F46" s="31">
        <v>421</v>
      </c>
      <c r="G46" s="26">
        <f t="shared" si="6"/>
        <v>0.99292452830188682</v>
      </c>
      <c r="H46" s="292"/>
      <c r="J46" s="20"/>
    </row>
    <row r="47" spans="1:14" ht="15.6" x14ac:dyDescent="0.3">
      <c r="A47" s="30">
        <v>4</v>
      </c>
      <c r="B47" s="32">
        <v>60</v>
      </c>
      <c r="C47" s="33" t="s">
        <v>18</v>
      </c>
      <c r="D47" s="33">
        <v>1406</v>
      </c>
      <c r="E47" s="33">
        <f t="shared" si="5"/>
        <v>4</v>
      </c>
      <c r="F47" s="33">
        <v>1402</v>
      </c>
      <c r="G47" s="26">
        <f t="shared" si="6"/>
        <v>0.99715504978662872</v>
      </c>
      <c r="H47" s="292"/>
    </row>
    <row r="48" spans="1:14" ht="15.6" x14ac:dyDescent="0.3">
      <c r="A48" s="30">
        <v>5</v>
      </c>
      <c r="B48" s="34">
        <v>42</v>
      </c>
      <c r="C48" s="32" t="s">
        <v>25</v>
      </c>
      <c r="D48" s="14">
        <v>1734</v>
      </c>
      <c r="E48" s="33">
        <f t="shared" si="5"/>
        <v>0</v>
      </c>
      <c r="F48" s="32">
        <v>1734</v>
      </c>
      <c r="G48" s="26">
        <f t="shared" si="6"/>
        <v>1</v>
      </c>
      <c r="H48" s="292"/>
    </row>
    <row r="49" spans="1:14" ht="15.6" x14ac:dyDescent="0.3">
      <c r="A49" s="30">
        <v>6</v>
      </c>
      <c r="B49" s="33">
        <v>36</v>
      </c>
      <c r="C49" s="32" t="s">
        <v>27</v>
      </c>
      <c r="D49" s="71">
        <v>499</v>
      </c>
      <c r="E49" s="33">
        <f t="shared" si="5"/>
        <v>2</v>
      </c>
      <c r="F49" s="32">
        <v>497</v>
      </c>
      <c r="G49" s="26">
        <f t="shared" si="6"/>
        <v>0.99599198396793587</v>
      </c>
      <c r="H49" s="292"/>
    </row>
    <row r="50" spans="1:14" ht="15.6" x14ac:dyDescent="0.3">
      <c r="A50" s="30">
        <v>7</v>
      </c>
      <c r="B50" s="33">
        <v>26</v>
      </c>
      <c r="C50" s="32" t="s">
        <v>54</v>
      </c>
      <c r="D50" s="33">
        <v>251</v>
      </c>
      <c r="E50" s="33">
        <f t="shared" si="5"/>
        <v>0</v>
      </c>
      <c r="F50" s="32">
        <v>251</v>
      </c>
      <c r="G50" s="26">
        <f t="shared" si="6"/>
        <v>1</v>
      </c>
      <c r="H50" s="292"/>
    </row>
    <row r="51" spans="1:14" ht="15.6" x14ac:dyDescent="0.3">
      <c r="A51" s="30">
        <v>8</v>
      </c>
      <c r="B51" s="32">
        <v>52</v>
      </c>
      <c r="C51" s="32" t="s">
        <v>22</v>
      </c>
      <c r="D51" s="14">
        <v>1731</v>
      </c>
      <c r="E51" s="33">
        <f t="shared" si="5"/>
        <v>0</v>
      </c>
      <c r="F51" s="32">
        <v>1731</v>
      </c>
      <c r="G51" s="26">
        <f t="shared" si="6"/>
        <v>1</v>
      </c>
      <c r="H51" s="292"/>
    </row>
    <row r="52" spans="1:14" ht="15.6" x14ac:dyDescent="0.3">
      <c r="A52" s="30">
        <v>9</v>
      </c>
      <c r="B52" s="31">
        <v>39</v>
      </c>
      <c r="C52" s="31" t="s">
        <v>20</v>
      </c>
      <c r="D52" s="32">
        <v>746</v>
      </c>
      <c r="E52" s="33">
        <f t="shared" si="5"/>
        <v>4</v>
      </c>
      <c r="F52" s="32">
        <v>742</v>
      </c>
      <c r="G52" s="26">
        <f t="shared" si="6"/>
        <v>0.99463806970509383</v>
      </c>
      <c r="H52" s="292"/>
    </row>
    <row r="53" spans="1:14" ht="15.6" x14ac:dyDescent="0.3">
      <c r="A53" s="30">
        <v>10</v>
      </c>
      <c r="B53" s="34">
        <v>7</v>
      </c>
      <c r="C53" s="33" t="s">
        <v>29</v>
      </c>
      <c r="D53" s="33">
        <v>44</v>
      </c>
      <c r="E53" s="33">
        <f t="shared" si="5"/>
        <v>0</v>
      </c>
      <c r="F53" s="32">
        <v>44</v>
      </c>
      <c r="G53" s="26">
        <f t="shared" si="6"/>
        <v>1</v>
      </c>
      <c r="H53" s="292"/>
    </row>
    <row r="54" spans="1:14" ht="15.6" x14ac:dyDescent="0.3">
      <c r="A54" s="30">
        <v>11</v>
      </c>
      <c r="B54" s="32">
        <v>25</v>
      </c>
      <c r="C54" s="32" t="s">
        <v>26</v>
      </c>
      <c r="D54" s="34">
        <v>405</v>
      </c>
      <c r="E54" s="33">
        <f t="shared" si="5"/>
        <v>15</v>
      </c>
      <c r="F54" s="32">
        <v>390</v>
      </c>
      <c r="G54" s="26">
        <f t="shared" si="6"/>
        <v>0.96296296296296291</v>
      </c>
      <c r="H54" s="292"/>
    </row>
    <row r="55" spans="1:14" ht="15.6" x14ac:dyDescent="0.3">
      <c r="A55" s="30">
        <v>12</v>
      </c>
      <c r="B55" s="32">
        <v>33</v>
      </c>
      <c r="C55" s="32" t="s">
        <v>23</v>
      </c>
      <c r="D55" s="32">
        <v>10510</v>
      </c>
      <c r="E55" s="33">
        <f t="shared" si="5"/>
        <v>0</v>
      </c>
      <c r="F55" s="32">
        <v>10510</v>
      </c>
      <c r="G55" s="26">
        <f t="shared" si="6"/>
        <v>1</v>
      </c>
      <c r="H55" s="292"/>
    </row>
    <row r="56" spans="1:14" ht="15.6" x14ac:dyDescent="0.3">
      <c r="A56" s="30">
        <v>13</v>
      </c>
      <c r="B56" s="32">
        <v>11</v>
      </c>
      <c r="C56" s="32" t="s">
        <v>24</v>
      </c>
      <c r="D56" s="32">
        <v>220</v>
      </c>
      <c r="E56" s="33">
        <f t="shared" si="5"/>
        <v>8</v>
      </c>
      <c r="F56" s="32">
        <v>212</v>
      </c>
      <c r="G56" s="26">
        <f t="shared" si="6"/>
        <v>0.96363636363636362</v>
      </c>
      <c r="H56" s="292"/>
    </row>
    <row r="57" spans="1:14" ht="15.6" x14ac:dyDescent="0.3">
      <c r="A57" s="22"/>
      <c r="B57" s="23">
        <v>420</v>
      </c>
      <c r="C57" s="36" t="s">
        <v>30</v>
      </c>
      <c r="D57" s="37">
        <f>SUM(D44:D56)</f>
        <v>19643</v>
      </c>
      <c r="E57" s="37">
        <f>SUM(E44:E56)</f>
        <v>48</v>
      </c>
      <c r="F57" s="37">
        <f>SUM(F44:F56)</f>
        <v>19595</v>
      </c>
      <c r="G57" s="339">
        <f>F57/D57</f>
        <v>0.99755638140813518</v>
      </c>
      <c r="H57" s="293"/>
      <c r="I57" s="6"/>
      <c r="J57" s="27"/>
      <c r="K57" s="6"/>
      <c r="L57" s="6"/>
      <c r="M57" s="6"/>
      <c r="N57" s="6"/>
    </row>
    <row r="58" spans="1:14" ht="15.6" x14ac:dyDescent="0.3">
      <c r="A58" s="60"/>
      <c r="B58" s="60"/>
      <c r="C58" s="60"/>
      <c r="D58" s="60"/>
      <c r="E58" s="60"/>
      <c r="F58" s="61">
        <f>F57/D57</f>
        <v>0.99755638140813518</v>
      </c>
      <c r="G58" s="60"/>
      <c r="H58" s="294"/>
      <c r="I58" s="6"/>
      <c r="J58" s="6"/>
      <c r="K58" s="27"/>
      <c r="L58" s="6"/>
      <c r="M58" s="6"/>
      <c r="N58" s="6"/>
    </row>
    <row r="59" spans="1:14" ht="15.6" x14ac:dyDescent="0.3">
      <c r="A59" s="422" t="s">
        <v>36</v>
      </c>
      <c r="B59" s="422"/>
      <c r="C59" s="422"/>
      <c r="D59" s="422"/>
      <c r="E59" s="422"/>
      <c r="F59" s="422"/>
      <c r="G59" s="422"/>
      <c r="H59" s="281"/>
      <c r="I59" s="63"/>
      <c r="J59" s="63"/>
      <c r="K59" s="63"/>
      <c r="L59" s="63"/>
      <c r="M59" s="63"/>
      <c r="N59" s="63"/>
    </row>
    <row r="60" spans="1:14" ht="15.75" customHeight="1" x14ac:dyDescent="0.3">
      <c r="A60" s="401" t="s">
        <v>1</v>
      </c>
      <c r="B60" s="400" t="s">
        <v>2</v>
      </c>
      <c r="C60" s="401" t="s">
        <v>3</v>
      </c>
      <c r="D60" s="423" t="s">
        <v>49</v>
      </c>
      <c r="E60" s="426" t="s">
        <v>6</v>
      </c>
      <c r="F60" s="427"/>
      <c r="G60" s="428"/>
      <c r="H60" s="295"/>
      <c r="J60" s="20"/>
    </row>
    <row r="61" spans="1:14" ht="27" x14ac:dyDescent="0.3">
      <c r="A61" s="401"/>
      <c r="B61" s="400"/>
      <c r="C61" s="401"/>
      <c r="D61" s="424"/>
      <c r="E61" s="38" t="s">
        <v>9</v>
      </c>
      <c r="F61" s="38" t="s">
        <v>10</v>
      </c>
      <c r="G61" s="39" t="s">
        <v>11</v>
      </c>
      <c r="H61" s="295"/>
    </row>
    <row r="62" spans="1:14" ht="15.6" x14ac:dyDescent="0.3">
      <c r="A62" s="22"/>
      <c r="B62" s="28" t="s">
        <v>12</v>
      </c>
      <c r="C62" s="28" t="s">
        <v>13</v>
      </c>
      <c r="D62" s="29" t="s">
        <v>14</v>
      </c>
      <c r="E62" s="62" t="s">
        <v>15</v>
      </c>
      <c r="F62" s="28" t="s">
        <v>16</v>
      </c>
      <c r="G62" s="28" t="s">
        <v>17</v>
      </c>
      <c r="H62" s="286"/>
    </row>
    <row r="63" spans="1:14" ht="15.6" x14ac:dyDescent="0.3">
      <c r="A63" s="22">
        <v>1</v>
      </c>
      <c r="B63" s="40">
        <v>49</v>
      </c>
      <c r="C63" s="40" t="s">
        <v>18</v>
      </c>
      <c r="D63" s="1">
        <v>1320</v>
      </c>
      <c r="E63" s="1">
        <f t="shared" ref="E63:E75" si="7">D63-F63</f>
        <v>2</v>
      </c>
      <c r="F63" s="254">
        <v>1318</v>
      </c>
      <c r="G63" s="2">
        <f t="shared" ref="G63:G75" si="8">F63/D63</f>
        <v>0.99848484848484853</v>
      </c>
      <c r="H63" s="296"/>
    </row>
    <row r="64" spans="1:14" ht="15.6" x14ac:dyDescent="0.3">
      <c r="A64" s="22">
        <v>2</v>
      </c>
      <c r="B64" s="5">
        <v>42</v>
      </c>
      <c r="C64" s="1" t="s">
        <v>19</v>
      </c>
      <c r="D64" s="1">
        <v>367</v>
      </c>
      <c r="E64" s="1">
        <f t="shared" si="7"/>
        <v>2</v>
      </c>
      <c r="F64" s="255">
        <v>365</v>
      </c>
      <c r="G64" s="2">
        <f t="shared" si="8"/>
        <v>0.99455040871934608</v>
      </c>
      <c r="H64" s="296"/>
    </row>
    <row r="65" spans="1:14" ht="15.6" x14ac:dyDescent="0.3">
      <c r="A65" s="22">
        <v>3</v>
      </c>
      <c r="B65" s="41">
        <v>52</v>
      </c>
      <c r="C65" s="41" t="s">
        <v>20</v>
      </c>
      <c r="D65" s="72">
        <v>575</v>
      </c>
      <c r="E65" s="1">
        <f t="shared" si="7"/>
        <v>5</v>
      </c>
      <c r="F65" s="256">
        <v>570</v>
      </c>
      <c r="G65" s="2">
        <f t="shared" si="8"/>
        <v>0.99130434782608701</v>
      </c>
      <c r="H65" s="296"/>
    </row>
    <row r="66" spans="1:14" ht="15.6" x14ac:dyDescent="0.3">
      <c r="A66" s="22">
        <v>4</v>
      </c>
      <c r="B66" s="1">
        <v>57</v>
      </c>
      <c r="C66" s="1" t="s">
        <v>21</v>
      </c>
      <c r="D66" s="1">
        <v>161</v>
      </c>
      <c r="E66" s="1">
        <f t="shared" si="7"/>
        <v>4</v>
      </c>
      <c r="F66" s="254">
        <v>157</v>
      </c>
      <c r="G66" s="2">
        <f t="shared" si="8"/>
        <v>0.97515527950310554</v>
      </c>
      <c r="H66" s="296"/>
    </row>
    <row r="67" spans="1:14" ht="15.6" x14ac:dyDescent="0.3">
      <c r="A67" s="22">
        <v>5</v>
      </c>
      <c r="B67" s="3">
        <v>33</v>
      </c>
      <c r="C67" s="42" t="s">
        <v>22</v>
      </c>
      <c r="D67" s="43">
        <v>2584</v>
      </c>
      <c r="E67" s="1">
        <f t="shared" si="7"/>
        <v>0</v>
      </c>
      <c r="F67" s="255">
        <v>2584</v>
      </c>
      <c r="G67" s="2">
        <f t="shared" si="8"/>
        <v>1</v>
      </c>
      <c r="H67" s="296"/>
    </row>
    <row r="68" spans="1:14" ht="15.6" x14ac:dyDescent="0.3">
      <c r="A68" s="22">
        <v>6</v>
      </c>
      <c r="B68" s="3">
        <v>25</v>
      </c>
      <c r="C68" s="3" t="s">
        <v>23</v>
      </c>
      <c r="D68" s="3">
        <v>4589</v>
      </c>
      <c r="E68" s="1">
        <f t="shared" si="7"/>
        <v>54</v>
      </c>
      <c r="F68" s="256">
        <v>4535</v>
      </c>
      <c r="G68" s="2">
        <f t="shared" si="8"/>
        <v>0.98823273044236215</v>
      </c>
      <c r="H68" s="296"/>
    </row>
    <row r="69" spans="1:14" ht="15.6" x14ac:dyDescent="0.3">
      <c r="A69" s="22">
        <v>7</v>
      </c>
      <c r="B69" s="4">
        <v>11</v>
      </c>
      <c r="C69" s="44" t="s">
        <v>24</v>
      </c>
      <c r="D69" s="4">
        <v>100</v>
      </c>
      <c r="E69" s="1">
        <f t="shared" si="7"/>
        <v>5</v>
      </c>
      <c r="F69" s="254">
        <v>95</v>
      </c>
      <c r="G69" s="2">
        <f t="shared" si="8"/>
        <v>0.95</v>
      </c>
      <c r="H69" s="296"/>
    </row>
    <row r="70" spans="1:14" ht="15.6" x14ac:dyDescent="0.3">
      <c r="A70" s="22">
        <v>8</v>
      </c>
      <c r="B70" s="41">
        <v>17</v>
      </c>
      <c r="C70" s="45" t="s">
        <v>25</v>
      </c>
      <c r="D70" s="43">
        <v>448</v>
      </c>
      <c r="E70" s="1">
        <f t="shared" si="7"/>
        <v>0</v>
      </c>
      <c r="F70" s="255">
        <v>448</v>
      </c>
      <c r="G70" s="2">
        <f t="shared" si="8"/>
        <v>1</v>
      </c>
      <c r="H70" s="296"/>
    </row>
    <row r="71" spans="1:14" ht="15.6" x14ac:dyDescent="0.3">
      <c r="A71" s="22">
        <v>9</v>
      </c>
      <c r="B71" s="3">
        <v>39</v>
      </c>
      <c r="C71" s="3" t="s">
        <v>26</v>
      </c>
      <c r="D71" s="5">
        <v>520</v>
      </c>
      <c r="E71" s="1">
        <f t="shared" si="7"/>
        <v>19</v>
      </c>
      <c r="F71" s="256">
        <v>501</v>
      </c>
      <c r="G71" s="2">
        <f t="shared" si="8"/>
        <v>0.96346153846153848</v>
      </c>
      <c r="H71" s="296"/>
    </row>
    <row r="72" spans="1:14" ht="15.6" x14ac:dyDescent="0.3">
      <c r="A72" s="22">
        <v>10</v>
      </c>
      <c r="B72" s="3">
        <v>36</v>
      </c>
      <c r="C72" s="42" t="s">
        <v>27</v>
      </c>
      <c r="D72" s="1">
        <v>235</v>
      </c>
      <c r="E72" s="1">
        <f t="shared" si="7"/>
        <v>1</v>
      </c>
      <c r="F72" s="254">
        <v>234</v>
      </c>
      <c r="G72" s="2">
        <f t="shared" si="8"/>
        <v>0.99574468085106382</v>
      </c>
      <c r="H72" s="296"/>
    </row>
    <row r="73" spans="1:14" ht="15.6" x14ac:dyDescent="0.3">
      <c r="A73" s="22">
        <v>11</v>
      </c>
      <c r="B73" s="3">
        <v>26</v>
      </c>
      <c r="C73" s="42" t="s">
        <v>54</v>
      </c>
      <c r="D73" s="1">
        <v>132</v>
      </c>
      <c r="E73" s="1">
        <f t="shared" si="7"/>
        <v>0</v>
      </c>
      <c r="F73" s="255">
        <v>132</v>
      </c>
      <c r="G73" s="2">
        <f t="shared" si="8"/>
        <v>1</v>
      </c>
      <c r="H73" s="296"/>
    </row>
    <row r="74" spans="1:14" ht="15.6" x14ac:dyDescent="0.3">
      <c r="A74" s="22">
        <v>12</v>
      </c>
      <c r="B74" s="3">
        <v>20</v>
      </c>
      <c r="C74" s="42" t="s">
        <v>28</v>
      </c>
      <c r="D74" s="42">
        <v>4</v>
      </c>
      <c r="E74" s="1">
        <f t="shared" si="7"/>
        <v>0</v>
      </c>
      <c r="F74" s="256">
        <v>4</v>
      </c>
      <c r="G74" s="2">
        <f t="shared" si="8"/>
        <v>1</v>
      </c>
      <c r="H74" s="296"/>
    </row>
    <row r="75" spans="1:14" ht="15.6" x14ac:dyDescent="0.3">
      <c r="A75" s="22">
        <v>13</v>
      </c>
      <c r="B75" s="5">
        <v>7</v>
      </c>
      <c r="C75" s="1" t="s">
        <v>29</v>
      </c>
      <c r="D75" s="1">
        <v>32</v>
      </c>
      <c r="E75" s="1">
        <f t="shared" si="7"/>
        <v>2</v>
      </c>
      <c r="F75" s="254">
        <v>30</v>
      </c>
      <c r="G75" s="2">
        <f t="shared" si="8"/>
        <v>0.9375</v>
      </c>
      <c r="H75" s="296"/>
    </row>
    <row r="76" spans="1:14" ht="15.6" x14ac:dyDescent="0.3">
      <c r="A76" s="22"/>
      <c r="B76" s="46">
        <f>SUM(B63:B75)</f>
        <v>414</v>
      </c>
      <c r="C76" s="47" t="s">
        <v>30</v>
      </c>
      <c r="D76" s="48">
        <f>SUM(D63:D75)</f>
        <v>11067</v>
      </c>
      <c r="E76" s="48">
        <f>SUM(E63:E75)</f>
        <v>94</v>
      </c>
      <c r="F76" s="48">
        <f>SUM(F63:F75)</f>
        <v>10973</v>
      </c>
      <c r="G76" s="338">
        <f>F76/D76</f>
        <v>0.99150627993132734</v>
      </c>
      <c r="H76" s="68"/>
    </row>
    <row r="77" spans="1:14" ht="15.6" x14ac:dyDescent="0.3">
      <c r="A77" s="60"/>
      <c r="B77" s="60"/>
      <c r="C77" s="60"/>
      <c r="D77" s="66"/>
      <c r="E77" s="61"/>
      <c r="F77" s="61">
        <f>F76/D76</f>
        <v>0.99150627993132734</v>
      </c>
      <c r="G77" s="61"/>
      <c r="H77" s="292"/>
    </row>
    <row r="78" spans="1:14" ht="17.399999999999999" x14ac:dyDescent="0.3">
      <c r="A78" s="425" t="s">
        <v>50</v>
      </c>
      <c r="B78" s="425"/>
      <c r="C78" s="425"/>
      <c r="D78" s="425"/>
      <c r="E78" s="425"/>
      <c r="F78" s="425"/>
      <c r="G78" s="425"/>
      <c r="H78" s="297"/>
      <c r="I78" s="67"/>
      <c r="J78" s="67"/>
      <c r="K78" s="67"/>
      <c r="L78" s="67"/>
      <c r="M78" s="67"/>
      <c r="N78" s="67"/>
    </row>
    <row r="79" spans="1:14" ht="15" customHeight="1" x14ac:dyDescent="0.3">
      <c r="A79" s="403" t="s">
        <v>1</v>
      </c>
      <c r="B79" s="404" t="s">
        <v>2</v>
      </c>
      <c r="C79" s="403" t="s">
        <v>3</v>
      </c>
      <c r="D79" s="402" t="s">
        <v>49</v>
      </c>
      <c r="E79" s="403" t="s">
        <v>6</v>
      </c>
      <c r="F79" s="403"/>
      <c r="G79" s="403"/>
      <c r="H79" s="298"/>
      <c r="I79" s="70"/>
    </row>
    <row r="80" spans="1:14" ht="27" x14ac:dyDescent="0.3">
      <c r="A80" s="403"/>
      <c r="B80" s="404"/>
      <c r="C80" s="403"/>
      <c r="D80" s="402"/>
      <c r="E80" s="58" t="s">
        <v>9</v>
      </c>
      <c r="F80" s="58" t="s">
        <v>10</v>
      </c>
      <c r="G80" s="59" t="s">
        <v>11</v>
      </c>
      <c r="H80" s="295"/>
    </row>
    <row r="81" spans="1:14" x14ac:dyDescent="0.3">
      <c r="A81" s="38"/>
      <c r="B81" s="38" t="s">
        <v>12</v>
      </c>
      <c r="C81" s="38" t="s">
        <v>13</v>
      </c>
      <c r="D81" s="39" t="s">
        <v>14</v>
      </c>
      <c r="E81" s="38" t="s">
        <v>16</v>
      </c>
      <c r="F81" s="38" t="s">
        <v>17</v>
      </c>
      <c r="G81" s="38"/>
      <c r="H81" s="298"/>
    </row>
    <row r="82" spans="1:14" x14ac:dyDescent="0.3">
      <c r="A82" s="49">
        <v>1</v>
      </c>
      <c r="B82" s="40">
        <v>49</v>
      </c>
      <c r="C82" s="40" t="s">
        <v>18</v>
      </c>
      <c r="D82" s="1">
        <v>1058</v>
      </c>
      <c r="E82" s="1">
        <f>D82-F82</f>
        <v>4</v>
      </c>
      <c r="F82" s="254">
        <v>1054</v>
      </c>
      <c r="G82" s="50">
        <f t="shared" ref="G82:G94" si="9">F82/D82</f>
        <v>0.99621928166351603</v>
      </c>
      <c r="H82" s="200"/>
    </row>
    <row r="83" spans="1:14" x14ac:dyDescent="0.3">
      <c r="A83" s="49">
        <v>2</v>
      </c>
      <c r="B83" s="5">
        <v>42</v>
      </c>
      <c r="C83" s="1" t="s">
        <v>19</v>
      </c>
      <c r="D83" s="1">
        <v>156</v>
      </c>
      <c r="E83" s="1">
        <f>D83-F83</f>
        <v>0</v>
      </c>
      <c r="F83" s="257">
        <v>156</v>
      </c>
      <c r="G83" s="50">
        <f t="shared" si="9"/>
        <v>1</v>
      </c>
      <c r="H83" s="200"/>
    </row>
    <row r="84" spans="1:14" x14ac:dyDescent="0.3">
      <c r="A84" s="49">
        <v>3</v>
      </c>
      <c r="B84" s="41">
        <v>52</v>
      </c>
      <c r="C84" s="41" t="s">
        <v>20</v>
      </c>
      <c r="D84" s="41">
        <v>564</v>
      </c>
      <c r="E84" s="1">
        <f>D84-F84</f>
        <v>6</v>
      </c>
      <c r="F84" s="254">
        <v>558</v>
      </c>
      <c r="G84" s="50">
        <f t="shared" si="9"/>
        <v>0.98936170212765961</v>
      </c>
      <c r="H84" s="200"/>
    </row>
    <row r="85" spans="1:14" x14ac:dyDescent="0.3">
      <c r="A85" s="49">
        <v>4</v>
      </c>
      <c r="B85" s="1">
        <v>57</v>
      </c>
      <c r="C85" s="1" t="s">
        <v>21</v>
      </c>
      <c r="D85" s="1">
        <v>117</v>
      </c>
      <c r="E85" s="1">
        <f t="shared" ref="E85:E94" si="10">D85-F85</f>
        <v>3</v>
      </c>
      <c r="F85" s="254">
        <v>114</v>
      </c>
      <c r="G85" s="50">
        <f t="shared" si="9"/>
        <v>0.97435897435897434</v>
      </c>
      <c r="H85" s="200"/>
    </row>
    <row r="86" spans="1:14" x14ac:dyDescent="0.3">
      <c r="A86" s="49">
        <v>5</v>
      </c>
      <c r="B86" s="3">
        <v>33</v>
      </c>
      <c r="C86" s="42" t="s">
        <v>22</v>
      </c>
      <c r="D86" s="43">
        <v>235</v>
      </c>
      <c r="E86" s="1">
        <f t="shared" si="10"/>
        <v>0</v>
      </c>
      <c r="F86" s="257">
        <v>235</v>
      </c>
      <c r="G86" s="50">
        <f t="shared" si="9"/>
        <v>1</v>
      </c>
      <c r="H86" s="200"/>
    </row>
    <row r="87" spans="1:14" x14ac:dyDescent="0.3">
      <c r="A87" s="49">
        <v>6</v>
      </c>
      <c r="B87" s="3">
        <v>25</v>
      </c>
      <c r="C87" s="3" t="s">
        <v>23</v>
      </c>
      <c r="D87" s="3">
        <v>3650</v>
      </c>
      <c r="E87" s="1">
        <f t="shared" si="10"/>
        <v>16</v>
      </c>
      <c r="F87" s="254">
        <v>3634</v>
      </c>
      <c r="G87" s="50">
        <f t="shared" si="9"/>
        <v>0.99561643835616442</v>
      </c>
      <c r="H87" s="200"/>
    </row>
    <row r="88" spans="1:14" x14ac:dyDescent="0.3">
      <c r="A88" s="49">
        <v>7</v>
      </c>
      <c r="B88" s="4">
        <v>11</v>
      </c>
      <c r="C88" s="44" t="s">
        <v>24</v>
      </c>
      <c r="D88" s="4">
        <v>100</v>
      </c>
      <c r="E88" s="1">
        <f t="shared" si="10"/>
        <v>4</v>
      </c>
      <c r="F88" s="254">
        <v>96</v>
      </c>
      <c r="G88" s="50">
        <f t="shared" si="9"/>
        <v>0.96</v>
      </c>
      <c r="H88" s="200"/>
    </row>
    <row r="89" spans="1:14" x14ac:dyDescent="0.3">
      <c r="A89" s="49">
        <v>8</v>
      </c>
      <c r="B89" s="41">
        <v>17</v>
      </c>
      <c r="C89" s="45" t="s">
        <v>25</v>
      </c>
      <c r="D89" s="43">
        <v>48</v>
      </c>
      <c r="E89" s="1">
        <f t="shared" si="10"/>
        <v>0</v>
      </c>
      <c r="F89" s="257">
        <v>48</v>
      </c>
      <c r="G89" s="50">
        <f t="shared" si="9"/>
        <v>1</v>
      </c>
      <c r="H89" s="200"/>
    </row>
    <row r="90" spans="1:14" x14ac:dyDescent="0.3">
      <c r="A90" s="49">
        <v>9</v>
      </c>
      <c r="B90" s="3">
        <v>39</v>
      </c>
      <c r="C90" s="3" t="s">
        <v>26</v>
      </c>
      <c r="D90" s="5">
        <v>625</v>
      </c>
      <c r="E90" s="1">
        <f t="shared" si="10"/>
        <v>29</v>
      </c>
      <c r="F90" s="254">
        <v>596</v>
      </c>
      <c r="G90" s="50">
        <f t="shared" si="9"/>
        <v>0.9536</v>
      </c>
      <c r="H90" s="200"/>
    </row>
    <row r="91" spans="1:14" x14ac:dyDescent="0.3">
      <c r="A91" s="49">
        <v>10</v>
      </c>
      <c r="B91" s="3">
        <v>36</v>
      </c>
      <c r="C91" s="42" t="s">
        <v>27</v>
      </c>
      <c r="D91" s="1">
        <v>362</v>
      </c>
      <c r="E91" s="1">
        <f t="shared" si="10"/>
        <v>3</v>
      </c>
      <c r="F91" s="254">
        <v>359</v>
      </c>
      <c r="G91" s="50">
        <f>F91/D91</f>
        <v>0.99171270718232041</v>
      </c>
      <c r="H91" s="200"/>
    </row>
    <row r="92" spans="1:14" x14ac:dyDescent="0.3">
      <c r="A92" s="49">
        <v>11</v>
      </c>
      <c r="B92" s="3">
        <v>26</v>
      </c>
      <c r="C92" s="42" t="s">
        <v>55</v>
      </c>
      <c r="D92" s="1">
        <v>1057</v>
      </c>
      <c r="E92" s="1">
        <f t="shared" si="10"/>
        <v>27</v>
      </c>
      <c r="F92" s="257">
        <v>1030</v>
      </c>
      <c r="G92" s="50">
        <f t="shared" si="9"/>
        <v>0.9744560075685903</v>
      </c>
      <c r="H92" s="200"/>
    </row>
    <row r="93" spans="1:14" x14ac:dyDescent="0.3">
      <c r="A93" s="49">
        <v>12</v>
      </c>
      <c r="B93" s="3">
        <v>20</v>
      </c>
      <c r="C93" s="42" t="s">
        <v>28</v>
      </c>
      <c r="D93" s="42">
        <v>12</v>
      </c>
      <c r="E93" s="1">
        <f t="shared" si="10"/>
        <v>0</v>
      </c>
      <c r="F93" s="254">
        <v>12</v>
      </c>
      <c r="G93" s="50">
        <f t="shared" si="9"/>
        <v>1</v>
      </c>
      <c r="H93" s="200"/>
    </row>
    <row r="94" spans="1:14" x14ac:dyDescent="0.3">
      <c r="A94" s="49">
        <v>13</v>
      </c>
      <c r="B94" s="5">
        <v>7</v>
      </c>
      <c r="C94" s="1" t="s">
        <v>29</v>
      </c>
      <c r="D94" s="1">
        <v>40</v>
      </c>
      <c r="E94" s="1">
        <f t="shared" si="10"/>
        <v>1</v>
      </c>
      <c r="F94" s="254">
        <v>39</v>
      </c>
      <c r="G94" s="50">
        <f t="shared" si="9"/>
        <v>0.97499999999999998</v>
      </c>
      <c r="H94" s="200"/>
    </row>
    <row r="95" spans="1:14" x14ac:dyDescent="0.3">
      <c r="A95" s="51"/>
      <c r="B95" s="46">
        <f>SUM(B82:B94)</f>
        <v>414</v>
      </c>
      <c r="C95" s="47" t="s">
        <v>30</v>
      </c>
      <c r="D95" s="48">
        <f>SUM(D82:D94)</f>
        <v>8024</v>
      </c>
      <c r="E95" s="48">
        <f>SUM(E82:E94)</f>
        <v>93</v>
      </c>
      <c r="F95" s="48">
        <f>SUM(F82:F94)</f>
        <v>7931</v>
      </c>
      <c r="G95" s="338">
        <f>F95/D95</f>
        <v>0.98840977068793623</v>
      </c>
      <c r="H95" s="68"/>
      <c r="J95" s="68"/>
      <c r="K95" s="68"/>
      <c r="L95" s="68"/>
      <c r="M95" s="68"/>
      <c r="N95" s="68"/>
    </row>
    <row r="96" spans="1:14" x14ac:dyDescent="0.3">
      <c r="A96" s="51"/>
      <c r="B96" s="51"/>
      <c r="C96" s="51"/>
      <c r="D96" s="51"/>
      <c r="E96" s="51"/>
      <c r="F96" s="50">
        <f>F95/D95</f>
        <v>0.98840977068793623</v>
      </c>
      <c r="G96" s="50"/>
      <c r="H96" s="200"/>
      <c r="J96" s="69"/>
      <c r="K96" s="69"/>
      <c r="L96" s="69"/>
      <c r="M96" s="69"/>
      <c r="N96" s="69"/>
    </row>
    <row r="97" spans="1:14" ht="17.399999999999999" x14ac:dyDescent="0.3">
      <c r="A97" s="405" t="s">
        <v>53</v>
      </c>
      <c r="B97" s="405"/>
      <c r="C97" s="405"/>
      <c r="D97" s="405"/>
      <c r="E97" s="405"/>
      <c r="F97" s="405"/>
      <c r="G97" s="405"/>
      <c r="H97" s="285"/>
      <c r="I97" s="101"/>
      <c r="J97" s="101"/>
      <c r="K97" s="101"/>
      <c r="L97" s="101"/>
      <c r="M97" s="101"/>
      <c r="N97" s="101"/>
    </row>
    <row r="98" spans="1:14" ht="15" customHeight="1" x14ac:dyDescent="0.3">
      <c r="A98" s="383" t="s">
        <v>1</v>
      </c>
      <c r="B98" s="384" t="s">
        <v>2</v>
      </c>
      <c r="C98" s="383" t="s">
        <v>3</v>
      </c>
      <c r="D98" s="385" t="s">
        <v>49</v>
      </c>
      <c r="E98" s="429" t="s">
        <v>6</v>
      </c>
      <c r="F98" s="430"/>
      <c r="G98" s="431"/>
      <c r="H98" s="303"/>
      <c r="I98" s="304"/>
      <c r="J98" s="100"/>
      <c r="K98" s="100"/>
      <c r="L98" s="100"/>
      <c r="M98" s="100"/>
      <c r="N98" s="100"/>
    </row>
    <row r="99" spans="1:14" ht="27" x14ac:dyDescent="0.3">
      <c r="A99" s="383"/>
      <c r="B99" s="384"/>
      <c r="C99" s="383"/>
      <c r="D99" s="386"/>
      <c r="E99" s="93" t="s">
        <v>9</v>
      </c>
      <c r="F99" s="93" t="s">
        <v>10</v>
      </c>
      <c r="G99" s="94" t="s">
        <v>11</v>
      </c>
      <c r="H99" s="305"/>
      <c r="I99" s="304"/>
      <c r="J99" s="100"/>
      <c r="K99" s="100"/>
      <c r="L99" s="100"/>
      <c r="M99" s="100"/>
      <c r="N99" s="100"/>
    </row>
    <row r="100" spans="1:14" x14ac:dyDescent="0.3">
      <c r="A100" s="64"/>
      <c r="B100" s="64" t="s">
        <v>12</v>
      </c>
      <c r="C100" s="64" t="s">
        <v>13</v>
      </c>
      <c r="D100" s="65" t="s">
        <v>14</v>
      </c>
      <c r="E100" s="93" t="s">
        <v>16</v>
      </c>
      <c r="F100" s="93" t="s">
        <v>17</v>
      </c>
      <c r="G100" s="93"/>
      <c r="H100" s="303"/>
      <c r="I100" s="304"/>
      <c r="J100" s="100"/>
      <c r="K100" s="100"/>
      <c r="L100" s="100"/>
      <c r="M100" s="100"/>
      <c r="N100" s="100"/>
    </row>
    <row r="101" spans="1:14" x14ac:dyDescent="0.3">
      <c r="A101" s="49">
        <v>1</v>
      </c>
      <c r="B101" s="40">
        <v>49</v>
      </c>
      <c r="C101" s="40" t="s">
        <v>18</v>
      </c>
      <c r="D101" s="1">
        <v>458</v>
      </c>
      <c r="E101" s="1">
        <f>D101-F101</f>
        <v>2</v>
      </c>
      <c r="F101" s="254">
        <v>456</v>
      </c>
      <c r="G101" s="50">
        <f>F101/D101</f>
        <v>0.99563318777292575</v>
      </c>
      <c r="H101" s="306"/>
      <c r="I101" s="304"/>
      <c r="J101" s="100"/>
      <c r="K101" s="100"/>
      <c r="L101" s="100"/>
      <c r="M101" s="100"/>
      <c r="N101" s="100"/>
    </row>
    <row r="102" spans="1:14" x14ac:dyDescent="0.3">
      <c r="A102" s="49">
        <v>2</v>
      </c>
      <c r="B102" s="5">
        <v>42</v>
      </c>
      <c r="C102" s="1" t="s">
        <v>19</v>
      </c>
      <c r="D102" s="1">
        <v>126</v>
      </c>
      <c r="E102" s="1">
        <f t="shared" ref="E102:E113" si="11">D102-F102</f>
        <v>1</v>
      </c>
      <c r="F102" s="254">
        <v>125</v>
      </c>
      <c r="G102" s="50">
        <f t="shared" ref="G102:G113" si="12">F102/D102</f>
        <v>0.99206349206349209</v>
      </c>
      <c r="H102" s="306"/>
      <c r="I102" s="304"/>
    </row>
    <row r="103" spans="1:14" x14ac:dyDescent="0.3">
      <c r="A103" s="49">
        <v>3</v>
      </c>
      <c r="B103" s="41">
        <v>52</v>
      </c>
      <c r="C103" s="41" t="s">
        <v>20</v>
      </c>
      <c r="D103" s="41">
        <v>534</v>
      </c>
      <c r="E103" s="1">
        <f t="shared" si="11"/>
        <v>2</v>
      </c>
      <c r="F103" s="254">
        <v>532</v>
      </c>
      <c r="G103" s="50">
        <f t="shared" si="12"/>
        <v>0.99625468164794007</v>
      </c>
      <c r="H103" s="306"/>
      <c r="I103" s="304"/>
    </row>
    <row r="104" spans="1:14" x14ac:dyDescent="0.3">
      <c r="A104" s="49">
        <v>4</v>
      </c>
      <c r="B104" s="1">
        <v>57</v>
      </c>
      <c r="C104" s="1" t="s">
        <v>21</v>
      </c>
      <c r="D104" s="1">
        <v>71</v>
      </c>
      <c r="E104" s="1">
        <f t="shared" si="11"/>
        <v>2</v>
      </c>
      <c r="F104" s="254">
        <v>69</v>
      </c>
      <c r="G104" s="50">
        <f t="shared" si="12"/>
        <v>0.971830985915493</v>
      </c>
      <c r="H104" s="306"/>
      <c r="I104" s="304"/>
    </row>
    <row r="105" spans="1:14" x14ac:dyDescent="0.3">
      <c r="A105" s="49">
        <v>5</v>
      </c>
      <c r="B105" s="3">
        <v>33</v>
      </c>
      <c r="C105" s="42" t="s">
        <v>22</v>
      </c>
      <c r="D105" s="43">
        <v>126</v>
      </c>
      <c r="E105" s="1">
        <f t="shared" si="11"/>
        <v>0</v>
      </c>
      <c r="F105" s="254">
        <v>126</v>
      </c>
      <c r="G105" s="50">
        <f t="shared" si="12"/>
        <v>1</v>
      </c>
      <c r="H105" s="306"/>
      <c r="I105" s="304"/>
    </row>
    <row r="106" spans="1:14" x14ac:dyDescent="0.3">
      <c r="A106" s="49">
        <v>6</v>
      </c>
      <c r="B106" s="3">
        <v>25</v>
      </c>
      <c r="C106" s="3" t="s">
        <v>23</v>
      </c>
      <c r="D106" s="3">
        <v>811</v>
      </c>
      <c r="E106" s="1">
        <f t="shared" si="11"/>
        <v>27</v>
      </c>
      <c r="F106" s="254">
        <v>784</v>
      </c>
      <c r="G106" s="50">
        <f t="shared" si="12"/>
        <v>0.96670776818742299</v>
      </c>
      <c r="H106" s="306"/>
      <c r="I106" s="304"/>
    </row>
    <row r="107" spans="1:14" x14ac:dyDescent="0.3">
      <c r="A107" s="49">
        <v>7</v>
      </c>
      <c r="B107" s="4">
        <v>11</v>
      </c>
      <c r="C107" s="44" t="s">
        <v>24</v>
      </c>
      <c r="D107" s="4">
        <v>44</v>
      </c>
      <c r="E107" s="1">
        <f t="shared" si="11"/>
        <v>13</v>
      </c>
      <c r="F107" s="254">
        <v>31</v>
      </c>
      <c r="G107" s="50">
        <f t="shared" si="12"/>
        <v>0.70454545454545459</v>
      </c>
      <c r="H107" s="306"/>
      <c r="I107" s="304"/>
    </row>
    <row r="108" spans="1:14" x14ac:dyDescent="0.3">
      <c r="A108" s="49">
        <v>8</v>
      </c>
      <c r="B108" s="41">
        <v>17</v>
      </c>
      <c r="C108" s="45" t="s">
        <v>25</v>
      </c>
      <c r="D108" s="43">
        <v>163</v>
      </c>
      <c r="E108" s="1">
        <f t="shared" si="11"/>
        <v>4</v>
      </c>
      <c r="F108" s="254">
        <v>159</v>
      </c>
      <c r="G108" s="50">
        <f t="shared" si="12"/>
        <v>0.97546012269938653</v>
      </c>
      <c r="H108" s="306"/>
      <c r="I108" s="304"/>
    </row>
    <row r="109" spans="1:14" x14ac:dyDescent="0.3">
      <c r="A109" s="49">
        <v>9</v>
      </c>
      <c r="B109" s="3">
        <v>39</v>
      </c>
      <c r="C109" s="3" t="s">
        <v>26</v>
      </c>
      <c r="D109" s="5">
        <v>494</v>
      </c>
      <c r="E109" s="1">
        <f t="shared" si="11"/>
        <v>100</v>
      </c>
      <c r="F109" s="254">
        <v>394</v>
      </c>
      <c r="G109" s="50">
        <f t="shared" si="12"/>
        <v>0.79757085020242913</v>
      </c>
      <c r="H109" s="306"/>
      <c r="I109" s="304"/>
    </row>
    <row r="110" spans="1:14" x14ac:dyDescent="0.3">
      <c r="A110" s="49">
        <v>10</v>
      </c>
      <c r="B110" s="3">
        <v>36</v>
      </c>
      <c r="C110" s="42" t="s">
        <v>27</v>
      </c>
      <c r="D110" s="1">
        <v>4778</v>
      </c>
      <c r="E110" s="1">
        <f t="shared" si="11"/>
        <v>3</v>
      </c>
      <c r="F110" s="254">
        <v>4775</v>
      </c>
      <c r="G110" s="50">
        <f t="shared" si="12"/>
        <v>0.99937212222687322</v>
      </c>
      <c r="H110" s="306"/>
      <c r="I110" s="304"/>
    </row>
    <row r="111" spans="1:14" x14ac:dyDescent="0.3">
      <c r="A111" s="49">
        <v>11</v>
      </c>
      <c r="B111" s="3">
        <v>26</v>
      </c>
      <c r="C111" s="42" t="s">
        <v>55</v>
      </c>
      <c r="D111" s="1">
        <v>161</v>
      </c>
      <c r="E111" s="1">
        <f t="shared" si="11"/>
        <v>3</v>
      </c>
      <c r="F111" s="254">
        <v>158</v>
      </c>
      <c r="G111" s="50">
        <f t="shared" si="12"/>
        <v>0.98136645962732916</v>
      </c>
      <c r="H111" s="306"/>
      <c r="I111" s="304"/>
    </row>
    <row r="112" spans="1:14" x14ac:dyDescent="0.3">
      <c r="A112" s="49">
        <v>12</v>
      </c>
      <c r="B112" s="3">
        <v>20</v>
      </c>
      <c r="C112" s="42" t="s">
        <v>28</v>
      </c>
      <c r="D112" s="42">
        <v>11</v>
      </c>
      <c r="E112" s="1">
        <f t="shared" si="11"/>
        <v>0</v>
      </c>
      <c r="F112" s="254">
        <v>11</v>
      </c>
      <c r="G112" s="50">
        <f t="shared" si="12"/>
        <v>1</v>
      </c>
      <c r="H112" s="306"/>
      <c r="I112" s="304"/>
    </row>
    <row r="113" spans="1:15" x14ac:dyDescent="0.3">
      <c r="A113" s="49">
        <v>13</v>
      </c>
      <c r="B113" s="5">
        <v>7</v>
      </c>
      <c r="C113" s="1" t="s">
        <v>29</v>
      </c>
      <c r="D113" s="1">
        <v>14</v>
      </c>
      <c r="E113" s="1">
        <f t="shared" si="11"/>
        <v>0</v>
      </c>
      <c r="F113" s="254">
        <v>14</v>
      </c>
      <c r="G113" s="50">
        <f t="shared" si="12"/>
        <v>1</v>
      </c>
      <c r="H113" s="306"/>
      <c r="I113" s="304"/>
    </row>
    <row r="114" spans="1:15" x14ac:dyDescent="0.3">
      <c r="A114" s="51"/>
      <c r="B114" s="46">
        <f>SUM(B101:B113)</f>
        <v>414</v>
      </c>
      <c r="C114" s="47" t="s">
        <v>30</v>
      </c>
      <c r="D114" s="48">
        <f>SUM(D101:D113)</f>
        <v>7791</v>
      </c>
      <c r="E114" s="48">
        <f>SUM(E101:E113)</f>
        <v>157</v>
      </c>
      <c r="F114" s="48">
        <f>SUM(F101:F113)</f>
        <v>7634</v>
      </c>
      <c r="G114" s="50">
        <f>F114/D114</f>
        <v>0.97984854319086123</v>
      </c>
      <c r="H114" s="306"/>
      <c r="I114" s="304"/>
    </row>
    <row r="115" spans="1:15" x14ac:dyDescent="0.3">
      <c r="A115" s="51"/>
      <c r="B115" s="51"/>
      <c r="C115" s="51"/>
      <c r="D115" s="51"/>
      <c r="E115" s="51"/>
      <c r="F115" s="50">
        <f>F114/D114</f>
        <v>0.97984854319086123</v>
      </c>
      <c r="G115" s="51"/>
      <c r="H115" s="307"/>
      <c r="I115" s="304"/>
    </row>
    <row r="116" spans="1:15" ht="17.399999999999999" x14ac:dyDescent="0.3">
      <c r="A116" s="405" t="s">
        <v>56</v>
      </c>
      <c r="B116" s="405"/>
      <c r="C116" s="405"/>
      <c r="D116" s="405"/>
      <c r="E116" s="405"/>
      <c r="F116" s="405"/>
      <c r="G116" s="405"/>
      <c r="H116" s="308"/>
      <c r="I116" s="309"/>
      <c r="J116" s="101"/>
      <c r="K116" s="101"/>
      <c r="L116" s="101"/>
      <c r="M116" s="101"/>
      <c r="N116" s="101"/>
      <c r="O116" s="100"/>
    </row>
    <row r="117" spans="1:15" ht="15" customHeight="1" x14ac:dyDescent="0.3">
      <c r="A117" s="383" t="s">
        <v>1</v>
      </c>
      <c r="B117" s="384" t="s">
        <v>2</v>
      </c>
      <c r="C117" s="383" t="s">
        <v>3</v>
      </c>
      <c r="D117" s="385" t="s">
        <v>49</v>
      </c>
      <c r="E117" s="383" t="s">
        <v>6</v>
      </c>
      <c r="F117" s="383"/>
      <c r="G117" s="383"/>
      <c r="H117" s="303"/>
      <c r="I117" s="310"/>
    </row>
    <row r="118" spans="1:15" ht="27" x14ac:dyDescent="0.3">
      <c r="A118" s="383"/>
      <c r="B118" s="384"/>
      <c r="C118" s="383"/>
      <c r="D118" s="386"/>
      <c r="E118" s="194" t="s">
        <v>9</v>
      </c>
      <c r="F118" s="194" t="s">
        <v>10</v>
      </c>
      <c r="G118" s="193" t="s">
        <v>11</v>
      </c>
      <c r="H118" s="305"/>
      <c r="I118" s="310"/>
    </row>
    <row r="119" spans="1:15" x14ac:dyDescent="0.3">
      <c r="A119" s="75"/>
      <c r="B119" s="191" t="s">
        <v>12</v>
      </c>
      <c r="C119" s="191" t="s">
        <v>13</v>
      </c>
      <c r="D119" s="190" t="s">
        <v>14</v>
      </c>
      <c r="E119" s="194" t="s">
        <v>16</v>
      </c>
      <c r="F119" s="194" t="s">
        <v>17</v>
      </c>
      <c r="G119" s="194"/>
      <c r="H119" s="303"/>
      <c r="I119" s="305"/>
    </row>
    <row r="120" spans="1:15" x14ac:dyDescent="0.3">
      <c r="A120" s="76">
        <v>1</v>
      </c>
      <c r="B120" s="77">
        <v>49</v>
      </c>
      <c r="C120" s="77" t="s">
        <v>18</v>
      </c>
      <c r="D120" s="78">
        <v>446</v>
      </c>
      <c r="E120" s="78">
        <f>D120-F120</f>
        <v>1</v>
      </c>
      <c r="F120" s="258">
        <v>445</v>
      </c>
      <c r="G120" s="79">
        <f t="shared" ref="G120:G130" si="13">F120/D120</f>
        <v>0.99775784753363228</v>
      </c>
      <c r="H120" s="306"/>
      <c r="I120" s="311"/>
    </row>
    <row r="121" spans="1:15" x14ac:dyDescent="0.3">
      <c r="A121" s="76">
        <v>2</v>
      </c>
      <c r="B121" s="80">
        <v>42</v>
      </c>
      <c r="C121" s="78" t="s">
        <v>19</v>
      </c>
      <c r="D121" s="78">
        <v>337</v>
      </c>
      <c r="E121" s="78">
        <f>D121-F121</f>
        <v>5</v>
      </c>
      <c r="F121" s="258">
        <v>332</v>
      </c>
      <c r="G121" s="79">
        <f t="shared" si="13"/>
        <v>0.98516320474777452</v>
      </c>
      <c r="H121" s="306"/>
      <c r="I121" s="311"/>
    </row>
    <row r="122" spans="1:15" x14ac:dyDescent="0.3">
      <c r="A122" s="76">
        <v>3</v>
      </c>
      <c r="B122" s="81">
        <v>52</v>
      </c>
      <c r="C122" s="81" t="s">
        <v>20</v>
      </c>
      <c r="D122" s="81">
        <v>1393</v>
      </c>
      <c r="E122" s="78">
        <f t="shared" ref="E122:E132" si="14">D122-F122</f>
        <v>2</v>
      </c>
      <c r="F122" s="258">
        <v>1391</v>
      </c>
      <c r="G122" s="79">
        <f t="shared" si="13"/>
        <v>0.99856424982053127</v>
      </c>
      <c r="H122" s="306"/>
      <c r="I122" s="312"/>
    </row>
    <row r="123" spans="1:15" x14ac:dyDescent="0.3">
      <c r="A123" s="76">
        <v>4</v>
      </c>
      <c r="B123" s="78">
        <v>57</v>
      </c>
      <c r="C123" s="78" t="s">
        <v>21</v>
      </c>
      <c r="D123" s="78">
        <v>75</v>
      </c>
      <c r="E123" s="78">
        <f t="shared" si="14"/>
        <v>0</v>
      </c>
      <c r="F123" s="258">
        <v>75</v>
      </c>
      <c r="G123" s="79">
        <f t="shared" si="13"/>
        <v>1</v>
      </c>
      <c r="H123" s="306"/>
      <c r="I123" s="311"/>
    </row>
    <row r="124" spans="1:15" x14ac:dyDescent="0.3">
      <c r="A124" s="76">
        <v>5</v>
      </c>
      <c r="B124" s="82">
        <v>33</v>
      </c>
      <c r="C124" s="83" t="s">
        <v>22</v>
      </c>
      <c r="D124" s="78">
        <v>1497</v>
      </c>
      <c r="E124" s="78">
        <f t="shared" si="14"/>
        <v>0</v>
      </c>
      <c r="F124" s="258">
        <v>1497</v>
      </c>
      <c r="G124" s="79">
        <f t="shared" si="13"/>
        <v>1</v>
      </c>
      <c r="H124" s="306"/>
      <c r="I124" s="311"/>
    </row>
    <row r="125" spans="1:15" x14ac:dyDescent="0.3">
      <c r="A125" s="76">
        <v>6</v>
      </c>
      <c r="B125" s="82">
        <v>25</v>
      </c>
      <c r="C125" s="82" t="s">
        <v>23</v>
      </c>
      <c r="D125" s="81">
        <v>1334</v>
      </c>
      <c r="E125" s="78">
        <f t="shared" si="14"/>
        <v>30</v>
      </c>
      <c r="F125" s="258">
        <v>1304</v>
      </c>
      <c r="G125" s="79">
        <f t="shared" si="13"/>
        <v>0.97751124437781112</v>
      </c>
      <c r="H125" s="306"/>
      <c r="I125" s="312"/>
    </row>
    <row r="126" spans="1:15" x14ac:dyDescent="0.3">
      <c r="A126" s="76">
        <v>7</v>
      </c>
      <c r="B126" s="84">
        <v>11</v>
      </c>
      <c r="C126" s="92" t="s">
        <v>24</v>
      </c>
      <c r="D126" s="78">
        <v>54</v>
      </c>
      <c r="E126" s="78">
        <f t="shared" si="14"/>
        <v>14</v>
      </c>
      <c r="F126" s="258">
        <v>40</v>
      </c>
      <c r="G126" s="79">
        <f t="shared" si="13"/>
        <v>0.7407407407407407</v>
      </c>
      <c r="H126" s="306"/>
      <c r="I126" s="311"/>
    </row>
    <row r="127" spans="1:15" x14ac:dyDescent="0.3">
      <c r="A127" s="76">
        <v>8</v>
      </c>
      <c r="B127" s="81">
        <v>17</v>
      </c>
      <c r="C127" s="85" t="s">
        <v>25</v>
      </c>
      <c r="D127" s="78">
        <v>24</v>
      </c>
      <c r="E127" s="78">
        <f t="shared" si="14"/>
        <v>0</v>
      </c>
      <c r="F127" s="258">
        <v>24</v>
      </c>
      <c r="G127" s="79">
        <f t="shared" si="13"/>
        <v>1</v>
      </c>
      <c r="H127" s="306"/>
      <c r="I127" s="311"/>
    </row>
    <row r="128" spans="1:15" x14ac:dyDescent="0.3">
      <c r="A128" s="76">
        <v>9</v>
      </c>
      <c r="B128" s="82">
        <v>39</v>
      </c>
      <c r="C128" s="82" t="s">
        <v>26</v>
      </c>
      <c r="D128" s="81">
        <v>6573</v>
      </c>
      <c r="E128" s="78">
        <f t="shared" si="14"/>
        <v>280</v>
      </c>
      <c r="F128" s="258">
        <v>6293</v>
      </c>
      <c r="G128" s="79">
        <f t="shared" si="13"/>
        <v>0.95740149094781679</v>
      </c>
      <c r="H128" s="306"/>
      <c r="I128" s="312"/>
    </row>
    <row r="129" spans="1:18" x14ac:dyDescent="0.3">
      <c r="A129" s="76">
        <v>10</v>
      </c>
      <c r="B129" s="82">
        <v>36</v>
      </c>
      <c r="C129" s="83" t="s">
        <v>27</v>
      </c>
      <c r="D129" s="78">
        <v>669</v>
      </c>
      <c r="E129" s="78">
        <f t="shared" si="14"/>
        <v>3</v>
      </c>
      <c r="F129" s="258">
        <v>666</v>
      </c>
      <c r="G129" s="79">
        <f t="shared" si="13"/>
        <v>0.99551569506726456</v>
      </c>
      <c r="H129" s="306"/>
      <c r="I129" s="311"/>
    </row>
    <row r="130" spans="1:18" x14ac:dyDescent="0.3">
      <c r="A130" s="76">
        <v>11</v>
      </c>
      <c r="B130" s="82">
        <v>26</v>
      </c>
      <c r="C130" s="83" t="s">
        <v>54</v>
      </c>
      <c r="D130" s="78">
        <v>485</v>
      </c>
      <c r="E130" s="78">
        <f t="shared" si="14"/>
        <v>0</v>
      </c>
      <c r="F130" s="258">
        <v>485</v>
      </c>
      <c r="G130" s="79">
        <f t="shared" si="13"/>
        <v>1</v>
      </c>
      <c r="H130" s="306"/>
      <c r="I130" s="311"/>
    </row>
    <row r="131" spans="1:18" x14ac:dyDescent="0.3">
      <c r="A131" s="76">
        <v>12</v>
      </c>
      <c r="B131" s="82">
        <v>20</v>
      </c>
      <c r="C131" s="83" t="s">
        <v>28</v>
      </c>
      <c r="D131" s="81">
        <v>0</v>
      </c>
      <c r="E131" s="78">
        <f t="shared" si="14"/>
        <v>0</v>
      </c>
      <c r="F131" s="258"/>
      <c r="G131" s="79"/>
      <c r="H131" s="306"/>
      <c r="I131" s="312"/>
    </row>
    <row r="132" spans="1:18" x14ac:dyDescent="0.3">
      <c r="A132" s="76">
        <v>13</v>
      </c>
      <c r="B132" s="80">
        <v>7</v>
      </c>
      <c r="C132" s="78" t="s">
        <v>29</v>
      </c>
      <c r="D132" s="78">
        <v>93</v>
      </c>
      <c r="E132" s="78">
        <f t="shared" si="14"/>
        <v>1</v>
      </c>
      <c r="F132" s="258">
        <v>92</v>
      </c>
      <c r="G132" s="79">
        <f>F132/D132</f>
        <v>0.989247311827957</v>
      </c>
      <c r="H132" s="306"/>
      <c r="I132" s="311"/>
    </row>
    <row r="133" spans="1:18" x14ac:dyDescent="0.3">
      <c r="A133" s="51"/>
      <c r="B133" s="46">
        <f>SUM(B120:B132)</f>
        <v>414</v>
      </c>
      <c r="C133" s="47" t="s">
        <v>30</v>
      </c>
      <c r="D133" s="48">
        <f>SUM(D120:D132)</f>
        <v>12980</v>
      </c>
      <c r="E133" s="48">
        <f>SUM(E120:E132)</f>
        <v>336</v>
      </c>
      <c r="F133" s="48">
        <f>SUM(F120:F132)</f>
        <v>12644</v>
      </c>
      <c r="G133" s="192">
        <f>F133/D133</f>
        <v>0.97411402157164872</v>
      </c>
      <c r="H133" s="313"/>
      <c r="I133" s="314"/>
      <c r="J133" s="68"/>
      <c r="K133" s="68"/>
      <c r="L133" s="68"/>
      <c r="M133" s="197"/>
      <c r="N133" s="100"/>
    </row>
    <row r="134" spans="1:18" x14ac:dyDescent="0.3">
      <c r="A134" s="51"/>
      <c r="B134" s="51"/>
      <c r="C134" s="51"/>
      <c r="D134" s="51"/>
      <c r="E134" s="51"/>
      <c r="F134" s="50">
        <f>F133/D133</f>
        <v>0.97411402157164872</v>
      </c>
      <c r="G134" s="50"/>
      <c r="H134" s="306"/>
      <c r="I134" s="306"/>
      <c r="J134" s="69"/>
      <c r="K134" s="69"/>
      <c r="L134" s="69"/>
      <c r="M134" s="69"/>
      <c r="N134" s="69"/>
    </row>
    <row r="135" spans="1:18" ht="17.399999999999999" x14ac:dyDescent="0.3">
      <c r="A135" s="405" t="s">
        <v>60</v>
      </c>
      <c r="B135" s="405"/>
      <c r="C135" s="405"/>
      <c r="D135" s="405"/>
      <c r="E135" s="405"/>
      <c r="F135" s="405"/>
      <c r="G135" s="405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</row>
    <row r="136" spans="1:18" ht="15" customHeight="1" x14ac:dyDescent="0.3">
      <c r="A136" s="383" t="s">
        <v>1</v>
      </c>
      <c r="B136" s="384" t="s">
        <v>2</v>
      </c>
      <c r="C136" s="383" t="s">
        <v>3</v>
      </c>
      <c r="D136" s="385" t="s">
        <v>49</v>
      </c>
      <c r="E136" s="383" t="s">
        <v>6</v>
      </c>
      <c r="F136" s="383"/>
      <c r="G136" s="383"/>
      <c r="H136" s="299"/>
      <c r="I136" s="399"/>
      <c r="J136" s="396"/>
      <c r="K136" s="397"/>
      <c r="L136" s="398"/>
      <c r="M136" s="398"/>
      <c r="N136" s="398"/>
      <c r="O136" s="397"/>
      <c r="P136" s="397"/>
      <c r="Q136" s="397"/>
    </row>
    <row r="137" spans="1:18" ht="27" x14ac:dyDescent="0.3">
      <c r="A137" s="383"/>
      <c r="B137" s="384"/>
      <c r="C137" s="383"/>
      <c r="D137" s="386"/>
      <c r="E137" s="259" t="s">
        <v>9</v>
      </c>
      <c r="F137" s="259" t="s">
        <v>10</v>
      </c>
      <c r="G137" s="260" t="s">
        <v>11</v>
      </c>
      <c r="H137" s="300"/>
      <c r="I137" s="399"/>
      <c r="J137" s="396"/>
      <c r="K137" s="397"/>
      <c r="L137" s="272"/>
      <c r="M137" s="272"/>
      <c r="N137" s="201"/>
      <c r="O137" s="397"/>
      <c r="P137" s="397"/>
      <c r="Q137" s="397"/>
    </row>
    <row r="138" spans="1:18" x14ac:dyDescent="0.3">
      <c r="A138" s="259"/>
      <c r="B138" s="259" t="s">
        <v>12</v>
      </c>
      <c r="C138" s="259" t="s">
        <v>13</v>
      </c>
      <c r="D138" s="260" t="s">
        <v>14</v>
      </c>
      <c r="E138" s="259" t="s">
        <v>16</v>
      </c>
      <c r="F138" s="259" t="s">
        <v>17</v>
      </c>
      <c r="G138" s="259"/>
      <c r="H138" s="299"/>
      <c r="I138" s="300"/>
      <c r="J138" s="201"/>
      <c r="K138" s="201"/>
      <c r="L138" s="272"/>
      <c r="M138" s="272"/>
      <c r="N138" s="272"/>
      <c r="O138" s="201"/>
      <c r="P138" s="201"/>
      <c r="Q138" s="201"/>
    </row>
    <row r="139" spans="1:18" x14ac:dyDescent="0.3">
      <c r="A139" s="102">
        <v>1</v>
      </c>
      <c r="B139" s="103">
        <v>49</v>
      </c>
      <c r="C139" s="103" t="s">
        <v>18</v>
      </c>
      <c r="D139" s="103">
        <v>467</v>
      </c>
      <c r="E139" s="103">
        <f>D139-F139</f>
        <v>7</v>
      </c>
      <c r="F139" s="103">
        <v>460</v>
      </c>
      <c r="G139" s="79">
        <f t="shared" ref="G139:G151" si="15">F139/D139</f>
        <v>0.98501070663811563</v>
      </c>
      <c r="H139" s="197"/>
      <c r="I139" s="198"/>
      <c r="J139" s="247"/>
      <c r="K139" s="247"/>
      <c r="L139" s="247"/>
      <c r="M139" s="247"/>
      <c r="N139" s="134"/>
      <c r="O139" s="247"/>
      <c r="P139" s="263"/>
      <c r="Q139" s="264"/>
      <c r="R139" s="7">
        <v>468</v>
      </c>
    </row>
    <row r="140" spans="1:18" x14ac:dyDescent="0.3">
      <c r="A140" s="102">
        <v>2</v>
      </c>
      <c r="B140" s="108">
        <v>42</v>
      </c>
      <c r="C140" s="104" t="s">
        <v>19</v>
      </c>
      <c r="D140" s="104">
        <v>1497</v>
      </c>
      <c r="E140" s="104">
        <f>D140-F140</f>
        <v>7</v>
      </c>
      <c r="F140" s="104">
        <v>1490</v>
      </c>
      <c r="G140" s="79">
        <f t="shared" si="15"/>
        <v>0.99532398129592514</v>
      </c>
      <c r="H140" s="197"/>
      <c r="I140" s="198"/>
      <c r="J140" s="247"/>
      <c r="K140" s="247"/>
      <c r="L140" s="247"/>
      <c r="M140" s="247"/>
      <c r="N140" s="134"/>
      <c r="O140" s="247"/>
      <c r="P140" s="263"/>
      <c r="Q140" s="264"/>
      <c r="R140" s="7">
        <v>1615</v>
      </c>
    </row>
    <row r="141" spans="1:18" x14ac:dyDescent="0.3">
      <c r="A141" s="109">
        <v>3</v>
      </c>
      <c r="B141" s="110">
        <v>57</v>
      </c>
      <c r="C141" s="110" t="s">
        <v>20</v>
      </c>
      <c r="D141" s="110">
        <v>1481</v>
      </c>
      <c r="E141" s="103">
        <f t="shared" ref="E141:E151" si="16">D141-F141</f>
        <v>9</v>
      </c>
      <c r="F141" s="110">
        <v>1472</v>
      </c>
      <c r="G141" s="79">
        <f t="shared" si="15"/>
        <v>0.99392302498311946</v>
      </c>
      <c r="H141" s="197"/>
      <c r="I141" s="302"/>
      <c r="J141" s="265"/>
      <c r="K141" s="265"/>
      <c r="L141" s="266"/>
      <c r="M141" s="265"/>
      <c r="N141" s="134"/>
      <c r="O141" s="265"/>
      <c r="P141" s="267"/>
      <c r="Q141" s="264"/>
      <c r="R141" s="7">
        <v>1481</v>
      </c>
    </row>
    <row r="142" spans="1:18" x14ac:dyDescent="0.3">
      <c r="A142" s="102">
        <v>4</v>
      </c>
      <c r="B142" s="104">
        <v>65</v>
      </c>
      <c r="C142" s="104" t="s">
        <v>21</v>
      </c>
      <c r="D142" s="103">
        <v>276</v>
      </c>
      <c r="E142" s="104">
        <f t="shared" si="16"/>
        <v>1</v>
      </c>
      <c r="F142" s="103">
        <v>275</v>
      </c>
      <c r="G142" s="79">
        <f t="shared" si="15"/>
        <v>0.99637681159420288</v>
      </c>
      <c r="H142" s="197"/>
      <c r="I142" s="198"/>
      <c r="J142" s="247"/>
      <c r="K142" s="247"/>
      <c r="L142" s="247"/>
      <c r="M142" s="247"/>
      <c r="N142" s="134"/>
      <c r="O142" s="247"/>
      <c r="P142" s="263"/>
      <c r="Q142" s="264"/>
      <c r="R142" s="7">
        <v>4239</v>
      </c>
    </row>
    <row r="143" spans="1:18" x14ac:dyDescent="0.3">
      <c r="A143" s="102">
        <v>5</v>
      </c>
      <c r="B143" s="112">
        <v>33</v>
      </c>
      <c r="C143" s="113" t="s">
        <v>22</v>
      </c>
      <c r="D143" s="104">
        <v>127</v>
      </c>
      <c r="E143" s="103">
        <f t="shared" si="16"/>
        <v>0</v>
      </c>
      <c r="F143" s="104">
        <v>127</v>
      </c>
      <c r="G143" s="79">
        <f t="shared" si="15"/>
        <v>1</v>
      </c>
      <c r="H143" s="197"/>
      <c r="I143" s="198"/>
      <c r="J143" s="247"/>
      <c r="K143" s="265"/>
      <c r="L143" s="247"/>
      <c r="M143" s="247"/>
      <c r="N143" s="134"/>
      <c r="O143" s="250"/>
      <c r="P143" s="263"/>
      <c r="Q143" s="264"/>
      <c r="R143" s="7">
        <v>255</v>
      </c>
    </row>
    <row r="144" spans="1:18" x14ac:dyDescent="0.3">
      <c r="A144" s="102">
        <v>6</v>
      </c>
      <c r="B144" s="112">
        <v>25</v>
      </c>
      <c r="C144" s="112" t="s">
        <v>23</v>
      </c>
      <c r="D144" s="115">
        <v>850</v>
      </c>
      <c r="E144" s="104">
        <f t="shared" si="16"/>
        <v>41</v>
      </c>
      <c r="F144" s="115">
        <v>809</v>
      </c>
      <c r="G144" s="79">
        <f t="shared" si="15"/>
        <v>0.95176470588235296</v>
      </c>
      <c r="H144" s="197"/>
      <c r="I144" s="199"/>
      <c r="J144" s="250"/>
      <c r="K144" s="250"/>
      <c r="L144" s="247"/>
      <c r="M144" s="247"/>
      <c r="N144" s="134"/>
      <c r="O144" s="250"/>
      <c r="P144" s="263"/>
      <c r="Q144" s="264"/>
      <c r="R144" s="7">
        <v>845</v>
      </c>
    </row>
    <row r="145" spans="1:18" x14ac:dyDescent="0.3">
      <c r="A145" s="116">
        <v>7</v>
      </c>
      <c r="B145" s="117">
        <v>11</v>
      </c>
      <c r="C145" s="118" t="s">
        <v>24</v>
      </c>
      <c r="D145" s="103">
        <v>47</v>
      </c>
      <c r="E145" s="103">
        <f t="shared" si="16"/>
        <v>13</v>
      </c>
      <c r="F145" s="103">
        <v>34</v>
      </c>
      <c r="G145" s="79">
        <f t="shared" si="15"/>
        <v>0.72340425531914898</v>
      </c>
      <c r="H145" s="197"/>
      <c r="I145" s="198"/>
      <c r="J145" s="247"/>
      <c r="K145" s="268"/>
      <c r="L145" s="247"/>
      <c r="M145" s="247"/>
      <c r="N145" s="134"/>
      <c r="O145" s="268"/>
      <c r="P145" s="269"/>
      <c r="Q145" s="264"/>
      <c r="R145" s="7">
        <v>47</v>
      </c>
    </row>
    <row r="146" spans="1:18" x14ac:dyDescent="0.3">
      <c r="A146" s="102">
        <v>8</v>
      </c>
      <c r="B146" s="115">
        <v>17</v>
      </c>
      <c r="C146" s="119" t="s">
        <v>25</v>
      </c>
      <c r="D146" s="104">
        <v>17</v>
      </c>
      <c r="E146" s="104">
        <f t="shared" si="16"/>
        <v>0</v>
      </c>
      <c r="F146" s="104">
        <v>17</v>
      </c>
      <c r="G146" s="79">
        <f t="shared" si="15"/>
        <v>1</v>
      </c>
      <c r="H146" s="197"/>
      <c r="I146" s="198"/>
      <c r="J146" s="247"/>
      <c r="K146" s="265"/>
      <c r="L146" s="247"/>
      <c r="M146" s="247"/>
      <c r="N146" s="134"/>
      <c r="O146" s="250"/>
      <c r="P146" s="263"/>
      <c r="Q146" s="264"/>
      <c r="R146" s="7">
        <v>17</v>
      </c>
    </row>
    <row r="147" spans="1:18" x14ac:dyDescent="0.3">
      <c r="A147" s="102">
        <v>9</v>
      </c>
      <c r="B147" s="112">
        <v>39</v>
      </c>
      <c r="C147" s="112" t="s">
        <v>26</v>
      </c>
      <c r="D147" s="115">
        <v>1314</v>
      </c>
      <c r="E147" s="103">
        <f t="shared" si="16"/>
        <v>214</v>
      </c>
      <c r="F147" s="115">
        <v>1100</v>
      </c>
      <c r="G147" s="79">
        <f t="shared" si="15"/>
        <v>0.83713850837138504</v>
      </c>
      <c r="H147" s="197"/>
      <c r="I147" s="199"/>
      <c r="J147" s="250"/>
      <c r="K147" s="270"/>
      <c r="L147" s="247"/>
      <c r="M147" s="247"/>
      <c r="N147" s="134"/>
      <c r="O147" s="270"/>
      <c r="P147" s="263"/>
      <c r="Q147" s="264"/>
      <c r="R147" s="7">
        <v>1842</v>
      </c>
    </row>
    <row r="148" spans="1:18" x14ac:dyDescent="0.3">
      <c r="A148" s="102">
        <v>10</v>
      </c>
      <c r="B148" s="112">
        <v>36</v>
      </c>
      <c r="C148" s="113" t="s">
        <v>27</v>
      </c>
      <c r="D148" s="103">
        <v>214</v>
      </c>
      <c r="E148" s="104">
        <f t="shared" si="16"/>
        <v>1</v>
      </c>
      <c r="F148" s="103">
        <v>213</v>
      </c>
      <c r="G148" s="79">
        <f t="shared" si="15"/>
        <v>0.99532710280373837</v>
      </c>
      <c r="H148" s="197"/>
      <c r="I148" s="198"/>
      <c r="J148" s="247"/>
      <c r="K148" s="270"/>
      <c r="L148" s="247"/>
      <c r="M148" s="247"/>
      <c r="N148" s="134"/>
      <c r="O148" s="250"/>
      <c r="P148" s="263"/>
      <c r="Q148" s="264"/>
      <c r="R148" s="7">
        <v>317</v>
      </c>
    </row>
    <row r="149" spans="1:18" x14ac:dyDescent="0.3">
      <c r="A149" s="102">
        <v>11</v>
      </c>
      <c r="B149" s="112">
        <v>26</v>
      </c>
      <c r="C149" s="113" t="s">
        <v>54</v>
      </c>
      <c r="D149" s="104">
        <v>1537</v>
      </c>
      <c r="E149" s="103">
        <f t="shared" si="16"/>
        <v>12</v>
      </c>
      <c r="F149" s="104">
        <v>1525</v>
      </c>
      <c r="G149" s="79">
        <f t="shared" si="15"/>
        <v>0.99219258295380608</v>
      </c>
      <c r="H149" s="197"/>
      <c r="I149" s="198"/>
      <c r="J149" s="247"/>
      <c r="K149" s="270"/>
      <c r="L149" s="247"/>
      <c r="M149" s="247"/>
      <c r="N149" s="134"/>
      <c r="O149" s="250"/>
      <c r="P149" s="263"/>
      <c r="Q149" s="264"/>
      <c r="R149" s="7">
        <v>3460</v>
      </c>
    </row>
    <row r="150" spans="1:18" x14ac:dyDescent="0.3">
      <c r="A150" s="102">
        <v>12</v>
      </c>
      <c r="B150" s="112">
        <v>20</v>
      </c>
      <c r="C150" s="113" t="s">
        <v>28</v>
      </c>
      <c r="D150" s="115">
        <v>11</v>
      </c>
      <c r="E150" s="104">
        <f t="shared" si="16"/>
        <v>0</v>
      </c>
      <c r="F150" s="115">
        <v>11</v>
      </c>
      <c r="G150" s="79">
        <f t="shared" si="15"/>
        <v>1</v>
      </c>
      <c r="H150" s="197"/>
      <c r="I150" s="199"/>
      <c r="J150" s="250"/>
      <c r="K150" s="251"/>
      <c r="L150" s="247"/>
      <c r="M150" s="247"/>
      <c r="N150" s="134"/>
      <c r="O150" s="250"/>
      <c r="P150" s="263"/>
      <c r="Q150" s="264"/>
      <c r="R150" s="7">
        <v>11</v>
      </c>
    </row>
    <row r="151" spans="1:18" x14ac:dyDescent="0.3">
      <c r="A151" s="102">
        <v>13</v>
      </c>
      <c r="B151" s="108">
        <v>7</v>
      </c>
      <c r="C151" s="104" t="s">
        <v>29</v>
      </c>
      <c r="D151" s="103">
        <v>131</v>
      </c>
      <c r="E151" s="103">
        <f t="shared" si="16"/>
        <v>0</v>
      </c>
      <c r="F151" s="103">
        <v>131</v>
      </c>
      <c r="G151" s="79">
        <f t="shared" si="15"/>
        <v>1</v>
      </c>
      <c r="H151" s="197"/>
      <c r="I151" s="198"/>
      <c r="J151" s="247"/>
      <c r="K151" s="247"/>
      <c r="L151" s="247"/>
      <c r="M151" s="247"/>
      <c r="N151" s="134"/>
      <c r="O151" s="247"/>
      <c r="P151" s="263"/>
      <c r="Q151" s="264"/>
      <c r="R151" s="7">
        <v>229</v>
      </c>
    </row>
    <row r="152" spans="1:18" x14ac:dyDescent="0.3">
      <c r="A152" s="120"/>
      <c r="B152" s="121">
        <f>SUM(B139:B151)</f>
        <v>427</v>
      </c>
      <c r="C152" s="122" t="s">
        <v>30</v>
      </c>
      <c r="D152" s="123">
        <f>SUM(D139:D151)</f>
        <v>7969</v>
      </c>
      <c r="E152" s="123">
        <f t="shared" ref="E152:F152" si="17">SUM(E139:E151)</f>
        <v>305</v>
      </c>
      <c r="F152" s="123">
        <f t="shared" si="17"/>
        <v>7664</v>
      </c>
      <c r="G152" s="320">
        <f>F152/D152</f>
        <v>0.96172669092734342</v>
      </c>
      <c r="H152" s="301"/>
      <c r="I152" s="301"/>
      <c r="J152" s="271"/>
      <c r="K152" s="271"/>
      <c r="L152" s="271"/>
      <c r="M152" s="271"/>
      <c r="N152" s="134"/>
      <c r="O152" s="271"/>
      <c r="P152" s="263"/>
      <c r="Q152" s="264"/>
      <c r="R152" s="7">
        <f>SUM(R139:R151)</f>
        <v>14826</v>
      </c>
    </row>
    <row r="153" spans="1:18" x14ac:dyDescent="0.3">
      <c r="A153" s="51"/>
      <c r="B153" s="51"/>
      <c r="C153" s="51"/>
      <c r="D153" s="51"/>
      <c r="E153" s="51"/>
      <c r="F153" s="50">
        <f>F152/D152</f>
        <v>0.96172669092734342</v>
      </c>
      <c r="G153" s="50"/>
      <c r="H153" s="200"/>
      <c r="I153" s="200"/>
      <c r="J153" s="69"/>
      <c r="K153" s="69"/>
      <c r="L153" s="69"/>
      <c r="M153" s="69"/>
      <c r="N153" s="69"/>
      <c r="O153" s="200"/>
      <c r="P153" s="200"/>
      <c r="Q153" s="100"/>
    </row>
    <row r="154" spans="1:18" ht="17.399999999999999" x14ac:dyDescent="0.3">
      <c r="A154" s="405" t="s">
        <v>80</v>
      </c>
      <c r="B154" s="405"/>
      <c r="C154" s="405"/>
      <c r="D154" s="405"/>
      <c r="E154" s="405"/>
      <c r="F154" s="405"/>
      <c r="G154" s="405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</row>
    <row r="155" spans="1:18" ht="15" customHeight="1" x14ac:dyDescent="0.3">
      <c r="A155" s="383" t="s">
        <v>1</v>
      </c>
      <c r="B155" s="384" t="s">
        <v>2</v>
      </c>
      <c r="C155" s="383" t="s">
        <v>3</v>
      </c>
      <c r="D155" s="385" t="s">
        <v>49</v>
      </c>
      <c r="E155" s="383" t="s">
        <v>6</v>
      </c>
      <c r="F155" s="383"/>
      <c r="G155" s="383"/>
      <c r="H155" s="299"/>
      <c r="I155" s="395"/>
      <c r="J155" s="396"/>
      <c r="K155" s="397"/>
      <c r="L155" s="398"/>
      <c r="M155" s="398"/>
      <c r="N155" s="398"/>
      <c r="O155" s="397"/>
      <c r="P155" s="397"/>
      <c r="Q155" s="397"/>
    </row>
    <row r="156" spans="1:18" ht="27" x14ac:dyDescent="0.3">
      <c r="A156" s="383"/>
      <c r="B156" s="384"/>
      <c r="C156" s="383"/>
      <c r="D156" s="386"/>
      <c r="E156" s="261" t="s">
        <v>9</v>
      </c>
      <c r="F156" s="261" t="s">
        <v>10</v>
      </c>
      <c r="G156" s="262" t="s">
        <v>11</v>
      </c>
      <c r="H156" s="300"/>
      <c r="I156" s="395"/>
      <c r="J156" s="396"/>
      <c r="K156" s="397"/>
      <c r="L156" s="272"/>
      <c r="M156" s="272"/>
      <c r="N156" s="201"/>
      <c r="O156" s="397"/>
      <c r="P156" s="397"/>
      <c r="Q156" s="397"/>
    </row>
    <row r="157" spans="1:18" x14ac:dyDescent="0.3">
      <c r="A157" s="261"/>
      <c r="B157" s="261" t="s">
        <v>12</v>
      </c>
      <c r="C157" s="261" t="s">
        <v>13</v>
      </c>
      <c r="D157" s="262" t="s">
        <v>14</v>
      </c>
      <c r="E157" s="261" t="s">
        <v>16</v>
      </c>
      <c r="F157" s="261" t="s">
        <v>17</v>
      </c>
      <c r="G157" s="261"/>
      <c r="H157" s="299"/>
      <c r="I157" s="201"/>
      <c r="J157" s="201"/>
      <c r="K157" s="201"/>
      <c r="L157" s="272"/>
      <c r="M157" s="272"/>
      <c r="N157" s="272"/>
      <c r="O157" s="201"/>
      <c r="P157" s="201"/>
      <c r="Q157" s="201"/>
    </row>
    <row r="158" spans="1:18" x14ac:dyDescent="0.3">
      <c r="A158" s="102">
        <v>1</v>
      </c>
      <c r="B158" s="103">
        <v>49</v>
      </c>
      <c r="C158" s="103" t="s">
        <v>18</v>
      </c>
      <c r="D158" s="103">
        <v>504</v>
      </c>
      <c r="E158" s="103">
        <f>D158-F158</f>
        <v>2</v>
      </c>
      <c r="F158" s="222">
        <v>502</v>
      </c>
      <c r="G158" s="79">
        <f t="shared" ref="G158:G170" si="18">F158/D158</f>
        <v>0.99603174603174605</v>
      </c>
      <c r="H158" s="197"/>
      <c r="I158" s="273"/>
      <c r="J158" s="273"/>
      <c r="K158" s="247"/>
      <c r="L158" s="247"/>
      <c r="M158" s="273"/>
      <c r="N158" s="134"/>
      <c r="O158" s="247"/>
      <c r="P158" s="263"/>
      <c r="Q158" s="264"/>
    </row>
    <row r="159" spans="1:18" x14ac:dyDescent="0.3">
      <c r="A159" s="102">
        <v>2</v>
      </c>
      <c r="B159" s="108">
        <v>42</v>
      </c>
      <c r="C159" s="104" t="s">
        <v>19</v>
      </c>
      <c r="D159" s="104">
        <v>162</v>
      </c>
      <c r="E159" s="104">
        <f>D159-F159</f>
        <v>2</v>
      </c>
      <c r="F159" s="223">
        <v>160</v>
      </c>
      <c r="G159" s="79">
        <f t="shared" si="18"/>
        <v>0.98765432098765427</v>
      </c>
      <c r="H159" s="197"/>
      <c r="I159" s="273"/>
      <c r="J159" s="273"/>
      <c r="K159" s="247"/>
      <c r="L159" s="247"/>
      <c r="M159" s="273"/>
      <c r="N159" s="134"/>
      <c r="O159" s="247"/>
      <c r="P159" s="263"/>
      <c r="Q159" s="264"/>
    </row>
    <row r="160" spans="1:18" x14ac:dyDescent="0.3">
      <c r="A160" s="109">
        <v>3</v>
      </c>
      <c r="B160" s="110">
        <v>57</v>
      </c>
      <c r="C160" s="110" t="s">
        <v>20</v>
      </c>
      <c r="D160" s="110">
        <v>1158</v>
      </c>
      <c r="E160" s="103">
        <f t="shared" ref="E160:E170" si="19">D160-F160</f>
        <v>4</v>
      </c>
      <c r="F160" s="224">
        <v>1154</v>
      </c>
      <c r="G160" s="79">
        <f t="shared" si="18"/>
        <v>0.99654576856649391</v>
      </c>
      <c r="H160" s="197"/>
      <c r="I160" s="274"/>
      <c r="J160" s="274"/>
      <c r="K160" s="265"/>
      <c r="L160" s="247"/>
      <c r="M160" s="274"/>
      <c r="N160" s="134"/>
      <c r="O160" s="265"/>
      <c r="P160" s="263"/>
      <c r="Q160" s="264"/>
    </row>
    <row r="161" spans="1:17" x14ac:dyDescent="0.3">
      <c r="A161" s="102">
        <v>4</v>
      </c>
      <c r="B161" s="104">
        <v>65</v>
      </c>
      <c r="C161" s="104" t="s">
        <v>21</v>
      </c>
      <c r="D161" s="103">
        <v>82</v>
      </c>
      <c r="E161" s="104">
        <f t="shared" si="19"/>
        <v>10</v>
      </c>
      <c r="F161" s="222">
        <v>72</v>
      </c>
      <c r="G161" s="79">
        <f t="shared" si="18"/>
        <v>0.87804878048780488</v>
      </c>
      <c r="H161" s="197"/>
      <c r="I161" s="273"/>
      <c r="J161" s="273"/>
      <c r="K161" s="247"/>
      <c r="L161" s="247"/>
      <c r="M161" s="273"/>
      <c r="N161" s="134"/>
      <c r="O161" s="247"/>
      <c r="P161" s="263"/>
      <c r="Q161" s="264"/>
    </row>
    <row r="162" spans="1:17" x14ac:dyDescent="0.3">
      <c r="A162" s="102">
        <v>5</v>
      </c>
      <c r="B162" s="112">
        <v>33</v>
      </c>
      <c r="C162" s="113" t="s">
        <v>22</v>
      </c>
      <c r="D162" s="104">
        <v>69</v>
      </c>
      <c r="E162" s="103">
        <f t="shared" si="19"/>
        <v>0</v>
      </c>
      <c r="F162" s="223">
        <v>69</v>
      </c>
      <c r="G162" s="79">
        <f t="shared" si="18"/>
        <v>1</v>
      </c>
      <c r="H162" s="197"/>
      <c r="I162" s="273"/>
      <c r="J162" s="273"/>
      <c r="K162" s="265"/>
      <c r="L162" s="247"/>
      <c r="M162" s="273"/>
      <c r="N162" s="134"/>
      <c r="O162" s="250"/>
      <c r="P162" s="263"/>
      <c r="Q162" s="264"/>
    </row>
    <row r="163" spans="1:17" x14ac:dyDescent="0.3">
      <c r="A163" s="102">
        <v>6</v>
      </c>
      <c r="B163" s="112">
        <v>25</v>
      </c>
      <c r="C163" s="112" t="s">
        <v>23</v>
      </c>
      <c r="D163" s="115">
        <v>4249</v>
      </c>
      <c r="E163" s="104">
        <f t="shared" si="19"/>
        <v>32</v>
      </c>
      <c r="F163" s="224">
        <v>4217</v>
      </c>
      <c r="G163" s="79">
        <f t="shared" si="18"/>
        <v>0.99246881619204519</v>
      </c>
      <c r="H163" s="197"/>
      <c r="I163" s="274"/>
      <c r="J163" s="274"/>
      <c r="K163" s="250"/>
      <c r="L163" s="247"/>
      <c r="M163" s="274"/>
      <c r="N163" s="134"/>
      <c r="O163" s="250"/>
      <c r="P163" s="263"/>
      <c r="Q163" s="264"/>
    </row>
    <row r="164" spans="1:17" x14ac:dyDescent="0.3">
      <c r="A164" s="116">
        <v>7</v>
      </c>
      <c r="B164" s="117">
        <v>11</v>
      </c>
      <c r="C164" s="118" t="s">
        <v>24</v>
      </c>
      <c r="D164" s="103">
        <v>157</v>
      </c>
      <c r="E164" s="103">
        <f t="shared" si="19"/>
        <v>16</v>
      </c>
      <c r="F164" s="222">
        <v>141</v>
      </c>
      <c r="G164" s="79">
        <f t="shared" si="18"/>
        <v>0.89808917197452232</v>
      </c>
      <c r="H164" s="197"/>
      <c r="I164" s="273"/>
      <c r="J164" s="273"/>
      <c r="K164" s="268"/>
      <c r="L164" s="247"/>
      <c r="M164" s="273"/>
      <c r="N164" s="134"/>
      <c r="O164" s="268"/>
      <c r="P164" s="263"/>
      <c r="Q164" s="264"/>
    </row>
    <row r="165" spans="1:17" x14ac:dyDescent="0.3">
      <c r="A165" s="102">
        <v>8</v>
      </c>
      <c r="B165" s="115">
        <v>17</v>
      </c>
      <c r="C165" s="119" t="s">
        <v>25</v>
      </c>
      <c r="D165" s="104">
        <v>195</v>
      </c>
      <c r="E165" s="104">
        <f t="shared" si="19"/>
        <v>0</v>
      </c>
      <c r="F165" s="223">
        <v>195</v>
      </c>
      <c r="G165" s="79">
        <f t="shared" si="18"/>
        <v>1</v>
      </c>
      <c r="H165" s="197"/>
      <c r="I165" s="273"/>
      <c r="J165" s="273"/>
      <c r="K165" s="265"/>
      <c r="L165" s="247"/>
      <c r="M165" s="273"/>
      <c r="N165" s="134"/>
      <c r="O165" s="250"/>
      <c r="P165" s="263"/>
      <c r="Q165" s="264"/>
    </row>
    <row r="166" spans="1:17" x14ac:dyDescent="0.3">
      <c r="A166" s="102">
        <v>9</v>
      </c>
      <c r="B166" s="112">
        <v>39</v>
      </c>
      <c r="C166" s="112" t="s">
        <v>26</v>
      </c>
      <c r="D166" s="115">
        <v>453</v>
      </c>
      <c r="E166" s="103">
        <f t="shared" si="19"/>
        <v>46</v>
      </c>
      <c r="F166" s="224">
        <v>407</v>
      </c>
      <c r="G166" s="79">
        <f t="shared" si="18"/>
        <v>0.89845474613686538</v>
      </c>
      <c r="H166" s="197"/>
      <c r="I166" s="274"/>
      <c r="J166" s="274"/>
      <c r="K166" s="270"/>
      <c r="L166" s="247"/>
      <c r="M166" s="274"/>
      <c r="N166" s="134"/>
      <c r="O166" s="270"/>
      <c r="P166" s="263"/>
      <c r="Q166" s="264"/>
    </row>
    <row r="167" spans="1:17" x14ac:dyDescent="0.3">
      <c r="A167" s="102">
        <v>10</v>
      </c>
      <c r="B167" s="112">
        <v>36</v>
      </c>
      <c r="C167" s="113" t="s">
        <v>27</v>
      </c>
      <c r="D167" s="103">
        <v>202</v>
      </c>
      <c r="E167" s="104">
        <f t="shared" si="19"/>
        <v>0</v>
      </c>
      <c r="F167" s="222">
        <v>202</v>
      </c>
      <c r="G167" s="79">
        <f t="shared" si="18"/>
        <v>1</v>
      </c>
      <c r="H167" s="197"/>
      <c r="I167" s="273"/>
      <c r="J167" s="273"/>
      <c r="K167" s="270"/>
      <c r="L167" s="247"/>
      <c r="M167" s="273"/>
      <c r="N167" s="134"/>
      <c r="O167" s="250"/>
      <c r="P167" s="263"/>
      <c r="Q167" s="264"/>
    </row>
    <row r="168" spans="1:17" x14ac:dyDescent="0.3">
      <c r="A168" s="102">
        <v>11</v>
      </c>
      <c r="B168" s="112">
        <v>26</v>
      </c>
      <c r="C168" s="113" t="s">
        <v>54</v>
      </c>
      <c r="D168" s="104">
        <v>793</v>
      </c>
      <c r="E168" s="103">
        <f t="shared" si="19"/>
        <v>42</v>
      </c>
      <c r="F168" s="223">
        <v>751</v>
      </c>
      <c r="G168" s="79">
        <f t="shared" si="18"/>
        <v>0.94703656998738961</v>
      </c>
      <c r="H168" s="197"/>
      <c r="I168" s="273"/>
      <c r="J168" s="273"/>
      <c r="K168" s="270"/>
      <c r="L168" s="247"/>
      <c r="M168" s="273"/>
      <c r="N168" s="134"/>
      <c r="O168" s="250"/>
      <c r="P168" s="263"/>
      <c r="Q168" s="264"/>
    </row>
    <row r="169" spans="1:17" x14ac:dyDescent="0.3">
      <c r="A169" s="102"/>
      <c r="B169" s="112">
        <v>20</v>
      </c>
      <c r="C169" s="113" t="s">
        <v>28</v>
      </c>
      <c r="D169" s="115">
        <v>29</v>
      </c>
      <c r="E169" s="104">
        <f t="shared" si="19"/>
        <v>10</v>
      </c>
      <c r="F169" s="224">
        <v>19</v>
      </c>
      <c r="G169" s="79">
        <f t="shared" si="18"/>
        <v>0.65517241379310343</v>
      </c>
      <c r="H169" s="197"/>
      <c r="I169" s="274"/>
      <c r="J169" s="274"/>
      <c r="K169" s="251"/>
      <c r="L169" s="247"/>
      <c r="M169" s="274"/>
      <c r="N169" s="134"/>
      <c r="O169" s="250"/>
      <c r="P169" s="263"/>
      <c r="Q169" s="264"/>
    </row>
    <row r="170" spans="1:17" x14ac:dyDescent="0.3">
      <c r="A170" s="102">
        <v>13</v>
      </c>
      <c r="B170" s="108">
        <v>7</v>
      </c>
      <c r="C170" s="104" t="s">
        <v>29</v>
      </c>
      <c r="D170" s="103">
        <v>2</v>
      </c>
      <c r="E170" s="103">
        <f t="shared" si="19"/>
        <v>0</v>
      </c>
      <c r="F170" s="222">
        <v>2</v>
      </c>
      <c r="G170" s="79">
        <f t="shared" si="18"/>
        <v>1</v>
      </c>
      <c r="H170" s="197"/>
      <c r="I170" s="273"/>
      <c r="J170" s="273"/>
      <c r="K170" s="247"/>
      <c r="L170" s="247"/>
      <c r="M170" s="273"/>
      <c r="N170" s="134"/>
      <c r="O170" s="247"/>
      <c r="P170" s="263"/>
      <c r="Q170" s="264"/>
    </row>
    <row r="171" spans="1:17" x14ac:dyDescent="0.3">
      <c r="A171" s="120"/>
      <c r="B171" s="121">
        <f>SUM(B158:B170)</f>
        <v>427</v>
      </c>
      <c r="C171" s="122" t="s">
        <v>30</v>
      </c>
      <c r="D171" s="123">
        <f>SUM(D158:D170)</f>
        <v>8055</v>
      </c>
      <c r="E171" s="123">
        <f t="shared" ref="E171:F171" si="20">SUM(E158:E170)</f>
        <v>164</v>
      </c>
      <c r="F171" s="123">
        <f t="shared" si="20"/>
        <v>7891</v>
      </c>
      <c r="G171" s="320">
        <f>F171/D171</f>
        <v>0.97963997517070145</v>
      </c>
      <c r="H171" s="301"/>
      <c r="I171" s="271"/>
      <c r="J171" s="271"/>
      <c r="K171" s="271"/>
      <c r="L171" s="271"/>
      <c r="M171" s="271"/>
      <c r="N171" s="134"/>
      <c r="O171" s="271"/>
      <c r="P171" s="263"/>
      <c r="Q171" s="264"/>
    </row>
    <row r="172" spans="1:17" x14ac:dyDescent="0.3">
      <c r="A172" s="51"/>
      <c r="B172" s="51"/>
      <c r="C172" s="51"/>
      <c r="D172" s="51"/>
      <c r="E172" s="51"/>
      <c r="F172" s="50">
        <f>F171/D171</f>
        <v>0.97963997517070145</v>
      </c>
      <c r="G172" s="50"/>
      <c r="H172" s="197"/>
      <c r="I172" s="134"/>
      <c r="J172" s="275"/>
      <c r="K172" s="275"/>
      <c r="L172" s="275"/>
      <c r="M172" s="134"/>
      <c r="N172" s="275"/>
      <c r="O172" s="134"/>
      <c r="P172" s="134"/>
      <c r="Q172" s="276"/>
    </row>
    <row r="173" spans="1:17" x14ac:dyDescent="0.3">
      <c r="A173" s="69"/>
      <c r="B173" s="69"/>
      <c r="C173" s="69"/>
      <c r="D173" s="69"/>
      <c r="E173" s="69"/>
      <c r="F173" s="69"/>
      <c r="G173" s="200"/>
      <c r="H173" s="197"/>
      <c r="I173" s="200"/>
      <c r="J173" s="69"/>
      <c r="K173" s="69"/>
      <c r="L173" s="69"/>
      <c r="M173" s="200"/>
      <c r="N173" s="69"/>
      <c r="O173" s="200"/>
      <c r="P173" s="200"/>
      <c r="Q173" s="100"/>
    </row>
    <row r="174" spans="1:17" ht="17.399999999999999" x14ac:dyDescent="0.3">
      <c r="A174" s="382" t="s">
        <v>98</v>
      </c>
      <c r="B174" s="382"/>
      <c r="C174" s="382"/>
      <c r="D174" s="382"/>
      <c r="E174" s="382"/>
      <c r="F174" s="382"/>
      <c r="G174" s="382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</row>
    <row r="175" spans="1:17" ht="15" customHeight="1" x14ac:dyDescent="0.3">
      <c r="A175" s="383" t="s">
        <v>1</v>
      </c>
      <c r="B175" s="384" t="s">
        <v>2</v>
      </c>
      <c r="C175" s="383" t="s">
        <v>3</v>
      </c>
      <c r="D175" s="385" t="s">
        <v>49</v>
      </c>
      <c r="E175" s="383" t="s">
        <v>6</v>
      </c>
      <c r="F175" s="383"/>
      <c r="G175" s="383"/>
      <c r="H175" s="299"/>
      <c r="I175" s="395"/>
      <c r="J175" s="396"/>
      <c r="K175" s="397"/>
      <c r="L175" s="398"/>
      <c r="M175" s="398"/>
      <c r="N175" s="398"/>
      <c r="O175" s="397"/>
      <c r="P175" s="397"/>
      <c r="Q175" s="397"/>
    </row>
    <row r="176" spans="1:17" ht="27" x14ac:dyDescent="0.3">
      <c r="A176" s="383"/>
      <c r="B176" s="384"/>
      <c r="C176" s="383"/>
      <c r="D176" s="386"/>
      <c r="E176" s="261" t="s">
        <v>9</v>
      </c>
      <c r="F176" s="261" t="s">
        <v>10</v>
      </c>
      <c r="G176" s="262" t="s">
        <v>11</v>
      </c>
      <c r="H176" s="300"/>
      <c r="I176" s="395"/>
      <c r="J176" s="396"/>
      <c r="K176" s="397"/>
      <c r="L176" s="272"/>
      <c r="M176" s="272"/>
      <c r="N176" s="201"/>
      <c r="O176" s="397"/>
      <c r="P176" s="397"/>
      <c r="Q176" s="397"/>
    </row>
    <row r="177" spans="1:17" x14ac:dyDescent="0.3">
      <c r="A177" s="261"/>
      <c r="B177" s="261" t="s">
        <v>12</v>
      </c>
      <c r="C177" s="261" t="s">
        <v>13</v>
      </c>
      <c r="D177" s="262" t="s">
        <v>14</v>
      </c>
      <c r="E177" s="261" t="s">
        <v>16</v>
      </c>
      <c r="F177" s="261" t="s">
        <v>17</v>
      </c>
      <c r="G177" s="261"/>
      <c r="H177" s="299"/>
      <c r="I177" s="201"/>
      <c r="J177" s="201"/>
      <c r="K177" s="201"/>
      <c r="L177" s="272"/>
      <c r="M177" s="272"/>
      <c r="N177" s="272"/>
      <c r="O177" s="201"/>
      <c r="P177" s="201"/>
      <c r="Q177" s="201"/>
    </row>
    <row r="178" spans="1:17" x14ac:dyDescent="0.3">
      <c r="A178" s="102">
        <v>1</v>
      </c>
      <c r="B178" s="103">
        <v>49</v>
      </c>
      <c r="C178" s="103" t="s">
        <v>18</v>
      </c>
      <c r="D178" s="222">
        <v>601</v>
      </c>
      <c r="E178" s="222">
        <f>D178-F178</f>
        <v>5</v>
      </c>
      <c r="F178" s="223">
        <v>596</v>
      </c>
      <c r="G178" s="79">
        <f t="shared" ref="G178:G190" si="21">F178/D178</f>
        <v>0.99168053244592347</v>
      </c>
      <c r="H178" s="197"/>
      <c r="I178" s="273"/>
      <c r="J178" s="273"/>
      <c r="K178" s="273"/>
      <c r="L178" s="247"/>
      <c r="M178" s="273"/>
      <c r="N178" s="134"/>
      <c r="O178" s="247"/>
      <c r="P178" s="263"/>
      <c r="Q178" s="264"/>
    </row>
    <row r="179" spans="1:17" x14ac:dyDescent="0.3">
      <c r="A179" s="102">
        <v>2</v>
      </c>
      <c r="B179" s="108">
        <v>42</v>
      </c>
      <c r="C179" s="104" t="s">
        <v>19</v>
      </c>
      <c r="D179" s="223">
        <v>137</v>
      </c>
      <c r="E179" s="223">
        <f>D179-F179</f>
        <v>2</v>
      </c>
      <c r="F179" s="223">
        <v>135</v>
      </c>
      <c r="G179" s="79">
        <f t="shared" si="21"/>
        <v>0.98540145985401462</v>
      </c>
      <c r="H179" s="197"/>
      <c r="I179" s="273"/>
      <c r="J179" s="273"/>
      <c r="K179" s="273"/>
      <c r="L179" s="247"/>
      <c r="M179" s="273"/>
      <c r="N179" s="134"/>
      <c r="O179" s="247"/>
      <c r="P179" s="263"/>
      <c r="Q179" s="264"/>
    </row>
    <row r="180" spans="1:17" x14ac:dyDescent="0.3">
      <c r="A180" s="109">
        <v>3</v>
      </c>
      <c r="B180" s="110">
        <v>57</v>
      </c>
      <c r="C180" s="110" t="s">
        <v>20</v>
      </c>
      <c r="D180" s="224">
        <v>1024</v>
      </c>
      <c r="E180" s="222">
        <f t="shared" ref="E180:E190" si="22">D180-F180</f>
        <v>51</v>
      </c>
      <c r="F180" s="223">
        <v>973</v>
      </c>
      <c r="G180" s="79">
        <f t="shared" si="21"/>
        <v>0.9501953125</v>
      </c>
      <c r="H180" s="197"/>
      <c r="I180" s="274"/>
      <c r="J180" s="274"/>
      <c r="K180" s="274"/>
      <c r="L180" s="247"/>
      <c r="M180" s="273"/>
      <c r="N180" s="134"/>
      <c r="O180" s="265"/>
      <c r="P180" s="263"/>
      <c r="Q180" s="264"/>
    </row>
    <row r="181" spans="1:17" x14ac:dyDescent="0.3">
      <c r="A181" s="102">
        <v>4</v>
      </c>
      <c r="B181" s="104">
        <v>65</v>
      </c>
      <c r="C181" s="104" t="s">
        <v>21</v>
      </c>
      <c r="D181" s="222">
        <v>76</v>
      </c>
      <c r="E181" s="223">
        <f t="shared" si="22"/>
        <v>8</v>
      </c>
      <c r="F181" s="223">
        <v>68</v>
      </c>
      <c r="G181" s="79">
        <f t="shared" si="21"/>
        <v>0.89473684210526316</v>
      </c>
      <c r="H181" s="197"/>
      <c r="I181" s="273"/>
      <c r="J181" s="273"/>
      <c r="K181" s="273"/>
      <c r="L181" s="247"/>
      <c r="M181" s="273"/>
      <c r="N181" s="134"/>
      <c r="O181" s="247"/>
      <c r="P181" s="263"/>
      <c r="Q181" s="264"/>
    </row>
    <row r="182" spans="1:17" x14ac:dyDescent="0.3">
      <c r="A182" s="102">
        <v>5</v>
      </c>
      <c r="B182" s="112">
        <v>33</v>
      </c>
      <c r="C182" s="113" t="s">
        <v>22</v>
      </c>
      <c r="D182" s="223">
        <v>167</v>
      </c>
      <c r="E182" s="222">
        <f t="shared" si="22"/>
        <v>0</v>
      </c>
      <c r="F182" s="223">
        <v>167</v>
      </c>
      <c r="G182" s="79">
        <f t="shared" si="21"/>
        <v>1</v>
      </c>
      <c r="H182" s="197"/>
      <c r="I182" s="273"/>
      <c r="J182" s="273"/>
      <c r="K182" s="274"/>
      <c r="L182" s="247"/>
      <c r="M182" s="273"/>
      <c r="N182" s="134"/>
      <c r="O182" s="250"/>
      <c r="P182" s="263"/>
      <c r="Q182" s="264"/>
    </row>
    <row r="183" spans="1:17" x14ac:dyDescent="0.3">
      <c r="A183" s="102">
        <v>6</v>
      </c>
      <c r="B183" s="112">
        <v>25</v>
      </c>
      <c r="C183" s="112" t="s">
        <v>23</v>
      </c>
      <c r="D183" s="224">
        <v>5197</v>
      </c>
      <c r="E183" s="223">
        <f t="shared" si="22"/>
        <v>25</v>
      </c>
      <c r="F183" s="223">
        <v>5172</v>
      </c>
      <c r="G183" s="79">
        <f t="shared" si="21"/>
        <v>0.99518953242255148</v>
      </c>
      <c r="H183" s="197"/>
      <c r="I183" s="274"/>
      <c r="J183" s="274"/>
      <c r="K183" s="277"/>
      <c r="L183" s="247"/>
      <c r="M183" s="273"/>
      <c r="N183" s="134"/>
      <c r="O183" s="250"/>
      <c r="P183" s="263"/>
      <c r="Q183" s="264"/>
    </row>
    <row r="184" spans="1:17" x14ac:dyDescent="0.3">
      <c r="A184" s="116">
        <v>7</v>
      </c>
      <c r="B184" s="117">
        <v>11</v>
      </c>
      <c r="C184" s="118" t="s">
        <v>24</v>
      </c>
      <c r="D184" s="222">
        <v>168</v>
      </c>
      <c r="E184" s="222">
        <f t="shared" si="22"/>
        <v>29</v>
      </c>
      <c r="F184" s="223">
        <v>139</v>
      </c>
      <c r="G184" s="79">
        <f t="shared" si="21"/>
        <v>0.82738095238095233</v>
      </c>
      <c r="H184" s="197"/>
      <c r="I184" s="273"/>
      <c r="J184" s="273"/>
      <c r="K184" s="278"/>
      <c r="L184" s="247"/>
      <c r="M184" s="273"/>
      <c r="N184" s="134"/>
      <c r="O184" s="268"/>
      <c r="P184" s="263"/>
      <c r="Q184" s="264"/>
    </row>
    <row r="185" spans="1:17" x14ac:dyDescent="0.3">
      <c r="A185" s="102">
        <v>8</v>
      </c>
      <c r="B185" s="115">
        <v>18</v>
      </c>
      <c r="C185" s="119" t="s">
        <v>25</v>
      </c>
      <c r="D185" s="223">
        <v>607</v>
      </c>
      <c r="E185" s="223">
        <f t="shared" si="22"/>
        <v>171</v>
      </c>
      <c r="F185" s="223">
        <v>436</v>
      </c>
      <c r="G185" s="79">
        <f t="shared" si="21"/>
        <v>0.71828665568369032</v>
      </c>
      <c r="H185" s="197"/>
      <c r="I185" s="273"/>
      <c r="J185" s="273"/>
      <c r="K185" s="274"/>
      <c r="L185" s="247"/>
      <c r="M185" s="273"/>
      <c r="N185" s="134"/>
      <c r="O185" s="250"/>
      <c r="P185" s="263"/>
      <c r="Q185" s="264"/>
    </row>
    <row r="186" spans="1:17" x14ac:dyDescent="0.3">
      <c r="A186" s="102">
        <v>9</v>
      </c>
      <c r="B186" s="112">
        <v>39</v>
      </c>
      <c r="C186" s="112" t="s">
        <v>26</v>
      </c>
      <c r="D186" s="224">
        <v>307</v>
      </c>
      <c r="E186" s="222">
        <f t="shared" si="22"/>
        <v>11</v>
      </c>
      <c r="F186" s="223">
        <v>296</v>
      </c>
      <c r="G186" s="79">
        <f t="shared" si="21"/>
        <v>0.96416938110749184</v>
      </c>
      <c r="H186" s="197"/>
      <c r="I186" s="274"/>
      <c r="J186" s="274"/>
      <c r="K186" s="279"/>
      <c r="L186" s="247"/>
      <c r="M186" s="273"/>
      <c r="N186" s="134"/>
      <c r="O186" s="270"/>
      <c r="P186" s="263"/>
      <c r="Q186" s="264"/>
    </row>
    <row r="187" spans="1:17" x14ac:dyDescent="0.3">
      <c r="A187" s="102">
        <v>10</v>
      </c>
      <c r="B187" s="112">
        <v>36</v>
      </c>
      <c r="C187" s="113" t="s">
        <v>27</v>
      </c>
      <c r="D187" s="222">
        <v>262</v>
      </c>
      <c r="E187" s="223">
        <f t="shared" si="22"/>
        <v>2</v>
      </c>
      <c r="F187" s="223">
        <v>260</v>
      </c>
      <c r="G187" s="79">
        <f t="shared" si="21"/>
        <v>0.99236641221374045</v>
      </c>
      <c r="H187" s="197"/>
      <c r="I187" s="273"/>
      <c r="J187" s="273"/>
      <c r="K187" s="279"/>
      <c r="L187" s="247"/>
      <c r="M187" s="273"/>
      <c r="N187" s="134"/>
      <c r="O187" s="250"/>
      <c r="P187" s="263"/>
      <c r="Q187" s="264"/>
    </row>
    <row r="188" spans="1:17" x14ac:dyDescent="0.3">
      <c r="A188" s="102">
        <v>11</v>
      </c>
      <c r="B188" s="112">
        <v>26</v>
      </c>
      <c r="C188" s="113" t="s">
        <v>54</v>
      </c>
      <c r="D188" s="223">
        <v>65</v>
      </c>
      <c r="E188" s="222">
        <f t="shared" si="22"/>
        <v>15</v>
      </c>
      <c r="F188" s="223">
        <v>50</v>
      </c>
      <c r="G188" s="79">
        <f t="shared" si="21"/>
        <v>0.76923076923076927</v>
      </c>
      <c r="H188" s="197"/>
      <c r="I188" s="273"/>
      <c r="J188" s="273"/>
      <c r="K188" s="279"/>
      <c r="L188" s="247"/>
      <c r="M188" s="273"/>
      <c r="N188" s="134"/>
      <c r="O188" s="250"/>
      <c r="P188" s="263"/>
      <c r="Q188" s="264"/>
    </row>
    <row r="189" spans="1:17" x14ac:dyDescent="0.3">
      <c r="A189" s="102">
        <v>12</v>
      </c>
      <c r="B189" s="112">
        <v>20</v>
      </c>
      <c r="C189" s="113" t="s">
        <v>28</v>
      </c>
      <c r="D189" s="224">
        <v>0</v>
      </c>
      <c r="E189" s="223">
        <f t="shared" si="22"/>
        <v>0</v>
      </c>
      <c r="F189" s="223"/>
      <c r="G189" s="79"/>
      <c r="H189" s="197"/>
      <c r="I189" s="274"/>
      <c r="J189" s="274"/>
      <c r="K189" s="280"/>
      <c r="L189" s="247"/>
      <c r="M189" s="273"/>
      <c r="N189" s="134"/>
      <c r="O189" s="250"/>
      <c r="P189" s="263"/>
      <c r="Q189" s="264"/>
    </row>
    <row r="190" spans="1:17" x14ac:dyDescent="0.3">
      <c r="A190" s="102">
        <v>13</v>
      </c>
      <c r="B190" s="108">
        <v>11</v>
      </c>
      <c r="C190" s="104" t="s">
        <v>29</v>
      </c>
      <c r="D190" s="222">
        <v>20</v>
      </c>
      <c r="E190" s="222">
        <f t="shared" si="22"/>
        <v>2</v>
      </c>
      <c r="F190" s="223">
        <v>18</v>
      </c>
      <c r="G190" s="79">
        <f t="shared" si="21"/>
        <v>0.9</v>
      </c>
      <c r="H190" s="197"/>
      <c r="I190" s="273"/>
      <c r="J190" s="273"/>
      <c r="K190" s="273"/>
      <c r="L190" s="247"/>
      <c r="M190" s="273"/>
      <c r="N190" s="134"/>
      <c r="O190" s="247"/>
      <c r="P190" s="263"/>
      <c r="Q190" s="264"/>
    </row>
    <row r="191" spans="1:17" x14ac:dyDescent="0.3">
      <c r="A191" s="120"/>
      <c r="B191" s="121">
        <f>SUM(B178:B190)</f>
        <v>432</v>
      </c>
      <c r="C191" s="122" t="s">
        <v>30</v>
      </c>
      <c r="D191" s="123">
        <f>SUM(D178:D190)</f>
        <v>8631</v>
      </c>
      <c r="E191" s="123">
        <f t="shared" ref="E191:F191" si="23">SUM(E178:E190)</f>
        <v>321</v>
      </c>
      <c r="F191" s="123">
        <f t="shared" si="23"/>
        <v>8310</v>
      </c>
      <c r="G191" s="323">
        <f>F191/D191</f>
        <v>0.96280848105665628</v>
      </c>
      <c r="H191" s="301"/>
      <c r="I191" s="271"/>
      <c r="J191" s="271"/>
      <c r="K191" s="271"/>
      <c r="L191" s="271"/>
      <c r="M191" s="271"/>
      <c r="N191" s="134"/>
      <c r="O191" s="271"/>
      <c r="P191" s="263"/>
      <c r="Q191" s="264"/>
    </row>
    <row r="192" spans="1:17" x14ac:dyDescent="0.3">
      <c r="A192" s="51"/>
      <c r="B192" s="51"/>
      <c r="C192" s="51"/>
      <c r="D192" s="51"/>
      <c r="E192" s="51"/>
      <c r="F192" s="50">
        <f>F191/D191</f>
        <v>0.96280848105665628</v>
      </c>
      <c r="G192" s="50"/>
      <c r="H192" s="197"/>
      <c r="I192" s="134"/>
      <c r="J192" s="275"/>
      <c r="K192" s="275"/>
      <c r="L192" s="275"/>
      <c r="M192" s="134"/>
      <c r="N192" s="275"/>
      <c r="O192" s="134"/>
      <c r="P192" s="134"/>
      <c r="Q192" s="276"/>
    </row>
    <row r="193" spans="1:17" x14ac:dyDescent="0.3">
      <c r="A193" s="69"/>
      <c r="B193" s="69"/>
      <c r="C193" s="69"/>
      <c r="D193" s="69"/>
      <c r="E193" s="69"/>
      <c r="F193" s="69"/>
      <c r="G193" s="200"/>
      <c r="H193" s="200"/>
      <c r="I193" s="200"/>
      <c r="J193" s="69"/>
      <c r="K193" s="69"/>
      <c r="L193" s="69"/>
      <c r="M193" s="200"/>
      <c r="N193" s="69"/>
      <c r="O193" s="200"/>
      <c r="P193" s="200"/>
      <c r="Q193" s="100"/>
    </row>
    <row r="194" spans="1:17" x14ac:dyDescent="0.3">
      <c r="A194" s="69"/>
      <c r="B194" s="69"/>
      <c r="C194" s="69"/>
      <c r="D194" s="69"/>
      <c r="E194" s="69"/>
      <c r="F194" s="69"/>
      <c r="G194" s="200"/>
      <c r="H194" s="200"/>
      <c r="I194" s="200"/>
      <c r="J194" s="69"/>
      <c r="K194" s="69"/>
      <c r="L194" s="69"/>
      <c r="M194" s="200"/>
      <c r="N194" s="69"/>
      <c r="O194" s="200"/>
      <c r="P194" s="200"/>
      <c r="Q194" s="100"/>
    </row>
    <row r="195" spans="1:17" x14ac:dyDescent="0.3">
      <c r="A195" s="69"/>
      <c r="B195" s="69"/>
      <c r="C195" s="69"/>
      <c r="D195" s="69"/>
      <c r="E195" s="69"/>
      <c r="F195" s="69"/>
      <c r="G195" s="200"/>
      <c r="H195" s="200"/>
      <c r="I195" s="200"/>
      <c r="J195" s="69"/>
      <c r="K195" s="69"/>
      <c r="L195" s="69"/>
      <c r="M195" s="200"/>
      <c r="N195" s="69"/>
      <c r="O195" s="200"/>
      <c r="P195" s="200"/>
      <c r="Q195" s="100"/>
    </row>
    <row r="196" spans="1:17" ht="17.399999999999999" x14ac:dyDescent="0.3">
      <c r="A196" s="382" t="s">
        <v>111</v>
      </c>
      <c r="B196" s="382"/>
      <c r="C196" s="382"/>
      <c r="D196" s="382"/>
      <c r="E196" s="382"/>
      <c r="F196" s="382"/>
      <c r="G196" s="382"/>
      <c r="H196" s="200"/>
      <c r="I196" s="200"/>
      <c r="J196" s="69"/>
      <c r="K196" s="69"/>
      <c r="L196" s="69"/>
      <c r="M196" s="200"/>
      <c r="N196" s="69"/>
      <c r="O196" s="200"/>
      <c r="P196" s="200"/>
      <c r="Q196" s="100"/>
    </row>
    <row r="197" spans="1:17" x14ac:dyDescent="0.3">
      <c r="A197" s="383" t="s">
        <v>1</v>
      </c>
      <c r="B197" s="384" t="s">
        <v>2</v>
      </c>
      <c r="C197" s="383" t="s">
        <v>3</v>
      </c>
      <c r="D197" s="385" t="s">
        <v>49</v>
      </c>
      <c r="E197" s="383" t="s">
        <v>6</v>
      </c>
      <c r="F197" s="383"/>
      <c r="G197" s="383"/>
      <c r="H197" s="200"/>
      <c r="I197" s="200"/>
      <c r="J197" s="69"/>
      <c r="K197" s="69"/>
      <c r="L197" s="69"/>
      <c r="M197" s="200"/>
      <c r="N197" s="69"/>
      <c r="O197" s="200"/>
      <c r="P197" s="200"/>
      <c r="Q197" s="100"/>
    </row>
    <row r="198" spans="1:17" ht="27" x14ac:dyDescent="0.3">
      <c r="A198" s="383"/>
      <c r="B198" s="384"/>
      <c r="C198" s="383"/>
      <c r="D198" s="386"/>
      <c r="E198" s="368" t="s">
        <v>9</v>
      </c>
      <c r="F198" s="368" t="s">
        <v>10</v>
      </c>
      <c r="G198" s="369" t="s">
        <v>11</v>
      </c>
      <c r="H198" s="200"/>
      <c r="I198" s="200"/>
      <c r="J198" s="69"/>
      <c r="K198" s="69"/>
      <c r="L198" s="69"/>
      <c r="M198" s="200"/>
      <c r="N198" s="69"/>
      <c r="O198" s="200"/>
      <c r="P198" s="200"/>
      <c r="Q198" s="100"/>
    </row>
    <row r="199" spans="1:17" x14ac:dyDescent="0.3">
      <c r="A199" s="368"/>
      <c r="B199" s="368" t="s">
        <v>12</v>
      </c>
      <c r="C199" s="368" t="s">
        <v>13</v>
      </c>
      <c r="D199" s="369" t="s">
        <v>14</v>
      </c>
      <c r="E199" s="368" t="s">
        <v>16</v>
      </c>
      <c r="F199" s="368" t="s">
        <v>17</v>
      </c>
      <c r="G199" s="368"/>
      <c r="H199" s="200"/>
      <c r="I199" s="200"/>
      <c r="J199" s="69"/>
      <c r="K199" s="69"/>
      <c r="L199" s="69"/>
      <c r="M199" s="200"/>
      <c r="N199" s="69"/>
      <c r="O199" s="200"/>
      <c r="P199" s="200"/>
      <c r="Q199" s="100"/>
    </row>
    <row r="200" spans="1:17" x14ac:dyDescent="0.3">
      <c r="A200" s="102">
        <v>1</v>
      </c>
      <c r="B200" s="103">
        <v>49</v>
      </c>
      <c r="C200" s="103" t="s">
        <v>18</v>
      </c>
      <c r="D200" s="222">
        <v>425</v>
      </c>
      <c r="E200" s="222">
        <f>D200-F200</f>
        <v>41</v>
      </c>
      <c r="F200" s="223">
        <v>384</v>
      </c>
      <c r="G200" s="79">
        <f t="shared" ref="G200:G210" si="24">F200/D200</f>
        <v>0.90352941176470591</v>
      </c>
      <c r="H200" s="200"/>
      <c r="I200" s="200"/>
      <c r="J200" s="69"/>
      <c r="K200" s="69"/>
      <c r="L200" s="69"/>
      <c r="M200" s="200"/>
      <c r="N200" s="69"/>
      <c r="O200" s="200"/>
      <c r="P200" s="200"/>
      <c r="Q200" s="100"/>
    </row>
    <row r="201" spans="1:17" x14ac:dyDescent="0.3">
      <c r="A201" s="102">
        <v>2</v>
      </c>
      <c r="B201" s="108">
        <v>42</v>
      </c>
      <c r="C201" s="104" t="s">
        <v>19</v>
      </c>
      <c r="D201" s="223">
        <v>281</v>
      </c>
      <c r="E201" s="223">
        <f>D201-F201</f>
        <v>1</v>
      </c>
      <c r="F201" s="223">
        <v>280</v>
      </c>
      <c r="G201" s="79">
        <f t="shared" si="24"/>
        <v>0.99644128113879005</v>
      </c>
      <c r="H201" s="200"/>
      <c r="I201" s="200"/>
      <c r="J201" s="69"/>
      <c r="K201" s="69"/>
      <c r="L201" s="69"/>
      <c r="M201" s="200"/>
      <c r="N201" s="69"/>
      <c r="O201" s="200"/>
      <c r="P201" s="200"/>
      <c r="Q201" s="100"/>
    </row>
    <row r="202" spans="1:17" x14ac:dyDescent="0.3">
      <c r="A202" s="109">
        <v>3</v>
      </c>
      <c r="B202" s="110">
        <v>57</v>
      </c>
      <c r="C202" s="110" t="s">
        <v>20</v>
      </c>
      <c r="D202" s="224">
        <v>317</v>
      </c>
      <c r="E202" s="222">
        <f t="shared" ref="E202:E212" si="25">D202-F202</f>
        <v>122</v>
      </c>
      <c r="F202" s="223">
        <v>195</v>
      </c>
      <c r="G202" s="79">
        <f t="shared" si="24"/>
        <v>0.6151419558359621</v>
      </c>
      <c r="H202" s="200"/>
      <c r="I202" s="200"/>
      <c r="J202" s="69"/>
      <c r="K202" s="69"/>
      <c r="L202" s="69"/>
      <c r="M202" s="200"/>
      <c r="N202" s="69"/>
      <c r="O202" s="200"/>
      <c r="P202" s="200"/>
      <c r="Q202" s="100"/>
    </row>
    <row r="203" spans="1:17" x14ac:dyDescent="0.3">
      <c r="A203" s="102">
        <v>4</v>
      </c>
      <c r="B203" s="104">
        <v>65</v>
      </c>
      <c r="C203" s="104" t="s">
        <v>21</v>
      </c>
      <c r="D203" s="222">
        <v>238</v>
      </c>
      <c r="E203" s="223">
        <f t="shared" si="25"/>
        <v>3</v>
      </c>
      <c r="F203" s="223">
        <v>235</v>
      </c>
      <c r="G203" s="79">
        <f t="shared" si="24"/>
        <v>0.98739495798319332</v>
      </c>
      <c r="H203" s="200"/>
      <c r="I203" s="200"/>
      <c r="J203" s="69"/>
      <c r="K203" s="69"/>
      <c r="L203" s="69"/>
      <c r="M203" s="200"/>
      <c r="N203" s="69"/>
      <c r="O203" s="200"/>
      <c r="P203" s="200"/>
      <c r="Q203" s="100"/>
    </row>
    <row r="204" spans="1:17" x14ac:dyDescent="0.3">
      <c r="A204" s="102">
        <v>5</v>
      </c>
      <c r="B204" s="112">
        <v>33</v>
      </c>
      <c r="C204" s="113" t="s">
        <v>22</v>
      </c>
      <c r="D204" s="223">
        <v>100</v>
      </c>
      <c r="E204" s="222">
        <f t="shared" si="25"/>
        <v>0</v>
      </c>
      <c r="F204" s="223">
        <v>100</v>
      </c>
      <c r="G204" s="79">
        <f t="shared" si="24"/>
        <v>1</v>
      </c>
      <c r="H204" s="200"/>
      <c r="I204" s="200"/>
      <c r="J204" s="69"/>
      <c r="K204" s="69"/>
      <c r="L204" s="69"/>
      <c r="M204" s="200"/>
      <c r="N204" s="69"/>
      <c r="O204" s="200"/>
      <c r="P204" s="200"/>
      <c r="Q204" s="100"/>
    </row>
    <row r="205" spans="1:17" x14ac:dyDescent="0.3">
      <c r="A205" s="102">
        <v>6</v>
      </c>
      <c r="B205" s="112">
        <v>25</v>
      </c>
      <c r="C205" s="112" t="s">
        <v>23</v>
      </c>
      <c r="D205" s="224">
        <v>4292</v>
      </c>
      <c r="E205" s="223">
        <f t="shared" si="25"/>
        <v>95</v>
      </c>
      <c r="F205" s="223">
        <v>4197</v>
      </c>
      <c r="G205" s="79">
        <f t="shared" si="24"/>
        <v>0.97786579683131403</v>
      </c>
      <c r="H205" s="200"/>
      <c r="I205" s="200"/>
      <c r="J205" s="69"/>
      <c r="K205" s="69"/>
      <c r="L205" s="69"/>
      <c r="M205" s="200"/>
      <c r="N205" s="69"/>
      <c r="O205" s="200"/>
      <c r="P205" s="200"/>
      <c r="Q205" s="100"/>
    </row>
    <row r="206" spans="1:17" x14ac:dyDescent="0.3">
      <c r="A206" s="116">
        <v>7</v>
      </c>
      <c r="B206" s="117">
        <v>11</v>
      </c>
      <c r="C206" s="118" t="s">
        <v>24</v>
      </c>
      <c r="D206" s="222">
        <v>100</v>
      </c>
      <c r="E206" s="222">
        <f t="shared" si="25"/>
        <v>8</v>
      </c>
      <c r="F206" s="223">
        <v>92</v>
      </c>
      <c r="G206" s="79">
        <f t="shared" si="24"/>
        <v>0.92</v>
      </c>
      <c r="H206" s="200"/>
      <c r="I206" s="200"/>
      <c r="J206" s="69"/>
      <c r="K206" s="69"/>
      <c r="L206" s="69"/>
      <c r="M206" s="200"/>
      <c r="N206" s="69"/>
      <c r="O206" s="200"/>
      <c r="P206" s="200"/>
      <c r="Q206" s="100"/>
    </row>
    <row r="207" spans="1:17" x14ac:dyDescent="0.3">
      <c r="A207" s="102">
        <v>8</v>
      </c>
      <c r="B207" s="115">
        <v>18</v>
      </c>
      <c r="C207" s="119" t="s">
        <v>25</v>
      </c>
      <c r="D207" s="223">
        <v>43</v>
      </c>
      <c r="E207" s="223">
        <f t="shared" si="25"/>
        <v>0</v>
      </c>
      <c r="F207" s="223">
        <v>43</v>
      </c>
      <c r="G207" s="79">
        <f t="shared" si="24"/>
        <v>1</v>
      </c>
      <c r="H207" s="200"/>
      <c r="I207" s="200"/>
      <c r="J207" s="69"/>
      <c r="K207" s="69"/>
      <c r="L207" s="69"/>
      <c r="M207" s="200"/>
      <c r="N207" s="69"/>
      <c r="O207" s="200"/>
      <c r="P207" s="200"/>
      <c r="Q207" s="100"/>
    </row>
    <row r="208" spans="1:17" x14ac:dyDescent="0.3">
      <c r="A208" s="102">
        <v>9</v>
      </c>
      <c r="B208" s="112">
        <v>39</v>
      </c>
      <c r="C208" s="112" t="s">
        <v>26</v>
      </c>
      <c r="D208" s="224">
        <v>491</v>
      </c>
      <c r="E208" s="222">
        <f t="shared" si="25"/>
        <v>20</v>
      </c>
      <c r="F208" s="223">
        <v>471</v>
      </c>
      <c r="G208" s="79">
        <f t="shared" si="24"/>
        <v>0.95926680244399187</v>
      </c>
      <c r="H208" s="200"/>
      <c r="I208" s="200"/>
      <c r="J208" s="69"/>
      <c r="K208" s="69"/>
      <c r="L208" s="69"/>
      <c r="M208" s="200"/>
      <c r="N208" s="69"/>
      <c r="O208" s="200"/>
      <c r="P208" s="200"/>
      <c r="Q208" s="100"/>
    </row>
    <row r="209" spans="1:17" x14ac:dyDescent="0.3">
      <c r="A209" s="102">
        <v>10</v>
      </c>
      <c r="B209" s="112">
        <v>36</v>
      </c>
      <c r="C209" s="113" t="s">
        <v>27</v>
      </c>
      <c r="D209" s="222">
        <v>258</v>
      </c>
      <c r="E209" s="223">
        <f t="shared" si="25"/>
        <v>21</v>
      </c>
      <c r="F209" s="223">
        <v>237</v>
      </c>
      <c r="G209" s="79">
        <f t="shared" si="24"/>
        <v>0.91860465116279066</v>
      </c>
      <c r="H209" s="200"/>
      <c r="I209" s="200"/>
      <c r="J209" s="69"/>
      <c r="K209" s="69"/>
      <c r="L209" s="69"/>
      <c r="M209" s="200"/>
      <c r="N209" s="69"/>
      <c r="O209" s="200"/>
      <c r="P209" s="200"/>
      <c r="Q209" s="100"/>
    </row>
    <row r="210" spans="1:17" x14ac:dyDescent="0.3">
      <c r="A210" s="102">
        <v>11</v>
      </c>
      <c r="B210" s="112">
        <v>26</v>
      </c>
      <c r="C210" s="113" t="s">
        <v>54</v>
      </c>
      <c r="D210" s="223">
        <v>61</v>
      </c>
      <c r="E210" s="222">
        <f t="shared" si="25"/>
        <v>17</v>
      </c>
      <c r="F210" s="223">
        <v>44</v>
      </c>
      <c r="G210" s="79">
        <f t="shared" si="24"/>
        <v>0.72131147540983609</v>
      </c>
      <c r="H210" s="200"/>
      <c r="I210" s="200"/>
      <c r="J210" s="69"/>
      <c r="K210" s="69"/>
      <c r="L210" s="69"/>
      <c r="M210" s="200"/>
      <c r="N210" s="69"/>
      <c r="O210" s="200"/>
      <c r="P210" s="200"/>
      <c r="Q210" s="100"/>
    </row>
    <row r="211" spans="1:17" x14ac:dyDescent="0.3">
      <c r="A211" s="102">
        <v>12</v>
      </c>
      <c r="B211" s="112">
        <v>20</v>
      </c>
      <c r="C211" s="113" t="s">
        <v>28</v>
      </c>
      <c r="D211" s="224"/>
      <c r="E211" s="223">
        <f t="shared" si="25"/>
        <v>0</v>
      </c>
      <c r="F211" s="223"/>
      <c r="G211" s="79"/>
      <c r="H211" s="200"/>
      <c r="I211" s="200"/>
      <c r="J211" s="69"/>
      <c r="K211" s="69"/>
      <c r="L211" s="69"/>
      <c r="M211" s="200"/>
      <c r="N211" s="69"/>
      <c r="O211" s="200"/>
      <c r="P211" s="200"/>
      <c r="Q211" s="100"/>
    </row>
    <row r="212" spans="1:17" x14ac:dyDescent="0.3">
      <c r="A212" s="102">
        <v>13</v>
      </c>
      <c r="B212" s="108">
        <v>11</v>
      </c>
      <c r="C212" s="104" t="s">
        <v>29</v>
      </c>
      <c r="D212" s="222">
        <v>59</v>
      </c>
      <c r="E212" s="222">
        <f t="shared" si="25"/>
        <v>40</v>
      </c>
      <c r="F212" s="223">
        <v>19</v>
      </c>
      <c r="G212" s="79">
        <f t="shared" ref="G212" si="26">F212/D212</f>
        <v>0.32203389830508472</v>
      </c>
      <c r="H212" s="200"/>
      <c r="I212" s="200"/>
      <c r="J212" s="69"/>
      <c r="K212" s="69"/>
      <c r="L212" s="69"/>
      <c r="M212" s="200"/>
      <c r="N212" s="69"/>
      <c r="O212" s="200"/>
      <c r="P212" s="200"/>
      <c r="Q212" s="100"/>
    </row>
    <row r="213" spans="1:17" x14ac:dyDescent="0.3">
      <c r="A213" s="120"/>
      <c r="B213" s="121">
        <f>SUM(B200:B212)</f>
        <v>432</v>
      </c>
      <c r="C213" s="122" t="s">
        <v>30</v>
      </c>
      <c r="D213" s="123">
        <f>SUM(D200:D212)</f>
        <v>6665</v>
      </c>
      <c r="E213" s="123">
        <f t="shared" ref="E213:F213" si="27">SUM(E200:E212)</f>
        <v>368</v>
      </c>
      <c r="F213" s="123">
        <f t="shared" si="27"/>
        <v>6297</v>
      </c>
      <c r="G213" s="323">
        <f>F213/D213</f>
        <v>0.94478619654913731</v>
      </c>
      <c r="H213" s="200"/>
      <c r="I213" s="200"/>
      <c r="J213" s="69"/>
      <c r="K213" s="69"/>
      <c r="L213" s="69"/>
      <c r="M213" s="200"/>
      <c r="N213" s="69"/>
      <c r="O213" s="200"/>
      <c r="P213" s="200"/>
      <c r="Q213" s="100"/>
    </row>
    <row r="214" spans="1:17" x14ac:dyDescent="0.3">
      <c r="A214" s="51"/>
      <c r="B214" s="51"/>
      <c r="C214" s="51"/>
      <c r="D214" s="51"/>
      <c r="E214" s="51"/>
      <c r="F214" s="50">
        <f>F213/D213</f>
        <v>0.94478619654913731</v>
      </c>
      <c r="G214" s="50"/>
      <c r="H214" s="200"/>
      <c r="I214" s="200"/>
      <c r="J214" s="69"/>
      <c r="K214" s="69"/>
      <c r="L214" s="69"/>
      <c r="M214" s="200"/>
      <c r="N214" s="69"/>
      <c r="O214" s="200"/>
      <c r="P214" s="200"/>
      <c r="Q214" s="100"/>
    </row>
    <row r="215" spans="1:17" x14ac:dyDescent="0.3">
      <c r="A215" s="69"/>
      <c r="B215" s="69"/>
      <c r="C215" s="69"/>
      <c r="D215" s="69"/>
      <c r="E215" s="69"/>
      <c r="F215" s="69"/>
      <c r="G215" s="200"/>
      <c r="H215" s="200"/>
      <c r="I215" s="200"/>
      <c r="J215" s="69"/>
      <c r="K215" s="69"/>
      <c r="L215" s="69"/>
      <c r="M215" s="200"/>
      <c r="N215" s="69"/>
      <c r="O215" s="200"/>
      <c r="P215" s="200"/>
      <c r="Q215" s="100"/>
    </row>
    <row r="216" spans="1:17" x14ac:dyDescent="0.3">
      <c r="A216" s="69"/>
      <c r="B216" s="69"/>
      <c r="C216" s="69"/>
      <c r="D216" s="69"/>
      <c r="E216" s="69"/>
      <c r="F216" s="69"/>
      <c r="G216" s="200"/>
      <c r="H216" s="200"/>
      <c r="I216" s="200"/>
      <c r="J216" s="69"/>
      <c r="K216" s="69"/>
      <c r="L216" s="69"/>
      <c r="M216" s="200"/>
      <c r="N216" s="69"/>
      <c r="O216" s="200"/>
      <c r="P216" s="200"/>
      <c r="Q216" s="100"/>
    </row>
    <row r="217" spans="1:17" x14ac:dyDescent="0.3">
      <c r="A217" s="69"/>
      <c r="B217" s="69"/>
      <c r="C217" s="69"/>
      <c r="D217" s="69"/>
      <c r="E217" s="69"/>
      <c r="F217" s="69"/>
      <c r="G217" s="200"/>
      <c r="H217" s="200"/>
      <c r="I217" s="200"/>
      <c r="J217" s="69"/>
      <c r="K217" s="69"/>
      <c r="L217" s="69"/>
      <c r="M217" s="200"/>
      <c r="N217" s="69"/>
      <c r="O217" s="200"/>
      <c r="P217" s="200"/>
      <c r="Q217" s="100"/>
    </row>
    <row r="218" spans="1:17" ht="17.399999999999999" x14ac:dyDescent="0.3">
      <c r="A218" s="382" t="s">
        <v>115</v>
      </c>
      <c r="B218" s="382"/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382"/>
      <c r="N218" s="382"/>
      <c r="O218" s="382"/>
      <c r="P218" s="382"/>
      <c r="Q218" s="382"/>
    </row>
    <row r="219" spans="1:17" x14ac:dyDescent="0.3">
      <c r="A219" s="383" t="s">
        <v>1</v>
      </c>
      <c r="B219" s="384" t="s">
        <v>2</v>
      </c>
      <c r="C219" s="383" t="s">
        <v>3</v>
      </c>
      <c r="D219" s="387" t="s">
        <v>4</v>
      </c>
      <c r="E219" s="387"/>
      <c r="F219" s="388" t="s">
        <v>51</v>
      </c>
      <c r="G219" s="390" t="s">
        <v>113</v>
      </c>
      <c r="H219" s="391" t="s">
        <v>114</v>
      </c>
      <c r="I219" s="393" t="s">
        <v>52</v>
      </c>
      <c r="J219" s="394" t="s">
        <v>49</v>
      </c>
      <c r="K219" s="384" t="s">
        <v>5</v>
      </c>
      <c r="L219" s="383" t="s">
        <v>6</v>
      </c>
      <c r="M219" s="383"/>
      <c r="N219" s="383"/>
      <c r="O219" s="384" t="s">
        <v>61</v>
      </c>
      <c r="P219" s="384" t="s">
        <v>62</v>
      </c>
      <c r="Q219" s="384" t="s">
        <v>63</v>
      </c>
    </row>
    <row r="220" spans="1:17" ht="27" x14ac:dyDescent="0.3">
      <c r="A220" s="383"/>
      <c r="B220" s="384"/>
      <c r="C220" s="383"/>
      <c r="D220" s="318" t="s">
        <v>7</v>
      </c>
      <c r="E220" s="317" t="s">
        <v>8</v>
      </c>
      <c r="F220" s="389"/>
      <c r="G220" s="390"/>
      <c r="H220" s="392"/>
      <c r="I220" s="393"/>
      <c r="J220" s="394"/>
      <c r="K220" s="384"/>
      <c r="L220" s="315" t="s">
        <v>9</v>
      </c>
      <c r="M220" s="315" t="s">
        <v>10</v>
      </c>
      <c r="N220" s="316" t="s">
        <v>11</v>
      </c>
      <c r="O220" s="384"/>
      <c r="P220" s="384"/>
      <c r="Q220" s="384"/>
    </row>
    <row r="221" spans="1:17" x14ac:dyDescent="0.3">
      <c r="A221" s="315"/>
      <c r="B221" s="315" t="s">
        <v>12</v>
      </c>
      <c r="C221" s="315" t="s">
        <v>13</v>
      </c>
      <c r="D221" s="316"/>
      <c r="E221" s="316"/>
      <c r="F221" s="316"/>
      <c r="G221" s="316"/>
      <c r="H221" s="316"/>
      <c r="I221" s="316"/>
      <c r="J221" s="316" t="s">
        <v>14</v>
      </c>
      <c r="K221" s="316" t="s">
        <v>15</v>
      </c>
      <c r="L221" s="315" t="s">
        <v>16</v>
      </c>
      <c r="M221" s="315" t="s">
        <v>17</v>
      </c>
      <c r="N221" s="315"/>
      <c r="O221" s="316" t="s">
        <v>64</v>
      </c>
      <c r="P221" s="316" t="s">
        <v>64</v>
      </c>
      <c r="Q221" s="316"/>
    </row>
    <row r="222" spans="1:17" x14ac:dyDescent="0.3">
      <c r="A222" s="102">
        <v>1</v>
      </c>
      <c r="B222" s="103">
        <v>49</v>
      </c>
      <c r="C222" s="103" t="s">
        <v>18</v>
      </c>
      <c r="D222" s="222">
        <v>0</v>
      </c>
      <c r="E222" s="222">
        <v>2532</v>
      </c>
      <c r="F222" s="222">
        <v>32</v>
      </c>
      <c r="G222" s="222">
        <v>1616</v>
      </c>
      <c r="H222" s="222">
        <v>256</v>
      </c>
      <c r="I222" s="222">
        <v>1</v>
      </c>
      <c r="J222" s="222">
        <v>353</v>
      </c>
      <c r="K222" s="223">
        <v>1760441447.73</v>
      </c>
      <c r="L222" s="104">
        <f>D222+E222+F222+G222+H222+I222+J222</f>
        <v>4790</v>
      </c>
      <c r="M222" s="223">
        <v>332</v>
      </c>
      <c r="N222" s="105">
        <f>M222/J222</f>
        <v>0.94050991501416425</v>
      </c>
      <c r="O222" s="223">
        <v>2</v>
      </c>
      <c r="P222" s="106">
        <v>47</v>
      </c>
      <c r="Q222" s="107">
        <f>D222+E222+F222+G222+H222+I222+J222</f>
        <v>4790</v>
      </c>
    </row>
    <row r="223" spans="1:17" x14ac:dyDescent="0.3">
      <c r="A223" s="102">
        <v>2</v>
      </c>
      <c r="B223" s="108">
        <v>42</v>
      </c>
      <c r="C223" s="104" t="s">
        <v>19</v>
      </c>
      <c r="D223" s="223">
        <v>6370</v>
      </c>
      <c r="E223" s="222">
        <v>18970</v>
      </c>
      <c r="F223" s="222">
        <v>133</v>
      </c>
      <c r="G223" s="222">
        <v>6855</v>
      </c>
      <c r="H223" s="222">
        <v>18943</v>
      </c>
      <c r="I223" s="222">
        <v>2943</v>
      </c>
      <c r="J223" s="222">
        <v>270</v>
      </c>
      <c r="K223" s="223">
        <v>113493878.73000002</v>
      </c>
      <c r="L223" s="104">
        <f t="shared" ref="L223:L234" si="28">D223+E223+F223+G223+H223+I223+J223</f>
        <v>54484</v>
      </c>
      <c r="M223" s="223">
        <v>119</v>
      </c>
      <c r="N223" s="105">
        <f t="shared" ref="N223:N234" si="29">M223/J223</f>
        <v>0.44074074074074077</v>
      </c>
      <c r="O223" s="223"/>
      <c r="P223" s="106">
        <v>42</v>
      </c>
      <c r="Q223" s="107">
        <f t="shared" ref="Q223:Q234" si="30">D223+E223+F223+G223+H223+I223+J223</f>
        <v>54484</v>
      </c>
    </row>
    <row r="224" spans="1:17" x14ac:dyDescent="0.3">
      <c r="A224" s="109">
        <v>3</v>
      </c>
      <c r="B224" s="110">
        <v>57</v>
      </c>
      <c r="C224" s="110" t="s">
        <v>20</v>
      </c>
      <c r="D224" s="224">
        <v>7710</v>
      </c>
      <c r="E224" s="222">
        <v>27852</v>
      </c>
      <c r="F224" s="222">
        <v>283</v>
      </c>
      <c r="G224" s="222">
        <v>12575</v>
      </c>
      <c r="H224" s="222">
        <v>140461</v>
      </c>
      <c r="I224" s="222">
        <v>1164</v>
      </c>
      <c r="J224" s="222">
        <v>224</v>
      </c>
      <c r="K224" s="224">
        <v>-2540626083.4700022</v>
      </c>
      <c r="L224" s="104">
        <f t="shared" si="28"/>
        <v>190269</v>
      </c>
      <c r="M224" s="223">
        <v>158</v>
      </c>
      <c r="N224" s="105">
        <f t="shared" si="29"/>
        <v>0.7053571428571429</v>
      </c>
      <c r="O224" s="224">
        <v>1</v>
      </c>
      <c r="P224" s="106">
        <v>56</v>
      </c>
      <c r="Q224" s="107">
        <f t="shared" si="30"/>
        <v>190269</v>
      </c>
    </row>
    <row r="225" spans="1:17" x14ac:dyDescent="0.3">
      <c r="A225" s="102">
        <v>4</v>
      </c>
      <c r="B225" s="104">
        <v>65</v>
      </c>
      <c r="C225" s="104" t="s">
        <v>21</v>
      </c>
      <c r="D225" s="222">
        <v>152</v>
      </c>
      <c r="E225" s="222">
        <v>301</v>
      </c>
      <c r="F225" s="222">
        <v>14</v>
      </c>
      <c r="G225" s="222">
        <v>25</v>
      </c>
      <c r="H225" s="222">
        <v>2018</v>
      </c>
      <c r="I225" s="222">
        <v>37</v>
      </c>
      <c r="J225" s="222">
        <v>58</v>
      </c>
      <c r="K225" s="223">
        <v>5211665865.8600006</v>
      </c>
      <c r="L225" s="104">
        <f t="shared" si="28"/>
        <v>2605</v>
      </c>
      <c r="M225" s="223">
        <v>45</v>
      </c>
      <c r="N225" s="105">
        <f t="shared" si="29"/>
        <v>0.77586206896551724</v>
      </c>
      <c r="O225" s="223">
        <v>2</v>
      </c>
      <c r="P225" s="106">
        <v>55</v>
      </c>
      <c r="Q225" s="107">
        <f t="shared" si="30"/>
        <v>2605</v>
      </c>
    </row>
    <row r="226" spans="1:17" x14ac:dyDescent="0.3">
      <c r="A226" s="102">
        <v>5</v>
      </c>
      <c r="B226" s="112">
        <v>33</v>
      </c>
      <c r="C226" s="113" t="s">
        <v>22</v>
      </c>
      <c r="D226" s="223">
        <v>30</v>
      </c>
      <c r="E226" s="222">
        <v>386</v>
      </c>
      <c r="F226" s="222">
        <v>7</v>
      </c>
      <c r="G226" s="222">
        <v>256</v>
      </c>
      <c r="H226" s="222">
        <v>2909</v>
      </c>
      <c r="I226" s="222">
        <v>1</v>
      </c>
      <c r="J226" s="222">
        <v>54</v>
      </c>
      <c r="K226" s="225">
        <v>967092594.5644449</v>
      </c>
      <c r="L226" s="104">
        <f t="shared" si="28"/>
        <v>3643</v>
      </c>
      <c r="M226" s="223">
        <v>31</v>
      </c>
      <c r="N226" s="105">
        <f t="shared" si="29"/>
        <v>0.57407407407407407</v>
      </c>
      <c r="O226" s="226">
        <v>5</v>
      </c>
      <c r="P226" s="106">
        <v>28</v>
      </c>
      <c r="Q226" s="107">
        <f t="shared" si="30"/>
        <v>3643</v>
      </c>
    </row>
    <row r="227" spans="1:17" x14ac:dyDescent="0.3">
      <c r="A227" s="102">
        <v>6</v>
      </c>
      <c r="B227" s="112">
        <v>25</v>
      </c>
      <c r="C227" s="112" t="s">
        <v>23</v>
      </c>
      <c r="D227" s="224">
        <v>1373</v>
      </c>
      <c r="E227" s="222">
        <v>9377</v>
      </c>
      <c r="F227" s="222">
        <v>42</v>
      </c>
      <c r="G227" s="222">
        <v>3</v>
      </c>
      <c r="H227" s="222">
        <v>23200</v>
      </c>
      <c r="I227" s="222">
        <v>4</v>
      </c>
      <c r="J227" s="222">
        <v>3734</v>
      </c>
      <c r="K227" s="226">
        <v>1085600036.78</v>
      </c>
      <c r="L227" s="104">
        <f t="shared" si="28"/>
        <v>37733</v>
      </c>
      <c r="M227" s="223">
        <v>3698</v>
      </c>
      <c r="N227" s="105">
        <f t="shared" si="29"/>
        <v>0.9903588644884842</v>
      </c>
      <c r="O227" s="226">
        <v>2</v>
      </c>
      <c r="P227" s="106">
        <v>23</v>
      </c>
      <c r="Q227" s="107">
        <f t="shared" si="30"/>
        <v>37733</v>
      </c>
    </row>
    <row r="228" spans="1:17" x14ac:dyDescent="0.3">
      <c r="A228" s="116">
        <v>7</v>
      </c>
      <c r="B228" s="117">
        <v>11</v>
      </c>
      <c r="C228" s="118" t="s">
        <v>24</v>
      </c>
      <c r="D228" s="222">
        <v>767</v>
      </c>
      <c r="E228" s="222">
        <v>2537</v>
      </c>
      <c r="F228" s="222">
        <v>27</v>
      </c>
      <c r="G228" s="222">
        <v>439</v>
      </c>
      <c r="H228" s="222">
        <v>16364</v>
      </c>
      <c r="I228" s="222">
        <v>1</v>
      </c>
      <c r="J228" s="222">
        <v>54</v>
      </c>
      <c r="K228" s="227">
        <v>67566415.849999994</v>
      </c>
      <c r="L228" s="104">
        <f t="shared" si="28"/>
        <v>20189</v>
      </c>
      <c r="M228" s="223">
        <v>43</v>
      </c>
      <c r="N228" s="105">
        <f t="shared" si="29"/>
        <v>0.79629629629629628</v>
      </c>
      <c r="O228" s="227"/>
      <c r="P228" s="106">
        <v>11</v>
      </c>
      <c r="Q228" s="107">
        <f t="shared" si="30"/>
        <v>20189</v>
      </c>
    </row>
    <row r="229" spans="1:17" x14ac:dyDescent="0.3">
      <c r="A229" s="102">
        <v>8</v>
      </c>
      <c r="B229" s="115">
        <v>18</v>
      </c>
      <c r="C229" s="119" t="s">
        <v>25</v>
      </c>
      <c r="D229" s="223">
        <v>1084</v>
      </c>
      <c r="E229" s="222">
        <v>7449</v>
      </c>
      <c r="F229" s="222">
        <v>4</v>
      </c>
      <c r="G229" s="222">
        <v>1493</v>
      </c>
      <c r="H229" s="222">
        <v>22987</v>
      </c>
      <c r="I229" s="222">
        <v>0</v>
      </c>
      <c r="J229" s="222">
        <v>192</v>
      </c>
      <c r="K229" s="225">
        <v>-136132165.29000002</v>
      </c>
      <c r="L229" s="104">
        <f t="shared" si="28"/>
        <v>33209</v>
      </c>
      <c r="M229" s="223">
        <v>0</v>
      </c>
      <c r="N229" s="105">
        <f t="shared" si="29"/>
        <v>0</v>
      </c>
      <c r="O229" s="226">
        <v>11</v>
      </c>
      <c r="P229" s="106">
        <v>7</v>
      </c>
      <c r="Q229" s="107">
        <f t="shared" si="30"/>
        <v>33209</v>
      </c>
    </row>
    <row r="230" spans="1:17" x14ac:dyDescent="0.3">
      <c r="A230" s="102">
        <v>9</v>
      </c>
      <c r="B230" s="112">
        <v>39</v>
      </c>
      <c r="C230" s="112" t="s">
        <v>26</v>
      </c>
      <c r="D230" s="224">
        <v>147</v>
      </c>
      <c r="E230" s="222">
        <v>4567</v>
      </c>
      <c r="F230" s="222">
        <v>5</v>
      </c>
      <c r="G230" s="222">
        <v>147</v>
      </c>
      <c r="H230" s="222">
        <v>1408</v>
      </c>
      <c r="I230" s="222">
        <v>5</v>
      </c>
      <c r="J230" s="222">
        <v>179</v>
      </c>
      <c r="K230" s="228">
        <v>469128511.84999996</v>
      </c>
      <c r="L230" s="104">
        <f t="shared" si="28"/>
        <v>6458</v>
      </c>
      <c r="M230" s="223">
        <v>121</v>
      </c>
      <c r="N230" s="105">
        <f t="shared" si="29"/>
        <v>0.67597765363128492</v>
      </c>
      <c r="O230" s="228">
        <v>5</v>
      </c>
      <c r="P230" s="106">
        <v>34</v>
      </c>
      <c r="Q230" s="107">
        <f t="shared" si="30"/>
        <v>6458</v>
      </c>
    </row>
    <row r="231" spans="1:17" x14ac:dyDescent="0.3">
      <c r="A231" s="102">
        <v>10</v>
      </c>
      <c r="B231" s="112">
        <v>36</v>
      </c>
      <c r="C231" s="113" t="s">
        <v>27</v>
      </c>
      <c r="D231" s="222">
        <v>4994</v>
      </c>
      <c r="E231" s="222">
        <v>44234</v>
      </c>
      <c r="F231" s="222">
        <v>39</v>
      </c>
      <c r="G231" s="222">
        <v>194</v>
      </c>
      <c r="H231" s="222">
        <v>117608</v>
      </c>
      <c r="I231" s="222">
        <v>0</v>
      </c>
      <c r="J231" s="222">
        <v>229</v>
      </c>
      <c r="K231" s="228">
        <v>41764619.140000008</v>
      </c>
      <c r="L231" s="104">
        <f t="shared" si="28"/>
        <v>167298</v>
      </c>
      <c r="M231" s="223">
        <v>205</v>
      </c>
      <c r="N231" s="105">
        <f t="shared" si="29"/>
        <v>0.89519650655021832</v>
      </c>
      <c r="O231" s="226">
        <v>2</v>
      </c>
      <c r="P231" s="106">
        <v>34</v>
      </c>
      <c r="Q231" s="107">
        <f t="shared" si="30"/>
        <v>167298</v>
      </c>
    </row>
    <row r="232" spans="1:17" x14ac:dyDescent="0.3">
      <c r="A232" s="102">
        <v>11</v>
      </c>
      <c r="B232" s="112">
        <v>26</v>
      </c>
      <c r="C232" s="113" t="s">
        <v>54</v>
      </c>
      <c r="D232" s="223">
        <v>726</v>
      </c>
      <c r="E232" s="222">
        <v>4060</v>
      </c>
      <c r="F232" s="222">
        <v>13</v>
      </c>
      <c r="G232" s="222">
        <v>460</v>
      </c>
      <c r="H232" s="222">
        <v>50404</v>
      </c>
      <c r="I232" s="222">
        <v>0</v>
      </c>
      <c r="J232" s="222">
        <v>36</v>
      </c>
      <c r="K232" s="228">
        <v>-17288047.300000004</v>
      </c>
      <c r="L232" s="104">
        <f t="shared" si="28"/>
        <v>55699</v>
      </c>
      <c r="M232" s="223">
        <v>27</v>
      </c>
      <c r="N232" s="105">
        <f t="shared" si="29"/>
        <v>0.75</v>
      </c>
      <c r="O232" s="226">
        <v>2</v>
      </c>
      <c r="P232" s="106">
        <v>24</v>
      </c>
      <c r="Q232" s="107">
        <f t="shared" si="30"/>
        <v>55699</v>
      </c>
    </row>
    <row r="233" spans="1:17" x14ac:dyDescent="0.3">
      <c r="A233" s="102">
        <v>12</v>
      </c>
      <c r="B233" s="112">
        <v>20</v>
      </c>
      <c r="C233" s="113" t="s">
        <v>28</v>
      </c>
      <c r="D233" s="224">
        <v>20</v>
      </c>
      <c r="E233" s="222">
        <v>4373</v>
      </c>
      <c r="F233" s="222">
        <v>5</v>
      </c>
      <c r="G233" s="222">
        <v>250</v>
      </c>
      <c r="H233" s="222">
        <v>5484</v>
      </c>
      <c r="I233" s="222">
        <v>4</v>
      </c>
      <c r="J233" s="222">
        <v>275</v>
      </c>
      <c r="K233" s="229">
        <v>1949785068.9000001</v>
      </c>
      <c r="L233" s="104">
        <f t="shared" si="28"/>
        <v>10411</v>
      </c>
      <c r="M233" s="223">
        <v>262</v>
      </c>
      <c r="N233" s="105">
        <f t="shared" si="29"/>
        <v>0.95272727272727276</v>
      </c>
      <c r="O233" s="226">
        <v>4</v>
      </c>
      <c r="P233" s="106">
        <v>16</v>
      </c>
      <c r="Q233" s="107">
        <f t="shared" si="30"/>
        <v>10411</v>
      </c>
    </row>
    <row r="234" spans="1:17" x14ac:dyDescent="0.3">
      <c r="A234" s="102">
        <v>13</v>
      </c>
      <c r="B234" s="108">
        <v>11</v>
      </c>
      <c r="C234" s="104" t="s">
        <v>29</v>
      </c>
      <c r="D234" s="222">
        <v>0</v>
      </c>
      <c r="E234" s="222">
        <v>0</v>
      </c>
      <c r="F234" s="222">
        <v>0</v>
      </c>
      <c r="G234" s="222">
        <v>0</v>
      </c>
      <c r="H234" s="222">
        <v>6494</v>
      </c>
      <c r="I234" s="222">
        <v>13</v>
      </c>
      <c r="J234" s="222">
        <v>4</v>
      </c>
      <c r="K234" s="223">
        <v>20783905.579999998</v>
      </c>
      <c r="L234" s="104">
        <f t="shared" si="28"/>
        <v>6511</v>
      </c>
      <c r="M234" s="223">
        <v>4</v>
      </c>
      <c r="N234" s="105">
        <f t="shared" si="29"/>
        <v>1</v>
      </c>
      <c r="O234" s="223">
        <v>2</v>
      </c>
      <c r="P234" s="106">
        <v>9</v>
      </c>
      <c r="Q234" s="107">
        <f t="shared" si="30"/>
        <v>6511</v>
      </c>
    </row>
    <row r="235" spans="1:17" x14ac:dyDescent="0.3">
      <c r="A235" s="120"/>
      <c r="B235" s="121">
        <f>SUM(B222:B234)</f>
        <v>432</v>
      </c>
      <c r="C235" s="122" t="s">
        <v>30</v>
      </c>
      <c r="D235" s="123">
        <f>SUM(D222:D234)</f>
        <v>23373</v>
      </c>
      <c r="E235" s="123">
        <f t="shared" ref="E235:G235" si="31">SUM(E222:E234)</f>
        <v>126638</v>
      </c>
      <c r="F235" s="123">
        <f t="shared" si="31"/>
        <v>604</v>
      </c>
      <c r="G235" s="123">
        <f t="shared" si="31"/>
        <v>24313</v>
      </c>
      <c r="H235" s="123">
        <f>SUM(H222:H234)</f>
        <v>408536</v>
      </c>
      <c r="I235" s="123">
        <f t="shared" ref="I235" si="32">SUM(I222:I234)</f>
        <v>4173</v>
      </c>
      <c r="J235" s="123">
        <f>SUM(J222:J234)</f>
        <v>5662</v>
      </c>
      <c r="K235" s="123">
        <f t="shared" ref="K235" si="33">SUM(K222:K234)</f>
        <v>8993276048.9244442</v>
      </c>
      <c r="L235" s="123">
        <f>SUM(L222:L234)</f>
        <v>593299</v>
      </c>
      <c r="M235" s="123">
        <f>SUM(M222:M234)</f>
        <v>5045</v>
      </c>
      <c r="N235" s="105">
        <f>M235/J235</f>
        <v>0.89102790533380427</v>
      </c>
      <c r="O235" s="123">
        <f>SUM(O222:O234)</f>
        <v>38</v>
      </c>
      <c r="P235" s="362">
        <f>SUM(P222:P234)</f>
        <v>386</v>
      </c>
      <c r="Q235" s="107">
        <f>SUM(Q222:Q234)</f>
        <v>593299</v>
      </c>
    </row>
    <row r="236" spans="1:17" x14ac:dyDescent="0.3">
      <c r="A236" s="51"/>
      <c r="B236" s="51"/>
      <c r="C236" s="51"/>
      <c r="D236" s="51"/>
      <c r="E236" s="51"/>
      <c r="F236" s="51"/>
      <c r="G236" s="50"/>
      <c r="H236" s="50"/>
      <c r="I236" s="50"/>
      <c r="J236" s="51"/>
      <c r="K236" s="51"/>
      <c r="L236" s="51"/>
      <c r="M236" s="50">
        <f>M235/J235</f>
        <v>0.89102790533380427</v>
      </c>
      <c r="N236" s="51"/>
      <c r="O236" s="50">
        <f>O235/B235</f>
        <v>8.7962962962962965E-2</v>
      </c>
      <c r="P236" s="50">
        <f>P235/B235</f>
        <v>0.89351851851851849</v>
      </c>
      <c r="Q236" s="95"/>
    </row>
    <row r="237" spans="1:17" x14ac:dyDescent="0.3">
      <c r="A237" s="69"/>
      <c r="B237" s="69"/>
      <c r="C237" s="69"/>
      <c r="D237" s="69"/>
      <c r="E237" s="69"/>
      <c r="F237" s="69"/>
      <c r="G237" s="200"/>
      <c r="H237" s="200"/>
      <c r="I237" s="200"/>
      <c r="J237" s="69"/>
      <c r="K237" s="69"/>
      <c r="L237" s="69"/>
      <c r="M237" s="200"/>
      <c r="N237" s="69"/>
      <c r="O237" s="200"/>
      <c r="P237" s="200"/>
      <c r="Q237" s="100"/>
    </row>
    <row r="238" spans="1:17" ht="17.399999999999999" x14ac:dyDescent="0.3">
      <c r="A238" s="382" t="s">
        <v>124</v>
      </c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2"/>
      <c r="O238" s="382"/>
      <c r="P238" s="382"/>
      <c r="Q238" s="382"/>
    </row>
    <row r="239" spans="1:17" ht="15" customHeight="1" x14ac:dyDescent="0.3">
      <c r="A239" s="383" t="s">
        <v>1</v>
      </c>
      <c r="B239" s="384" t="s">
        <v>2</v>
      </c>
      <c r="C239" s="383" t="s">
        <v>3</v>
      </c>
      <c r="D239" s="387" t="s">
        <v>4</v>
      </c>
      <c r="E239" s="387"/>
      <c r="F239" s="388" t="s">
        <v>51</v>
      </c>
      <c r="G239" s="390" t="s">
        <v>113</v>
      </c>
      <c r="H239" s="391" t="s">
        <v>114</v>
      </c>
      <c r="I239" s="393" t="s">
        <v>52</v>
      </c>
      <c r="J239" s="394" t="s">
        <v>49</v>
      </c>
      <c r="K239" s="384" t="s">
        <v>5</v>
      </c>
      <c r="L239" s="383" t="s">
        <v>6</v>
      </c>
      <c r="M239" s="383"/>
      <c r="N239" s="383"/>
      <c r="O239" s="384" t="s">
        <v>61</v>
      </c>
      <c r="P239" s="384" t="s">
        <v>62</v>
      </c>
      <c r="Q239" s="384" t="s">
        <v>63</v>
      </c>
    </row>
    <row r="240" spans="1:17" ht="27" x14ac:dyDescent="0.3">
      <c r="A240" s="383"/>
      <c r="B240" s="384"/>
      <c r="C240" s="383"/>
      <c r="D240" s="361" t="s">
        <v>7</v>
      </c>
      <c r="E240" s="360" t="s">
        <v>8</v>
      </c>
      <c r="F240" s="389"/>
      <c r="G240" s="390"/>
      <c r="H240" s="392"/>
      <c r="I240" s="393"/>
      <c r="J240" s="394"/>
      <c r="K240" s="384"/>
      <c r="L240" s="358" t="s">
        <v>9</v>
      </c>
      <c r="M240" s="358" t="s">
        <v>10</v>
      </c>
      <c r="N240" s="359" t="s">
        <v>11</v>
      </c>
      <c r="O240" s="384"/>
      <c r="P240" s="384"/>
      <c r="Q240" s="384"/>
    </row>
    <row r="241" spans="1:17" x14ac:dyDescent="0.3">
      <c r="A241" s="358"/>
      <c r="B241" s="358" t="s">
        <v>12</v>
      </c>
      <c r="C241" s="358" t="s">
        <v>13</v>
      </c>
      <c r="D241" s="359"/>
      <c r="E241" s="359"/>
      <c r="F241" s="359"/>
      <c r="G241" s="359"/>
      <c r="H241" s="359"/>
      <c r="I241" s="359"/>
      <c r="J241" s="359" t="s">
        <v>14</v>
      </c>
      <c r="K241" s="359" t="s">
        <v>15</v>
      </c>
      <c r="L241" s="358" t="s">
        <v>16</v>
      </c>
      <c r="M241" s="358" t="s">
        <v>17</v>
      </c>
      <c r="N241" s="358"/>
      <c r="O241" s="359" t="s">
        <v>64</v>
      </c>
      <c r="P241" s="359" t="s">
        <v>64</v>
      </c>
      <c r="Q241" s="359"/>
    </row>
    <row r="242" spans="1:17" x14ac:dyDescent="0.3">
      <c r="A242" s="102">
        <v>1</v>
      </c>
      <c r="B242" s="103">
        <v>49</v>
      </c>
      <c r="C242" s="103" t="s">
        <v>18</v>
      </c>
      <c r="D242" s="222">
        <v>0</v>
      </c>
      <c r="E242" s="222">
        <v>25057</v>
      </c>
      <c r="F242" s="222">
        <v>135</v>
      </c>
      <c r="G242" s="222">
        <v>3973</v>
      </c>
      <c r="H242" s="222">
        <v>87889</v>
      </c>
      <c r="I242" s="222">
        <v>49</v>
      </c>
      <c r="J242" s="222">
        <v>625</v>
      </c>
      <c r="K242" s="223">
        <v>1484967980.57195</v>
      </c>
      <c r="L242" s="104">
        <v>117728</v>
      </c>
      <c r="M242" s="223">
        <v>241</v>
      </c>
      <c r="N242" s="105">
        <f>M242/J242</f>
        <v>0.3856</v>
      </c>
      <c r="O242" s="223">
        <v>1</v>
      </c>
      <c r="P242" s="106">
        <f>B242-O242</f>
        <v>48</v>
      </c>
      <c r="Q242" s="107">
        <f>D242+E242+F242+G242+H242+I242+J242</f>
        <v>117728</v>
      </c>
    </row>
    <row r="243" spans="1:17" x14ac:dyDescent="0.3">
      <c r="A243" s="102">
        <v>2</v>
      </c>
      <c r="B243" s="108">
        <v>42</v>
      </c>
      <c r="C243" s="104" t="s">
        <v>19</v>
      </c>
      <c r="D243" s="223">
        <v>5283</v>
      </c>
      <c r="E243" s="222">
        <v>16438</v>
      </c>
      <c r="F243" s="222">
        <v>129</v>
      </c>
      <c r="G243" s="222">
        <v>6798</v>
      </c>
      <c r="H243" s="222">
        <v>27137</v>
      </c>
      <c r="I243" s="222">
        <v>990</v>
      </c>
      <c r="J243" s="222">
        <v>228</v>
      </c>
      <c r="K243" s="223">
        <v>3693953553.1100006</v>
      </c>
      <c r="L243" s="104">
        <v>55686</v>
      </c>
      <c r="M243" s="223">
        <v>65</v>
      </c>
      <c r="N243" s="105">
        <f t="shared" ref="N243:N254" si="34">M243/J243</f>
        <v>0.28508771929824561</v>
      </c>
      <c r="O243" s="223">
        <v>2</v>
      </c>
      <c r="P243" s="106">
        <f t="shared" ref="P243:P255" si="35">B243-O243</f>
        <v>40</v>
      </c>
      <c r="Q243" s="107">
        <f t="shared" ref="Q243:Q254" si="36">D243+E243+F243+G243+H243+I243+J243</f>
        <v>57003</v>
      </c>
    </row>
    <row r="244" spans="1:17" x14ac:dyDescent="0.3">
      <c r="A244" s="109">
        <v>3</v>
      </c>
      <c r="B244" s="110">
        <v>57</v>
      </c>
      <c r="C244" s="110" t="s">
        <v>20</v>
      </c>
      <c r="D244" s="224">
        <v>8018</v>
      </c>
      <c r="E244" s="222">
        <v>27504</v>
      </c>
      <c r="F244" s="222">
        <v>312</v>
      </c>
      <c r="G244" s="222">
        <v>9969</v>
      </c>
      <c r="H244" s="222">
        <v>158159</v>
      </c>
      <c r="I244" s="222">
        <v>971</v>
      </c>
      <c r="J244" s="222">
        <v>818</v>
      </c>
      <c r="K244" s="224">
        <v>-3277679667.9700022</v>
      </c>
      <c r="L244" s="104">
        <v>198894</v>
      </c>
      <c r="M244" s="223">
        <v>8</v>
      </c>
      <c r="N244" s="105">
        <f t="shared" si="34"/>
        <v>9.7799511002444987E-3</v>
      </c>
      <c r="O244" s="224">
        <v>1</v>
      </c>
      <c r="P244" s="106">
        <f t="shared" si="35"/>
        <v>56</v>
      </c>
      <c r="Q244" s="107">
        <f t="shared" si="36"/>
        <v>205751</v>
      </c>
    </row>
    <row r="245" spans="1:17" x14ac:dyDescent="0.3">
      <c r="A245" s="102">
        <v>4</v>
      </c>
      <c r="B245" s="104">
        <v>57</v>
      </c>
      <c r="C245" s="104" t="s">
        <v>21</v>
      </c>
      <c r="D245" s="222">
        <v>5776</v>
      </c>
      <c r="E245" s="222">
        <v>19909</v>
      </c>
      <c r="F245" s="222">
        <v>193</v>
      </c>
      <c r="G245" s="222">
        <v>864</v>
      </c>
      <c r="H245" s="222">
        <v>91240</v>
      </c>
      <c r="I245" s="222">
        <v>2773</v>
      </c>
      <c r="J245" s="222">
        <v>160</v>
      </c>
      <c r="K245" s="223">
        <v>3988225404.9299965</v>
      </c>
      <c r="L245" s="104">
        <v>120914</v>
      </c>
      <c r="M245" s="223">
        <v>20</v>
      </c>
      <c r="N245" s="105">
        <f t="shared" si="34"/>
        <v>0.125</v>
      </c>
      <c r="O245" s="223">
        <v>1</v>
      </c>
      <c r="P245" s="106">
        <f t="shared" si="35"/>
        <v>56</v>
      </c>
      <c r="Q245" s="107">
        <f t="shared" si="36"/>
        <v>120915</v>
      </c>
    </row>
    <row r="246" spans="1:17" x14ac:dyDescent="0.3">
      <c r="A246" s="102">
        <v>5</v>
      </c>
      <c r="B246" s="112">
        <v>33</v>
      </c>
      <c r="C246" s="113" t="s">
        <v>22</v>
      </c>
      <c r="D246" s="223">
        <v>1232</v>
      </c>
      <c r="E246" s="222">
        <v>16571</v>
      </c>
      <c r="F246" s="222">
        <v>73</v>
      </c>
      <c r="G246" s="222">
        <v>274</v>
      </c>
      <c r="H246" s="222">
        <v>94745</v>
      </c>
      <c r="I246" s="222">
        <v>0</v>
      </c>
      <c r="J246" s="222">
        <v>207</v>
      </c>
      <c r="K246" s="225">
        <v>1064986361.0200003</v>
      </c>
      <c r="L246" s="104">
        <v>100758</v>
      </c>
      <c r="M246" s="223">
        <v>20</v>
      </c>
      <c r="N246" s="105">
        <f t="shared" si="34"/>
        <v>9.6618357487922704E-2</v>
      </c>
      <c r="O246" s="226">
        <v>6</v>
      </c>
      <c r="P246" s="106">
        <f t="shared" si="35"/>
        <v>27</v>
      </c>
      <c r="Q246" s="107">
        <f t="shared" si="36"/>
        <v>113102</v>
      </c>
    </row>
    <row r="247" spans="1:17" x14ac:dyDescent="0.3">
      <c r="A247" s="102">
        <v>6</v>
      </c>
      <c r="B247" s="112">
        <v>25</v>
      </c>
      <c r="C247" s="112" t="s">
        <v>23</v>
      </c>
      <c r="D247" s="224">
        <v>1565</v>
      </c>
      <c r="E247" s="222">
        <v>8851</v>
      </c>
      <c r="F247" s="222">
        <v>44</v>
      </c>
      <c r="G247" s="222">
        <v>12</v>
      </c>
      <c r="H247" s="222">
        <v>25540</v>
      </c>
      <c r="I247" s="222">
        <v>345</v>
      </c>
      <c r="J247" s="222">
        <v>4342</v>
      </c>
      <c r="K247" s="226">
        <v>501405887.10000038</v>
      </c>
      <c r="L247" s="104">
        <v>40698</v>
      </c>
      <c r="M247" s="223">
        <v>252</v>
      </c>
      <c r="N247" s="105">
        <f t="shared" si="34"/>
        <v>5.8037770612620915E-2</v>
      </c>
      <c r="O247" s="226">
        <v>1</v>
      </c>
      <c r="P247" s="106">
        <f t="shared" si="35"/>
        <v>24</v>
      </c>
      <c r="Q247" s="107">
        <f t="shared" si="36"/>
        <v>40699</v>
      </c>
    </row>
    <row r="248" spans="1:17" x14ac:dyDescent="0.3">
      <c r="A248" s="116">
        <v>7</v>
      </c>
      <c r="B248" s="117">
        <v>11</v>
      </c>
      <c r="C248" s="118" t="s">
        <v>24</v>
      </c>
      <c r="D248" s="222">
        <v>1105</v>
      </c>
      <c r="E248" s="222">
        <v>2660</v>
      </c>
      <c r="F248" s="222">
        <v>28</v>
      </c>
      <c r="G248" s="222">
        <v>3434</v>
      </c>
      <c r="H248" s="222">
        <v>13815</v>
      </c>
      <c r="I248" s="222">
        <v>1</v>
      </c>
      <c r="J248" s="222">
        <v>268</v>
      </c>
      <c r="K248" s="227">
        <v>112080836.54000002</v>
      </c>
      <c r="L248" s="104">
        <v>21311</v>
      </c>
      <c r="M248" s="223">
        <v>49</v>
      </c>
      <c r="N248" s="105">
        <f t="shared" si="34"/>
        <v>0.18283582089552239</v>
      </c>
      <c r="O248" s="227"/>
      <c r="P248" s="106">
        <f t="shared" si="35"/>
        <v>11</v>
      </c>
      <c r="Q248" s="107">
        <f t="shared" si="36"/>
        <v>21311</v>
      </c>
    </row>
    <row r="249" spans="1:17" x14ac:dyDescent="0.3">
      <c r="A249" s="102">
        <v>8</v>
      </c>
      <c r="B249" s="115">
        <v>18</v>
      </c>
      <c r="C249" s="119" t="s">
        <v>25</v>
      </c>
      <c r="D249" s="223">
        <v>1366</v>
      </c>
      <c r="E249" s="222">
        <v>8041</v>
      </c>
      <c r="F249" s="222">
        <v>4</v>
      </c>
      <c r="G249" s="222">
        <v>1171</v>
      </c>
      <c r="H249" s="222">
        <v>24004</v>
      </c>
      <c r="I249" s="222">
        <v>0</v>
      </c>
      <c r="J249" s="222">
        <v>240</v>
      </c>
      <c r="K249" s="225">
        <v>-134264293.28</v>
      </c>
      <c r="L249" s="104">
        <v>34412</v>
      </c>
      <c r="M249" s="223">
        <v>0</v>
      </c>
      <c r="N249" s="105">
        <f t="shared" si="34"/>
        <v>0</v>
      </c>
      <c r="O249" s="226">
        <v>11</v>
      </c>
      <c r="P249" s="106">
        <f t="shared" si="35"/>
        <v>7</v>
      </c>
      <c r="Q249" s="107">
        <f t="shared" si="36"/>
        <v>34826</v>
      </c>
    </row>
    <row r="250" spans="1:17" x14ac:dyDescent="0.3">
      <c r="A250" s="102">
        <v>9</v>
      </c>
      <c r="B250" s="112">
        <v>39</v>
      </c>
      <c r="C250" s="112" t="s">
        <v>26</v>
      </c>
      <c r="D250" s="224">
        <v>3320</v>
      </c>
      <c r="E250" s="222">
        <v>29868</v>
      </c>
      <c r="F250" s="222">
        <v>94</v>
      </c>
      <c r="G250" s="222">
        <v>130</v>
      </c>
      <c r="H250" s="222">
        <v>18486</v>
      </c>
      <c r="I250" s="222">
        <v>1</v>
      </c>
      <c r="J250" s="222">
        <v>582</v>
      </c>
      <c r="K250" s="228">
        <v>586890307.36999965</v>
      </c>
      <c r="L250" s="104">
        <v>52431</v>
      </c>
      <c r="M250" s="223">
        <v>0</v>
      </c>
      <c r="N250" s="105">
        <f t="shared" si="34"/>
        <v>0</v>
      </c>
      <c r="O250" s="228">
        <v>5</v>
      </c>
      <c r="P250" s="106">
        <f t="shared" si="35"/>
        <v>34</v>
      </c>
      <c r="Q250" s="107">
        <f t="shared" si="36"/>
        <v>52481</v>
      </c>
    </row>
    <row r="251" spans="1:17" x14ac:dyDescent="0.3">
      <c r="A251" s="102">
        <v>10</v>
      </c>
      <c r="B251" s="112">
        <v>36</v>
      </c>
      <c r="C251" s="113" t="s">
        <v>27</v>
      </c>
      <c r="D251" s="222">
        <v>5961</v>
      </c>
      <c r="E251" s="222">
        <v>47643</v>
      </c>
      <c r="F251" s="222">
        <v>40</v>
      </c>
      <c r="G251" s="222">
        <v>164</v>
      </c>
      <c r="H251" s="222">
        <v>121170</v>
      </c>
      <c r="I251" s="222">
        <v>38</v>
      </c>
      <c r="J251" s="222">
        <v>234</v>
      </c>
      <c r="K251" s="228">
        <v>22785826.309999999</v>
      </c>
      <c r="L251" s="104">
        <v>175213</v>
      </c>
      <c r="M251" s="223">
        <v>206</v>
      </c>
      <c r="N251" s="105">
        <f t="shared" si="34"/>
        <v>0.88034188034188032</v>
      </c>
      <c r="O251" s="226">
        <v>5</v>
      </c>
      <c r="P251" s="106">
        <f t="shared" si="35"/>
        <v>31</v>
      </c>
      <c r="Q251" s="107">
        <f t="shared" si="36"/>
        <v>175250</v>
      </c>
    </row>
    <row r="252" spans="1:17" x14ac:dyDescent="0.3">
      <c r="A252" s="102">
        <v>11</v>
      </c>
      <c r="B252" s="112">
        <v>26</v>
      </c>
      <c r="C252" s="113" t="s">
        <v>54</v>
      </c>
      <c r="D252" s="223">
        <v>225</v>
      </c>
      <c r="E252" s="222">
        <v>16435</v>
      </c>
      <c r="F252" s="222">
        <v>42</v>
      </c>
      <c r="G252" s="222">
        <v>294</v>
      </c>
      <c r="H252" s="222">
        <v>53926</v>
      </c>
      <c r="I252" s="222">
        <v>0</v>
      </c>
      <c r="J252" s="222">
        <v>101</v>
      </c>
      <c r="K252" s="228">
        <v>92500185.449999988</v>
      </c>
      <c r="L252" s="104">
        <v>71013</v>
      </c>
      <c r="M252" s="223">
        <v>11</v>
      </c>
      <c r="N252" s="105">
        <f t="shared" si="34"/>
        <v>0.10891089108910891</v>
      </c>
      <c r="O252" s="226">
        <v>3</v>
      </c>
      <c r="P252" s="106">
        <f t="shared" si="35"/>
        <v>23</v>
      </c>
      <c r="Q252" s="107">
        <f t="shared" si="36"/>
        <v>71023</v>
      </c>
    </row>
    <row r="253" spans="1:17" x14ac:dyDescent="0.3">
      <c r="A253" s="102">
        <v>12</v>
      </c>
      <c r="B253" s="112">
        <v>20</v>
      </c>
      <c r="C253" s="113" t="s">
        <v>28</v>
      </c>
      <c r="D253" s="224">
        <v>129</v>
      </c>
      <c r="E253" s="222">
        <v>4114</v>
      </c>
      <c r="F253" s="222">
        <v>32</v>
      </c>
      <c r="G253" s="222">
        <v>3238</v>
      </c>
      <c r="H253" s="222">
        <v>3261</v>
      </c>
      <c r="I253" s="222">
        <v>16</v>
      </c>
      <c r="J253" s="222">
        <v>300</v>
      </c>
      <c r="K253" s="229">
        <v>149316223.46000001</v>
      </c>
      <c r="L253" s="104">
        <v>70093</v>
      </c>
      <c r="M253" s="223">
        <v>0</v>
      </c>
      <c r="N253" s="105">
        <f t="shared" si="34"/>
        <v>0</v>
      </c>
      <c r="O253" s="226">
        <v>14</v>
      </c>
      <c r="P253" s="106">
        <f t="shared" si="35"/>
        <v>6</v>
      </c>
      <c r="Q253" s="107">
        <f t="shared" si="36"/>
        <v>11090</v>
      </c>
    </row>
    <row r="254" spans="1:17" x14ac:dyDescent="0.3">
      <c r="A254" s="102">
        <v>13</v>
      </c>
      <c r="B254" s="108">
        <v>11</v>
      </c>
      <c r="C254" s="104" t="s">
        <v>29</v>
      </c>
      <c r="D254" s="222">
        <v>0</v>
      </c>
      <c r="E254" s="222">
        <v>1536</v>
      </c>
      <c r="F254" s="222">
        <v>0</v>
      </c>
      <c r="G254" s="222">
        <v>0</v>
      </c>
      <c r="H254" s="222">
        <v>6357</v>
      </c>
      <c r="I254" s="222">
        <v>13</v>
      </c>
      <c r="J254" s="222">
        <v>6</v>
      </c>
      <c r="K254" s="223">
        <v>21633864.59</v>
      </c>
      <c r="L254" s="104">
        <v>7812</v>
      </c>
      <c r="M254" s="223">
        <v>3</v>
      </c>
      <c r="N254" s="105">
        <f t="shared" si="34"/>
        <v>0.5</v>
      </c>
      <c r="O254" s="223"/>
      <c r="P254" s="106">
        <f t="shared" si="35"/>
        <v>11</v>
      </c>
      <c r="Q254" s="107">
        <f t="shared" si="36"/>
        <v>7912</v>
      </c>
    </row>
    <row r="255" spans="1:17" x14ac:dyDescent="0.3">
      <c r="A255" s="120"/>
      <c r="B255" s="121">
        <f>SUM(B242:B254)</f>
        <v>424</v>
      </c>
      <c r="C255" s="122" t="s">
        <v>30</v>
      </c>
      <c r="D255" s="123">
        <f>SUM(D242:D254)</f>
        <v>33980</v>
      </c>
      <c r="E255" s="123">
        <f t="shared" ref="E255:G255" si="37">SUM(E242:E254)</f>
        <v>224627</v>
      </c>
      <c r="F255" s="123">
        <f t="shared" si="37"/>
        <v>1126</v>
      </c>
      <c r="G255" s="123">
        <f t="shared" si="37"/>
        <v>30321</v>
      </c>
      <c r="H255" s="123">
        <f>SUM(H242:H254)</f>
        <v>725729</v>
      </c>
      <c r="I255" s="123">
        <f t="shared" ref="I255" si="38">SUM(I242:I254)</f>
        <v>5197</v>
      </c>
      <c r="J255" s="123">
        <f>SUM(J242:J254)</f>
        <v>8111</v>
      </c>
      <c r="K255" s="123">
        <f t="shared" ref="K255" si="39">SUM(K242:K254)</f>
        <v>8306802469.2019463</v>
      </c>
      <c r="L255" s="123">
        <f>SUM(L242:L254)</f>
        <v>1066963</v>
      </c>
      <c r="M255" s="123">
        <f>SUM(M242:M254)</f>
        <v>875</v>
      </c>
      <c r="N255" s="105">
        <f>M255/J255</f>
        <v>0.10787819011219332</v>
      </c>
      <c r="O255" s="123">
        <f>SUM(O242:O254)</f>
        <v>50</v>
      </c>
      <c r="P255" s="362">
        <f t="shared" si="35"/>
        <v>374</v>
      </c>
      <c r="Q255" s="107">
        <f>SUM(Q242:Q254)</f>
        <v>1029091</v>
      </c>
    </row>
    <row r="256" spans="1:17" x14ac:dyDescent="0.3">
      <c r="A256" s="51"/>
      <c r="B256" s="51"/>
      <c r="C256" s="51"/>
      <c r="D256" s="51"/>
      <c r="E256" s="51"/>
      <c r="F256" s="51"/>
      <c r="G256" s="50"/>
      <c r="H256" s="50"/>
      <c r="I256" s="50"/>
      <c r="J256" s="51"/>
      <c r="K256" s="51"/>
      <c r="L256" s="51"/>
      <c r="M256" s="50">
        <f>M255/J255</f>
        <v>0.10787819011219332</v>
      </c>
      <c r="N256" s="51"/>
      <c r="O256" s="50">
        <f>O255/B255</f>
        <v>0.11792452830188679</v>
      </c>
      <c r="P256" s="106"/>
      <c r="Q256" s="95"/>
    </row>
    <row r="257" spans="1:17" x14ac:dyDescent="0.3">
      <c r="A257" s="69"/>
      <c r="B257" s="69"/>
      <c r="C257" s="69"/>
      <c r="D257" s="69"/>
      <c r="E257" s="69"/>
      <c r="F257" s="69"/>
      <c r="G257" s="200"/>
      <c r="H257" s="200"/>
      <c r="I257" s="200"/>
      <c r="J257" s="69"/>
      <c r="K257" s="69"/>
      <c r="L257" s="69"/>
      <c r="M257" s="200"/>
      <c r="N257" s="69"/>
      <c r="O257" s="200"/>
      <c r="P257" s="200"/>
      <c r="Q257" s="100"/>
    </row>
    <row r="258" spans="1:17" x14ac:dyDescent="0.3">
      <c r="A258" s="69"/>
      <c r="B258" s="69"/>
      <c r="C258" s="69"/>
      <c r="D258" s="69"/>
      <c r="E258" s="69"/>
      <c r="F258" s="69"/>
      <c r="G258" s="200"/>
      <c r="H258" s="200"/>
      <c r="I258" s="200"/>
      <c r="J258" s="69"/>
      <c r="K258" s="69"/>
      <c r="L258" s="69"/>
      <c r="M258" s="200"/>
      <c r="N258" s="69"/>
      <c r="O258" s="200"/>
      <c r="P258" s="200"/>
      <c r="Q258" s="100"/>
    </row>
    <row r="259" spans="1:17" ht="15.6" x14ac:dyDescent="0.3">
      <c r="A259" s="406" t="s">
        <v>0</v>
      </c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P259" s="20">
        <f>R152-J152</f>
        <v>14826</v>
      </c>
    </row>
    <row r="260" spans="1:17" ht="15.6" x14ac:dyDescent="0.3">
      <c r="A260" s="407" t="s">
        <v>37</v>
      </c>
      <c r="B260" s="407"/>
      <c r="C260" s="407"/>
      <c r="D260" s="407"/>
      <c r="E260" s="407"/>
      <c r="F260" s="407"/>
      <c r="G260" s="407"/>
      <c r="H260" s="407"/>
      <c r="I260" s="407"/>
      <c r="J260" s="407"/>
      <c r="K260" s="407"/>
      <c r="L260" s="407"/>
      <c r="M260" s="407"/>
      <c r="N260" s="407"/>
    </row>
    <row r="261" spans="1:17" ht="15.6" x14ac:dyDescent="0.3">
      <c r="A261" s="52"/>
      <c r="B261" s="52"/>
      <c r="C261" s="52"/>
      <c r="D261" s="52"/>
      <c r="E261" s="408" t="s">
        <v>38</v>
      </c>
      <c r="F261" s="409"/>
      <c r="G261" s="409"/>
      <c r="H261" s="409"/>
      <c r="I261" s="409"/>
      <c r="J261" s="410"/>
      <c r="K261" s="52"/>
      <c r="L261" s="52"/>
      <c r="M261" s="52"/>
      <c r="N261" s="52"/>
    </row>
    <row r="262" spans="1:17" ht="15.6" x14ac:dyDescent="0.3">
      <c r="A262" s="411" t="s">
        <v>1</v>
      </c>
      <c r="B262" s="413" t="s">
        <v>39</v>
      </c>
      <c r="C262" s="411" t="s">
        <v>3</v>
      </c>
      <c r="D262" s="413" t="s">
        <v>40</v>
      </c>
      <c r="E262" s="413" t="s">
        <v>41</v>
      </c>
      <c r="F262" s="415" t="s">
        <v>31</v>
      </c>
      <c r="G262" s="415" t="s">
        <v>42</v>
      </c>
      <c r="H262" s="283"/>
      <c r="I262" s="417" t="s">
        <v>43</v>
      </c>
      <c r="J262" s="413" t="s">
        <v>44</v>
      </c>
      <c r="K262" s="413" t="s">
        <v>5</v>
      </c>
      <c r="L262" s="401" t="s">
        <v>6</v>
      </c>
      <c r="M262" s="401"/>
      <c r="N262" s="401"/>
    </row>
    <row r="263" spans="1:17" ht="30.6" x14ac:dyDescent="0.3">
      <c r="A263" s="412"/>
      <c r="B263" s="414"/>
      <c r="C263" s="412"/>
      <c r="D263" s="414"/>
      <c r="E263" s="414"/>
      <c r="F263" s="416"/>
      <c r="G263" s="416"/>
      <c r="H263" s="284"/>
      <c r="I263" s="418"/>
      <c r="J263" s="414"/>
      <c r="K263" s="414"/>
      <c r="L263" s="11" t="s">
        <v>9</v>
      </c>
      <c r="M263" s="11" t="s">
        <v>10</v>
      </c>
      <c r="N263" s="53" t="s">
        <v>45</v>
      </c>
    </row>
    <row r="264" spans="1:17" ht="15.6" x14ac:dyDescent="0.3">
      <c r="A264" s="11"/>
      <c r="B264" s="11" t="s">
        <v>12</v>
      </c>
      <c r="C264" s="11" t="s">
        <v>13</v>
      </c>
      <c r="D264" s="53" t="s">
        <v>46</v>
      </c>
      <c r="E264" s="53"/>
      <c r="F264" s="53"/>
      <c r="G264" s="11"/>
      <c r="H264" s="282"/>
      <c r="I264" s="11"/>
      <c r="J264" s="53" t="s">
        <v>14</v>
      </c>
      <c r="K264" s="53" t="s">
        <v>15</v>
      </c>
      <c r="L264" s="9" t="s">
        <v>16</v>
      </c>
      <c r="M264" s="9" t="s">
        <v>17</v>
      </c>
      <c r="N264" s="11"/>
    </row>
    <row r="265" spans="1:17" ht="15.6" x14ac:dyDescent="0.3">
      <c r="A265" s="30">
        <v>1</v>
      </c>
      <c r="B265" s="35"/>
      <c r="C265" s="35" t="s">
        <v>18</v>
      </c>
      <c r="D265" s="54" t="s">
        <v>47</v>
      </c>
      <c r="E265" s="35"/>
      <c r="F265" s="35"/>
      <c r="G265" s="35"/>
      <c r="H265" s="35"/>
      <c r="I265" s="35">
        <v>11925</v>
      </c>
      <c r="J265" s="33">
        <v>903</v>
      </c>
      <c r="K265" s="33">
        <v>737344091.31999981</v>
      </c>
      <c r="L265" s="33">
        <f>J265-M265</f>
        <v>192</v>
      </c>
      <c r="M265" s="33">
        <v>711</v>
      </c>
      <c r="N265" s="26">
        <f>M265/J265</f>
        <v>0.78737541528239208</v>
      </c>
    </row>
    <row r="266" spans="1:17" ht="15.6" x14ac:dyDescent="0.3">
      <c r="A266" s="30">
        <v>2</v>
      </c>
      <c r="B266" s="34"/>
      <c r="C266" s="33" t="s">
        <v>19</v>
      </c>
      <c r="D266" s="54" t="s">
        <v>47</v>
      </c>
      <c r="E266" s="33"/>
      <c r="F266" s="33"/>
      <c r="G266" s="33"/>
      <c r="H266" s="33"/>
      <c r="I266" s="33"/>
      <c r="J266" s="33">
        <v>634</v>
      </c>
      <c r="K266" s="33">
        <v>1227815820.2699995</v>
      </c>
      <c r="L266" s="33">
        <f t="shared" ref="L266:L275" si="40">J266-M266</f>
        <v>119</v>
      </c>
      <c r="M266" s="32">
        <v>515</v>
      </c>
      <c r="N266" s="26">
        <f>M266/J266</f>
        <v>0.81230283911671919</v>
      </c>
    </row>
    <row r="267" spans="1:17" ht="30.6" x14ac:dyDescent="0.3">
      <c r="A267" s="30">
        <v>3</v>
      </c>
      <c r="B267" s="55" t="s">
        <v>48</v>
      </c>
      <c r="C267" s="31" t="s">
        <v>20</v>
      </c>
      <c r="D267" s="54" t="s">
        <v>47</v>
      </c>
      <c r="E267" s="31"/>
      <c r="F267" s="31"/>
      <c r="G267" s="31"/>
      <c r="H267" s="31"/>
      <c r="I267" s="31"/>
      <c r="J267" s="31">
        <v>6544</v>
      </c>
      <c r="K267" s="31">
        <v>17709492629.09</v>
      </c>
      <c r="L267" s="33">
        <f t="shared" si="40"/>
        <v>2937</v>
      </c>
      <c r="M267" s="32">
        <v>3607</v>
      </c>
      <c r="N267" s="26">
        <f t="shared" ref="N267:N275" si="41">M267/J267</f>
        <v>0.55119193154034229</v>
      </c>
    </row>
    <row r="268" spans="1:17" ht="15.6" x14ac:dyDescent="0.3">
      <c r="A268" s="30">
        <v>4</v>
      </c>
      <c r="B268" s="33"/>
      <c r="C268" s="33" t="s">
        <v>21</v>
      </c>
      <c r="D268" s="54" t="s">
        <v>47</v>
      </c>
      <c r="E268" s="33"/>
      <c r="F268" s="33"/>
      <c r="G268" s="33"/>
      <c r="H268" s="33"/>
      <c r="I268" s="33"/>
      <c r="J268" s="33">
        <v>1070</v>
      </c>
      <c r="K268" s="33">
        <v>15512573.540000001</v>
      </c>
      <c r="L268" s="33">
        <f t="shared" si="40"/>
        <v>155</v>
      </c>
      <c r="M268" s="32">
        <v>915</v>
      </c>
      <c r="N268" s="26">
        <f t="shared" si="41"/>
        <v>0.85514018691588789</v>
      </c>
    </row>
    <row r="269" spans="1:17" ht="15.6" x14ac:dyDescent="0.3">
      <c r="A269" s="30">
        <v>5</v>
      </c>
      <c r="B269" s="32"/>
      <c r="C269" s="32" t="s">
        <v>22</v>
      </c>
      <c r="D269" s="54" t="s">
        <v>47</v>
      </c>
      <c r="E269" s="32"/>
      <c r="F269" s="32"/>
      <c r="G269" s="32"/>
      <c r="H269" s="32"/>
      <c r="I269" s="32"/>
      <c r="J269" s="14"/>
      <c r="K269" s="32"/>
      <c r="L269" s="33">
        <f t="shared" si="40"/>
        <v>0</v>
      </c>
      <c r="M269" s="32"/>
      <c r="N269" s="26"/>
    </row>
    <row r="270" spans="1:17" ht="15.6" x14ac:dyDescent="0.3">
      <c r="A270" s="30">
        <v>6</v>
      </c>
      <c r="B270" s="32"/>
      <c r="C270" s="32" t="s">
        <v>23</v>
      </c>
      <c r="D270" s="54" t="s">
        <v>47</v>
      </c>
      <c r="E270" s="32"/>
      <c r="F270" s="32"/>
      <c r="G270" s="32"/>
      <c r="H270" s="32"/>
      <c r="I270" s="32"/>
      <c r="J270" s="32"/>
      <c r="K270" s="32"/>
      <c r="L270" s="33">
        <f t="shared" si="40"/>
        <v>0</v>
      </c>
      <c r="M270" s="32"/>
      <c r="N270" s="26"/>
    </row>
    <row r="271" spans="1:17" ht="15.6" x14ac:dyDescent="0.3">
      <c r="A271" s="30">
        <v>7</v>
      </c>
      <c r="B271" s="32"/>
      <c r="C271" s="32" t="s">
        <v>24</v>
      </c>
      <c r="D271" s="54" t="s">
        <v>47</v>
      </c>
      <c r="E271" s="32"/>
      <c r="F271" s="32"/>
      <c r="G271" s="32"/>
      <c r="H271" s="32"/>
      <c r="I271" s="32"/>
      <c r="J271" s="32"/>
      <c r="K271" s="32"/>
      <c r="L271" s="33">
        <f t="shared" si="40"/>
        <v>0</v>
      </c>
      <c r="M271" s="32"/>
      <c r="N271" s="26"/>
    </row>
    <row r="272" spans="1:17" ht="15.6" x14ac:dyDescent="0.3">
      <c r="A272" s="30">
        <v>8</v>
      </c>
      <c r="B272" s="31"/>
      <c r="C272" s="31" t="s">
        <v>25</v>
      </c>
      <c r="D272" s="54" t="s">
        <v>47</v>
      </c>
      <c r="E272" s="31"/>
      <c r="F272" s="31"/>
      <c r="G272" s="31"/>
      <c r="H272" s="31"/>
      <c r="I272" s="31"/>
      <c r="J272" s="14"/>
      <c r="K272" s="32"/>
      <c r="L272" s="33">
        <f t="shared" si="40"/>
        <v>0</v>
      </c>
      <c r="M272" s="32"/>
      <c r="N272" s="26"/>
    </row>
    <row r="273" spans="1:14" ht="15.6" x14ac:dyDescent="0.3">
      <c r="A273" s="30">
        <v>9</v>
      </c>
      <c r="B273" s="32"/>
      <c r="C273" s="32" t="s">
        <v>26</v>
      </c>
      <c r="D273" s="54" t="s">
        <v>47</v>
      </c>
      <c r="E273" s="34"/>
      <c r="F273" s="34"/>
      <c r="G273" s="34"/>
      <c r="H273" s="34"/>
      <c r="I273" s="34"/>
      <c r="J273" s="34">
        <v>120</v>
      </c>
      <c r="K273" s="34">
        <v>75552627.420000002</v>
      </c>
      <c r="L273" s="33">
        <f t="shared" si="40"/>
        <v>75</v>
      </c>
      <c r="M273" s="32">
        <v>45</v>
      </c>
      <c r="N273" s="26">
        <f t="shared" si="41"/>
        <v>0.375</v>
      </c>
    </row>
    <row r="274" spans="1:14" ht="15.6" x14ac:dyDescent="0.3">
      <c r="A274" s="30">
        <v>10</v>
      </c>
      <c r="B274" s="32"/>
      <c r="C274" s="32" t="s">
        <v>27</v>
      </c>
      <c r="D274" s="54" t="s">
        <v>47</v>
      </c>
      <c r="E274" s="32"/>
      <c r="F274" s="32"/>
      <c r="G274" s="32"/>
      <c r="H274" s="32"/>
      <c r="I274" s="32"/>
      <c r="J274" s="33"/>
      <c r="K274" s="33"/>
      <c r="L274" s="33">
        <f t="shared" si="40"/>
        <v>0</v>
      </c>
      <c r="M274" s="32"/>
      <c r="N274" s="26"/>
    </row>
    <row r="275" spans="1:14" ht="15.6" x14ac:dyDescent="0.3">
      <c r="A275" s="30">
        <v>11</v>
      </c>
      <c r="B275" s="32"/>
      <c r="C275" s="32" t="s">
        <v>28</v>
      </c>
      <c r="D275" s="54" t="s">
        <v>47</v>
      </c>
      <c r="E275" s="32"/>
      <c r="F275" s="32"/>
      <c r="G275" s="32"/>
      <c r="H275" s="32"/>
      <c r="I275" s="32"/>
      <c r="J275" s="32">
        <v>36</v>
      </c>
      <c r="K275" s="230">
        <v>30134289.520000003</v>
      </c>
      <c r="L275" s="33">
        <f t="shared" si="40"/>
        <v>36</v>
      </c>
      <c r="M275" s="32">
        <v>0</v>
      </c>
      <c r="N275" s="26">
        <f t="shared" si="41"/>
        <v>0</v>
      </c>
    </row>
    <row r="276" spans="1:14" ht="15.6" x14ac:dyDescent="0.3">
      <c r="A276" s="30">
        <v>12</v>
      </c>
      <c r="B276" s="34"/>
      <c r="C276" s="33" t="s">
        <v>29</v>
      </c>
      <c r="D276" s="54" t="s">
        <v>47</v>
      </c>
      <c r="E276" s="33"/>
      <c r="F276" s="33"/>
      <c r="G276" s="33"/>
      <c r="H276" s="33"/>
      <c r="I276" s="33"/>
      <c r="J276" s="33"/>
      <c r="K276" s="33"/>
      <c r="L276" s="33">
        <f t="shared" ref="L276" si="42">J276-M276</f>
        <v>0</v>
      </c>
      <c r="M276" s="32"/>
      <c r="N276" s="26"/>
    </row>
    <row r="277" spans="1:14" ht="15.6" x14ac:dyDescent="0.3">
      <c r="A277" s="22"/>
      <c r="B277" s="56">
        <f>SUM(B265:B276)</f>
        <v>0</v>
      </c>
      <c r="C277" s="401" t="s">
        <v>30</v>
      </c>
      <c r="D277" s="401"/>
      <c r="E277" s="57">
        <f>SUM(E265:E276)</f>
        <v>0</v>
      </c>
      <c r="F277" s="57">
        <f t="shared" ref="F277:I277" si="43">SUM(F265:F276)</f>
        <v>0</v>
      </c>
      <c r="G277" s="57">
        <f t="shared" si="43"/>
        <v>0</v>
      </c>
      <c r="H277" s="57"/>
      <c r="I277" s="57">
        <f t="shared" si="43"/>
        <v>11925</v>
      </c>
      <c r="J277" s="57">
        <f>SUM(J265:J276)</f>
        <v>9307</v>
      </c>
      <c r="K277" s="57">
        <f t="shared" ref="K277:M277" si="44">SUM(K265:K276)</f>
        <v>19795852031.16</v>
      </c>
      <c r="L277" s="57">
        <f t="shared" si="44"/>
        <v>3514</v>
      </c>
      <c r="M277" s="57">
        <f t="shared" si="44"/>
        <v>5793</v>
      </c>
      <c r="N277" s="57"/>
    </row>
    <row r="279" spans="1:14" x14ac:dyDescent="0.3">
      <c r="I279" s="20"/>
    </row>
  </sheetData>
  <sortState ref="B6:G17">
    <sortCondition descending="1" ref="G6:G17"/>
  </sortState>
  <mergeCells count="133">
    <mergeCell ref="A238:Q238"/>
    <mergeCell ref="A239:A240"/>
    <mergeCell ref="B239:B240"/>
    <mergeCell ref="C239:C240"/>
    <mergeCell ref="D239:E239"/>
    <mergeCell ref="F239:F240"/>
    <mergeCell ref="G239:G240"/>
    <mergeCell ref="H239:H240"/>
    <mergeCell ref="I239:I240"/>
    <mergeCell ref="J239:J240"/>
    <mergeCell ref="K239:K240"/>
    <mergeCell ref="L239:N239"/>
    <mergeCell ref="O239:O240"/>
    <mergeCell ref="P239:P240"/>
    <mergeCell ref="Q239:Q240"/>
    <mergeCell ref="A174:G174"/>
    <mergeCell ref="A40:G40"/>
    <mergeCell ref="D41:D42"/>
    <mergeCell ref="E41:G41"/>
    <mergeCell ref="A41:A42"/>
    <mergeCell ref="B41:B42"/>
    <mergeCell ref="C41:C42"/>
    <mergeCell ref="A175:A176"/>
    <mergeCell ref="B175:B176"/>
    <mergeCell ref="C175:C176"/>
    <mergeCell ref="A59:G59"/>
    <mergeCell ref="D60:D61"/>
    <mergeCell ref="A60:A61"/>
    <mergeCell ref="E117:G117"/>
    <mergeCell ref="A116:G116"/>
    <mergeCell ref="E79:G79"/>
    <mergeCell ref="A78:G78"/>
    <mergeCell ref="E60:G60"/>
    <mergeCell ref="A98:A99"/>
    <mergeCell ref="B98:B99"/>
    <mergeCell ref="C98:C99"/>
    <mergeCell ref="E98:G98"/>
    <mergeCell ref="A97:G97"/>
    <mergeCell ref="D98:D99"/>
    <mergeCell ref="P136:P137"/>
    <mergeCell ref="O136:O137"/>
    <mergeCell ref="L136:N136"/>
    <mergeCell ref="K136:K137"/>
    <mergeCell ref="O155:O156"/>
    <mergeCell ref="P155:P156"/>
    <mergeCell ref="Q155:Q156"/>
    <mergeCell ref="I155:I156"/>
    <mergeCell ref="J155:J156"/>
    <mergeCell ref="K155:K156"/>
    <mergeCell ref="L155:N155"/>
    <mergeCell ref="Q136:Q137"/>
    <mergeCell ref="A1:G1"/>
    <mergeCell ref="A2:G2"/>
    <mergeCell ref="A3:A4"/>
    <mergeCell ref="B3:B4"/>
    <mergeCell ref="C3:C4"/>
    <mergeCell ref="E3:G3"/>
    <mergeCell ref="D3:D4"/>
    <mergeCell ref="E22:G22"/>
    <mergeCell ref="A21:G21"/>
    <mergeCell ref="A22:A23"/>
    <mergeCell ref="B22:B23"/>
    <mergeCell ref="C22:C23"/>
    <mergeCell ref="D22:D23"/>
    <mergeCell ref="C277:D277"/>
    <mergeCell ref="A259:N259"/>
    <mergeCell ref="A260:N260"/>
    <mergeCell ref="E261:J261"/>
    <mergeCell ref="A262:A263"/>
    <mergeCell ref="B262:B263"/>
    <mergeCell ref="C262:C263"/>
    <mergeCell ref="D262:D263"/>
    <mergeCell ref="E262:E263"/>
    <mergeCell ref="F262:F263"/>
    <mergeCell ref="G262:G263"/>
    <mergeCell ref="I262:I263"/>
    <mergeCell ref="J262:J263"/>
    <mergeCell ref="K262:K263"/>
    <mergeCell ref="L262:N262"/>
    <mergeCell ref="B136:B137"/>
    <mergeCell ref="A136:A137"/>
    <mergeCell ref="J136:J137"/>
    <mergeCell ref="I136:I137"/>
    <mergeCell ref="D155:D156"/>
    <mergeCell ref="E155:G155"/>
    <mergeCell ref="D136:D137"/>
    <mergeCell ref="E136:G136"/>
    <mergeCell ref="B60:B61"/>
    <mergeCell ref="C60:C61"/>
    <mergeCell ref="D79:D80"/>
    <mergeCell ref="A79:A80"/>
    <mergeCell ref="B79:B80"/>
    <mergeCell ref="C79:C80"/>
    <mergeCell ref="A117:A118"/>
    <mergeCell ref="B117:B118"/>
    <mergeCell ref="C117:C118"/>
    <mergeCell ref="D117:D118"/>
    <mergeCell ref="A135:G135"/>
    <mergeCell ref="A154:G154"/>
    <mergeCell ref="A155:A156"/>
    <mergeCell ref="B155:B156"/>
    <mergeCell ref="C155:C156"/>
    <mergeCell ref="C136:C137"/>
    <mergeCell ref="D175:D176"/>
    <mergeCell ref="E175:G175"/>
    <mergeCell ref="I175:I176"/>
    <mergeCell ref="J175:J176"/>
    <mergeCell ref="K175:K176"/>
    <mergeCell ref="L175:N175"/>
    <mergeCell ref="O175:O176"/>
    <mergeCell ref="P175:P176"/>
    <mergeCell ref="Q175:Q176"/>
    <mergeCell ref="A196:G196"/>
    <mergeCell ref="A197:A198"/>
    <mergeCell ref="B197:B198"/>
    <mergeCell ref="C197:C198"/>
    <mergeCell ref="D197:D198"/>
    <mergeCell ref="E197:G197"/>
    <mergeCell ref="A218:Q218"/>
    <mergeCell ref="A219:A220"/>
    <mergeCell ref="B219:B220"/>
    <mergeCell ref="C219:C220"/>
    <mergeCell ref="D219:E219"/>
    <mergeCell ref="F219:F220"/>
    <mergeCell ref="G219:G220"/>
    <mergeCell ref="H219:H220"/>
    <mergeCell ref="I219:I220"/>
    <mergeCell ref="J219:J220"/>
    <mergeCell ref="K219:K220"/>
    <mergeCell ref="L219:N219"/>
    <mergeCell ref="O219:O220"/>
    <mergeCell ref="P219:P220"/>
    <mergeCell ref="Q219:Q220"/>
  </mergeCells>
  <pageMargins left="0.17" right="0.17" top="0.75" bottom="0.75" header="0.3" footer="0.3"/>
  <pageSetup scale="61" orientation="landscape" r:id="rId1"/>
  <rowBreaks count="2" manualBreakCount="2">
    <brk id="39" max="16383" man="1"/>
    <brk id="2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6"/>
  <sheetViews>
    <sheetView topLeftCell="A91" workbookViewId="0">
      <selection activeCell="D19" sqref="D19"/>
    </sheetView>
  </sheetViews>
  <sheetFormatPr defaultColWidth="9" defaultRowHeight="14.4" x14ac:dyDescent="0.3"/>
  <cols>
    <col min="1" max="1" width="6.88671875" style="7" customWidth="1"/>
    <col min="2" max="2" width="15.109375" style="7" customWidth="1"/>
    <col min="3" max="3" width="32.33203125" style="7" bestFit="1" customWidth="1"/>
    <col min="4" max="4" width="16" style="7" bestFit="1" customWidth="1"/>
    <col min="5" max="5" width="14.109375" style="7" bestFit="1" customWidth="1"/>
    <col min="6" max="6" width="16.5546875" style="7" customWidth="1"/>
    <col min="7" max="7" width="12.33203125" style="7" bestFit="1" customWidth="1"/>
    <col min="8" max="8" width="19.33203125" style="7" customWidth="1"/>
    <col min="9" max="16384" width="9" style="7"/>
  </cols>
  <sheetData>
    <row r="1" spans="1:8" ht="15.6" x14ac:dyDescent="0.3">
      <c r="H1" s="6"/>
    </row>
    <row r="2" spans="1:8" ht="15.6" x14ac:dyDescent="0.3">
      <c r="A2" s="406" t="s">
        <v>126</v>
      </c>
      <c r="B2" s="406"/>
      <c r="C2" s="406"/>
      <c r="D2" s="406"/>
      <c r="E2" s="406"/>
      <c r="F2" s="406"/>
      <c r="G2" s="406"/>
      <c r="H2" s="6"/>
    </row>
    <row r="3" spans="1:8" ht="15.75" customHeight="1" x14ac:dyDescent="0.3">
      <c r="A3" s="411" t="s">
        <v>1</v>
      </c>
      <c r="B3" s="411" t="s">
        <v>3</v>
      </c>
      <c r="C3" s="131"/>
      <c r="D3" s="402" t="s">
        <v>32</v>
      </c>
      <c r="E3" s="419" t="s">
        <v>6</v>
      </c>
      <c r="F3" s="420"/>
      <c r="G3" s="421"/>
    </row>
    <row r="4" spans="1:8" ht="30.6" x14ac:dyDescent="0.3">
      <c r="A4" s="412"/>
      <c r="B4" s="412"/>
      <c r="C4" s="132" t="s">
        <v>70</v>
      </c>
      <c r="D4" s="402"/>
      <c r="E4" s="129" t="s">
        <v>9</v>
      </c>
      <c r="F4" s="129" t="s">
        <v>10</v>
      </c>
      <c r="G4" s="130" t="s">
        <v>11</v>
      </c>
    </row>
    <row r="5" spans="1:8" ht="15.6" x14ac:dyDescent="0.3">
      <c r="A5" s="132"/>
      <c r="B5" s="129" t="s">
        <v>12</v>
      </c>
      <c r="C5" s="129" t="s">
        <v>13</v>
      </c>
      <c r="D5" s="130" t="s">
        <v>46</v>
      </c>
      <c r="E5" s="7" t="s">
        <v>14</v>
      </c>
      <c r="F5" s="129" t="s">
        <v>16</v>
      </c>
      <c r="G5" s="129" t="s">
        <v>17</v>
      </c>
    </row>
    <row r="6" spans="1:8" ht="15.6" x14ac:dyDescent="0.3">
      <c r="A6" s="12">
        <v>1</v>
      </c>
      <c r="B6" s="13" t="s">
        <v>22</v>
      </c>
      <c r="C6" s="13" t="s">
        <v>71</v>
      </c>
      <c r="D6" s="14">
        <f>'Summary July 25-August 24'!D12</f>
        <v>160</v>
      </c>
      <c r="E6" s="15">
        <f t="shared" ref="E6:E19" si="0">D6-F6</f>
        <v>0</v>
      </c>
      <c r="F6" s="14">
        <f>'Summary July 25-August 24'!F12</f>
        <v>160</v>
      </c>
      <c r="G6" s="16">
        <f t="shared" ref="G6:G18" si="1">F6/D6</f>
        <v>1</v>
      </c>
    </row>
    <row r="7" spans="1:8" ht="15.6" x14ac:dyDescent="0.3">
      <c r="A7" s="12">
        <v>2</v>
      </c>
      <c r="B7" s="14" t="s">
        <v>22</v>
      </c>
      <c r="C7" s="13" t="s">
        <v>72</v>
      </c>
      <c r="D7" s="14">
        <f>'Summary July 25-August 24'!D30</f>
        <v>230</v>
      </c>
      <c r="E7" s="15">
        <f t="shared" si="0"/>
        <v>0</v>
      </c>
      <c r="F7" s="14">
        <f>'Summary July 25-August 24'!F30</f>
        <v>230</v>
      </c>
      <c r="G7" s="16">
        <f t="shared" si="1"/>
        <v>1</v>
      </c>
    </row>
    <row r="8" spans="1:8" ht="15.6" x14ac:dyDescent="0.3">
      <c r="A8" s="12">
        <v>3</v>
      </c>
      <c r="B8" s="13" t="s">
        <v>22</v>
      </c>
      <c r="C8" s="13" t="s">
        <v>73</v>
      </c>
      <c r="D8" s="13">
        <f>'Summary July 25-August 24'!D51</f>
        <v>1731</v>
      </c>
      <c r="E8" s="15">
        <f t="shared" si="0"/>
        <v>0</v>
      </c>
      <c r="F8" s="14">
        <f>'Summary July 25-August 24'!F51</f>
        <v>1731</v>
      </c>
      <c r="G8" s="16">
        <f t="shared" si="1"/>
        <v>1</v>
      </c>
    </row>
    <row r="9" spans="1:8" ht="15.6" x14ac:dyDescent="0.3">
      <c r="A9" s="12">
        <v>4</v>
      </c>
      <c r="B9" s="144" t="s">
        <v>22</v>
      </c>
      <c r="C9" s="145" t="s">
        <v>74</v>
      </c>
      <c r="D9" s="43">
        <f>'Summary July 25-August 24'!D67</f>
        <v>2584</v>
      </c>
      <c r="E9" s="15">
        <f t="shared" si="0"/>
        <v>0</v>
      </c>
      <c r="F9" s="146">
        <f>'Summary July 25-August 24'!F67</f>
        <v>2584</v>
      </c>
      <c r="G9" s="16">
        <f t="shared" si="1"/>
        <v>1</v>
      </c>
    </row>
    <row r="10" spans="1:8" ht="15.6" x14ac:dyDescent="0.3">
      <c r="A10" s="12">
        <v>5</v>
      </c>
      <c r="B10" s="144" t="s">
        <v>22</v>
      </c>
      <c r="C10" s="145" t="s">
        <v>75</v>
      </c>
      <c r="D10" s="43">
        <f>'Summary July 25-August 24'!D86</f>
        <v>235</v>
      </c>
      <c r="E10" s="15">
        <f t="shared" si="0"/>
        <v>0</v>
      </c>
      <c r="F10" s="148">
        <f>'Summary July 25-August 24'!F86</f>
        <v>235</v>
      </c>
      <c r="G10" s="16">
        <f t="shared" si="1"/>
        <v>1</v>
      </c>
    </row>
    <row r="11" spans="1:8" ht="15.6" x14ac:dyDescent="0.3">
      <c r="A11" s="12">
        <v>6</v>
      </c>
      <c r="B11" s="144" t="s">
        <v>22</v>
      </c>
      <c r="C11" s="145" t="s">
        <v>76</v>
      </c>
      <c r="D11" s="43">
        <f>'Summary July 25-August 24'!D105</f>
        <v>126</v>
      </c>
      <c r="E11" s="15">
        <f t="shared" si="0"/>
        <v>0</v>
      </c>
      <c r="F11" s="148">
        <f>'Summary July 25-August 24'!F105</f>
        <v>126</v>
      </c>
      <c r="G11" s="16">
        <f t="shared" si="1"/>
        <v>1</v>
      </c>
    </row>
    <row r="12" spans="1:8" ht="15.6" x14ac:dyDescent="0.3">
      <c r="A12" s="12">
        <v>7</v>
      </c>
      <c r="B12" s="150" t="s">
        <v>22</v>
      </c>
      <c r="C12" s="151" t="s">
        <v>77</v>
      </c>
      <c r="D12" s="152">
        <f>'Summary July 25-August 24'!D124</f>
        <v>1497</v>
      </c>
      <c r="E12" s="15">
        <f t="shared" si="0"/>
        <v>0</v>
      </c>
      <c r="F12" s="152">
        <f>'Summary July 25-August 24'!F124</f>
        <v>1497</v>
      </c>
      <c r="G12" s="16">
        <f t="shared" si="1"/>
        <v>1</v>
      </c>
    </row>
    <row r="13" spans="1:8" ht="15.6" x14ac:dyDescent="0.3">
      <c r="A13" s="12">
        <v>8</v>
      </c>
      <c r="B13" s="153" t="s">
        <v>22</v>
      </c>
      <c r="C13" s="154" t="s">
        <v>78</v>
      </c>
      <c r="D13" s="111">
        <f>'Summary July 25-August 24'!D143</f>
        <v>127</v>
      </c>
      <c r="E13" s="15">
        <f t="shared" si="0"/>
        <v>0</v>
      </c>
      <c r="F13" s="111">
        <f>'Summary July 25-August 24'!F143</f>
        <v>127</v>
      </c>
      <c r="G13" s="16">
        <f t="shared" si="1"/>
        <v>1</v>
      </c>
    </row>
    <row r="14" spans="1:8" ht="15.6" x14ac:dyDescent="0.3">
      <c r="A14" s="12">
        <v>9</v>
      </c>
      <c r="B14" s="153" t="s">
        <v>22</v>
      </c>
      <c r="C14" s="154" t="s">
        <v>81</v>
      </c>
      <c r="D14" s="111">
        <f>'Summary July 25-August 24'!D162</f>
        <v>69</v>
      </c>
      <c r="E14" s="15">
        <f t="shared" si="0"/>
        <v>0</v>
      </c>
      <c r="F14" s="111">
        <f>'Summary July 25-August 24'!F162</f>
        <v>69</v>
      </c>
      <c r="G14" s="16">
        <f t="shared" si="1"/>
        <v>1</v>
      </c>
    </row>
    <row r="15" spans="1:8" ht="15.6" x14ac:dyDescent="0.3">
      <c r="A15" s="12">
        <v>10</v>
      </c>
      <c r="B15" s="153" t="s">
        <v>22</v>
      </c>
      <c r="C15" s="151" t="s">
        <v>99</v>
      </c>
      <c r="D15" s="111">
        <f>'Summary July 25-August 24'!D182</f>
        <v>167</v>
      </c>
      <c r="E15" s="15">
        <f t="shared" si="0"/>
        <v>0</v>
      </c>
      <c r="F15" s="111">
        <f>'Summary July 25-August 24'!F182</f>
        <v>167</v>
      </c>
      <c r="G15" s="16">
        <f t="shared" si="1"/>
        <v>1</v>
      </c>
    </row>
    <row r="16" spans="1:8" ht="15.6" x14ac:dyDescent="0.3">
      <c r="A16" s="12">
        <v>11</v>
      </c>
      <c r="B16" s="153" t="s">
        <v>22</v>
      </c>
      <c r="C16" s="151" t="s">
        <v>112</v>
      </c>
      <c r="D16" s="111">
        <f>'Summary July 25-August 24'!D204</f>
        <v>100</v>
      </c>
      <c r="E16" s="15">
        <f t="shared" si="0"/>
        <v>0</v>
      </c>
      <c r="F16" s="111">
        <f>'Summary July 25-August 24'!F204</f>
        <v>100</v>
      </c>
      <c r="G16" s="16">
        <f t="shared" si="1"/>
        <v>1</v>
      </c>
    </row>
    <row r="17" spans="1:7" ht="15.6" x14ac:dyDescent="0.3">
      <c r="A17" s="12">
        <v>12</v>
      </c>
      <c r="B17" s="153" t="s">
        <v>22</v>
      </c>
      <c r="C17" s="151" t="s">
        <v>116</v>
      </c>
      <c r="D17" s="111">
        <f>'Summary July 25-August 24'!J226</f>
        <v>54</v>
      </c>
      <c r="E17" s="15">
        <f t="shared" si="0"/>
        <v>23</v>
      </c>
      <c r="F17" s="111">
        <f>'Summary July 25-August 24'!M226</f>
        <v>31</v>
      </c>
      <c r="G17" s="16">
        <f t="shared" si="1"/>
        <v>0.57407407407407407</v>
      </c>
    </row>
    <row r="18" spans="1:7" ht="15.6" x14ac:dyDescent="0.3">
      <c r="A18" s="12">
        <v>13</v>
      </c>
      <c r="B18" s="153" t="s">
        <v>22</v>
      </c>
      <c r="C18" s="151" t="s">
        <v>125</v>
      </c>
      <c r="D18" s="111">
        <f>'Summary July 25-August 24'!J246</f>
        <v>207</v>
      </c>
      <c r="E18" s="15">
        <f t="shared" si="0"/>
        <v>187</v>
      </c>
      <c r="F18" s="111">
        <f>'Summary July 25-August 24'!M246</f>
        <v>20</v>
      </c>
      <c r="G18" s="16">
        <f t="shared" si="1"/>
        <v>9.6618357487922704E-2</v>
      </c>
    </row>
    <row r="19" spans="1:7" ht="15.6" x14ac:dyDescent="0.3">
      <c r="A19" s="12">
        <v>14</v>
      </c>
      <c r="B19" s="153" t="s">
        <v>22</v>
      </c>
      <c r="C19" s="19" t="s">
        <v>79</v>
      </c>
      <c r="D19" s="14"/>
      <c r="E19" s="15">
        <f t="shared" si="0"/>
        <v>0</v>
      </c>
      <c r="F19" s="14"/>
      <c r="G19" s="16"/>
    </row>
    <row r="20" spans="1:7" ht="15.6" x14ac:dyDescent="0.3">
      <c r="A20" s="137"/>
      <c r="B20" s="155"/>
      <c r="C20" s="156"/>
      <c r="D20" s="138">
        <f>SUM(D6:D19)</f>
        <v>7287</v>
      </c>
      <c r="E20" s="138">
        <f>SUM(E6:E19)</f>
        <v>210</v>
      </c>
      <c r="F20" s="138">
        <f>SUM(F6:F19)</f>
        <v>7077</v>
      </c>
      <c r="G20" s="139">
        <f t="shared" ref="G20:G33" si="2">F20/D20</f>
        <v>0.97118155619596547</v>
      </c>
    </row>
    <row r="21" spans="1:7" ht="15.6" x14ac:dyDescent="0.3">
      <c r="A21" s="12">
        <v>1</v>
      </c>
      <c r="B21" s="14" t="s">
        <v>23</v>
      </c>
      <c r="C21" s="13" t="s">
        <v>71</v>
      </c>
      <c r="D21" s="14">
        <f>'Summary July 25-August 24'!D16</f>
        <v>292</v>
      </c>
      <c r="E21" s="15">
        <f t="shared" ref="E21:E34" si="3">D21-F21</f>
        <v>0</v>
      </c>
      <c r="F21" s="14">
        <f>'Summary July 25-August 24'!F16</f>
        <v>292</v>
      </c>
      <c r="G21" s="16">
        <f t="shared" si="2"/>
        <v>1</v>
      </c>
    </row>
    <row r="22" spans="1:7" ht="15.6" x14ac:dyDescent="0.3">
      <c r="A22" s="12">
        <v>2</v>
      </c>
      <c r="B22" s="14" t="s">
        <v>23</v>
      </c>
      <c r="C22" s="13" t="s">
        <v>72</v>
      </c>
      <c r="D22" s="14">
        <f>'Summary July 25-August 24'!D37</f>
        <v>513</v>
      </c>
      <c r="E22" s="15">
        <f t="shared" si="3"/>
        <v>0</v>
      </c>
      <c r="F22" s="14">
        <f>'Summary July 25-August 24'!F37</f>
        <v>513</v>
      </c>
      <c r="G22" s="16">
        <f t="shared" si="2"/>
        <v>1</v>
      </c>
    </row>
    <row r="23" spans="1:7" ht="15.6" x14ac:dyDescent="0.3">
      <c r="A23" s="12">
        <v>3</v>
      </c>
      <c r="B23" s="14" t="s">
        <v>23</v>
      </c>
      <c r="C23" s="13" t="s">
        <v>73</v>
      </c>
      <c r="D23" s="14">
        <f>'Summary July 25-August 24'!D55</f>
        <v>10510</v>
      </c>
      <c r="E23" s="15">
        <f t="shared" si="3"/>
        <v>0</v>
      </c>
      <c r="F23" s="14">
        <f>'Summary July 25-August 24'!F55</f>
        <v>10510</v>
      </c>
      <c r="G23" s="16">
        <f t="shared" si="2"/>
        <v>1</v>
      </c>
    </row>
    <row r="24" spans="1:7" ht="15.6" x14ac:dyDescent="0.3">
      <c r="A24" s="12">
        <v>4</v>
      </c>
      <c r="B24" s="43" t="s">
        <v>23</v>
      </c>
      <c r="C24" s="145" t="s">
        <v>74</v>
      </c>
      <c r="D24" s="43">
        <f>'Summary July 25-August 24'!D68</f>
        <v>4589</v>
      </c>
      <c r="E24" s="15">
        <f t="shared" si="3"/>
        <v>54</v>
      </c>
      <c r="F24" s="146">
        <f>'Summary July 25-August 24'!F68</f>
        <v>4535</v>
      </c>
      <c r="G24" s="16">
        <f t="shared" si="2"/>
        <v>0.98823273044236215</v>
      </c>
    </row>
    <row r="25" spans="1:7" ht="15.6" x14ac:dyDescent="0.3">
      <c r="A25" s="12">
        <v>5</v>
      </c>
      <c r="B25" s="157" t="s">
        <v>23</v>
      </c>
      <c r="C25" s="145" t="s">
        <v>75</v>
      </c>
      <c r="D25" s="43">
        <f>'Summary July 25-August 24'!D87</f>
        <v>3650</v>
      </c>
      <c r="E25" s="15">
        <f t="shared" si="3"/>
        <v>16</v>
      </c>
      <c r="F25" s="148">
        <f>'Summary July 25-August 24'!F87</f>
        <v>3634</v>
      </c>
      <c r="G25" s="16">
        <f t="shared" si="2"/>
        <v>0.99561643835616442</v>
      </c>
    </row>
    <row r="26" spans="1:7" ht="15.6" x14ac:dyDescent="0.3">
      <c r="A26" s="12">
        <v>6</v>
      </c>
      <c r="B26" s="43" t="s">
        <v>23</v>
      </c>
      <c r="C26" s="145" t="s">
        <v>76</v>
      </c>
      <c r="D26" s="43">
        <f>'Summary July 25-August 24'!D106</f>
        <v>811</v>
      </c>
      <c r="E26" s="15">
        <f t="shared" si="3"/>
        <v>27</v>
      </c>
      <c r="F26" s="148">
        <f>'Summary July 25-August 24'!F106</f>
        <v>784</v>
      </c>
      <c r="G26" s="16">
        <f t="shared" si="2"/>
        <v>0.96670776818742299</v>
      </c>
    </row>
    <row r="27" spans="1:7" ht="15.6" x14ac:dyDescent="0.3">
      <c r="A27" s="12">
        <v>7</v>
      </c>
      <c r="B27" s="158" t="s">
        <v>23</v>
      </c>
      <c r="C27" s="151" t="s">
        <v>77</v>
      </c>
      <c r="D27" s="158">
        <f>'Summary July 25-August 24'!D125</f>
        <v>1334</v>
      </c>
      <c r="E27" s="15">
        <f t="shared" si="3"/>
        <v>30</v>
      </c>
      <c r="F27" s="152">
        <f>'Summary July 25-August 24'!F125</f>
        <v>1304</v>
      </c>
      <c r="G27" s="16">
        <f t="shared" si="2"/>
        <v>0.97751124437781112</v>
      </c>
    </row>
    <row r="28" spans="1:7" ht="15.6" x14ac:dyDescent="0.3">
      <c r="A28" s="12">
        <v>8</v>
      </c>
      <c r="B28" s="114" t="s">
        <v>23</v>
      </c>
      <c r="C28" s="154" t="s">
        <v>78</v>
      </c>
      <c r="D28" s="114">
        <f>'Summary July 25-August 24'!D144</f>
        <v>850</v>
      </c>
      <c r="E28" s="15">
        <f t="shared" si="3"/>
        <v>41</v>
      </c>
      <c r="F28" s="111">
        <f>'Summary July 25-August 24'!F144</f>
        <v>809</v>
      </c>
      <c r="G28" s="16">
        <f t="shared" si="2"/>
        <v>0.95176470588235296</v>
      </c>
    </row>
    <row r="29" spans="1:7" ht="15.6" x14ac:dyDescent="0.3">
      <c r="A29" s="12">
        <v>9</v>
      </c>
      <c r="B29" s="114" t="s">
        <v>23</v>
      </c>
      <c r="C29" s="154" t="s">
        <v>81</v>
      </c>
      <c r="D29" s="114">
        <f>'Summary July 25-August 24'!D163</f>
        <v>4249</v>
      </c>
      <c r="E29" s="15">
        <f t="shared" si="3"/>
        <v>32</v>
      </c>
      <c r="F29" s="111">
        <f>'Summary July 25-August 24'!F163</f>
        <v>4217</v>
      </c>
      <c r="G29" s="16">
        <f t="shared" si="2"/>
        <v>0.99246881619204519</v>
      </c>
    </row>
    <row r="30" spans="1:7" ht="15.6" x14ac:dyDescent="0.3">
      <c r="A30" s="12">
        <v>10</v>
      </c>
      <c r="B30" s="114" t="s">
        <v>23</v>
      </c>
      <c r="C30" s="151" t="s">
        <v>99</v>
      </c>
      <c r="D30" s="114">
        <f>'Summary July 25-August 24'!D183</f>
        <v>5197</v>
      </c>
      <c r="E30" s="15">
        <f t="shared" si="3"/>
        <v>25</v>
      </c>
      <c r="F30" s="111">
        <f>'Summary July 25-August 24'!F183</f>
        <v>5172</v>
      </c>
      <c r="G30" s="16">
        <f t="shared" si="2"/>
        <v>0.99518953242255148</v>
      </c>
    </row>
    <row r="31" spans="1:7" ht="15.6" x14ac:dyDescent="0.3">
      <c r="A31" s="12">
        <v>11</v>
      </c>
      <c r="B31" s="114" t="s">
        <v>23</v>
      </c>
      <c r="C31" s="151" t="s">
        <v>112</v>
      </c>
      <c r="D31" s="114">
        <f>'Summary July 25-August 24'!D205</f>
        <v>4292</v>
      </c>
      <c r="E31" s="15">
        <f t="shared" si="3"/>
        <v>95</v>
      </c>
      <c r="F31" s="111">
        <f>'Summary July 25-August 24'!F205</f>
        <v>4197</v>
      </c>
      <c r="G31" s="16">
        <f t="shared" si="2"/>
        <v>0.97786579683131403</v>
      </c>
    </row>
    <row r="32" spans="1:7" ht="15.6" x14ac:dyDescent="0.3">
      <c r="A32" s="12">
        <v>12</v>
      </c>
      <c r="B32" s="114" t="s">
        <v>23</v>
      </c>
      <c r="C32" s="151" t="s">
        <v>116</v>
      </c>
      <c r="D32" s="114">
        <f>'Summary July 25-August 24'!J227</f>
        <v>3734</v>
      </c>
      <c r="E32" s="15">
        <f t="shared" si="3"/>
        <v>36</v>
      </c>
      <c r="F32" s="111">
        <f>'Summary July 25-August 24'!M227</f>
        <v>3698</v>
      </c>
      <c r="G32" s="16">
        <f t="shared" si="2"/>
        <v>0.9903588644884842</v>
      </c>
    </row>
    <row r="33" spans="1:7" ht="15.6" x14ac:dyDescent="0.3">
      <c r="A33" s="12">
        <v>13</v>
      </c>
      <c r="B33" s="114" t="s">
        <v>23</v>
      </c>
      <c r="C33" s="151" t="s">
        <v>125</v>
      </c>
      <c r="D33" s="114">
        <f>'Summary July 25-August 24'!J247</f>
        <v>4342</v>
      </c>
      <c r="E33" s="15">
        <f t="shared" si="3"/>
        <v>4090</v>
      </c>
      <c r="F33" s="111">
        <f>'Summary July 25-August 24'!M247</f>
        <v>252</v>
      </c>
      <c r="G33" s="16">
        <f t="shared" si="2"/>
        <v>5.8037770612620915E-2</v>
      </c>
    </row>
    <row r="34" spans="1:7" ht="15.6" x14ac:dyDescent="0.3">
      <c r="A34" s="12">
        <v>14</v>
      </c>
      <c r="B34" s="114" t="s">
        <v>23</v>
      </c>
      <c r="C34" s="19" t="s">
        <v>79</v>
      </c>
      <c r="D34" s="14"/>
      <c r="E34" s="15">
        <f t="shared" si="3"/>
        <v>0</v>
      </c>
      <c r="F34" s="14"/>
      <c r="G34" s="16"/>
    </row>
    <row r="35" spans="1:7" ht="15.6" x14ac:dyDescent="0.3">
      <c r="A35" s="137"/>
      <c r="B35" s="138"/>
      <c r="C35" s="156"/>
      <c r="D35" s="138">
        <f>SUM(D21:D34)</f>
        <v>44363</v>
      </c>
      <c r="E35" s="138">
        <f>SUM(E21:E34)</f>
        <v>4446</v>
      </c>
      <c r="F35" s="138">
        <f>SUM(F21:F34)</f>
        <v>39917</v>
      </c>
      <c r="G35" s="140">
        <f t="shared" ref="G35:G48" si="4">F35/D35</f>
        <v>0.89978134932263376</v>
      </c>
    </row>
    <row r="36" spans="1:7" ht="15.6" x14ac:dyDescent="0.3">
      <c r="A36" s="12">
        <v>1</v>
      </c>
      <c r="B36" s="14" t="s">
        <v>24</v>
      </c>
      <c r="C36" s="13" t="s">
        <v>71</v>
      </c>
      <c r="D36" s="14">
        <f>'Summary July 25-August 24'!D18</f>
        <v>56</v>
      </c>
      <c r="E36" s="15">
        <f t="shared" ref="E36:E49" si="5">D36-F36</f>
        <v>12</v>
      </c>
      <c r="F36" s="14">
        <f>'Summary July 25-August 24'!F18</f>
        <v>44</v>
      </c>
      <c r="G36" s="16">
        <f t="shared" si="4"/>
        <v>0.7857142857142857</v>
      </c>
    </row>
    <row r="37" spans="1:7" ht="15.6" x14ac:dyDescent="0.3">
      <c r="A37" s="12">
        <v>2</v>
      </c>
      <c r="B37" s="14" t="s">
        <v>24</v>
      </c>
      <c r="C37" s="13" t="s">
        <v>72</v>
      </c>
      <c r="D37" s="14">
        <f>'Summary July 25-August 24'!D36</f>
        <v>79</v>
      </c>
      <c r="E37" s="15">
        <f t="shared" si="5"/>
        <v>10</v>
      </c>
      <c r="F37" s="14">
        <f>'Summary July 25-August 24'!F36</f>
        <v>69</v>
      </c>
      <c r="G37" s="16">
        <f t="shared" si="4"/>
        <v>0.87341772151898733</v>
      </c>
    </row>
    <row r="38" spans="1:7" ht="15.6" x14ac:dyDescent="0.3">
      <c r="A38" s="12">
        <v>3</v>
      </c>
      <c r="B38" s="13" t="s">
        <v>24</v>
      </c>
      <c r="C38" s="13" t="s">
        <v>73</v>
      </c>
      <c r="D38" s="14">
        <f>'Summary July 25-August 24'!D56</f>
        <v>220</v>
      </c>
      <c r="E38" s="15">
        <f t="shared" si="5"/>
        <v>8</v>
      </c>
      <c r="F38" s="14">
        <f>'Summary July 25-August 24'!F56</f>
        <v>212</v>
      </c>
      <c r="G38" s="16">
        <f t="shared" si="4"/>
        <v>0.96363636363636362</v>
      </c>
    </row>
    <row r="39" spans="1:7" ht="15.6" x14ac:dyDescent="0.3">
      <c r="A39" s="12">
        <v>4</v>
      </c>
      <c r="B39" s="159" t="s">
        <v>24</v>
      </c>
      <c r="C39" s="145" t="s">
        <v>74</v>
      </c>
      <c r="D39" s="160">
        <f>'Summary July 25-August 24'!D69</f>
        <v>100</v>
      </c>
      <c r="E39" s="15">
        <f t="shared" si="5"/>
        <v>5</v>
      </c>
      <c r="F39" s="146">
        <f>'Summary July 25-August 24'!F69</f>
        <v>95</v>
      </c>
      <c r="G39" s="16">
        <f t="shared" si="4"/>
        <v>0.95</v>
      </c>
    </row>
    <row r="40" spans="1:7" ht="15.6" x14ac:dyDescent="0.3">
      <c r="A40" s="12">
        <v>5</v>
      </c>
      <c r="B40" s="159" t="s">
        <v>24</v>
      </c>
      <c r="C40" s="145" t="s">
        <v>75</v>
      </c>
      <c r="D40" s="160">
        <f>'Summary July 25-August 24'!D88</f>
        <v>100</v>
      </c>
      <c r="E40" s="15">
        <f t="shared" si="5"/>
        <v>4</v>
      </c>
      <c r="F40" s="148">
        <f>'Summary July 25-August 24'!F88</f>
        <v>96</v>
      </c>
      <c r="G40" s="16">
        <f t="shared" si="4"/>
        <v>0.96</v>
      </c>
    </row>
    <row r="41" spans="1:7" ht="15.6" x14ac:dyDescent="0.3">
      <c r="A41" s="12">
        <v>6</v>
      </c>
      <c r="B41" s="159" t="s">
        <v>24</v>
      </c>
      <c r="C41" s="145" t="s">
        <v>76</v>
      </c>
      <c r="D41" s="160">
        <f>'Summary July 25-August 24'!D107</f>
        <v>44</v>
      </c>
      <c r="E41" s="15">
        <f t="shared" si="5"/>
        <v>13</v>
      </c>
      <c r="F41" s="148">
        <f>'Summary July 25-August 24'!F107</f>
        <v>31</v>
      </c>
      <c r="G41" s="16">
        <f t="shared" si="4"/>
        <v>0.70454545454545459</v>
      </c>
    </row>
    <row r="42" spans="1:7" ht="15.6" x14ac:dyDescent="0.3">
      <c r="A42" s="12">
        <v>7</v>
      </c>
      <c r="B42" s="161" t="s">
        <v>24</v>
      </c>
      <c r="C42" s="151" t="s">
        <v>77</v>
      </c>
      <c r="D42" s="152">
        <f>'Summary July 25-August 24'!D126</f>
        <v>54</v>
      </c>
      <c r="E42" s="15">
        <f t="shared" si="5"/>
        <v>14</v>
      </c>
      <c r="F42" s="152">
        <f>'Summary July 25-August 24'!F126</f>
        <v>40</v>
      </c>
      <c r="G42" s="16">
        <f t="shared" si="4"/>
        <v>0.7407407407407407</v>
      </c>
    </row>
    <row r="43" spans="1:7" ht="15.6" x14ac:dyDescent="0.3">
      <c r="A43" s="12">
        <v>8</v>
      </c>
      <c r="B43" s="162" t="s">
        <v>24</v>
      </c>
      <c r="C43" s="154" t="s">
        <v>78</v>
      </c>
      <c r="D43" s="111">
        <f>'Summary July 25-August 24'!D145</f>
        <v>47</v>
      </c>
      <c r="E43" s="15">
        <f t="shared" si="5"/>
        <v>13</v>
      </c>
      <c r="F43" s="111">
        <f>'Summary July 25-August 24'!F145</f>
        <v>34</v>
      </c>
      <c r="G43" s="16">
        <f t="shared" si="4"/>
        <v>0.72340425531914898</v>
      </c>
    </row>
    <row r="44" spans="1:7" ht="15.6" x14ac:dyDescent="0.3">
      <c r="A44" s="12">
        <v>9</v>
      </c>
      <c r="B44" s="162" t="s">
        <v>24</v>
      </c>
      <c r="C44" s="154" t="s">
        <v>81</v>
      </c>
      <c r="D44" s="111">
        <f>'Summary July 25-August 24'!D164</f>
        <v>157</v>
      </c>
      <c r="E44" s="15">
        <f t="shared" si="5"/>
        <v>16</v>
      </c>
      <c r="F44" s="111">
        <f>'Summary July 25-August 24'!F164</f>
        <v>141</v>
      </c>
      <c r="G44" s="16">
        <f t="shared" si="4"/>
        <v>0.89808917197452232</v>
      </c>
    </row>
    <row r="45" spans="1:7" ht="15.6" x14ac:dyDescent="0.3">
      <c r="A45" s="12">
        <v>10</v>
      </c>
      <c r="B45" s="162" t="s">
        <v>24</v>
      </c>
      <c r="C45" s="151" t="s">
        <v>99</v>
      </c>
      <c r="D45" s="111">
        <f>'Summary July 25-August 24'!D184</f>
        <v>168</v>
      </c>
      <c r="E45" s="15">
        <f t="shared" si="5"/>
        <v>29</v>
      </c>
      <c r="F45" s="111">
        <f>'Summary July 25-August 24'!F184</f>
        <v>139</v>
      </c>
      <c r="G45" s="16">
        <f t="shared" si="4"/>
        <v>0.82738095238095233</v>
      </c>
    </row>
    <row r="46" spans="1:7" ht="15.6" x14ac:dyDescent="0.3">
      <c r="A46" s="12">
        <v>11</v>
      </c>
      <c r="B46" s="162" t="s">
        <v>24</v>
      </c>
      <c r="C46" s="151" t="s">
        <v>112</v>
      </c>
      <c r="D46" s="111">
        <f>'Summary July 25-August 24'!D206</f>
        <v>100</v>
      </c>
      <c r="E46" s="15">
        <f t="shared" si="5"/>
        <v>8</v>
      </c>
      <c r="F46" s="111">
        <f>'Summary July 25-August 24'!F206</f>
        <v>92</v>
      </c>
      <c r="G46" s="16">
        <f t="shared" si="4"/>
        <v>0.92</v>
      </c>
    </row>
    <row r="47" spans="1:7" ht="15.6" x14ac:dyDescent="0.3">
      <c r="A47" s="12">
        <v>12</v>
      </c>
      <c r="B47" s="162" t="s">
        <v>24</v>
      </c>
      <c r="C47" s="151" t="s">
        <v>116</v>
      </c>
      <c r="D47" s="111">
        <f>'Summary July 25-August 24'!J228</f>
        <v>54</v>
      </c>
      <c r="E47" s="15">
        <f t="shared" si="5"/>
        <v>11</v>
      </c>
      <c r="F47" s="111">
        <f>'Summary July 25-August 24'!M228</f>
        <v>43</v>
      </c>
      <c r="G47" s="16">
        <f t="shared" si="4"/>
        <v>0.79629629629629628</v>
      </c>
    </row>
    <row r="48" spans="1:7" ht="15.6" x14ac:dyDescent="0.3">
      <c r="A48" s="12">
        <v>13</v>
      </c>
      <c r="B48" s="162" t="s">
        <v>24</v>
      </c>
      <c r="C48" s="151" t="s">
        <v>125</v>
      </c>
      <c r="D48" s="111">
        <f>'Summary July 25-August 24'!J248</f>
        <v>268</v>
      </c>
      <c r="E48" s="15">
        <f t="shared" si="5"/>
        <v>219</v>
      </c>
      <c r="F48" s="111">
        <f>'Summary July 25-August 24'!M248</f>
        <v>49</v>
      </c>
      <c r="G48" s="16">
        <f t="shared" si="4"/>
        <v>0.18283582089552239</v>
      </c>
    </row>
    <row r="49" spans="1:7" ht="15.6" x14ac:dyDescent="0.3">
      <c r="A49" s="12">
        <v>14</v>
      </c>
      <c r="B49" s="162" t="s">
        <v>24</v>
      </c>
      <c r="C49" s="19" t="s">
        <v>79</v>
      </c>
      <c r="D49" s="14"/>
      <c r="E49" s="15">
        <f t="shared" si="5"/>
        <v>0</v>
      </c>
      <c r="F49" s="14"/>
      <c r="G49" s="16"/>
    </row>
    <row r="50" spans="1:7" ht="15.6" x14ac:dyDescent="0.3">
      <c r="A50" s="137"/>
      <c r="B50" s="155"/>
      <c r="C50" s="156"/>
      <c r="D50" s="138">
        <f>SUM(D36:D49)</f>
        <v>1447</v>
      </c>
      <c r="E50" s="138">
        <f>SUM(E36:E49)</f>
        <v>362</v>
      </c>
      <c r="F50" s="138">
        <f>SUM(F36:F49)</f>
        <v>1085</v>
      </c>
      <c r="G50" s="140">
        <f t="shared" ref="G50:G63" si="6">F50/D50</f>
        <v>0.7498272287491361</v>
      </c>
    </row>
    <row r="51" spans="1:7" ht="15.6" x14ac:dyDescent="0.3">
      <c r="A51" s="12">
        <v>1</v>
      </c>
      <c r="B51" s="14" t="s">
        <v>25</v>
      </c>
      <c r="C51" s="13" t="s">
        <v>71</v>
      </c>
      <c r="D51" s="14">
        <f>'Summary July 25-August 24'!D14</f>
        <v>352</v>
      </c>
      <c r="E51" s="15">
        <f t="shared" ref="E51:E64" si="7">D51-F51</f>
        <v>0</v>
      </c>
      <c r="F51" s="14">
        <f>'Summary July 25-August 24'!F14</f>
        <v>352</v>
      </c>
      <c r="G51" s="16">
        <f t="shared" si="6"/>
        <v>1</v>
      </c>
    </row>
    <row r="52" spans="1:7" ht="15.6" x14ac:dyDescent="0.3">
      <c r="A52" s="12">
        <v>2</v>
      </c>
      <c r="B52" s="13" t="s">
        <v>25</v>
      </c>
      <c r="C52" s="13" t="s">
        <v>72</v>
      </c>
      <c r="D52" s="13">
        <f>'Summary July 25-August 24'!D29</f>
        <v>818</v>
      </c>
      <c r="E52" s="15">
        <f t="shared" si="7"/>
        <v>0</v>
      </c>
      <c r="F52" s="13">
        <f>'Summary July 25-August 24'!F29</f>
        <v>818</v>
      </c>
      <c r="G52" s="16">
        <f t="shared" si="6"/>
        <v>1</v>
      </c>
    </row>
    <row r="53" spans="1:7" ht="15.6" x14ac:dyDescent="0.3">
      <c r="A53" s="12">
        <v>3</v>
      </c>
      <c r="B53" s="14" t="s">
        <v>25</v>
      </c>
      <c r="C53" s="13" t="s">
        <v>73</v>
      </c>
      <c r="D53" s="14">
        <f>'Summary July 25-August 24'!D48</f>
        <v>1734</v>
      </c>
      <c r="E53" s="15">
        <f t="shared" si="7"/>
        <v>0</v>
      </c>
      <c r="F53" s="14">
        <f>'Summary July 25-August 24'!F48</f>
        <v>1734</v>
      </c>
      <c r="G53" s="16">
        <f t="shared" si="6"/>
        <v>1</v>
      </c>
    </row>
    <row r="54" spans="1:7" ht="15.6" x14ac:dyDescent="0.3">
      <c r="A54" s="12">
        <v>4</v>
      </c>
      <c r="B54" s="144" t="s">
        <v>25</v>
      </c>
      <c r="C54" s="145" t="s">
        <v>74</v>
      </c>
      <c r="D54" s="43">
        <f>'Summary July 25-August 24'!D70</f>
        <v>448</v>
      </c>
      <c r="E54" s="15">
        <f t="shared" si="7"/>
        <v>0</v>
      </c>
      <c r="F54" s="146">
        <f>'Summary July 25-August 24'!F70</f>
        <v>448</v>
      </c>
      <c r="G54" s="16">
        <f t="shared" si="6"/>
        <v>1</v>
      </c>
    </row>
    <row r="55" spans="1:7" ht="15.6" x14ac:dyDescent="0.3">
      <c r="A55" s="12">
        <v>5</v>
      </c>
      <c r="B55" s="144" t="s">
        <v>25</v>
      </c>
      <c r="C55" s="145" t="s">
        <v>75</v>
      </c>
      <c r="D55" s="43">
        <f>'Summary July 25-August 24'!D89</f>
        <v>48</v>
      </c>
      <c r="E55" s="15">
        <f t="shared" si="7"/>
        <v>0</v>
      </c>
      <c r="F55" s="148">
        <f>'Summary July 25-August 24'!F89</f>
        <v>48</v>
      </c>
      <c r="G55" s="16">
        <f t="shared" si="6"/>
        <v>1</v>
      </c>
    </row>
    <row r="56" spans="1:7" ht="15.6" x14ac:dyDescent="0.3">
      <c r="A56" s="12">
        <v>6</v>
      </c>
      <c r="B56" s="144" t="s">
        <v>25</v>
      </c>
      <c r="C56" s="145" t="s">
        <v>76</v>
      </c>
      <c r="D56" s="43">
        <f>'Summary July 25-August 24'!D108</f>
        <v>163</v>
      </c>
      <c r="E56" s="15">
        <f t="shared" si="7"/>
        <v>4</v>
      </c>
      <c r="F56" s="148">
        <f>'Summary July 25-August 24'!F108</f>
        <v>159</v>
      </c>
      <c r="G56" s="16">
        <f t="shared" si="6"/>
        <v>0.97546012269938653</v>
      </c>
    </row>
    <row r="57" spans="1:7" ht="15.6" x14ac:dyDescent="0.3">
      <c r="A57" s="12">
        <v>7</v>
      </c>
      <c r="B57" s="150" t="s">
        <v>25</v>
      </c>
      <c r="C57" s="151" t="s">
        <v>77</v>
      </c>
      <c r="D57" s="152">
        <f>'Summary July 25-August 24'!D127</f>
        <v>24</v>
      </c>
      <c r="E57" s="15">
        <f t="shared" si="7"/>
        <v>0</v>
      </c>
      <c r="F57" s="152">
        <f>'Summary July 25-August 24'!F127</f>
        <v>24</v>
      </c>
      <c r="G57" s="16">
        <f t="shared" si="6"/>
        <v>1</v>
      </c>
    </row>
    <row r="58" spans="1:7" ht="15.6" x14ac:dyDescent="0.3">
      <c r="A58" s="12">
        <v>8</v>
      </c>
      <c r="B58" s="163" t="s">
        <v>25</v>
      </c>
      <c r="C58" s="154" t="s">
        <v>78</v>
      </c>
      <c r="D58" s="111">
        <f>'Summary July 25-August 24'!D146</f>
        <v>17</v>
      </c>
      <c r="E58" s="15">
        <f t="shared" si="7"/>
        <v>0</v>
      </c>
      <c r="F58" s="111">
        <f>'Summary July 25-August 24'!F146</f>
        <v>17</v>
      </c>
      <c r="G58" s="16">
        <f t="shared" si="6"/>
        <v>1</v>
      </c>
    </row>
    <row r="59" spans="1:7" ht="15.6" x14ac:dyDescent="0.3">
      <c r="A59" s="12">
        <v>9</v>
      </c>
      <c r="B59" s="163" t="s">
        <v>25</v>
      </c>
      <c r="C59" s="154" t="s">
        <v>81</v>
      </c>
      <c r="D59" s="111">
        <f>'Summary July 25-August 24'!D165</f>
        <v>195</v>
      </c>
      <c r="E59" s="15">
        <f t="shared" si="7"/>
        <v>0</v>
      </c>
      <c r="F59" s="111">
        <f>'Summary July 25-August 24'!F165</f>
        <v>195</v>
      </c>
      <c r="G59" s="16">
        <f t="shared" si="6"/>
        <v>1</v>
      </c>
    </row>
    <row r="60" spans="1:7" ht="15.6" x14ac:dyDescent="0.3">
      <c r="A60" s="12">
        <v>10</v>
      </c>
      <c r="B60" s="163" t="s">
        <v>25</v>
      </c>
      <c r="C60" s="151" t="s">
        <v>99</v>
      </c>
      <c r="D60" s="111">
        <f>'Summary July 25-August 24'!D185</f>
        <v>607</v>
      </c>
      <c r="E60" s="15">
        <f t="shared" si="7"/>
        <v>171</v>
      </c>
      <c r="F60" s="111">
        <f>'Summary July 25-August 24'!F185</f>
        <v>436</v>
      </c>
      <c r="G60" s="16">
        <f t="shared" si="6"/>
        <v>0.71828665568369032</v>
      </c>
    </row>
    <row r="61" spans="1:7" ht="15.6" x14ac:dyDescent="0.3">
      <c r="A61" s="12">
        <v>11</v>
      </c>
      <c r="B61" s="163" t="s">
        <v>25</v>
      </c>
      <c r="C61" s="151" t="s">
        <v>112</v>
      </c>
      <c r="D61" s="111">
        <f>'Summary July 25-August 24'!D207</f>
        <v>43</v>
      </c>
      <c r="E61" s="15">
        <f t="shared" si="7"/>
        <v>0</v>
      </c>
      <c r="F61" s="111">
        <f>'Summary July 25-August 24'!F207</f>
        <v>43</v>
      </c>
      <c r="G61" s="16">
        <f t="shared" si="6"/>
        <v>1</v>
      </c>
    </row>
    <row r="62" spans="1:7" ht="15.6" x14ac:dyDescent="0.3">
      <c r="A62" s="12">
        <v>12</v>
      </c>
      <c r="B62" s="163" t="s">
        <v>25</v>
      </c>
      <c r="C62" s="151" t="s">
        <v>116</v>
      </c>
      <c r="D62" s="111">
        <f>'Summary July 25-August 24'!J229</f>
        <v>192</v>
      </c>
      <c r="E62" s="15">
        <f t="shared" si="7"/>
        <v>192</v>
      </c>
      <c r="F62" s="111">
        <f>'Summary July 25-August 24'!M229</f>
        <v>0</v>
      </c>
      <c r="G62" s="16">
        <f t="shared" si="6"/>
        <v>0</v>
      </c>
    </row>
    <row r="63" spans="1:7" ht="15.6" x14ac:dyDescent="0.3">
      <c r="A63" s="12">
        <v>13</v>
      </c>
      <c r="B63" s="163" t="s">
        <v>25</v>
      </c>
      <c r="C63" s="151" t="s">
        <v>125</v>
      </c>
      <c r="D63" s="111">
        <f>'Summary July 25-August 24'!J250</f>
        <v>582</v>
      </c>
      <c r="E63" s="15">
        <f t="shared" si="7"/>
        <v>582</v>
      </c>
      <c r="F63" s="111">
        <f>'Summary July 25-August 24'!M250</f>
        <v>0</v>
      </c>
      <c r="G63" s="16">
        <f t="shared" si="6"/>
        <v>0</v>
      </c>
    </row>
    <row r="64" spans="1:7" ht="15.6" x14ac:dyDescent="0.3">
      <c r="A64" s="12">
        <v>14</v>
      </c>
      <c r="B64" s="163" t="s">
        <v>25</v>
      </c>
      <c r="C64" s="19" t="s">
        <v>79</v>
      </c>
      <c r="D64" s="14"/>
      <c r="E64" s="15">
        <f t="shared" si="7"/>
        <v>0</v>
      </c>
      <c r="F64" s="14"/>
      <c r="G64" s="16"/>
    </row>
    <row r="65" spans="1:7" ht="15.6" x14ac:dyDescent="0.3">
      <c r="A65" s="137"/>
      <c r="B65" s="138"/>
      <c r="C65" s="156"/>
      <c r="D65" s="138">
        <f>SUM(D51:D64)</f>
        <v>5223</v>
      </c>
      <c r="E65" s="138">
        <f>SUM(E51:E64)</f>
        <v>949</v>
      </c>
      <c r="F65" s="138">
        <f>SUM(F51:F64)</f>
        <v>4274</v>
      </c>
      <c r="G65" s="140">
        <f t="shared" ref="G65:G108" si="8">F65/D65</f>
        <v>0.81830365690216356</v>
      </c>
    </row>
    <row r="66" spans="1:7" ht="15.6" x14ac:dyDescent="0.3">
      <c r="A66" s="12">
        <v>1</v>
      </c>
      <c r="B66" s="15" t="s">
        <v>18</v>
      </c>
      <c r="C66" s="13" t="s">
        <v>71</v>
      </c>
      <c r="D66" s="15">
        <f>'Summary July 25-August 24'!D9</f>
        <v>1302</v>
      </c>
      <c r="E66" s="15">
        <f t="shared" ref="E66:E79" si="9">D66-F66</f>
        <v>4</v>
      </c>
      <c r="F66" s="15">
        <f>'Summary July 25-August 24'!F9</f>
        <v>1298</v>
      </c>
      <c r="G66" s="16">
        <f t="shared" si="8"/>
        <v>0.99692780337941633</v>
      </c>
    </row>
    <row r="67" spans="1:7" ht="15.6" x14ac:dyDescent="0.3">
      <c r="A67" s="12">
        <v>2</v>
      </c>
      <c r="B67" s="15" t="s">
        <v>18</v>
      </c>
      <c r="C67" s="13" t="s">
        <v>72</v>
      </c>
      <c r="D67" s="15">
        <f>'Summary July 25-August 24'!D28</f>
        <v>1596</v>
      </c>
      <c r="E67" s="15">
        <f t="shared" si="9"/>
        <v>3</v>
      </c>
      <c r="F67" s="15">
        <f>'Summary July 25-August 24'!F28</f>
        <v>1593</v>
      </c>
      <c r="G67" s="16">
        <f t="shared" si="8"/>
        <v>0.99812030075187974</v>
      </c>
    </row>
    <row r="68" spans="1:7" ht="15.6" x14ac:dyDescent="0.3">
      <c r="A68" s="12">
        <v>3</v>
      </c>
      <c r="B68" s="15" t="s">
        <v>18</v>
      </c>
      <c r="C68" s="13" t="s">
        <v>73</v>
      </c>
      <c r="D68" s="15">
        <f>'Summary July 25-August 24'!D47</f>
        <v>1406</v>
      </c>
      <c r="E68" s="15">
        <f t="shared" si="9"/>
        <v>4</v>
      </c>
      <c r="F68" s="15">
        <f>'Summary July 25-August 24'!F47</f>
        <v>1402</v>
      </c>
      <c r="G68" s="16">
        <f t="shared" si="8"/>
        <v>0.99715504978662872</v>
      </c>
    </row>
    <row r="69" spans="1:7" ht="15.6" x14ac:dyDescent="0.3">
      <c r="A69" s="12">
        <v>4</v>
      </c>
      <c r="B69" s="145" t="s">
        <v>18</v>
      </c>
      <c r="C69" s="145" t="s">
        <v>74</v>
      </c>
      <c r="D69" s="148">
        <f>'Summary July 25-August 24'!D63</f>
        <v>1320</v>
      </c>
      <c r="E69" s="15">
        <f t="shared" si="9"/>
        <v>2</v>
      </c>
      <c r="F69" s="146">
        <f>'Summary July 25-August 24'!F63</f>
        <v>1318</v>
      </c>
      <c r="G69" s="16">
        <f t="shared" si="8"/>
        <v>0.99848484848484853</v>
      </c>
    </row>
    <row r="70" spans="1:7" ht="15.6" x14ac:dyDescent="0.3">
      <c r="A70" s="12">
        <v>5</v>
      </c>
      <c r="B70" s="148" t="s">
        <v>18</v>
      </c>
      <c r="C70" s="145" t="s">
        <v>75</v>
      </c>
      <c r="D70" s="148">
        <f>'Summary July 25-August 24'!D82</f>
        <v>1058</v>
      </c>
      <c r="E70" s="15">
        <f t="shared" si="9"/>
        <v>4</v>
      </c>
      <c r="F70" s="148">
        <f>'Summary July 25-August 24'!F82</f>
        <v>1054</v>
      </c>
      <c r="G70" s="16">
        <f t="shared" si="8"/>
        <v>0.99621928166351603</v>
      </c>
    </row>
    <row r="71" spans="1:7" ht="15.6" x14ac:dyDescent="0.3">
      <c r="A71" s="12">
        <v>6</v>
      </c>
      <c r="B71" s="145" t="s">
        <v>18</v>
      </c>
      <c r="C71" s="145" t="s">
        <v>76</v>
      </c>
      <c r="D71" s="145">
        <f>'Summary July 25-August 24'!D101</f>
        <v>458</v>
      </c>
      <c r="E71" s="15">
        <f t="shared" si="9"/>
        <v>2</v>
      </c>
      <c r="F71" s="148">
        <f>'Summary July 25-August 24'!F101</f>
        <v>456</v>
      </c>
      <c r="G71" s="16">
        <f t="shared" si="8"/>
        <v>0.99563318777292575</v>
      </c>
    </row>
    <row r="72" spans="1:7" ht="15.6" x14ac:dyDescent="0.3">
      <c r="A72" s="12">
        <v>7</v>
      </c>
      <c r="B72" s="152" t="s">
        <v>18</v>
      </c>
      <c r="C72" s="151" t="s">
        <v>77</v>
      </c>
      <c r="D72" s="152">
        <f>'Summary July 25-August 24'!D120</f>
        <v>446</v>
      </c>
      <c r="E72" s="15">
        <f t="shared" si="9"/>
        <v>1</v>
      </c>
      <c r="F72" s="152">
        <f>'Summary July 25-August 24'!F120</f>
        <v>445</v>
      </c>
      <c r="G72" s="16">
        <f t="shared" si="8"/>
        <v>0.99775784753363228</v>
      </c>
    </row>
    <row r="73" spans="1:7" ht="15.6" x14ac:dyDescent="0.3">
      <c r="A73" s="12">
        <v>8</v>
      </c>
      <c r="B73" s="111" t="s">
        <v>18</v>
      </c>
      <c r="C73" s="154" t="s">
        <v>78</v>
      </c>
      <c r="D73" s="111">
        <f>'Summary July 25-August 24'!D139</f>
        <v>467</v>
      </c>
      <c r="E73" s="15">
        <f t="shared" si="9"/>
        <v>7</v>
      </c>
      <c r="F73" s="111">
        <f>'Summary July 25-August 24'!F139</f>
        <v>460</v>
      </c>
      <c r="G73" s="16">
        <f t="shared" si="8"/>
        <v>0.98501070663811563</v>
      </c>
    </row>
    <row r="74" spans="1:7" ht="15.6" x14ac:dyDescent="0.3">
      <c r="A74" s="12">
        <v>9</v>
      </c>
      <c r="B74" s="111" t="s">
        <v>18</v>
      </c>
      <c r="C74" s="154" t="s">
        <v>81</v>
      </c>
      <c r="D74" s="111">
        <f>'Summary July 25-August 24'!D158</f>
        <v>504</v>
      </c>
      <c r="E74" s="15">
        <f t="shared" si="9"/>
        <v>2</v>
      </c>
      <c r="F74" s="111">
        <f>'Summary July 25-August 24'!F158</f>
        <v>502</v>
      </c>
      <c r="G74" s="16">
        <f t="shared" si="8"/>
        <v>0.99603174603174605</v>
      </c>
    </row>
    <row r="75" spans="1:7" ht="15.6" x14ac:dyDescent="0.3">
      <c r="A75" s="12">
        <v>10</v>
      </c>
      <c r="B75" s="111" t="s">
        <v>18</v>
      </c>
      <c r="C75" s="151" t="s">
        <v>99</v>
      </c>
      <c r="D75" s="111">
        <f>'Summary July 25-August 24'!D178</f>
        <v>601</v>
      </c>
      <c r="E75" s="15">
        <f t="shared" si="9"/>
        <v>5</v>
      </c>
      <c r="F75" s="111">
        <f>'Summary July 25-August 24'!F178</f>
        <v>596</v>
      </c>
      <c r="G75" s="16">
        <f t="shared" si="8"/>
        <v>0.99168053244592347</v>
      </c>
    </row>
    <row r="76" spans="1:7" ht="15.6" x14ac:dyDescent="0.3">
      <c r="A76" s="12">
        <v>11</v>
      </c>
      <c r="B76" s="111" t="s">
        <v>18</v>
      </c>
      <c r="C76" s="151" t="s">
        <v>112</v>
      </c>
      <c r="D76" s="111">
        <f>'Summary July 25-August 24'!D200</f>
        <v>425</v>
      </c>
      <c r="E76" s="15">
        <f t="shared" si="9"/>
        <v>41</v>
      </c>
      <c r="F76" s="111">
        <f>'Summary July 25-August 24'!F200</f>
        <v>384</v>
      </c>
      <c r="G76" s="16">
        <f t="shared" si="8"/>
        <v>0.90352941176470591</v>
      </c>
    </row>
    <row r="77" spans="1:7" ht="15.6" x14ac:dyDescent="0.3">
      <c r="A77" s="12">
        <v>12</v>
      </c>
      <c r="B77" s="111" t="s">
        <v>18</v>
      </c>
      <c r="C77" s="151" t="s">
        <v>116</v>
      </c>
      <c r="D77" s="111">
        <f>'Summary July 25-August 24'!J222</f>
        <v>353</v>
      </c>
      <c r="E77" s="15">
        <f t="shared" si="9"/>
        <v>21</v>
      </c>
      <c r="F77" s="111">
        <f>'Summary July 25-August 24'!M222</f>
        <v>332</v>
      </c>
      <c r="G77" s="16">
        <f t="shared" si="8"/>
        <v>0.94050991501416425</v>
      </c>
    </row>
    <row r="78" spans="1:7" ht="15.6" x14ac:dyDescent="0.3">
      <c r="A78" s="12">
        <v>13</v>
      </c>
      <c r="B78" s="111" t="s">
        <v>18</v>
      </c>
      <c r="C78" s="151" t="s">
        <v>125</v>
      </c>
      <c r="D78" s="111">
        <f>'Summary July 25-August 24'!J242</f>
        <v>625</v>
      </c>
      <c r="E78" s="15">
        <f t="shared" si="9"/>
        <v>384</v>
      </c>
      <c r="F78" s="111">
        <f>'Summary July 25-August 24'!M242</f>
        <v>241</v>
      </c>
      <c r="G78" s="16">
        <f t="shared" si="8"/>
        <v>0.3856</v>
      </c>
    </row>
    <row r="79" spans="1:7" ht="15.6" x14ac:dyDescent="0.3">
      <c r="A79" s="12">
        <v>14</v>
      </c>
      <c r="B79" s="111" t="s">
        <v>18</v>
      </c>
      <c r="C79" s="19" t="s">
        <v>79</v>
      </c>
      <c r="D79" s="15">
        <f>'Summary July 25-August 24'!J265</f>
        <v>903</v>
      </c>
      <c r="E79" s="15">
        <f t="shared" si="9"/>
        <v>192</v>
      </c>
      <c r="F79" s="15">
        <f>'Summary July 25-August 24'!M265</f>
        <v>711</v>
      </c>
      <c r="G79" s="16">
        <f t="shared" si="8"/>
        <v>0.78737541528239208</v>
      </c>
    </row>
    <row r="80" spans="1:7" ht="15.6" x14ac:dyDescent="0.3">
      <c r="A80" s="164"/>
      <c r="B80" s="165"/>
      <c r="C80" s="156"/>
      <c r="D80" s="165">
        <f>SUM(D66:D79)</f>
        <v>11464</v>
      </c>
      <c r="E80" s="165">
        <f>SUM(E66:E79)</f>
        <v>672</v>
      </c>
      <c r="F80" s="165">
        <f>SUM(F66:F79)</f>
        <v>10792</v>
      </c>
      <c r="G80" s="166">
        <f t="shared" si="8"/>
        <v>0.94138171667829729</v>
      </c>
    </row>
    <row r="81" spans="1:7" ht="15.6" x14ac:dyDescent="0.3">
      <c r="A81" s="167">
        <v>1</v>
      </c>
      <c r="B81" s="14" t="s">
        <v>26</v>
      </c>
      <c r="C81" s="13" t="s">
        <v>71</v>
      </c>
      <c r="D81" s="17">
        <f>'Summary July 25-August 24'!D17</f>
        <v>359</v>
      </c>
      <c r="E81" s="15">
        <f t="shared" ref="E81:E94" si="10">D81-F81</f>
        <v>12</v>
      </c>
      <c r="F81" s="14">
        <f>'Summary July 25-August 24'!F17</f>
        <v>347</v>
      </c>
      <c r="G81" s="16">
        <f t="shared" si="8"/>
        <v>0.96657381615598881</v>
      </c>
    </row>
    <row r="82" spans="1:7" ht="15.6" x14ac:dyDescent="0.3">
      <c r="A82" s="167">
        <v>2</v>
      </c>
      <c r="B82" s="13" t="s">
        <v>26</v>
      </c>
      <c r="C82" s="13" t="s">
        <v>72</v>
      </c>
      <c r="D82" s="17">
        <f>'Summary July 25-August 24'!D35</f>
        <v>395</v>
      </c>
      <c r="E82" s="15">
        <f t="shared" si="10"/>
        <v>17</v>
      </c>
      <c r="F82" s="14">
        <f>'Summary July 25-August 24'!F35</f>
        <v>378</v>
      </c>
      <c r="G82" s="16">
        <f t="shared" si="8"/>
        <v>0.95696202531645569</v>
      </c>
    </row>
    <row r="83" spans="1:7" ht="15.6" x14ac:dyDescent="0.3">
      <c r="A83" s="167">
        <v>3</v>
      </c>
      <c r="B83" s="14" t="s">
        <v>26</v>
      </c>
      <c r="C83" s="13" t="s">
        <v>73</v>
      </c>
      <c r="D83" s="17">
        <f>'Summary July 25-August 24'!D54</f>
        <v>405</v>
      </c>
      <c r="E83" s="15">
        <f t="shared" si="10"/>
        <v>15</v>
      </c>
      <c r="F83" s="14">
        <f>'Summary July 25-August 24'!F54</f>
        <v>390</v>
      </c>
      <c r="G83" s="16">
        <f t="shared" si="8"/>
        <v>0.96296296296296291</v>
      </c>
    </row>
    <row r="84" spans="1:7" ht="15.6" x14ac:dyDescent="0.3">
      <c r="A84" s="167">
        <v>4</v>
      </c>
      <c r="B84" s="43" t="s">
        <v>26</v>
      </c>
      <c r="C84" s="145" t="s">
        <v>74</v>
      </c>
      <c r="D84" s="168">
        <f>'Summary July 25-August 24'!D71</f>
        <v>520</v>
      </c>
      <c r="E84" s="15">
        <f t="shared" si="10"/>
        <v>19</v>
      </c>
      <c r="F84" s="146">
        <f>'Summary July 25-August 24'!F71</f>
        <v>501</v>
      </c>
      <c r="G84" s="147">
        <f t="shared" si="8"/>
        <v>0.96346153846153848</v>
      </c>
    </row>
    <row r="85" spans="1:7" ht="15.6" x14ac:dyDescent="0.3">
      <c r="A85" s="167">
        <v>5</v>
      </c>
      <c r="B85" s="43" t="s">
        <v>26</v>
      </c>
      <c r="C85" s="145" t="s">
        <v>75</v>
      </c>
      <c r="D85" s="168">
        <f>'Summary July 25-August 24'!D90</f>
        <v>625</v>
      </c>
      <c r="E85" s="15">
        <f t="shared" si="10"/>
        <v>29</v>
      </c>
      <c r="F85" s="148">
        <f>'Summary July 25-August 24'!F90</f>
        <v>596</v>
      </c>
      <c r="G85" s="16">
        <f t="shared" si="8"/>
        <v>0.9536</v>
      </c>
    </row>
    <row r="86" spans="1:7" ht="15.6" x14ac:dyDescent="0.3">
      <c r="A86" s="167">
        <v>6</v>
      </c>
      <c r="B86" s="43" t="s">
        <v>26</v>
      </c>
      <c r="C86" s="145" t="s">
        <v>76</v>
      </c>
      <c r="D86" s="168">
        <f>'Summary July 25-August 24'!D109</f>
        <v>494</v>
      </c>
      <c r="E86" s="15">
        <f t="shared" si="10"/>
        <v>100</v>
      </c>
      <c r="F86" s="148">
        <f>'Summary July 25-August 24'!F109</f>
        <v>394</v>
      </c>
      <c r="G86" s="16">
        <f t="shared" si="8"/>
        <v>0.79757085020242913</v>
      </c>
    </row>
    <row r="87" spans="1:7" ht="15.6" x14ac:dyDescent="0.3">
      <c r="A87" s="167">
        <v>7</v>
      </c>
      <c r="B87" s="91" t="s">
        <v>26</v>
      </c>
      <c r="C87" s="151" t="s">
        <v>77</v>
      </c>
      <c r="D87" s="91">
        <f>'Summary July 25-August 24'!D128</f>
        <v>6573</v>
      </c>
      <c r="E87" s="15">
        <f t="shared" si="10"/>
        <v>280</v>
      </c>
      <c r="F87" s="152">
        <f>'Summary July 25-August 24'!F128</f>
        <v>6293</v>
      </c>
      <c r="G87" s="16">
        <f t="shared" si="8"/>
        <v>0.95740149094781679</v>
      </c>
    </row>
    <row r="88" spans="1:7" ht="15.6" x14ac:dyDescent="0.3">
      <c r="A88" s="167">
        <v>8</v>
      </c>
      <c r="B88" s="110" t="s">
        <v>26</v>
      </c>
      <c r="C88" s="154" t="s">
        <v>78</v>
      </c>
      <c r="D88" s="114">
        <f>'Summary July 25-August 24'!D147</f>
        <v>1314</v>
      </c>
      <c r="E88" s="15">
        <f t="shared" si="10"/>
        <v>214</v>
      </c>
      <c r="F88" s="111">
        <f>'Summary July 25-August 24'!F147</f>
        <v>1100</v>
      </c>
      <c r="G88" s="147">
        <f t="shared" si="8"/>
        <v>0.83713850837138504</v>
      </c>
    </row>
    <row r="89" spans="1:7" ht="15.6" x14ac:dyDescent="0.3">
      <c r="A89" s="167">
        <v>9</v>
      </c>
      <c r="B89" s="110" t="s">
        <v>26</v>
      </c>
      <c r="C89" s="154" t="s">
        <v>81</v>
      </c>
      <c r="D89" s="114">
        <f>'Summary July 25-August 24'!D166</f>
        <v>453</v>
      </c>
      <c r="E89" s="15">
        <f t="shared" si="10"/>
        <v>46</v>
      </c>
      <c r="F89" s="111">
        <f>'Summary July 25-August 24'!F166</f>
        <v>407</v>
      </c>
      <c r="G89" s="16">
        <f t="shared" si="8"/>
        <v>0.89845474613686538</v>
      </c>
    </row>
    <row r="90" spans="1:7" ht="15.6" x14ac:dyDescent="0.3">
      <c r="A90" s="167">
        <v>10</v>
      </c>
      <c r="B90" s="110" t="s">
        <v>26</v>
      </c>
      <c r="C90" s="151" t="s">
        <v>99</v>
      </c>
      <c r="D90" s="114">
        <f>'Summary July 25-August 24'!D186</f>
        <v>307</v>
      </c>
      <c r="E90" s="15">
        <f t="shared" si="10"/>
        <v>11</v>
      </c>
      <c r="F90" s="111">
        <f>'Summary July 25-August 24'!F186</f>
        <v>296</v>
      </c>
      <c r="G90" s="16">
        <f t="shared" si="8"/>
        <v>0.96416938110749184</v>
      </c>
    </row>
    <row r="91" spans="1:7" ht="15.6" x14ac:dyDescent="0.3">
      <c r="A91" s="167">
        <v>11</v>
      </c>
      <c r="B91" s="110" t="s">
        <v>26</v>
      </c>
      <c r="C91" s="151" t="s">
        <v>112</v>
      </c>
      <c r="D91" s="114">
        <f>'Summary July 25-August 24'!D208</f>
        <v>491</v>
      </c>
      <c r="E91" s="15">
        <f t="shared" si="10"/>
        <v>20</v>
      </c>
      <c r="F91" s="111">
        <f>'Summary July 25-August 24'!F208</f>
        <v>471</v>
      </c>
      <c r="G91" s="16">
        <f t="shared" si="8"/>
        <v>0.95926680244399187</v>
      </c>
    </row>
    <row r="92" spans="1:7" ht="15.6" x14ac:dyDescent="0.3">
      <c r="A92" s="12">
        <v>12</v>
      </c>
      <c r="B92" s="110" t="s">
        <v>26</v>
      </c>
      <c r="C92" s="151" t="s">
        <v>116</v>
      </c>
      <c r="D92" s="114">
        <f>'Summary July 25-August 24'!J230</f>
        <v>179</v>
      </c>
      <c r="E92" s="15">
        <f t="shared" si="10"/>
        <v>58</v>
      </c>
      <c r="F92" s="111">
        <f>'Summary July 25-August 24'!M230</f>
        <v>121</v>
      </c>
      <c r="G92" s="147">
        <f t="shared" si="8"/>
        <v>0.67597765363128492</v>
      </c>
    </row>
    <row r="93" spans="1:7" ht="15.6" x14ac:dyDescent="0.3">
      <c r="A93" s="12">
        <v>13</v>
      </c>
      <c r="B93" s="110" t="s">
        <v>26</v>
      </c>
      <c r="C93" s="151" t="s">
        <v>125</v>
      </c>
      <c r="D93" s="114">
        <f>'Summary July 25-August 24'!J250</f>
        <v>582</v>
      </c>
      <c r="E93" s="15">
        <f t="shared" si="10"/>
        <v>582</v>
      </c>
      <c r="F93" s="111">
        <f>'Summary July 25-August 24'!M250</f>
        <v>0</v>
      </c>
      <c r="G93" s="16">
        <f t="shared" si="8"/>
        <v>0</v>
      </c>
    </row>
    <row r="94" spans="1:7" ht="15.6" x14ac:dyDescent="0.3">
      <c r="A94" s="12">
        <v>14</v>
      </c>
      <c r="B94" s="110" t="s">
        <v>26</v>
      </c>
      <c r="C94" s="19" t="s">
        <v>79</v>
      </c>
      <c r="D94" s="17">
        <f>'Summary July 25-August 24'!J273</f>
        <v>120</v>
      </c>
      <c r="E94" s="15">
        <f t="shared" si="10"/>
        <v>75</v>
      </c>
      <c r="F94" s="14">
        <f>'Summary July 25-August 24'!M273</f>
        <v>45</v>
      </c>
      <c r="G94" s="16">
        <f t="shared" si="8"/>
        <v>0.375</v>
      </c>
    </row>
    <row r="95" spans="1:7" ht="15.6" x14ac:dyDescent="0.3">
      <c r="A95" s="169"/>
      <c r="B95" s="155"/>
      <c r="C95" s="156"/>
      <c r="D95" s="170">
        <f>SUM(D81:D94)</f>
        <v>12817</v>
      </c>
      <c r="E95" s="170">
        <f>SUM(E81:E94)</f>
        <v>1478</v>
      </c>
      <c r="F95" s="170">
        <f>SUM(F81:F94)</f>
        <v>11339</v>
      </c>
      <c r="G95" s="171">
        <f t="shared" si="8"/>
        <v>0.8846844035265663</v>
      </c>
    </row>
    <row r="96" spans="1:7" ht="15.6" x14ac:dyDescent="0.3">
      <c r="A96" s="172">
        <v>1</v>
      </c>
      <c r="B96" s="13" t="s">
        <v>27</v>
      </c>
      <c r="C96" s="13" t="s">
        <v>71</v>
      </c>
      <c r="D96" s="19">
        <f>'Summary July 25-August 24'!D10</f>
        <v>85</v>
      </c>
      <c r="E96" s="15">
        <f t="shared" ref="E96:E109" si="11">D96-F96</f>
        <v>2</v>
      </c>
      <c r="F96" s="14">
        <f>'Summary July 25-August 24'!F10</f>
        <v>83</v>
      </c>
      <c r="G96" s="16">
        <f t="shared" si="8"/>
        <v>0.97647058823529409</v>
      </c>
    </row>
    <row r="97" spans="1:7" ht="15.6" x14ac:dyDescent="0.3">
      <c r="A97" s="172">
        <v>2</v>
      </c>
      <c r="B97" s="14" t="s">
        <v>27</v>
      </c>
      <c r="C97" s="13" t="s">
        <v>72</v>
      </c>
      <c r="D97" s="15">
        <f>'Summary July 25-August 24'!D32</f>
        <v>231</v>
      </c>
      <c r="E97" s="15">
        <f t="shared" si="11"/>
        <v>0</v>
      </c>
      <c r="F97" s="14">
        <f>'Summary July 25-August 24'!F32</f>
        <v>231</v>
      </c>
      <c r="G97" s="16">
        <f t="shared" si="8"/>
        <v>1</v>
      </c>
    </row>
    <row r="98" spans="1:7" ht="15.6" x14ac:dyDescent="0.3">
      <c r="A98" s="172">
        <v>3</v>
      </c>
      <c r="B98" s="14" t="s">
        <v>27</v>
      </c>
      <c r="C98" s="13" t="s">
        <v>73</v>
      </c>
      <c r="D98" s="15">
        <f>'Summary July 25-August 24'!D49</f>
        <v>499</v>
      </c>
      <c r="E98" s="15">
        <f t="shared" si="11"/>
        <v>2</v>
      </c>
      <c r="F98" s="14">
        <f>'Summary July 25-August 24'!F49</f>
        <v>497</v>
      </c>
      <c r="G98" s="16">
        <f t="shared" si="8"/>
        <v>0.99599198396793587</v>
      </c>
    </row>
    <row r="99" spans="1:7" ht="15.6" x14ac:dyDescent="0.3">
      <c r="A99" s="172">
        <v>4</v>
      </c>
      <c r="B99" s="144" t="s">
        <v>27</v>
      </c>
      <c r="C99" s="145" t="s">
        <v>74</v>
      </c>
      <c r="D99" s="148">
        <f>'Summary July 25-August 24'!D72</f>
        <v>235</v>
      </c>
      <c r="E99" s="15">
        <f t="shared" si="11"/>
        <v>1</v>
      </c>
      <c r="F99" s="146">
        <f>'Summary July 25-August 24'!F72</f>
        <v>234</v>
      </c>
      <c r="G99" s="16">
        <f t="shared" si="8"/>
        <v>0.99574468085106382</v>
      </c>
    </row>
    <row r="100" spans="1:7" ht="15.6" x14ac:dyDescent="0.3">
      <c r="A100" s="172">
        <v>5</v>
      </c>
      <c r="B100" s="144" t="s">
        <v>27</v>
      </c>
      <c r="C100" s="145" t="s">
        <v>75</v>
      </c>
      <c r="D100" s="148">
        <f>'Summary July 25-August 24'!D91</f>
        <v>362</v>
      </c>
      <c r="E100" s="15">
        <f t="shared" si="11"/>
        <v>3</v>
      </c>
      <c r="F100" s="14">
        <f>'Summary July 25-August 24'!F91</f>
        <v>359</v>
      </c>
      <c r="G100" s="16">
        <f t="shared" si="8"/>
        <v>0.99171270718232041</v>
      </c>
    </row>
    <row r="101" spans="1:7" ht="15.6" x14ac:dyDescent="0.3">
      <c r="A101" s="172">
        <v>6</v>
      </c>
      <c r="B101" s="173" t="s">
        <v>27</v>
      </c>
      <c r="C101" s="145" t="s">
        <v>76</v>
      </c>
      <c r="D101" s="148">
        <f>'Summary July 25-August 24'!D110</f>
        <v>4778</v>
      </c>
      <c r="E101" s="15">
        <f t="shared" si="11"/>
        <v>3</v>
      </c>
      <c r="F101" s="14">
        <f>'Summary July 25-August 24'!F110</f>
        <v>4775</v>
      </c>
      <c r="G101" s="16">
        <f t="shared" si="8"/>
        <v>0.99937212222687322</v>
      </c>
    </row>
    <row r="102" spans="1:7" ht="15.6" x14ac:dyDescent="0.3">
      <c r="A102" s="172">
        <v>7</v>
      </c>
      <c r="B102" s="150" t="s">
        <v>27</v>
      </c>
      <c r="C102" s="151" t="s">
        <v>77</v>
      </c>
      <c r="D102" s="152">
        <f>'Summary July 25-August 24'!D129</f>
        <v>669</v>
      </c>
      <c r="E102" s="15">
        <f t="shared" si="11"/>
        <v>3</v>
      </c>
      <c r="F102" s="14">
        <f>'Summary July 25-August 24'!F129</f>
        <v>666</v>
      </c>
      <c r="G102" s="16">
        <f t="shared" si="8"/>
        <v>0.99551569506726456</v>
      </c>
    </row>
    <row r="103" spans="1:7" ht="15.6" x14ac:dyDescent="0.3">
      <c r="A103" s="172">
        <v>8</v>
      </c>
      <c r="B103" s="153" t="s">
        <v>27</v>
      </c>
      <c r="C103" s="154" t="s">
        <v>78</v>
      </c>
      <c r="D103" s="111">
        <f>'Summary July 25-August 24'!D148</f>
        <v>214</v>
      </c>
      <c r="E103" s="15">
        <f t="shared" si="11"/>
        <v>1</v>
      </c>
      <c r="F103" s="146">
        <f>'Summary July 25-August 24'!F148</f>
        <v>213</v>
      </c>
      <c r="G103" s="16">
        <f t="shared" si="8"/>
        <v>0.99532710280373837</v>
      </c>
    </row>
    <row r="104" spans="1:7" ht="15.6" x14ac:dyDescent="0.3">
      <c r="A104" s="172">
        <v>9</v>
      </c>
      <c r="B104" s="153" t="s">
        <v>27</v>
      </c>
      <c r="C104" s="154" t="s">
        <v>81</v>
      </c>
      <c r="D104" s="111">
        <f>'Summary July 25-August 24'!D167</f>
        <v>202</v>
      </c>
      <c r="E104" s="15">
        <f t="shared" si="11"/>
        <v>0</v>
      </c>
      <c r="F104" s="14">
        <f>'Summary July 25-August 24'!F167</f>
        <v>202</v>
      </c>
      <c r="G104" s="16">
        <f t="shared" si="8"/>
        <v>1</v>
      </c>
    </row>
    <row r="105" spans="1:7" ht="15.6" x14ac:dyDescent="0.3">
      <c r="A105" s="172">
        <v>10</v>
      </c>
      <c r="B105" s="153" t="s">
        <v>27</v>
      </c>
      <c r="C105" s="151" t="s">
        <v>99</v>
      </c>
      <c r="D105" s="111">
        <f>'Summary July 25-August 24'!D187</f>
        <v>262</v>
      </c>
      <c r="E105" s="15">
        <f t="shared" si="11"/>
        <v>2</v>
      </c>
      <c r="F105" s="14">
        <f>'Summary July 25-August 24'!F187</f>
        <v>260</v>
      </c>
      <c r="G105" s="16">
        <f t="shared" si="8"/>
        <v>0.99236641221374045</v>
      </c>
    </row>
    <row r="106" spans="1:7" ht="15.6" x14ac:dyDescent="0.3">
      <c r="A106" s="172">
        <v>11</v>
      </c>
      <c r="B106" s="153" t="s">
        <v>27</v>
      </c>
      <c r="C106" s="151" t="s">
        <v>112</v>
      </c>
      <c r="D106" s="111">
        <f>'Summary July 25-August 24'!D209</f>
        <v>258</v>
      </c>
      <c r="E106" s="15">
        <f t="shared" si="11"/>
        <v>21</v>
      </c>
      <c r="F106" s="14">
        <f>'Summary July 25-August 24'!F209</f>
        <v>237</v>
      </c>
      <c r="G106" s="16">
        <f t="shared" si="8"/>
        <v>0.91860465116279066</v>
      </c>
    </row>
    <row r="107" spans="1:7" ht="15.6" x14ac:dyDescent="0.3">
      <c r="A107" s="12">
        <v>12</v>
      </c>
      <c r="B107" s="153" t="s">
        <v>27</v>
      </c>
      <c r="C107" s="151" t="s">
        <v>116</v>
      </c>
      <c r="D107" s="111">
        <f>'Summary July 25-August 24'!J231</f>
        <v>229</v>
      </c>
      <c r="E107" s="15">
        <f t="shared" si="11"/>
        <v>24</v>
      </c>
      <c r="F107" s="14">
        <f>'Summary July 25-August 24'!M231</f>
        <v>205</v>
      </c>
      <c r="G107" s="16">
        <f t="shared" si="8"/>
        <v>0.89519650655021832</v>
      </c>
    </row>
    <row r="108" spans="1:7" ht="15.6" x14ac:dyDescent="0.3">
      <c r="A108" s="12">
        <v>13</v>
      </c>
      <c r="B108" s="153" t="s">
        <v>27</v>
      </c>
      <c r="C108" s="151" t="s">
        <v>125</v>
      </c>
      <c r="D108" s="111">
        <f>'Summary July 25-August 24'!J251</f>
        <v>234</v>
      </c>
      <c r="E108" s="15">
        <f t="shared" si="11"/>
        <v>28</v>
      </c>
      <c r="F108" s="14">
        <f>'Summary July 25-August 24'!M251</f>
        <v>206</v>
      </c>
      <c r="G108" s="16">
        <f t="shared" si="8"/>
        <v>0.88034188034188032</v>
      </c>
    </row>
    <row r="109" spans="1:7" ht="15.6" x14ac:dyDescent="0.3">
      <c r="A109" s="12">
        <v>14</v>
      </c>
      <c r="B109" s="153" t="s">
        <v>27</v>
      </c>
      <c r="C109" s="19" t="s">
        <v>79</v>
      </c>
      <c r="D109" s="15"/>
      <c r="E109" s="15">
        <f t="shared" si="11"/>
        <v>0</v>
      </c>
      <c r="F109" s="14"/>
      <c r="G109" s="16"/>
    </row>
    <row r="110" spans="1:7" ht="15.6" x14ac:dyDescent="0.3">
      <c r="A110" s="169"/>
      <c r="B110" s="138"/>
      <c r="C110" s="156"/>
      <c r="D110" s="165">
        <f>SUM(D96:D109)</f>
        <v>8258</v>
      </c>
      <c r="E110" s="165">
        <f>SUM(E96:E109)</f>
        <v>90</v>
      </c>
      <c r="F110" s="165">
        <f>SUM(F96:F109)</f>
        <v>8168</v>
      </c>
      <c r="G110" s="166">
        <f t="shared" ref="G110:G124" si="12">F110/D110</f>
        <v>0.98910147735529186</v>
      </c>
    </row>
    <row r="111" spans="1:7" ht="15.6" x14ac:dyDescent="0.3">
      <c r="A111" s="172">
        <v>1</v>
      </c>
      <c r="B111" s="14" t="s">
        <v>28</v>
      </c>
      <c r="C111" s="13" t="s">
        <v>71</v>
      </c>
      <c r="D111" s="14">
        <f>'Summary July 25-August 24'!D6</f>
        <v>5</v>
      </c>
      <c r="E111" s="15">
        <f t="shared" ref="E111:E124" si="13">D111-F111</f>
        <v>0</v>
      </c>
      <c r="F111" s="14">
        <f>'Summary July 25-August 24'!F6</f>
        <v>5</v>
      </c>
      <c r="G111" s="16">
        <f t="shared" si="12"/>
        <v>1</v>
      </c>
    </row>
    <row r="112" spans="1:7" ht="15.6" x14ac:dyDescent="0.3">
      <c r="A112" s="172">
        <v>2</v>
      </c>
      <c r="B112" s="14" t="s">
        <v>28</v>
      </c>
      <c r="C112" s="13" t="s">
        <v>72</v>
      </c>
      <c r="D112" s="14">
        <f>'Summary July 25-August 24'!D25</f>
        <v>14</v>
      </c>
      <c r="E112" s="15">
        <f t="shared" si="13"/>
        <v>0</v>
      </c>
      <c r="F112" s="14">
        <f>'Summary July 25-August 24'!F25</f>
        <v>14</v>
      </c>
      <c r="G112" s="16">
        <f t="shared" si="12"/>
        <v>1</v>
      </c>
    </row>
    <row r="113" spans="1:8" ht="15.6" x14ac:dyDescent="0.3">
      <c r="A113" s="172">
        <v>3</v>
      </c>
      <c r="B113" s="13" t="s">
        <v>28</v>
      </c>
      <c r="C113" s="13" t="s">
        <v>73</v>
      </c>
      <c r="D113" s="14">
        <f>'Summary July 25-August 24'!D44</f>
        <v>14</v>
      </c>
      <c r="E113" s="15">
        <f t="shared" si="13"/>
        <v>0</v>
      </c>
      <c r="F113" s="14">
        <f>'Summary July 25-August 24'!F44</f>
        <v>14</v>
      </c>
      <c r="G113" s="16">
        <f t="shared" si="12"/>
        <v>1</v>
      </c>
      <c r="H113" s="100"/>
    </row>
    <row r="114" spans="1:8" ht="15.6" x14ac:dyDescent="0.3">
      <c r="A114" s="172">
        <v>4</v>
      </c>
      <c r="B114" s="144" t="s">
        <v>28</v>
      </c>
      <c r="C114" s="145" t="s">
        <v>74</v>
      </c>
      <c r="D114" s="144">
        <f>'Summary July 25-August 24'!D74</f>
        <v>4</v>
      </c>
      <c r="E114" s="15">
        <f t="shared" si="13"/>
        <v>0</v>
      </c>
      <c r="F114" s="146">
        <f>'Summary July 25-August 24'!F74</f>
        <v>4</v>
      </c>
      <c r="G114" s="16">
        <f t="shared" si="12"/>
        <v>1</v>
      </c>
    </row>
    <row r="115" spans="1:8" ht="15.6" x14ac:dyDescent="0.3">
      <c r="A115" s="172">
        <v>5</v>
      </c>
      <c r="B115" s="173" t="s">
        <v>28</v>
      </c>
      <c r="C115" s="145" t="s">
        <v>75</v>
      </c>
      <c r="D115" s="173">
        <f>'Summary July 25-August 24'!D93</f>
        <v>12</v>
      </c>
      <c r="E115" s="15">
        <f t="shared" si="13"/>
        <v>0</v>
      </c>
      <c r="F115" s="148">
        <f>'Summary July 25-August 24'!F93</f>
        <v>12</v>
      </c>
      <c r="G115" s="16">
        <f t="shared" si="12"/>
        <v>1</v>
      </c>
    </row>
    <row r="116" spans="1:8" ht="15.6" x14ac:dyDescent="0.3">
      <c r="A116" s="172">
        <v>6</v>
      </c>
      <c r="B116" s="144" t="s">
        <v>28</v>
      </c>
      <c r="C116" s="145" t="s">
        <v>76</v>
      </c>
      <c r="D116" s="144">
        <f>'Summary July 25-August 24'!D112</f>
        <v>11</v>
      </c>
      <c r="E116" s="15">
        <f t="shared" si="13"/>
        <v>0</v>
      </c>
      <c r="F116" s="148">
        <f>'Summary July 25-August 24'!F112</f>
        <v>11</v>
      </c>
      <c r="G116" s="16">
        <f t="shared" si="12"/>
        <v>1</v>
      </c>
    </row>
    <row r="117" spans="1:8" ht="15.6" x14ac:dyDescent="0.3">
      <c r="A117" s="172">
        <v>7</v>
      </c>
      <c r="B117" s="150" t="s">
        <v>28</v>
      </c>
      <c r="C117" s="151" t="s">
        <v>77</v>
      </c>
      <c r="D117" s="91">
        <v>0</v>
      </c>
      <c r="E117" s="15">
        <f t="shared" si="13"/>
        <v>0</v>
      </c>
      <c r="F117" s="152">
        <v>0</v>
      </c>
      <c r="G117" s="16"/>
    </row>
    <row r="118" spans="1:8" ht="15.6" x14ac:dyDescent="0.3">
      <c r="A118" s="172">
        <v>8</v>
      </c>
      <c r="B118" s="153" t="s">
        <v>28</v>
      </c>
      <c r="C118" s="154" t="s">
        <v>78</v>
      </c>
      <c r="D118" s="114">
        <f>'Summary July 25-August 24'!D150</f>
        <v>11</v>
      </c>
      <c r="E118" s="15">
        <f t="shared" si="13"/>
        <v>0</v>
      </c>
      <c r="F118" s="111">
        <f>'Summary July 25-August 24'!F150</f>
        <v>11</v>
      </c>
      <c r="G118" s="16">
        <f t="shared" si="12"/>
        <v>1</v>
      </c>
    </row>
    <row r="119" spans="1:8" ht="15.6" x14ac:dyDescent="0.3">
      <c r="A119" s="172">
        <v>9</v>
      </c>
      <c r="B119" s="153" t="s">
        <v>28</v>
      </c>
      <c r="C119" s="154" t="s">
        <v>81</v>
      </c>
      <c r="D119" s="114">
        <f>'Summary July 25-August 24'!D169</f>
        <v>29</v>
      </c>
      <c r="E119" s="15">
        <f t="shared" si="13"/>
        <v>10</v>
      </c>
      <c r="F119" s="111">
        <f>'Summary July 25-August 24'!F169</f>
        <v>19</v>
      </c>
      <c r="G119" s="16">
        <f t="shared" si="12"/>
        <v>0.65517241379310343</v>
      </c>
    </row>
    <row r="120" spans="1:8" ht="15.6" x14ac:dyDescent="0.3">
      <c r="A120" s="172">
        <v>10</v>
      </c>
      <c r="B120" s="153" t="s">
        <v>28</v>
      </c>
      <c r="C120" s="151" t="s">
        <v>99</v>
      </c>
      <c r="D120" s="114"/>
      <c r="E120" s="15">
        <f t="shared" si="13"/>
        <v>0</v>
      </c>
      <c r="F120" s="111">
        <f>'Summary July 25-August 24'!M189</f>
        <v>0</v>
      </c>
      <c r="G120" s="16"/>
    </row>
    <row r="121" spans="1:8" ht="15.6" x14ac:dyDescent="0.3">
      <c r="A121" s="172">
        <v>11</v>
      </c>
      <c r="B121" s="153" t="s">
        <v>28</v>
      </c>
      <c r="C121" s="151" t="s">
        <v>112</v>
      </c>
      <c r="D121" s="114">
        <f>'Summary July 25-August 24'!D211</f>
        <v>0</v>
      </c>
      <c r="E121" s="15">
        <f t="shared" si="13"/>
        <v>0</v>
      </c>
      <c r="F121" s="111">
        <f>'Summary July 25-August 24'!F211</f>
        <v>0</v>
      </c>
      <c r="G121" s="16"/>
    </row>
    <row r="122" spans="1:8" ht="15.6" x14ac:dyDescent="0.3">
      <c r="A122" s="12">
        <v>12</v>
      </c>
      <c r="B122" s="153" t="s">
        <v>28</v>
      </c>
      <c r="C122" s="151" t="s">
        <v>116</v>
      </c>
      <c r="D122" s="114">
        <f>'Summary July 25-August 24'!J233</f>
        <v>275</v>
      </c>
      <c r="E122" s="15">
        <f t="shared" si="13"/>
        <v>13</v>
      </c>
      <c r="F122" s="111">
        <f>'Summary July 25-August 24'!M233</f>
        <v>262</v>
      </c>
      <c r="G122" s="16">
        <f t="shared" si="12"/>
        <v>0.95272727272727276</v>
      </c>
    </row>
    <row r="123" spans="1:8" ht="15.6" x14ac:dyDescent="0.3">
      <c r="A123" s="12">
        <v>13</v>
      </c>
      <c r="B123" s="153" t="s">
        <v>28</v>
      </c>
      <c r="C123" s="151" t="s">
        <v>125</v>
      </c>
      <c r="D123" s="114">
        <f>'Summary July 25-August 24'!J253</f>
        <v>300</v>
      </c>
      <c r="E123" s="15">
        <f t="shared" si="13"/>
        <v>300</v>
      </c>
      <c r="F123" s="111">
        <f>'Summary July 25-August 24'!M253</f>
        <v>0</v>
      </c>
      <c r="G123" s="16">
        <f t="shared" si="12"/>
        <v>0</v>
      </c>
    </row>
    <row r="124" spans="1:8" ht="15.6" x14ac:dyDescent="0.3">
      <c r="A124" s="12">
        <v>14</v>
      </c>
      <c r="B124" s="153" t="s">
        <v>28</v>
      </c>
      <c r="C124" s="19" t="s">
        <v>79</v>
      </c>
      <c r="D124" s="14">
        <f>'Summary July 25-August 24'!J275</f>
        <v>36</v>
      </c>
      <c r="E124" s="15">
        <f t="shared" si="13"/>
        <v>36</v>
      </c>
      <c r="F124" s="14">
        <f>'Summary July 25-August 24'!M275</f>
        <v>0</v>
      </c>
      <c r="G124" s="16">
        <f t="shared" si="12"/>
        <v>0</v>
      </c>
    </row>
    <row r="125" spans="1:8" ht="15.6" x14ac:dyDescent="0.3">
      <c r="A125" s="169"/>
      <c r="B125" s="155"/>
      <c r="C125" s="156"/>
      <c r="D125" s="138">
        <f>SUM(D111:D124)</f>
        <v>711</v>
      </c>
      <c r="E125" s="138">
        <f>SUM(E111:E124)</f>
        <v>359</v>
      </c>
      <c r="F125" s="138">
        <f>SUM(F111:F124)</f>
        <v>352</v>
      </c>
      <c r="G125" s="140">
        <f t="shared" ref="G125:G138" si="14">F125/D125</f>
        <v>0.49507735583684953</v>
      </c>
    </row>
    <row r="126" spans="1:8" ht="15.6" x14ac:dyDescent="0.3">
      <c r="A126" s="172">
        <v>1</v>
      </c>
      <c r="B126" s="19" t="s">
        <v>29</v>
      </c>
      <c r="C126" s="13" t="s">
        <v>71</v>
      </c>
      <c r="D126" s="15">
        <f>'Summary July 25-August 24'!D7</f>
        <v>89</v>
      </c>
      <c r="E126" s="15">
        <f t="shared" ref="E126:E139" si="15">D126-F126</f>
        <v>1</v>
      </c>
      <c r="F126" s="14">
        <f>'Summary July 25-August 24'!F7</f>
        <v>88</v>
      </c>
      <c r="G126" s="16">
        <f t="shared" si="14"/>
        <v>0.9887640449438202</v>
      </c>
    </row>
    <row r="127" spans="1:8" ht="15.6" x14ac:dyDescent="0.3">
      <c r="A127" s="172">
        <v>2</v>
      </c>
      <c r="B127" s="15" t="s">
        <v>29</v>
      </c>
      <c r="C127" s="13" t="s">
        <v>72</v>
      </c>
      <c r="D127" s="15">
        <f>'Summary July 25-August 24'!D34</f>
        <v>30</v>
      </c>
      <c r="E127" s="15">
        <f t="shared" si="15"/>
        <v>0</v>
      </c>
      <c r="F127" s="14">
        <f>'Summary July 25-August 24'!F34</f>
        <v>30</v>
      </c>
      <c r="G127" s="16">
        <f t="shared" si="14"/>
        <v>1</v>
      </c>
    </row>
    <row r="128" spans="1:8" ht="15.6" x14ac:dyDescent="0.3">
      <c r="A128" s="172">
        <v>3</v>
      </c>
      <c r="B128" s="15" t="s">
        <v>29</v>
      </c>
      <c r="C128" s="13" t="s">
        <v>73</v>
      </c>
      <c r="D128" s="15">
        <f>'Summary July 25-August 24'!D53</f>
        <v>44</v>
      </c>
      <c r="E128" s="15">
        <f t="shared" si="15"/>
        <v>0</v>
      </c>
      <c r="F128" s="14">
        <f>'Summary July 25-August 24'!F53</f>
        <v>44</v>
      </c>
      <c r="G128" s="16">
        <f t="shared" si="14"/>
        <v>1</v>
      </c>
    </row>
    <row r="129" spans="1:7" ht="15.6" x14ac:dyDescent="0.3">
      <c r="A129" s="172">
        <v>4</v>
      </c>
      <c r="B129" s="148" t="s">
        <v>29</v>
      </c>
      <c r="C129" s="145" t="s">
        <v>74</v>
      </c>
      <c r="D129" s="148">
        <f>'Summary July 25-August 24'!D75</f>
        <v>32</v>
      </c>
      <c r="E129" s="15">
        <f t="shared" si="15"/>
        <v>2</v>
      </c>
      <c r="F129" s="146">
        <f>'Summary July 25-August 24'!F75</f>
        <v>30</v>
      </c>
      <c r="G129" s="16">
        <f t="shared" si="14"/>
        <v>0.9375</v>
      </c>
    </row>
    <row r="130" spans="1:7" ht="15.6" x14ac:dyDescent="0.3">
      <c r="A130" s="172">
        <v>5</v>
      </c>
      <c r="B130" s="148" t="s">
        <v>29</v>
      </c>
      <c r="C130" s="145" t="s">
        <v>75</v>
      </c>
      <c r="D130" s="148">
        <f>'Summary July 25-August 24'!D94</f>
        <v>40</v>
      </c>
      <c r="E130" s="15">
        <f t="shared" si="15"/>
        <v>1</v>
      </c>
      <c r="F130" s="148">
        <f>'Summary July 25-August 24'!F94</f>
        <v>39</v>
      </c>
      <c r="G130" s="16">
        <f t="shared" si="14"/>
        <v>0.97499999999999998</v>
      </c>
    </row>
    <row r="131" spans="1:7" ht="15.6" x14ac:dyDescent="0.3">
      <c r="A131" s="172">
        <v>6</v>
      </c>
      <c r="B131" s="148" t="s">
        <v>29</v>
      </c>
      <c r="C131" s="145" t="s">
        <v>76</v>
      </c>
      <c r="D131" s="148">
        <f>'Summary July 25-August 24'!D113</f>
        <v>14</v>
      </c>
      <c r="E131" s="15">
        <f t="shared" si="15"/>
        <v>0</v>
      </c>
      <c r="F131" s="148">
        <f>'Summary July 25-August 24'!F113</f>
        <v>14</v>
      </c>
      <c r="G131" s="16">
        <f t="shared" si="14"/>
        <v>1</v>
      </c>
    </row>
    <row r="132" spans="1:7" ht="15.6" x14ac:dyDescent="0.3">
      <c r="A132" s="172">
        <v>7</v>
      </c>
      <c r="B132" s="151" t="s">
        <v>29</v>
      </c>
      <c r="C132" s="151" t="s">
        <v>77</v>
      </c>
      <c r="D132" s="152">
        <f>'Summary July 25-August 24'!D132</f>
        <v>93</v>
      </c>
      <c r="E132" s="15">
        <f t="shared" si="15"/>
        <v>1</v>
      </c>
      <c r="F132" s="152">
        <f>'Summary July 25-August 24'!F132</f>
        <v>92</v>
      </c>
      <c r="G132" s="16">
        <f t="shared" si="14"/>
        <v>0.989247311827957</v>
      </c>
    </row>
    <row r="133" spans="1:7" ht="15.6" x14ac:dyDescent="0.3">
      <c r="A133" s="172">
        <v>8</v>
      </c>
      <c r="B133" s="111" t="s">
        <v>29</v>
      </c>
      <c r="C133" s="154" t="s">
        <v>78</v>
      </c>
      <c r="D133" s="111">
        <f>'Summary July 25-August 24'!D151</f>
        <v>131</v>
      </c>
      <c r="E133" s="15">
        <f t="shared" si="15"/>
        <v>0</v>
      </c>
      <c r="F133" s="111">
        <f>'Summary July 25-August 24'!F151</f>
        <v>131</v>
      </c>
      <c r="G133" s="16">
        <f t="shared" si="14"/>
        <v>1</v>
      </c>
    </row>
    <row r="134" spans="1:7" ht="15.6" x14ac:dyDescent="0.3">
      <c r="A134" s="172">
        <v>9</v>
      </c>
      <c r="B134" s="111" t="s">
        <v>29</v>
      </c>
      <c r="C134" s="154" t="s">
        <v>81</v>
      </c>
      <c r="D134" s="154">
        <f>'Summary July 25-August 24'!D170</f>
        <v>2</v>
      </c>
      <c r="E134" s="15">
        <f t="shared" si="15"/>
        <v>0</v>
      </c>
      <c r="F134" s="111">
        <f>'Summary July 25-August 24'!F170</f>
        <v>2</v>
      </c>
      <c r="G134" s="16">
        <f t="shared" si="14"/>
        <v>1</v>
      </c>
    </row>
    <row r="135" spans="1:7" ht="15.6" x14ac:dyDescent="0.3">
      <c r="A135" s="172">
        <v>10</v>
      </c>
      <c r="B135" s="111" t="s">
        <v>29</v>
      </c>
      <c r="C135" s="151" t="s">
        <v>99</v>
      </c>
      <c r="D135" s="154">
        <f>'Summary July 25-August 24'!D190</f>
        <v>20</v>
      </c>
      <c r="E135" s="15">
        <f t="shared" si="15"/>
        <v>2</v>
      </c>
      <c r="F135" s="111">
        <f>'Summary July 25-August 24'!F190</f>
        <v>18</v>
      </c>
      <c r="G135" s="16">
        <f t="shared" si="14"/>
        <v>0.9</v>
      </c>
    </row>
    <row r="136" spans="1:7" ht="15.6" x14ac:dyDescent="0.3">
      <c r="A136" s="172">
        <v>11</v>
      </c>
      <c r="B136" s="111" t="s">
        <v>29</v>
      </c>
      <c r="C136" s="151" t="s">
        <v>112</v>
      </c>
      <c r="D136" s="154">
        <f>'Summary July 25-August 24'!D212</f>
        <v>59</v>
      </c>
      <c r="E136" s="15">
        <f t="shared" si="15"/>
        <v>40</v>
      </c>
      <c r="F136" s="111">
        <f>'Summary July 25-August 24'!F212</f>
        <v>19</v>
      </c>
      <c r="G136" s="16">
        <f t="shared" si="14"/>
        <v>0.32203389830508472</v>
      </c>
    </row>
    <row r="137" spans="1:7" ht="15.6" x14ac:dyDescent="0.3">
      <c r="A137" s="12">
        <v>12</v>
      </c>
      <c r="B137" s="111" t="s">
        <v>29</v>
      </c>
      <c r="C137" s="151" t="s">
        <v>116</v>
      </c>
      <c r="D137" s="154">
        <f>'Summary July 25-August 24'!J234</f>
        <v>4</v>
      </c>
      <c r="E137" s="15">
        <f t="shared" si="15"/>
        <v>0</v>
      </c>
      <c r="F137" s="111">
        <f>'Summary July 25-August 24'!M234</f>
        <v>4</v>
      </c>
      <c r="G137" s="16">
        <f t="shared" si="14"/>
        <v>1</v>
      </c>
    </row>
    <row r="138" spans="1:7" ht="15.6" x14ac:dyDescent="0.3">
      <c r="A138" s="12">
        <v>13</v>
      </c>
      <c r="B138" s="111" t="s">
        <v>29</v>
      </c>
      <c r="C138" s="151" t="s">
        <v>125</v>
      </c>
      <c r="D138" s="154">
        <f>'Summary July 25-August 24'!J254</f>
        <v>6</v>
      </c>
      <c r="E138" s="15">
        <f t="shared" si="15"/>
        <v>3</v>
      </c>
      <c r="F138" s="111">
        <f>'Summary July 25-August 24'!M254</f>
        <v>3</v>
      </c>
      <c r="G138" s="16">
        <f t="shared" si="14"/>
        <v>0.5</v>
      </c>
    </row>
    <row r="139" spans="1:7" ht="15.6" x14ac:dyDescent="0.3">
      <c r="A139" s="12">
        <v>14</v>
      </c>
      <c r="B139" s="111" t="s">
        <v>29</v>
      </c>
      <c r="C139" s="19" t="s">
        <v>79</v>
      </c>
      <c r="D139" s="19"/>
      <c r="E139" s="15">
        <f t="shared" si="15"/>
        <v>0</v>
      </c>
      <c r="F139" s="14"/>
      <c r="G139" s="16"/>
    </row>
    <row r="140" spans="1:7" ht="15.6" x14ac:dyDescent="0.3">
      <c r="A140" s="169"/>
      <c r="B140" s="174"/>
      <c r="C140" s="156"/>
      <c r="D140" s="174">
        <f>SUM(D126:D139)</f>
        <v>564</v>
      </c>
      <c r="E140" s="174">
        <f>SUM(E126:E139)</f>
        <v>50</v>
      </c>
      <c r="F140" s="174">
        <f>SUM(F126:F139)</f>
        <v>514</v>
      </c>
      <c r="G140" s="175">
        <f t="shared" ref="G140:G184" si="16">F140/D140</f>
        <v>0.91134751773049649</v>
      </c>
    </row>
    <row r="141" spans="1:7" ht="15.6" x14ac:dyDescent="0.3">
      <c r="A141" s="176">
        <v>1</v>
      </c>
      <c r="B141" s="15" t="s">
        <v>19</v>
      </c>
      <c r="C141" s="13" t="s">
        <v>71</v>
      </c>
      <c r="D141" s="15">
        <f>'Summary July 25-August 24'!D8</f>
        <v>210</v>
      </c>
      <c r="E141" s="15">
        <f t="shared" ref="E141:E154" si="17">D141-F141</f>
        <v>2</v>
      </c>
      <c r="F141" s="14">
        <f>'Summary July 25-August 24'!F8</f>
        <v>208</v>
      </c>
      <c r="G141" s="16">
        <f t="shared" si="16"/>
        <v>0.99047619047619051</v>
      </c>
    </row>
    <row r="142" spans="1:7" ht="15.6" x14ac:dyDescent="0.3">
      <c r="A142" s="176">
        <v>2</v>
      </c>
      <c r="B142" s="15" t="s">
        <v>19</v>
      </c>
      <c r="C142" s="13" t="s">
        <v>72</v>
      </c>
      <c r="D142" s="15">
        <f>'Summary July 25-August 24'!D26</f>
        <v>213</v>
      </c>
      <c r="E142" s="15">
        <f t="shared" si="17"/>
        <v>1</v>
      </c>
      <c r="F142" s="14">
        <f>'Summary July 25-August 24'!F26</f>
        <v>212</v>
      </c>
      <c r="G142" s="16">
        <f t="shared" si="16"/>
        <v>0.99530516431924887</v>
      </c>
    </row>
    <row r="143" spans="1:7" ht="15.6" x14ac:dyDescent="0.3">
      <c r="A143" s="176">
        <v>3</v>
      </c>
      <c r="B143" s="15" t="s">
        <v>19</v>
      </c>
      <c r="C143" s="13" t="s">
        <v>73</v>
      </c>
      <c r="D143" s="19">
        <f>'Summary July 25-August 24'!D46</f>
        <v>424</v>
      </c>
      <c r="E143" s="15">
        <f t="shared" si="17"/>
        <v>3</v>
      </c>
      <c r="F143" s="14">
        <f>'Summary July 25-August 24'!F46</f>
        <v>421</v>
      </c>
      <c r="G143" s="16">
        <f t="shared" si="16"/>
        <v>0.99292452830188682</v>
      </c>
    </row>
    <row r="144" spans="1:7" ht="15.6" x14ac:dyDescent="0.3">
      <c r="A144" s="176">
        <v>4</v>
      </c>
      <c r="B144" s="148" t="s">
        <v>19</v>
      </c>
      <c r="C144" s="145" t="s">
        <v>74</v>
      </c>
      <c r="D144" s="148">
        <f>'Summary July 25-August 24'!D64</f>
        <v>367</v>
      </c>
      <c r="E144" s="15">
        <f t="shared" si="17"/>
        <v>2</v>
      </c>
      <c r="F144" s="146">
        <f>'Summary July 25-August 24'!F64</f>
        <v>365</v>
      </c>
      <c r="G144" s="16">
        <f t="shared" si="16"/>
        <v>0.99455040871934608</v>
      </c>
    </row>
    <row r="145" spans="1:8" ht="15.6" x14ac:dyDescent="0.3">
      <c r="A145" s="176">
        <v>5</v>
      </c>
      <c r="B145" s="145" t="s">
        <v>19</v>
      </c>
      <c r="C145" s="145" t="s">
        <v>75</v>
      </c>
      <c r="D145" s="148">
        <f>'Summary July 25-August 24'!D83</f>
        <v>156</v>
      </c>
      <c r="E145" s="15">
        <f t="shared" si="17"/>
        <v>0</v>
      </c>
      <c r="F145" s="148">
        <f>'Summary July 25-August 24'!F83</f>
        <v>156</v>
      </c>
      <c r="G145" s="16">
        <f t="shared" si="16"/>
        <v>1</v>
      </c>
    </row>
    <row r="146" spans="1:8" ht="15.6" x14ac:dyDescent="0.3">
      <c r="A146" s="176">
        <v>6</v>
      </c>
      <c r="B146" s="148" t="s">
        <v>19</v>
      </c>
      <c r="C146" s="145" t="s">
        <v>76</v>
      </c>
      <c r="D146" s="145">
        <f>'Summary July 25-August 24'!D102</f>
        <v>126</v>
      </c>
      <c r="E146" s="15">
        <f t="shared" si="17"/>
        <v>1</v>
      </c>
      <c r="F146" s="148">
        <f>'Summary July 25-August 24'!F102</f>
        <v>125</v>
      </c>
      <c r="G146" s="16">
        <f t="shared" si="16"/>
        <v>0.99206349206349209</v>
      </c>
    </row>
    <row r="147" spans="1:8" ht="15.6" x14ac:dyDescent="0.3">
      <c r="A147" s="176">
        <v>7</v>
      </c>
      <c r="B147" s="152" t="s">
        <v>19</v>
      </c>
      <c r="C147" s="151" t="s">
        <v>77</v>
      </c>
      <c r="D147" s="152">
        <f>'Summary July 25-August 24'!D121</f>
        <v>337</v>
      </c>
      <c r="E147" s="15">
        <f t="shared" si="17"/>
        <v>5</v>
      </c>
      <c r="F147" s="152">
        <f>'Summary July 25-August 24'!F121</f>
        <v>332</v>
      </c>
      <c r="G147" s="16">
        <f t="shared" si="16"/>
        <v>0.98516320474777452</v>
      </c>
    </row>
    <row r="148" spans="1:8" ht="15.6" x14ac:dyDescent="0.3">
      <c r="A148" s="176">
        <v>8</v>
      </c>
      <c r="B148" s="111" t="s">
        <v>19</v>
      </c>
      <c r="C148" s="154" t="s">
        <v>78</v>
      </c>
      <c r="D148" s="111">
        <f>'Summary July 25-August 24'!D140</f>
        <v>1497</v>
      </c>
      <c r="E148" s="15">
        <f t="shared" si="17"/>
        <v>7</v>
      </c>
      <c r="F148" s="111">
        <f>'Summary July 25-August 24'!F140</f>
        <v>1490</v>
      </c>
      <c r="G148" s="16">
        <f t="shared" si="16"/>
        <v>0.99532398129592514</v>
      </c>
      <c r="H148" s="133"/>
    </row>
    <row r="149" spans="1:8" ht="15.6" x14ac:dyDescent="0.3">
      <c r="A149" s="176">
        <v>9</v>
      </c>
      <c r="B149" s="111" t="s">
        <v>19</v>
      </c>
      <c r="C149" s="154" t="s">
        <v>81</v>
      </c>
      <c r="D149" s="154">
        <f>'Summary July 25-August 24'!D159</f>
        <v>162</v>
      </c>
      <c r="E149" s="15">
        <f t="shared" si="17"/>
        <v>2</v>
      </c>
      <c r="F149" s="111">
        <f>'Summary July 25-August 24'!F159</f>
        <v>160</v>
      </c>
      <c r="G149" s="16">
        <f t="shared" si="16"/>
        <v>0.98765432098765427</v>
      </c>
      <c r="H149" s="133"/>
    </row>
    <row r="150" spans="1:8" ht="15.6" x14ac:dyDescent="0.3">
      <c r="A150" s="176">
        <v>10</v>
      </c>
      <c r="B150" s="111" t="s">
        <v>19</v>
      </c>
      <c r="C150" s="151" t="s">
        <v>99</v>
      </c>
      <c r="D150" s="154">
        <f>'Summary July 25-August 24'!D179</f>
        <v>137</v>
      </c>
      <c r="E150" s="15">
        <f t="shared" si="17"/>
        <v>2</v>
      </c>
      <c r="F150" s="111">
        <f>'Summary July 25-August 24'!F179</f>
        <v>135</v>
      </c>
      <c r="G150" s="16">
        <f t="shared" si="16"/>
        <v>0.98540145985401462</v>
      </c>
      <c r="H150" s="133"/>
    </row>
    <row r="151" spans="1:8" ht="15.6" x14ac:dyDescent="0.3">
      <c r="A151" s="176">
        <v>11</v>
      </c>
      <c r="B151" s="111" t="s">
        <v>19</v>
      </c>
      <c r="C151" s="151" t="s">
        <v>112</v>
      </c>
      <c r="D151" s="154">
        <f>'Summary July 25-August 24'!D201</f>
        <v>281</v>
      </c>
      <c r="E151" s="15">
        <f t="shared" si="17"/>
        <v>1</v>
      </c>
      <c r="F151" s="111">
        <f>'Summary July 25-August 24'!F201</f>
        <v>280</v>
      </c>
      <c r="G151" s="16">
        <f t="shared" si="16"/>
        <v>0.99644128113879005</v>
      </c>
      <c r="H151" s="133"/>
    </row>
    <row r="152" spans="1:8" ht="15.6" x14ac:dyDescent="0.3">
      <c r="A152" s="12">
        <v>12</v>
      </c>
      <c r="B152" s="111" t="s">
        <v>19</v>
      </c>
      <c r="C152" s="151" t="s">
        <v>116</v>
      </c>
      <c r="D152" s="154">
        <f>'Summary July 25-August 24'!J223</f>
        <v>270</v>
      </c>
      <c r="E152" s="15">
        <f t="shared" si="17"/>
        <v>151</v>
      </c>
      <c r="F152" s="111">
        <f>'Summary July 25-August 24'!M223</f>
        <v>119</v>
      </c>
      <c r="G152" s="16">
        <f t="shared" si="16"/>
        <v>0.44074074074074077</v>
      </c>
      <c r="H152" s="133"/>
    </row>
    <row r="153" spans="1:8" ht="15.6" x14ac:dyDescent="0.3">
      <c r="A153" s="12">
        <v>13</v>
      </c>
      <c r="B153" s="111" t="s">
        <v>19</v>
      </c>
      <c r="C153" s="151" t="s">
        <v>125</v>
      </c>
      <c r="D153" s="154">
        <f>'Summary July 25-August 24'!J243</f>
        <v>228</v>
      </c>
      <c r="E153" s="15">
        <f t="shared" si="17"/>
        <v>163</v>
      </c>
      <c r="F153" s="111">
        <f>'Summary July 25-August 24'!M243</f>
        <v>65</v>
      </c>
      <c r="G153" s="16">
        <f t="shared" si="16"/>
        <v>0.28508771929824561</v>
      </c>
      <c r="H153" s="133"/>
    </row>
    <row r="154" spans="1:8" ht="15.6" x14ac:dyDescent="0.3">
      <c r="A154" s="12">
        <v>14</v>
      </c>
      <c r="B154" s="111" t="s">
        <v>19</v>
      </c>
      <c r="C154" s="19" t="s">
        <v>79</v>
      </c>
      <c r="D154" s="19">
        <f>'Summary July 25-August 24'!J266</f>
        <v>634</v>
      </c>
      <c r="E154" s="15">
        <f t="shared" si="17"/>
        <v>119</v>
      </c>
      <c r="F154" s="14">
        <f>'Summary July 25-August 24'!M266</f>
        <v>515</v>
      </c>
      <c r="G154" s="16">
        <f t="shared" si="16"/>
        <v>0.81230283911671919</v>
      </c>
    </row>
    <row r="155" spans="1:8" ht="15.6" x14ac:dyDescent="0.3">
      <c r="A155" s="169"/>
      <c r="B155" s="165"/>
      <c r="C155" s="156"/>
      <c r="D155" s="174">
        <f>SUM(D141:D154)</f>
        <v>5042</v>
      </c>
      <c r="E155" s="174">
        <f>SUM(E141:E154)</f>
        <v>459</v>
      </c>
      <c r="F155" s="174">
        <f>SUM(F141:F154)</f>
        <v>4583</v>
      </c>
      <c r="G155" s="175">
        <f t="shared" si="16"/>
        <v>0.90896469654898848</v>
      </c>
    </row>
    <row r="156" spans="1:8" ht="15.6" x14ac:dyDescent="0.3">
      <c r="A156" s="176">
        <v>1</v>
      </c>
      <c r="B156" s="14" t="s">
        <v>20</v>
      </c>
      <c r="C156" s="13" t="s">
        <v>71</v>
      </c>
      <c r="D156" s="14">
        <f>'Summary July 25-August 24'!D13</f>
        <v>401</v>
      </c>
      <c r="E156" s="15">
        <f t="shared" ref="E156:E169" si="18">D156-F156</f>
        <v>2</v>
      </c>
      <c r="F156" s="14">
        <f>'Summary July 25-August 24'!F13</f>
        <v>399</v>
      </c>
      <c r="G156" s="16">
        <f t="shared" si="16"/>
        <v>0.99501246882793015</v>
      </c>
    </row>
    <row r="157" spans="1:8" ht="15.6" x14ac:dyDescent="0.3">
      <c r="A157" s="109">
        <v>2</v>
      </c>
      <c r="B157" s="13" t="s">
        <v>20</v>
      </c>
      <c r="C157" s="13" t="s">
        <v>72</v>
      </c>
      <c r="D157" s="14">
        <f>'Summary July 25-August 24'!D31</f>
        <v>1344</v>
      </c>
      <c r="E157" s="15">
        <f t="shared" si="18"/>
        <v>1</v>
      </c>
      <c r="F157" s="14">
        <f>'Summary July 25-August 24'!F31</f>
        <v>1343</v>
      </c>
      <c r="G157" s="16">
        <f t="shared" si="16"/>
        <v>0.99925595238095233</v>
      </c>
      <c r="H157" s="134"/>
    </row>
    <row r="158" spans="1:8" ht="15.6" x14ac:dyDescent="0.3">
      <c r="A158" s="176">
        <v>3</v>
      </c>
      <c r="B158" s="14" t="s">
        <v>20</v>
      </c>
      <c r="C158" s="13" t="s">
        <v>73</v>
      </c>
      <c r="D158" s="14">
        <f>'Summary July 25-August 24'!D52</f>
        <v>746</v>
      </c>
      <c r="E158" s="15">
        <f t="shared" si="18"/>
        <v>4</v>
      </c>
      <c r="F158" s="14">
        <f>'Summary July 25-August 24'!F52</f>
        <v>742</v>
      </c>
      <c r="G158" s="16">
        <f t="shared" si="16"/>
        <v>0.99463806970509383</v>
      </c>
      <c r="H158" s="134"/>
    </row>
    <row r="159" spans="1:8" ht="15.6" x14ac:dyDescent="0.3">
      <c r="A159" s="109">
        <v>4</v>
      </c>
      <c r="B159" s="157" t="s">
        <v>20</v>
      </c>
      <c r="C159" s="145" t="s">
        <v>74</v>
      </c>
      <c r="D159" s="43">
        <f>'Summary July 25-August 24'!D65</f>
        <v>575</v>
      </c>
      <c r="E159" s="15">
        <f t="shared" si="18"/>
        <v>5</v>
      </c>
      <c r="F159" s="146">
        <f>'Summary July 25-August 24'!F65</f>
        <v>570</v>
      </c>
      <c r="G159" s="16">
        <f t="shared" si="16"/>
        <v>0.99130434782608701</v>
      </c>
      <c r="H159" s="135"/>
    </row>
    <row r="160" spans="1:8" ht="15.6" x14ac:dyDescent="0.3">
      <c r="A160" s="176">
        <v>5</v>
      </c>
      <c r="B160" s="43" t="s">
        <v>20</v>
      </c>
      <c r="C160" s="145" t="s">
        <v>75</v>
      </c>
      <c r="D160" s="43">
        <f>'Summary July 25-August 24'!D84</f>
        <v>564</v>
      </c>
      <c r="E160" s="15">
        <f t="shared" si="18"/>
        <v>6</v>
      </c>
      <c r="F160" s="148">
        <f>'Summary July 25-August 24'!F84</f>
        <v>558</v>
      </c>
      <c r="G160" s="16">
        <f t="shared" si="16"/>
        <v>0.98936170212765961</v>
      </c>
      <c r="H160" s="134"/>
    </row>
    <row r="161" spans="1:9" ht="15.6" x14ac:dyDescent="0.3">
      <c r="A161" s="109">
        <v>6</v>
      </c>
      <c r="B161" s="43" t="s">
        <v>20</v>
      </c>
      <c r="C161" s="145" t="s">
        <v>76</v>
      </c>
      <c r="D161" s="43">
        <f>'Summary July 25-August 24'!D103</f>
        <v>534</v>
      </c>
      <c r="E161" s="15">
        <f t="shared" si="18"/>
        <v>2</v>
      </c>
      <c r="F161" s="148">
        <f>'Summary July 25-August 24'!F103</f>
        <v>532</v>
      </c>
      <c r="G161" s="16">
        <f t="shared" si="16"/>
        <v>0.99625468164794007</v>
      </c>
      <c r="H161" s="134"/>
    </row>
    <row r="162" spans="1:9" ht="15.6" x14ac:dyDescent="0.3">
      <c r="A162" s="176">
        <v>7</v>
      </c>
      <c r="B162" s="91" t="s">
        <v>20</v>
      </c>
      <c r="C162" s="151" t="s">
        <v>77</v>
      </c>
      <c r="D162" s="91">
        <f>'Summary July 25-August 24'!D122</f>
        <v>1393</v>
      </c>
      <c r="E162" s="15">
        <f t="shared" si="18"/>
        <v>2</v>
      </c>
      <c r="F162" s="152">
        <f>'Summary July 25-August 24'!F122</f>
        <v>1391</v>
      </c>
      <c r="G162" s="16">
        <f t="shared" si="16"/>
        <v>0.99856424982053127</v>
      </c>
      <c r="H162" s="134"/>
    </row>
    <row r="163" spans="1:9" ht="15.6" x14ac:dyDescent="0.3">
      <c r="A163" s="109">
        <v>8</v>
      </c>
      <c r="B163" s="114" t="s">
        <v>20</v>
      </c>
      <c r="C163" s="154" t="s">
        <v>78</v>
      </c>
      <c r="D163" s="114">
        <f>'Summary July 25-August 24'!D141</f>
        <v>1481</v>
      </c>
      <c r="E163" s="15">
        <f t="shared" si="18"/>
        <v>9</v>
      </c>
      <c r="F163" s="114">
        <f>'Summary July 25-August 24'!F141</f>
        <v>1472</v>
      </c>
      <c r="G163" s="16">
        <f t="shared" si="16"/>
        <v>0.99392302498311946</v>
      </c>
      <c r="H163" s="134"/>
    </row>
    <row r="164" spans="1:9" ht="15.6" x14ac:dyDescent="0.3">
      <c r="A164" s="176">
        <v>9</v>
      </c>
      <c r="B164" s="114" t="s">
        <v>20</v>
      </c>
      <c r="C164" s="154" t="s">
        <v>81</v>
      </c>
      <c r="D164" s="114">
        <f>'Summary July 25-August 24'!D160</f>
        <v>1158</v>
      </c>
      <c r="E164" s="15">
        <f t="shared" si="18"/>
        <v>4</v>
      </c>
      <c r="F164" s="114">
        <f>'Summary July 25-August 24'!F160</f>
        <v>1154</v>
      </c>
      <c r="G164" s="16">
        <f t="shared" si="16"/>
        <v>0.99654576856649391</v>
      </c>
      <c r="H164" s="134"/>
    </row>
    <row r="165" spans="1:9" ht="15.6" x14ac:dyDescent="0.3">
      <c r="A165" s="109">
        <v>10</v>
      </c>
      <c r="B165" s="114" t="s">
        <v>20</v>
      </c>
      <c r="C165" s="151" t="s">
        <v>99</v>
      </c>
      <c r="D165" s="114">
        <f>'Summary July 25-August 24'!D180</f>
        <v>1024</v>
      </c>
      <c r="E165" s="15">
        <f t="shared" si="18"/>
        <v>51</v>
      </c>
      <c r="F165" s="114">
        <f>'Summary July 25-August 24'!F180</f>
        <v>973</v>
      </c>
      <c r="G165" s="16">
        <f t="shared" si="16"/>
        <v>0.9501953125</v>
      </c>
      <c r="H165" s="134"/>
    </row>
    <row r="166" spans="1:9" ht="15.6" x14ac:dyDescent="0.3">
      <c r="A166" s="176">
        <v>11</v>
      </c>
      <c r="B166" s="114" t="s">
        <v>20</v>
      </c>
      <c r="C166" s="151" t="s">
        <v>112</v>
      </c>
      <c r="D166" s="114">
        <f>'Summary July 25-August 24'!D202</f>
        <v>317</v>
      </c>
      <c r="E166" s="15">
        <f t="shared" si="18"/>
        <v>122</v>
      </c>
      <c r="F166" s="114">
        <f>'Summary July 25-August 24'!F202</f>
        <v>195</v>
      </c>
      <c r="G166" s="16">
        <f t="shared" si="16"/>
        <v>0.6151419558359621</v>
      </c>
      <c r="H166" s="134"/>
    </row>
    <row r="167" spans="1:9" ht="15.6" x14ac:dyDescent="0.3">
      <c r="A167" s="12">
        <v>12</v>
      </c>
      <c r="B167" s="114" t="s">
        <v>20</v>
      </c>
      <c r="C167" s="151" t="s">
        <v>116</v>
      </c>
      <c r="D167" s="114">
        <f>'Summary July 25-August 24'!J224</f>
        <v>224</v>
      </c>
      <c r="E167" s="15">
        <f t="shared" si="18"/>
        <v>66</v>
      </c>
      <c r="F167" s="114">
        <f>'Summary July 25-August 24'!M224</f>
        <v>158</v>
      </c>
      <c r="G167" s="16">
        <f t="shared" si="16"/>
        <v>0.7053571428571429</v>
      </c>
      <c r="H167" s="134"/>
    </row>
    <row r="168" spans="1:9" ht="15.6" x14ac:dyDescent="0.3">
      <c r="A168" s="12">
        <v>13</v>
      </c>
      <c r="B168" s="114" t="s">
        <v>20</v>
      </c>
      <c r="C168" s="151" t="s">
        <v>125</v>
      </c>
      <c r="D168" s="114">
        <f>'Summary July 25-August 24'!J244</f>
        <v>818</v>
      </c>
      <c r="E168" s="15">
        <f t="shared" si="18"/>
        <v>810</v>
      </c>
      <c r="F168" s="114">
        <f>'Summary July 25-August 24'!M244</f>
        <v>8</v>
      </c>
      <c r="G168" s="16">
        <f t="shared" si="16"/>
        <v>9.7799511002444987E-3</v>
      </c>
      <c r="H168" s="134"/>
    </row>
    <row r="169" spans="1:9" ht="15.6" x14ac:dyDescent="0.3">
      <c r="A169" s="12">
        <v>14</v>
      </c>
      <c r="B169" s="114" t="s">
        <v>20</v>
      </c>
      <c r="C169" s="19" t="s">
        <v>79</v>
      </c>
      <c r="D169" s="14">
        <f>'Summary July 25-August 24'!J267</f>
        <v>6544</v>
      </c>
      <c r="E169" s="15">
        <f t="shared" si="18"/>
        <v>2937</v>
      </c>
      <c r="F169" s="14">
        <f>'Summary July 25-August 24'!M267</f>
        <v>3607</v>
      </c>
      <c r="G169" s="16">
        <f t="shared" si="16"/>
        <v>0.55119193154034229</v>
      </c>
      <c r="H169" s="134"/>
    </row>
    <row r="170" spans="1:9" ht="15.6" x14ac:dyDescent="0.3">
      <c r="A170" s="169"/>
      <c r="B170" s="155"/>
      <c r="C170" s="156"/>
      <c r="D170" s="155">
        <f>SUM(D156:D169)</f>
        <v>17123</v>
      </c>
      <c r="E170" s="155">
        <f>SUM(E156:E169)</f>
        <v>4021</v>
      </c>
      <c r="F170" s="155">
        <f>SUM(F156:F169)</f>
        <v>13102</v>
      </c>
      <c r="G170" s="177">
        <f t="shared" si="16"/>
        <v>0.7651696548502015</v>
      </c>
      <c r="H170" s="134"/>
    </row>
    <row r="171" spans="1:9" ht="15.6" x14ac:dyDescent="0.3">
      <c r="A171" s="109">
        <v>1</v>
      </c>
      <c r="B171" s="15" t="s">
        <v>21</v>
      </c>
      <c r="C171" s="13" t="s">
        <v>71</v>
      </c>
      <c r="D171" s="15">
        <f>'Summary July 25-August 24'!D15</f>
        <v>187</v>
      </c>
      <c r="E171" s="15">
        <f t="shared" ref="E171:E184" si="19">D171-F171</f>
        <v>0</v>
      </c>
      <c r="F171" s="14">
        <f>'Summary July 25-August 24'!F15</f>
        <v>187</v>
      </c>
      <c r="G171" s="16">
        <f t="shared" si="16"/>
        <v>1</v>
      </c>
      <c r="H171" s="134"/>
    </row>
    <row r="172" spans="1:9" ht="15.6" x14ac:dyDescent="0.3">
      <c r="A172" s="109">
        <v>2</v>
      </c>
      <c r="B172" s="15" t="s">
        <v>21</v>
      </c>
      <c r="C172" s="13" t="s">
        <v>72</v>
      </c>
      <c r="D172" s="15">
        <f>'Summary July 25-August 24'!D27</f>
        <v>593</v>
      </c>
      <c r="E172" s="15">
        <f t="shared" si="19"/>
        <v>5</v>
      </c>
      <c r="F172" s="14">
        <f>'Summary July 25-August 24'!F27</f>
        <v>588</v>
      </c>
      <c r="G172" s="16">
        <f t="shared" si="16"/>
        <v>0.99156829679595282</v>
      </c>
      <c r="H172" s="134"/>
    </row>
    <row r="173" spans="1:9" ht="15.6" x14ac:dyDescent="0.3">
      <c r="A173" s="109">
        <v>3</v>
      </c>
      <c r="B173" s="15" t="s">
        <v>21</v>
      </c>
      <c r="C173" s="13" t="s">
        <v>73</v>
      </c>
      <c r="D173" s="15">
        <f>'Summary July 25-August 24'!D45</f>
        <v>1659</v>
      </c>
      <c r="E173" s="15">
        <f t="shared" si="19"/>
        <v>12</v>
      </c>
      <c r="F173" s="14">
        <f>'Summary July 25-August 24'!F45</f>
        <v>1647</v>
      </c>
      <c r="G173" s="16">
        <f t="shared" si="16"/>
        <v>0.99276672694394208</v>
      </c>
      <c r="H173" s="134"/>
    </row>
    <row r="174" spans="1:9" ht="15.6" x14ac:dyDescent="0.3">
      <c r="A174" s="109">
        <v>4</v>
      </c>
      <c r="B174" s="148" t="s">
        <v>21</v>
      </c>
      <c r="C174" s="145" t="s">
        <v>74</v>
      </c>
      <c r="D174" s="148">
        <f>'Summary July 25-August 24'!D66</f>
        <v>161</v>
      </c>
      <c r="E174" s="15">
        <f t="shared" si="19"/>
        <v>4</v>
      </c>
      <c r="F174" s="146">
        <f>'Summary July 25-August 24'!F66</f>
        <v>157</v>
      </c>
      <c r="G174" s="16">
        <f t="shared" si="16"/>
        <v>0.97515527950310554</v>
      </c>
      <c r="H174" s="134"/>
    </row>
    <row r="175" spans="1:9" ht="15.6" x14ac:dyDescent="0.3">
      <c r="A175" s="109">
        <v>5</v>
      </c>
      <c r="B175" s="148" t="s">
        <v>21</v>
      </c>
      <c r="C175" s="145" t="s">
        <v>75</v>
      </c>
      <c r="D175" s="148">
        <f>'Summary July 25-August 24'!D85</f>
        <v>117</v>
      </c>
      <c r="E175" s="15">
        <f t="shared" si="19"/>
        <v>3</v>
      </c>
      <c r="F175" s="148">
        <f>'Summary July 25-August 24'!F85</f>
        <v>114</v>
      </c>
      <c r="G175" s="16">
        <f t="shared" si="16"/>
        <v>0.97435897435897434</v>
      </c>
      <c r="H175" s="134"/>
    </row>
    <row r="176" spans="1:9" ht="15.6" x14ac:dyDescent="0.3">
      <c r="A176" s="109">
        <v>6</v>
      </c>
      <c r="B176" s="145" t="s">
        <v>21</v>
      </c>
      <c r="C176" s="148" t="s">
        <v>76</v>
      </c>
      <c r="D176" s="148">
        <f>'Summary July 25-August 24'!D104</f>
        <v>71</v>
      </c>
      <c r="E176" s="15">
        <f t="shared" si="19"/>
        <v>2</v>
      </c>
      <c r="F176" s="148">
        <f>'Summary July 25-August 24'!F104</f>
        <v>69</v>
      </c>
      <c r="G176" s="16">
        <f t="shared" si="16"/>
        <v>0.971830985915493</v>
      </c>
      <c r="H176" s="100"/>
      <c r="I176" s="100"/>
    </row>
    <row r="177" spans="1:9" ht="15.6" x14ac:dyDescent="0.3">
      <c r="A177" s="109">
        <v>7</v>
      </c>
      <c r="B177" s="152" t="s">
        <v>21</v>
      </c>
      <c r="C177" s="152" t="s">
        <v>77</v>
      </c>
      <c r="D177" s="152">
        <f>'Summary July 25-August 24'!D123</f>
        <v>75</v>
      </c>
      <c r="E177" s="15">
        <f t="shared" si="19"/>
        <v>0</v>
      </c>
      <c r="F177" s="152">
        <f>'Summary July 25-August 24'!F123</f>
        <v>75</v>
      </c>
      <c r="G177" s="16">
        <f t="shared" si="16"/>
        <v>1</v>
      </c>
      <c r="H177" s="100"/>
      <c r="I177" s="100"/>
    </row>
    <row r="178" spans="1:9" ht="15.6" x14ac:dyDescent="0.3">
      <c r="A178" s="109">
        <v>8</v>
      </c>
      <c r="B178" s="154" t="s">
        <v>21</v>
      </c>
      <c r="C178" s="111" t="s">
        <v>78</v>
      </c>
      <c r="D178" s="111">
        <f>'Summary July 25-August 24'!D142</f>
        <v>276</v>
      </c>
      <c r="E178" s="15">
        <f t="shared" si="19"/>
        <v>1</v>
      </c>
      <c r="F178" s="111">
        <f>'Summary July 25-August 24'!F142</f>
        <v>275</v>
      </c>
      <c r="G178" s="16">
        <f t="shared" si="16"/>
        <v>0.99637681159420288</v>
      </c>
      <c r="H178" s="100"/>
      <c r="I178" s="100"/>
    </row>
    <row r="179" spans="1:9" ht="15.6" x14ac:dyDescent="0.3">
      <c r="A179" s="109">
        <v>9</v>
      </c>
      <c r="B179" s="154" t="s">
        <v>21</v>
      </c>
      <c r="C179" s="154" t="s">
        <v>81</v>
      </c>
      <c r="D179" s="111">
        <f>'Summary July 25-August 24'!D161</f>
        <v>82</v>
      </c>
      <c r="E179" s="15">
        <f t="shared" si="19"/>
        <v>10</v>
      </c>
      <c r="F179" s="111">
        <f>'Summary July 25-August 24'!F161</f>
        <v>72</v>
      </c>
      <c r="G179" s="16">
        <f t="shared" si="16"/>
        <v>0.87804878048780488</v>
      </c>
      <c r="H179" s="100"/>
      <c r="I179" s="100"/>
    </row>
    <row r="180" spans="1:9" ht="15.6" x14ac:dyDescent="0.3">
      <c r="A180" s="109">
        <v>10</v>
      </c>
      <c r="B180" s="154" t="s">
        <v>21</v>
      </c>
      <c r="C180" s="151" t="s">
        <v>99</v>
      </c>
      <c r="D180" s="111">
        <f>'Summary July 25-August 24'!D181</f>
        <v>76</v>
      </c>
      <c r="E180" s="15">
        <f t="shared" si="19"/>
        <v>8</v>
      </c>
      <c r="F180" s="111">
        <f>'Summary July 25-August 24'!F181</f>
        <v>68</v>
      </c>
      <c r="G180" s="16">
        <f t="shared" si="16"/>
        <v>0.89473684210526316</v>
      </c>
      <c r="H180" s="100"/>
      <c r="I180" s="100"/>
    </row>
    <row r="181" spans="1:9" ht="15.6" x14ac:dyDescent="0.3">
      <c r="A181" s="109">
        <v>11</v>
      </c>
      <c r="B181" s="154" t="s">
        <v>21</v>
      </c>
      <c r="C181" s="151" t="s">
        <v>112</v>
      </c>
      <c r="D181" s="111">
        <f>'Summary July 25-August 24'!D203</f>
        <v>238</v>
      </c>
      <c r="E181" s="15">
        <f t="shared" si="19"/>
        <v>3</v>
      </c>
      <c r="F181" s="111">
        <f>'Summary July 25-August 24'!F203</f>
        <v>235</v>
      </c>
      <c r="G181" s="16">
        <f t="shared" si="16"/>
        <v>0.98739495798319332</v>
      </c>
      <c r="H181" s="100"/>
      <c r="I181" s="100"/>
    </row>
    <row r="182" spans="1:9" ht="15.6" x14ac:dyDescent="0.3">
      <c r="A182" s="12">
        <v>12</v>
      </c>
      <c r="B182" s="154" t="s">
        <v>21</v>
      </c>
      <c r="C182" s="151" t="s">
        <v>116</v>
      </c>
      <c r="D182" s="111">
        <f>'Summary July 25-August 24'!J225</f>
        <v>58</v>
      </c>
      <c r="E182" s="15">
        <f t="shared" si="19"/>
        <v>13</v>
      </c>
      <c r="F182" s="111">
        <f>'Summary July 25-August 24'!M225</f>
        <v>45</v>
      </c>
      <c r="G182" s="16">
        <f t="shared" si="16"/>
        <v>0.77586206896551724</v>
      </c>
      <c r="H182" s="100"/>
      <c r="I182" s="100"/>
    </row>
    <row r="183" spans="1:9" ht="15.6" x14ac:dyDescent="0.3">
      <c r="A183" s="12">
        <v>13</v>
      </c>
      <c r="B183" s="154" t="s">
        <v>21</v>
      </c>
      <c r="C183" s="151" t="s">
        <v>125</v>
      </c>
      <c r="D183" s="111">
        <f>'Summary July 25-August 24'!J245</f>
        <v>160</v>
      </c>
      <c r="E183" s="15">
        <f t="shared" si="19"/>
        <v>140</v>
      </c>
      <c r="F183" s="111">
        <f>'Summary July 25-August 24'!M245</f>
        <v>20</v>
      </c>
      <c r="G183" s="16">
        <f t="shared" si="16"/>
        <v>0.125</v>
      </c>
      <c r="H183" s="100"/>
      <c r="I183" s="100"/>
    </row>
    <row r="184" spans="1:9" ht="15.6" x14ac:dyDescent="0.3">
      <c r="A184" s="12">
        <v>14</v>
      </c>
      <c r="B184" s="154" t="s">
        <v>21</v>
      </c>
      <c r="C184" s="19" t="s">
        <v>79</v>
      </c>
      <c r="D184" s="15">
        <f>'Summary July 25-August 24'!J268</f>
        <v>1070</v>
      </c>
      <c r="E184" s="15">
        <f t="shared" si="19"/>
        <v>155</v>
      </c>
      <c r="F184" s="14">
        <f>'Summary July 25-August 24'!M268</f>
        <v>915</v>
      </c>
      <c r="G184" s="16">
        <f t="shared" si="16"/>
        <v>0.85514018691588789</v>
      </c>
      <c r="H184" s="141"/>
      <c r="I184" s="100"/>
    </row>
    <row r="185" spans="1:9" ht="15.6" x14ac:dyDescent="0.3">
      <c r="A185" s="137"/>
      <c r="B185" s="165"/>
      <c r="C185" s="178"/>
      <c r="D185" s="165">
        <f>SUM(D171:D184)</f>
        <v>4823</v>
      </c>
      <c r="E185" s="165">
        <f>SUM(E171:E184)</f>
        <v>356</v>
      </c>
      <c r="F185" s="165">
        <f>SUM(F171:F184)</f>
        <v>4467</v>
      </c>
      <c r="G185" s="166">
        <f t="shared" ref="G185:G198" si="20">F185/D185</f>
        <v>0.92618702052664315</v>
      </c>
      <c r="H185" s="100"/>
      <c r="I185" s="100"/>
    </row>
    <row r="186" spans="1:9" ht="15.6" x14ac:dyDescent="0.3">
      <c r="A186" s="12">
        <v>1</v>
      </c>
      <c r="B186" s="144" t="s">
        <v>55</v>
      </c>
      <c r="C186" s="148" t="s">
        <v>75</v>
      </c>
      <c r="D186" s="148">
        <f>'Summary July 25-August 24'!D92</f>
        <v>1057</v>
      </c>
      <c r="E186" s="148">
        <f t="shared" ref="E186:E199" si="21">D186-F186</f>
        <v>27</v>
      </c>
      <c r="F186" s="148">
        <f>'Summary July 25-August 24'!F92</f>
        <v>1030</v>
      </c>
      <c r="G186" s="149">
        <f t="shared" si="20"/>
        <v>0.9744560075685903</v>
      </c>
      <c r="H186" s="100"/>
      <c r="I186" s="100"/>
    </row>
    <row r="187" spans="1:9" ht="15.6" x14ac:dyDescent="0.3">
      <c r="A187" s="12">
        <v>2</v>
      </c>
      <c r="B187" s="144" t="s">
        <v>55</v>
      </c>
      <c r="C187" s="148" t="s">
        <v>76</v>
      </c>
      <c r="D187" s="148">
        <f>'Summary July 25-August 24'!D111</f>
        <v>161</v>
      </c>
      <c r="E187" s="148">
        <f t="shared" si="21"/>
        <v>3</v>
      </c>
      <c r="F187" s="148">
        <f>'Summary July 25-August 24'!F111</f>
        <v>158</v>
      </c>
      <c r="G187" s="149">
        <f t="shared" si="20"/>
        <v>0.98136645962732916</v>
      </c>
      <c r="H187" s="100"/>
      <c r="I187" s="100"/>
    </row>
    <row r="188" spans="1:9" ht="15.6" x14ac:dyDescent="0.3">
      <c r="A188" s="12">
        <v>3</v>
      </c>
      <c r="B188" s="14" t="s">
        <v>54</v>
      </c>
      <c r="C188" s="14" t="s">
        <v>71</v>
      </c>
      <c r="D188" s="15">
        <f>'Summary July 25-August 24'!D11</f>
        <v>41</v>
      </c>
      <c r="E188" s="148">
        <f t="shared" si="21"/>
        <v>0</v>
      </c>
      <c r="F188" s="14">
        <f>'Summary July 25-August 24'!F11</f>
        <v>41</v>
      </c>
      <c r="G188" s="149">
        <f t="shared" si="20"/>
        <v>1</v>
      </c>
      <c r="H188" s="100"/>
      <c r="I188" s="100"/>
    </row>
    <row r="189" spans="1:9" ht="15.6" x14ac:dyDescent="0.3">
      <c r="A189" s="12">
        <v>4</v>
      </c>
      <c r="B189" s="13" t="s">
        <v>54</v>
      </c>
      <c r="C189" s="14" t="s">
        <v>72</v>
      </c>
      <c r="D189" s="15">
        <f>'Summary July 25-August 24'!D33</f>
        <v>83</v>
      </c>
      <c r="E189" s="148">
        <f t="shared" si="21"/>
        <v>0</v>
      </c>
      <c r="F189" s="14">
        <f>'Summary July 25-August 24'!F33</f>
        <v>83</v>
      </c>
      <c r="G189" s="149">
        <f t="shared" si="20"/>
        <v>1</v>
      </c>
      <c r="H189" s="100"/>
      <c r="I189" s="100"/>
    </row>
    <row r="190" spans="1:9" ht="15.6" x14ac:dyDescent="0.3">
      <c r="A190" s="12">
        <v>5</v>
      </c>
      <c r="B190" s="14" t="s">
        <v>54</v>
      </c>
      <c r="C190" s="14" t="s">
        <v>73</v>
      </c>
      <c r="D190" s="15">
        <f>'Summary July 25-August 24'!D50</f>
        <v>251</v>
      </c>
      <c r="E190" s="148">
        <f t="shared" si="21"/>
        <v>0</v>
      </c>
      <c r="F190" s="14">
        <f>'Summary July 25-August 24'!F50</f>
        <v>251</v>
      </c>
      <c r="G190" s="149">
        <f t="shared" si="20"/>
        <v>1</v>
      </c>
      <c r="H190" s="100"/>
      <c r="I190" s="100"/>
    </row>
    <row r="191" spans="1:9" ht="15.6" x14ac:dyDescent="0.3">
      <c r="A191" s="12">
        <v>6</v>
      </c>
      <c r="B191" s="144" t="s">
        <v>54</v>
      </c>
      <c r="C191" s="148" t="s">
        <v>74</v>
      </c>
      <c r="D191" s="148">
        <f>'Summary July 25-August 24'!D73</f>
        <v>132</v>
      </c>
      <c r="E191" s="148">
        <f t="shared" si="21"/>
        <v>0</v>
      </c>
      <c r="F191" s="146">
        <f>'Summary July 25-August 24'!F73</f>
        <v>132</v>
      </c>
      <c r="G191" s="149">
        <f t="shared" si="20"/>
        <v>1</v>
      </c>
      <c r="H191" s="100"/>
      <c r="I191" s="100"/>
    </row>
    <row r="192" spans="1:9" ht="15.6" x14ac:dyDescent="0.3">
      <c r="A192" s="12">
        <v>7</v>
      </c>
      <c r="B192" s="150" t="s">
        <v>54</v>
      </c>
      <c r="C192" s="152" t="s">
        <v>77</v>
      </c>
      <c r="D192" s="152">
        <f>'Summary July 25-August 24'!D130</f>
        <v>485</v>
      </c>
      <c r="E192" s="148">
        <f t="shared" si="21"/>
        <v>0</v>
      </c>
      <c r="F192" s="152">
        <f>'Summary July 25-August 24'!F130</f>
        <v>485</v>
      </c>
      <c r="G192" s="149">
        <f t="shared" si="20"/>
        <v>1</v>
      </c>
      <c r="H192" s="100"/>
      <c r="I192" s="100"/>
    </row>
    <row r="193" spans="1:9" ht="15.6" x14ac:dyDescent="0.3">
      <c r="A193" s="12">
        <v>8</v>
      </c>
      <c r="B193" s="153" t="s">
        <v>54</v>
      </c>
      <c r="C193" s="111" t="s">
        <v>78</v>
      </c>
      <c r="D193" s="111">
        <f>'Summary July 25-August 24'!D149</f>
        <v>1537</v>
      </c>
      <c r="E193" s="148">
        <f t="shared" si="21"/>
        <v>12</v>
      </c>
      <c r="F193" s="111">
        <f>'Summary July 25-August 24'!F149</f>
        <v>1525</v>
      </c>
      <c r="G193" s="149">
        <f t="shared" si="20"/>
        <v>0.99219258295380608</v>
      </c>
      <c r="H193" s="100"/>
      <c r="I193" s="100"/>
    </row>
    <row r="194" spans="1:9" ht="15.6" x14ac:dyDescent="0.3">
      <c r="A194" s="12">
        <v>9</v>
      </c>
      <c r="B194" s="153" t="s">
        <v>54</v>
      </c>
      <c r="C194" s="154" t="s">
        <v>81</v>
      </c>
      <c r="D194" s="111">
        <f>'Summary July 25-August 24'!D168</f>
        <v>793</v>
      </c>
      <c r="E194" s="148">
        <f t="shared" si="21"/>
        <v>42</v>
      </c>
      <c r="F194" s="111">
        <f>'Summary July 25-August 24'!F168</f>
        <v>751</v>
      </c>
      <c r="G194" s="149">
        <f t="shared" si="20"/>
        <v>0.94703656998738961</v>
      </c>
      <c r="H194" s="100"/>
      <c r="I194" s="100"/>
    </row>
    <row r="195" spans="1:9" ht="15.6" x14ac:dyDescent="0.3">
      <c r="A195" s="12">
        <v>10</v>
      </c>
      <c r="B195" s="153" t="s">
        <v>54</v>
      </c>
      <c r="C195" s="151" t="s">
        <v>99</v>
      </c>
      <c r="D195" s="111">
        <f>'Summary July 25-August 24'!D188</f>
        <v>65</v>
      </c>
      <c r="E195" s="148">
        <f t="shared" si="21"/>
        <v>15</v>
      </c>
      <c r="F195" s="111">
        <f>'Summary July 25-August 24'!F188</f>
        <v>50</v>
      </c>
      <c r="G195" s="149">
        <f t="shared" si="20"/>
        <v>0.76923076923076927</v>
      </c>
      <c r="H195" s="100"/>
      <c r="I195" s="100"/>
    </row>
    <row r="196" spans="1:9" ht="15.6" x14ac:dyDescent="0.3">
      <c r="A196" s="12">
        <v>11</v>
      </c>
      <c r="B196" s="153" t="s">
        <v>54</v>
      </c>
      <c r="C196" s="151" t="s">
        <v>112</v>
      </c>
      <c r="D196" s="111">
        <f>'Summary July 25-August 24'!D210</f>
        <v>61</v>
      </c>
      <c r="E196" s="148">
        <f t="shared" si="21"/>
        <v>17</v>
      </c>
      <c r="F196" s="111">
        <f>'Summary July 25-August 24'!F210</f>
        <v>44</v>
      </c>
      <c r="G196" s="149">
        <f t="shared" si="20"/>
        <v>0.72131147540983609</v>
      </c>
      <c r="H196" s="100"/>
      <c r="I196" s="100"/>
    </row>
    <row r="197" spans="1:9" ht="15.6" x14ac:dyDescent="0.3">
      <c r="A197" s="12">
        <v>12</v>
      </c>
      <c r="B197" s="153" t="s">
        <v>54</v>
      </c>
      <c r="C197" s="151" t="s">
        <v>116</v>
      </c>
      <c r="D197" s="111">
        <f>'Summary July 25-August 24'!J232</f>
        <v>36</v>
      </c>
      <c r="E197" s="148">
        <f t="shared" si="21"/>
        <v>9</v>
      </c>
      <c r="F197" s="111">
        <f>'Summary July 25-August 24'!M232</f>
        <v>27</v>
      </c>
      <c r="G197" s="149">
        <f t="shared" si="20"/>
        <v>0.75</v>
      </c>
      <c r="H197" s="100"/>
      <c r="I197" s="100"/>
    </row>
    <row r="198" spans="1:9" ht="15.6" x14ac:dyDescent="0.3">
      <c r="A198" s="12">
        <v>13</v>
      </c>
      <c r="B198" s="153" t="s">
        <v>54</v>
      </c>
      <c r="C198" s="151" t="s">
        <v>125</v>
      </c>
      <c r="D198" s="111">
        <f>'Summary July 25-August 24'!J252</f>
        <v>101</v>
      </c>
      <c r="E198" s="148">
        <f t="shared" si="21"/>
        <v>90</v>
      </c>
      <c r="F198" s="111">
        <f>'Summary July 25-August 24'!M252</f>
        <v>11</v>
      </c>
      <c r="G198" s="149">
        <f t="shared" si="20"/>
        <v>0.10891089108910891</v>
      </c>
      <c r="H198" s="100"/>
      <c r="I198" s="100"/>
    </row>
    <row r="199" spans="1:9" ht="15.6" x14ac:dyDescent="0.3">
      <c r="A199" s="12">
        <v>14</v>
      </c>
      <c r="B199" s="153" t="s">
        <v>54</v>
      </c>
      <c r="C199" s="19" t="s">
        <v>79</v>
      </c>
      <c r="D199" s="111"/>
      <c r="E199" s="148">
        <f t="shared" si="21"/>
        <v>0</v>
      </c>
      <c r="F199" s="111"/>
      <c r="G199" s="149"/>
      <c r="H199" s="100"/>
      <c r="I199" s="100"/>
    </row>
    <row r="200" spans="1:9" ht="15.6" x14ac:dyDescent="0.3">
      <c r="A200" s="137"/>
      <c r="B200" s="179"/>
      <c r="C200" s="180"/>
      <c r="D200" s="181">
        <f>SUM(D186:D196)</f>
        <v>4666</v>
      </c>
      <c r="E200" s="181">
        <f>SUM(E186:E196)</f>
        <v>116</v>
      </c>
      <c r="F200" s="181">
        <f>SUM(F186:F196)</f>
        <v>4550</v>
      </c>
      <c r="G200" s="182">
        <f>F200/D200</f>
        <v>0.97513930561508788</v>
      </c>
      <c r="H200" s="100"/>
      <c r="I200" s="100"/>
    </row>
    <row r="201" spans="1:9" ht="15.6" x14ac:dyDescent="0.3">
      <c r="A201" s="183"/>
      <c r="B201" s="184" t="s">
        <v>30</v>
      </c>
      <c r="C201" s="185"/>
      <c r="D201" s="186">
        <f>D200+D185+D170+D155+D140+D125+D110+D95+D80+D65+D50+D35+D20</f>
        <v>123788</v>
      </c>
      <c r="E201" s="186">
        <f>E200+E185+E170+E155+E140+E125+E110+E95+E80+E65+E50+E35+E20</f>
        <v>13568</v>
      </c>
      <c r="F201" s="186">
        <f>F200+F185+F170+F155+F140+F125+F110+F95+F80+F65+F50+F35+F20</f>
        <v>110220</v>
      </c>
      <c r="G201" s="187">
        <f>F201/D201</f>
        <v>0.89039325298090288</v>
      </c>
      <c r="H201" s="136"/>
      <c r="I201" s="100"/>
    </row>
    <row r="202" spans="1:9" x14ac:dyDescent="0.3">
      <c r="F202" s="20">
        <f>'Rank in other cases'!G19</f>
        <v>110220</v>
      </c>
    </row>
    <row r="203" spans="1:9" x14ac:dyDescent="0.3">
      <c r="F203" s="20">
        <f>F202-F201</f>
        <v>0</v>
      </c>
    </row>
    <row r="206" spans="1:9" x14ac:dyDescent="0.3">
      <c r="D206" s="20">
        <f>E36+E66+E81+E96+E126+E141+E156+E171+E186</f>
        <v>62</v>
      </c>
    </row>
  </sheetData>
  <sortState ref="B6:G121">
    <sortCondition ref="B6:B121"/>
  </sortState>
  <mergeCells count="5">
    <mergeCell ref="B3:B4"/>
    <mergeCell ref="A2:G2"/>
    <mergeCell ref="A3:A4"/>
    <mergeCell ref="D3:D4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workbookViewId="0">
      <selection activeCell="F24" sqref="F24"/>
    </sheetView>
  </sheetViews>
  <sheetFormatPr defaultColWidth="9.109375" defaultRowHeight="14.4" x14ac:dyDescent="0.3"/>
  <cols>
    <col min="1" max="1" width="5" style="7" bestFit="1" customWidth="1"/>
    <col min="2" max="2" width="13" style="7" customWidth="1"/>
    <col min="3" max="3" width="12" style="7" bestFit="1" customWidth="1"/>
    <col min="4" max="4" width="15.44140625" style="7" customWidth="1"/>
    <col min="5" max="5" width="14.5546875" style="7" customWidth="1"/>
    <col min="6" max="6" width="15.6640625" style="7" bestFit="1" customWidth="1"/>
    <col min="7" max="7" width="14.33203125" style="7" customWidth="1"/>
    <col min="8" max="8" width="9.109375" style="7" customWidth="1"/>
    <col min="9" max="9" width="33.44140625" style="7" customWidth="1"/>
    <col min="10" max="10" width="10.33203125" style="7" bestFit="1" customWidth="1"/>
    <col min="11" max="12" width="10.5546875" style="7" bestFit="1" customWidth="1"/>
    <col min="13" max="13" width="5.5546875" style="7" bestFit="1" customWidth="1"/>
    <col min="14" max="16384" width="9.109375" style="7"/>
  </cols>
  <sheetData>
    <row r="1" spans="1:13" x14ac:dyDescent="0.3">
      <c r="A1" s="433" t="s">
        <v>66</v>
      </c>
      <c r="B1" s="433"/>
      <c r="C1" s="433"/>
      <c r="D1" s="433"/>
      <c r="E1" s="433"/>
      <c r="F1" s="433"/>
      <c r="G1" s="433"/>
      <c r="H1" s="433"/>
      <c r="I1" s="433"/>
    </row>
    <row r="2" spans="1:13" x14ac:dyDescent="0.3">
      <c r="A2" s="434" t="s">
        <v>128</v>
      </c>
      <c r="B2" s="434"/>
      <c r="C2" s="434"/>
      <c r="D2" s="434"/>
      <c r="E2" s="434"/>
      <c r="F2" s="434"/>
      <c r="G2" s="434"/>
      <c r="H2" s="434"/>
      <c r="I2" s="434"/>
    </row>
    <row r="3" spans="1:13" ht="15" customHeight="1" x14ac:dyDescent="0.3">
      <c r="A3" s="432" t="s">
        <v>1</v>
      </c>
      <c r="B3" s="436" t="s">
        <v>2</v>
      </c>
      <c r="C3" s="432" t="s">
        <v>3</v>
      </c>
      <c r="D3" s="437" t="s">
        <v>68</v>
      </c>
      <c r="E3" s="437"/>
      <c r="F3" s="438" t="s">
        <v>6</v>
      </c>
      <c r="G3" s="439"/>
      <c r="H3" s="440"/>
      <c r="I3" s="432" t="s">
        <v>67</v>
      </c>
    </row>
    <row r="4" spans="1:13" ht="51" customHeight="1" x14ac:dyDescent="0.3">
      <c r="A4" s="432"/>
      <c r="B4" s="436"/>
      <c r="C4" s="432"/>
      <c r="D4" s="437"/>
      <c r="E4" s="437"/>
      <c r="F4" s="125" t="s">
        <v>69</v>
      </c>
      <c r="G4" s="124" t="s">
        <v>10</v>
      </c>
      <c r="H4" s="125" t="s">
        <v>65</v>
      </c>
      <c r="I4" s="432"/>
    </row>
    <row r="5" spans="1:13" x14ac:dyDescent="0.3">
      <c r="A5" s="98"/>
      <c r="B5" s="97" t="s">
        <v>12</v>
      </c>
      <c r="C5" s="97" t="s">
        <v>13</v>
      </c>
      <c r="D5" s="97" t="s">
        <v>9</v>
      </c>
      <c r="E5" s="97" t="s">
        <v>10</v>
      </c>
      <c r="F5" s="97" t="s">
        <v>16</v>
      </c>
      <c r="G5" s="97" t="s">
        <v>17</v>
      </c>
      <c r="H5" s="371" t="s">
        <v>64</v>
      </c>
      <c r="I5" s="126"/>
      <c r="K5" s="143"/>
    </row>
    <row r="6" spans="1:13" x14ac:dyDescent="0.3">
      <c r="A6" s="49">
        <v>1</v>
      </c>
      <c r="B6" s="237">
        <v>36</v>
      </c>
      <c r="C6" s="372" t="s">
        <v>27</v>
      </c>
      <c r="D6" s="237">
        <f>'Detail monthly summaryBD'!D110</f>
        <v>8258</v>
      </c>
      <c r="E6" s="5">
        <f>'Detail monthly summaryBD'!F110</f>
        <v>8168</v>
      </c>
      <c r="F6" s="5">
        <f t="shared" ref="F6:F18" si="0">D6-G6</f>
        <v>90</v>
      </c>
      <c r="G6" s="5">
        <f t="shared" ref="G6:G18" si="1">E6</f>
        <v>8168</v>
      </c>
      <c r="H6" s="374">
        <f t="shared" ref="H6:H18" si="2">E6/D6</f>
        <v>0.98910147735529186</v>
      </c>
      <c r="I6" s="95"/>
      <c r="K6" s="142"/>
    </row>
    <row r="7" spans="1:13" x14ac:dyDescent="0.3">
      <c r="A7" s="49">
        <v>2</v>
      </c>
      <c r="B7" s="5">
        <v>26</v>
      </c>
      <c r="C7" s="375" t="s">
        <v>54</v>
      </c>
      <c r="D7" s="373">
        <f>'Detail monthly summaryBD'!D200</f>
        <v>4666</v>
      </c>
      <c r="E7" s="108">
        <f>'Detail monthly summaryBD'!F200</f>
        <v>4550</v>
      </c>
      <c r="F7" s="108">
        <f t="shared" si="0"/>
        <v>116</v>
      </c>
      <c r="G7" s="108">
        <f t="shared" si="1"/>
        <v>4550</v>
      </c>
      <c r="H7" s="374">
        <f t="shared" si="2"/>
        <v>0.97513930561508788</v>
      </c>
      <c r="I7" s="95"/>
      <c r="K7" s="143">
        <f>K5-K6</f>
        <v>0</v>
      </c>
    </row>
    <row r="8" spans="1:13" x14ac:dyDescent="0.3">
      <c r="A8" s="49">
        <v>3</v>
      </c>
      <c r="B8" s="237">
        <v>33</v>
      </c>
      <c r="C8" s="372" t="s">
        <v>22</v>
      </c>
      <c r="D8" s="237">
        <f>'Detail monthly summaryBD'!D20</f>
        <v>7287</v>
      </c>
      <c r="E8" s="376">
        <f>'Detail monthly summaryBD'!F20</f>
        <v>7077</v>
      </c>
      <c r="F8" s="108">
        <f t="shared" si="0"/>
        <v>210</v>
      </c>
      <c r="G8" s="108">
        <f t="shared" si="1"/>
        <v>7077</v>
      </c>
      <c r="H8" s="374">
        <f t="shared" si="2"/>
        <v>0.97118155619596547</v>
      </c>
      <c r="I8" s="189"/>
      <c r="K8" s="133"/>
    </row>
    <row r="9" spans="1:13" x14ac:dyDescent="0.3">
      <c r="A9" s="49">
        <v>4</v>
      </c>
      <c r="B9" s="5">
        <v>49</v>
      </c>
      <c r="C9" s="5" t="s">
        <v>18</v>
      </c>
      <c r="D9" s="237">
        <f>'Detail monthly summaryBD'!D80</f>
        <v>11464</v>
      </c>
      <c r="E9" s="5">
        <f>'Detail monthly summaryBD'!F80</f>
        <v>10792</v>
      </c>
      <c r="F9" s="108">
        <f t="shared" si="0"/>
        <v>672</v>
      </c>
      <c r="G9" s="108">
        <f t="shared" si="1"/>
        <v>10792</v>
      </c>
      <c r="H9" s="374">
        <f t="shared" si="2"/>
        <v>0.94138171667829729</v>
      </c>
      <c r="I9" s="95"/>
      <c r="K9" s="133"/>
    </row>
    <row r="10" spans="1:13" x14ac:dyDescent="0.3">
      <c r="A10" s="49">
        <v>5</v>
      </c>
      <c r="B10" s="5">
        <v>57</v>
      </c>
      <c r="C10" s="5" t="s">
        <v>21</v>
      </c>
      <c r="D10" s="237">
        <f>'Detail monthly summaryBD'!D185</f>
        <v>4823</v>
      </c>
      <c r="E10" s="5">
        <f>'Detail monthly summaryBD'!F185</f>
        <v>4467</v>
      </c>
      <c r="F10" s="108">
        <f t="shared" si="0"/>
        <v>356</v>
      </c>
      <c r="G10" s="108">
        <f t="shared" si="1"/>
        <v>4467</v>
      </c>
      <c r="H10" s="377">
        <f t="shared" si="2"/>
        <v>0.92618702052664315</v>
      </c>
      <c r="I10" s="95"/>
      <c r="L10" s="133"/>
    </row>
    <row r="11" spans="1:13" x14ac:dyDescent="0.3">
      <c r="A11" s="49">
        <v>6</v>
      </c>
      <c r="B11" s="5">
        <v>7</v>
      </c>
      <c r="C11" s="5" t="s">
        <v>29</v>
      </c>
      <c r="D11" s="237">
        <f>'Detail monthly summaryBD'!D140</f>
        <v>564</v>
      </c>
      <c r="E11" s="5">
        <f>'Detail monthly summaryBD'!F140</f>
        <v>514</v>
      </c>
      <c r="F11" s="5">
        <f t="shared" si="0"/>
        <v>50</v>
      </c>
      <c r="G11" s="5">
        <f t="shared" si="1"/>
        <v>514</v>
      </c>
      <c r="H11" s="374">
        <f t="shared" si="2"/>
        <v>0.91134751773049649</v>
      </c>
      <c r="I11" s="95"/>
      <c r="K11" s="133"/>
    </row>
    <row r="12" spans="1:13" x14ac:dyDescent="0.3">
      <c r="A12" s="49">
        <v>7</v>
      </c>
      <c r="B12" s="5">
        <v>42</v>
      </c>
      <c r="C12" s="5" t="s">
        <v>19</v>
      </c>
      <c r="D12" s="237">
        <f>'Detail monthly summaryBD'!D155</f>
        <v>5042</v>
      </c>
      <c r="E12" s="5">
        <f>'Detail monthly summaryBD'!F155</f>
        <v>4583</v>
      </c>
      <c r="F12" s="5">
        <f t="shared" si="0"/>
        <v>459</v>
      </c>
      <c r="G12" s="5">
        <f t="shared" si="1"/>
        <v>4583</v>
      </c>
      <c r="H12" s="374">
        <f t="shared" si="2"/>
        <v>0.90896469654898848</v>
      </c>
      <c r="I12" s="95"/>
      <c r="K12" s="133"/>
    </row>
    <row r="13" spans="1:13" x14ac:dyDescent="0.3">
      <c r="A13" s="49">
        <v>8</v>
      </c>
      <c r="B13" s="237">
        <v>25</v>
      </c>
      <c r="C13" s="237" t="s">
        <v>23</v>
      </c>
      <c r="D13" s="237">
        <f>'Detail monthly summaryBD'!D35</f>
        <v>44363</v>
      </c>
      <c r="E13" s="168">
        <f>'Detail monthly summaryBD'!F35</f>
        <v>39917</v>
      </c>
      <c r="F13" s="5">
        <f t="shared" si="0"/>
        <v>4446</v>
      </c>
      <c r="G13" s="5">
        <f t="shared" si="1"/>
        <v>39917</v>
      </c>
      <c r="H13" s="374">
        <f t="shared" si="2"/>
        <v>0.89978134932263376</v>
      </c>
      <c r="I13" s="95"/>
      <c r="K13" s="133"/>
    </row>
    <row r="14" spans="1:13" x14ac:dyDescent="0.3">
      <c r="A14" s="49">
        <v>9</v>
      </c>
      <c r="B14" s="5">
        <v>39</v>
      </c>
      <c r="C14" s="5" t="s">
        <v>26</v>
      </c>
      <c r="D14" s="237">
        <f>'Detail monthly summaryBD'!D95</f>
        <v>12817</v>
      </c>
      <c r="E14" s="5">
        <f>'Detail monthly summaryBD'!F95</f>
        <v>11339</v>
      </c>
      <c r="F14" s="108">
        <f t="shared" si="0"/>
        <v>1478</v>
      </c>
      <c r="G14" s="108">
        <f t="shared" si="1"/>
        <v>11339</v>
      </c>
      <c r="H14" s="377">
        <f t="shared" si="2"/>
        <v>0.8846844035265663</v>
      </c>
      <c r="I14" s="95"/>
      <c r="K14" s="133"/>
    </row>
    <row r="15" spans="1:13" x14ac:dyDescent="0.3">
      <c r="A15" s="49">
        <v>10</v>
      </c>
      <c r="B15" s="5">
        <v>17</v>
      </c>
      <c r="C15" s="375" t="s">
        <v>25</v>
      </c>
      <c r="D15" s="237">
        <f>'Detail monthly summaryBD'!D65</f>
        <v>5223</v>
      </c>
      <c r="E15" s="168">
        <f>'Detail monthly summaryBD'!F65</f>
        <v>4274</v>
      </c>
      <c r="F15" s="5">
        <f t="shared" si="0"/>
        <v>949</v>
      </c>
      <c r="G15" s="5">
        <f t="shared" si="1"/>
        <v>4274</v>
      </c>
      <c r="H15" s="374">
        <f t="shared" si="2"/>
        <v>0.81830365690216356</v>
      </c>
      <c r="I15" s="95"/>
      <c r="J15" s="20"/>
      <c r="K15" s="133"/>
      <c r="L15" s="20"/>
      <c r="M15" s="133"/>
    </row>
    <row r="16" spans="1:13" x14ac:dyDescent="0.3">
      <c r="A16" s="49">
        <v>11</v>
      </c>
      <c r="B16" s="5">
        <v>58</v>
      </c>
      <c r="C16" s="5" t="s">
        <v>20</v>
      </c>
      <c r="D16" s="237">
        <f>'Detail monthly summaryBD'!D170</f>
        <v>17123</v>
      </c>
      <c r="E16" s="5">
        <f>'Detail monthly summaryBD'!F170</f>
        <v>13102</v>
      </c>
      <c r="F16" s="108">
        <f t="shared" si="0"/>
        <v>4021</v>
      </c>
      <c r="G16" s="108">
        <f t="shared" si="1"/>
        <v>13102</v>
      </c>
      <c r="H16" s="377">
        <f t="shared" si="2"/>
        <v>0.7651696548502015</v>
      </c>
      <c r="I16" s="95"/>
      <c r="K16" s="133"/>
    </row>
    <row r="17" spans="1:11" x14ac:dyDescent="0.3">
      <c r="A17" s="49">
        <v>12</v>
      </c>
      <c r="B17" s="5">
        <v>11</v>
      </c>
      <c r="C17" s="5" t="s">
        <v>24</v>
      </c>
      <c r="D17" s="237">
        <f>'Detail monthly summaryBD'!D50</f>
        <v>1447</v>
      </c>
      <c r="E17" s="5">
        <f>'Detail monthly summaryBD'!F50</f>
        <v>1085</v>
      </c>
      <c r="F17" s="5">
        <f t="shared" si="0"/>
        <v>362</v>
      </c>
      <c r="G17" s="5">
        <f t="shared" si="1"/>
        <v>1085</v>
      </c>
      <c r="H17" s="374">
        <f t="shared" si="2"/>
        <v>0.7498272287491361</v>
      </c>
      <c r="I17" s="95"/>
      <c r="K17" s="133"/>
    </row>
    <row r="18" spans="1:11" x14ac:dyDescent="0.3">
      <c r="A18" s="49">
        <v>13</v>
      </c>
      <c r="B18" s="5">
        <v>20</v>
      </c>
      <c r="C18" s="375" t="s">
        <v>28</v>
      </c>
      <c r="D18" s="237">
        <f>'Detail monthly summaryBD'!D125</f>
        <v>711</v>
      </c>
      <c r="E18" s="375">
        <f>'Detail monthly summaryBD'!F125</f>
        <v>352</v>
      </c>
      <c r="F18" s="108">
        <f t="shared" si="0"/>
        <v>359</v>
      </c>
      <c r="G18" s="108">
        <f t="shared" si="1"/>
        <v>352</v>
      </c>
      <c r="H18" s="377">
        <f t="shared" si="2"/>
        <v>0.49507735583684953</v>
      </c>
      <c r="I18" s="127"/>
      <c r="J18" s="20"/>
      <c r="K18" s="133"/>
    </row>
    <row r="19" spans="1:11" x14ac:dyDescent="0.3">
      <c r="A19" s="51"/>
      <c r="B19" s="46">
        <f>SUM(B6:B18)</f>
        <v>420</v>
      </c>
      <c r="C19" s="47" t="s">
        <v>30</v>
      </c>
      <c r="D19" s="48">
        <f>SUM(D6:D18)</f>
        <v>123788</v>
      </c>
      <c r="E19" s="48">
        <f>SUM(E6:E18)</f>
        <v>110220</v>
      </c>
      <c r="F19" s="48">
        <f>SUM(F6:F18)</f>
        <v>13568</v>
      </c>
      <c r="G19" s="48">
        <f>SUM(G6:G18)</f>
        <v>110220</v>
      </c>
      <c r="H19" s="95"/>
      <c r="I19" s="95"/>
      <c r="K19" s="133"/>
    </row>
    <row r="20" spans="1:11" x14ac:dyDescent="0.3">
      <c r="A20" s="51"/>
      <c r="B20" s="51"/>
      <c r="C20" s="51"/>
      <c r="D20" s="50"/>
      <c r="E20" s="51"/>
      <c r="F20" s="50">
        <f>F19/D19</f>
        <v>0.10960674701909717</v>
      </c>
      <c r="G20" s="50">
        <f>G19/D19</f>
        <v>0.89039325298090288</v>
      </c>
      <c r="H20" s="95"/>
      <c r="I20" s="95"/>
      <c r="K20" s="133"/>
    </row>
    <row r="21" spans="1:11" ht="36.75" customHeight="1" x14ac:dyDescent="0.3">
      <c r="A21" s="435" t="s">
        <v>129</v>
      </c>
      <c r="B21" s="435"/>
      <c r="C21" s="435"/>
      <c r="D21" s="435"/>
      <c r="E21" s="435"/>
      <c r="F21" s="435"/>
      <c r="G21" s="435"/>
      <c r="H21" s="435"/>
      <c r="I21" s="435"/>
      <c r="J21" s="128"/>
      <c r="K21" s="128"/>
    </row>
    <row r="22" spans="1:11" x14ac:dyDescent="0.3">
      <c r="D22" s="20"/>
    </row>
    <row r="25" spans="1:11" x14ac:dyDescent="0.3">
      <c r="I25" s="20">
        <f>I23-I24</f>
        <v>0</v>
      </c>
    </row>
    <row r="26" spans="1:11" x14ac:dyDescent="0.3">
      <c r="I26" s="133"/>
    </row>
  </sheetData>
  <sortState ref="B6:H18">
    <sortCondition descending="1" ref="H6:H18"/>
  </sortState>
  <mergeCells count="9">
    <mergeCell ref="I3:I4"/>
    <mergeCell ref="A1:I1"/>
    <mergeCell ref="A2:I2"/>
    <mergeCell ref="A21:I21"/>
    <mergeCell ref="A3:A4"/>
    <mergeCell ref="B3:B4"/>
    <mergeCell ref="C3:C4"/>
    <mergeCell ref="D3:E4"/>
    <mergeCell ref="F3:H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6"/>
  <sheetViews>
    <sheetView topLeftCell="C145" workbookViewId="0">
      <selection activeCell="H8" sqref="H8"/>
    </sheetView>
  </sheetViews>
  <sheetFormatPr defaultRowHeight="14.4" x14ac:dyDescent="0.3"/>
  <cols>
    <col min="1" max="1" width="5.5546875" bestFit="1" customWidth="1"/>
    <col min="2" max="2" width="14.33203125" customWidth="1"/>
    <col min="3" max="3" width="17.88671875" customWidth="1"/>
    <col min="4" max="4" width="14.33203125" bestFit="1" customWidth="1"/>
    <col min="5" max="5" width="18.33203125" bestFit="1" customWidth="1"/>
    <col min="6" max="6" width="14.33203125" bestFit="1" customWidth="1"/>
    <col min="7" max="7" width="13.88671875" bestFit="1" customWidth="1"/>
    <col min="8" max="8" width="14.33203125" customWidth="1"/>
    <col min="9" max="9" width="14.6640625" bestFit="1" customWidth="1"/>
    <col min="10" max="10" width="14.33203125" bestFit="1" customWidth="1"/>
    <col min="11" max="11" width="15.88671875" customWidth="1"/>
    <col min="12" max="12" width="17.33203125" bestFit="1" customWidth="1"/>
    <col min="13" max="13" width="12" bestFit="1" customWidth="1"/>
    <col min="14" max="14" width="12.109375" bestFit="1" customWidth="1"/>
    <col min="15" max="15" width="13.44140625" customWidth="1"/>
    <col min="16" max="16" width="15.109375" customWidth="1"/>
  </cols>
  <sheetData>
    <row r="1" spans="1:13" ht="17.399999999999999" x14ac:dyDescent="0.3">
      <c r="A1" s="441" t="s">
        <v>0</v>
      </c>
      <c r="B1" s="441"/>
      <c r="C1" s="441"/>
      <c r="D1" s="441"/>
      <c r="E1" s="441"/>
      <c r="F1" s="441"/>
      <c r="G1" s="441"/>
      <c r="H1" s="441"/>
      <c r="I1" s="441"/>
      <c r="J1" s="441"/>
      <c r="K1" s="101"/>
      <c r="L1" s="101"/>
    </row>
    <row r="2" spans="1:13" ht="17.399999999999999" x14ac:dyDescent="0.3">
      <c r="A2" s="441" t="s">
        <v>127</v>
      </c>
      <c r="B2" s="441"/>
      <c r="C2" s="441"/>
      <c r="D2" s="441"/>
      <c r="E2" s="441"/>
      <c r="F2" s="441"/>
      <c r="G2" s="441"/>
      <c r="H2" s="441"/>
      <c r="I2" s="441"/>
      <c r="J2" s="441"/>
      <c r="K2" s="101"/>
      <c r="L2" s="101"/>
    </row>
    <row r="3" spans="1:13" ht="17.399999999999999" x14ac:dyDescent="0.3">
      <c r="A3" s="442" t="s">
        <v>82</v>
      </c>
      <c r="B3" s="442"/>
      <c r="C3" s="442"/>
      <c r="D3" s="442"/>
      <c r="E3" s="442"/>
      <c r="F3" s="442"/>
      <c r="G3" s="442"/>
      <c r="H3" s="442"/>
      <c r="I3" s="442"/>
      <c r="J3" s="442"/>
      <c r="K3" s="221"/>
      <c r="L3" s="221"/>
    </row>
    <row r="4" spans="1:13" ht="17.399999999999999" x14ac:dyDescent="0.3">
      <c r="A4" s="432" t="s">
        <v>1</v>
      </c>
      <c r="B4" s="436" t="s">
        <v>2</v>
      </c>
      <c r="C4" s="432" t="s">
        <v>3</v>
      </c>
      <c r="D4" s="437" t="s">
        <v>57</v>
      </c>
      <c r="E4" s="437"/>
      <c r="F4" s="439"/>
      <c r="G4" s="439"/>
      <c r="H4" s="440"/>
      <c r="I4" s="324"/>
      <c r="J4" s="363"/>
      <c r="K4" s="221"/>
      <c r="L4" s="355"/>
      <c r="M4" s="276"/>
    </row>
    <row r="5" spans="1:13" ht="52.8" x14ac:dyDescent="0.3">
      <c r="A5" s="432"/>
      <c r="B5" s="436"/>
      <c r="C5" s="432"/>
      <c r="D5" s="437"/>
      <c r="E5" s="437"/>
      <c r="F5" s="195" t="s">
        <v>10</v>
      </c>
      <c r="G5" s="196" t="s">
        <v>58</v>
      </c>
      <c r="H5" s="196" t="s">
        <v>59</v>
      </c>
      <c r="I5" s="363" t="s">
        <v>131</v>
      </c>
      <c r="J5" s="324" t="s">
        <v>119</v>
      </c>
      <c r="K5" s="221"/>
      <c r="L5" s="355"/>
      <c r="M5" s="276"/>
    </row>
    <row r="6" spans="1:13" ht="17.399999999999999" x14ac:dyDescent="0.3">
      <c r="A6" s="98"/>
      <c r="B6" s="98" t="s">
        <v>12</v>
      </c>
      <c r="C6" s="98" t="s">
        <v>13</v>
      </c>
      <c r="D6" s="97" t="s">
        <v>9</v>
      </c>
      <c r="E6" s="97" t="s">
        <v>10</v>
      </c>
      <c r="F6" s="98" t="s">
        <v>17</v>
      </c>
      <c r="G6" s="98" t="s">
        <v>83</v>
      </c>
      <c r="H6" s="99" t="s">
        <v>64</v>
      </c>
      <c r="I6" s="99"/>
      <c r="J6" s="99"/>
      <c r="K6" s="221"/>
      <c r="L6" s="365"/>
      <c r="M6" s="354"/>
    </row>
    <row r="7" spans="1:13" x14ac:dyDescent="0.3">
      <c r="A7" s="49">
        <v>1</v>
      </c>
      <c r="B7" s="237">
        <v>36</v>
      </c>
      <c r="C7" s="372" t="s">
        <v>27</v>
      </c>
      <c r="D7" s="103">
        <v>8258</v>
      </c>
      <c r="E7" s="104">
        <v>8168</v>
      </c>
      <c r="F7" s="104">
        <f>D7-E7</f>
        <v>90</v>
      </c>
      <c r="G7" s="104">
        <f>E7</f>
        <v>8168</v>
      </c>
      <c r="H7" s="188">
        <f>E7/D7</f>
        <v>0.98910147735529186</v>
      </c>
      <c r="I7" s="326">
        <v>0.97</v>
      </c>
      <c r="J7" s="327">
        <f>H7-I7</f>
        <v>1.9101477355291885E-2</v>
      </c>
      <c r="L7" s="365"/>
      <c r="M7" s="354"/>
    </row>
    <row r="8" spans="1:13" x14ac:dyDescent="0.3">
      <c r="A8" s="49">
        <v>2</v>
      </c>
      <c r="B8" s="5">
        <v>26</v>
      </c>
      <c r="C8" s="375" t="s">
        <v>54</v>
      </c>
      <c r="D8" s="40">
        <v>4666</v>
      </c>
      <c r="E8" s="1">
        <v>4550</v>
      </c>
      <c r="F8" s="104">
        <f t="shared" ref="F8:F19" si="0">D8-E8</f>
        <v>116</v>
      </c>
      <c r="G8" s="104">
        <f t="shared" ref="G8:G19" si="1">E8</f>
        <v>4550</v>
      </c>
      <c r="H8" s="188">
        <f t="shared" ref="H8:H19" si="2">E8/D8</f>
        <v>0.97513930561508788</v>
      </c>
      <c r="I8" s="326">
        <v>0.98</v>
      </c>
      <c r="J8" s="327">
        <f t="shared" ref="J8:J19" si="3">H8-I8</f>
        <v>-4.8606943849121009E-3</v>
      </c>
      <c r="L8" s="365"/>
      <c r="M8" s="354"/>
    </row>
    <row r="9" spans="1:13" x14ac:dyDescent="0.3">
      <c r="A9" s="49">
        <v>3</v>
      </c>
      <c r="B9" s="237">
        <v>33</v>
      </c>
      <c r="C9" s="372" t="s">
        <v>22</v>
      </c>
      <c r="D9" s="40">
        <v>7287</v>
      </c>
      <c r="E9" s="157">
        <v>7077</v>
      </c>
      <c r="F9" s="104">
        <f t="shared" si="0"/>
        <v>210</v>
      </c>
      <c r="G9" s="104">
        <f>E9</f>
        <v>7077</v>
      </c>
      <c r="H9" s="188">
        <f t="shared" si="2"/>
        <v>0.97118155619596547</v>
      </c>
      <c r="I9" s="326">
        <v>0.95</v>
      </c>
      <c r="J9" s="327">
        <f t="shared" si="3"/>
        <v>2.1181556195965512E-2</v>
      </c>
      <c r="L9" s="365"/>
      <c r="M9" s="354"/>
    </row>
    <row r="10" spans="1:13" x14ac:dyDescent="0.3">
      <c r="A10" s="49">
        <v>4</v>
      </c>
      <c r="B10" s="5">
        <v>49</v>
      </c>
      <c r="C10" s="5" t="s">
        <v>18</v>
      </c>
      <c r="D10" s="40">
        <v>11464</v>
      </c>
      <c r="E10" s="1">
        <v>10792</v>
      </c>
      <c r="F10" s="104">
        <f t="shared" si="0"/>
        <v>672</v>
      </c>
      <c r="G10" s="104">
        <f t="shared" si="1"/>
        <v>10792</v>
      </c>
      <c r="H10" s="188">
        <f t="shared" si="2"/>
        <v>0.94138171667829729</v>
      </c>
      <c r="I10" s="326">
        <v>0.9</v>
      </c>
      <c r="J10" s="327">
        <f t="shared" si="3"/>
        <v>4.1381716678297265E-2</v>
      </c>
      <c r="L10" s="366"/>
      <c r="M10" s="354"/>
    </row>
    <row r="11" spans="1:13" x14ac:dyDescent="0.3">
      <c r="A11" s="49">
        <v>5</v>
      </c>
      <c r="B11" s="5">
        <v>57</v>
      </c>
      <c r="C11" s="5" t="s">
        <v>21</v>
      </c>
      <c r="D11" s="40">
        <v>4823</v>
      </c>
      <c r="E11" s="1">
        <v>4467</v>
      </c>
      <c r="F11" s="104">
        <f t="shared" si="0"/>
        <v>356</v>
      </c>
      <c r="G11" s="104">
        <f t="shared" si="1"/>
        <v>4467</v>
      </c>
      <c r="H11" s="188">
        <f t="shared" si="2"/>
        <v>0.92618702052664315</v>
      </c>
      <c r="I11" s="326">
        <v>0.9</v>
      </c>
      <c r="J11" s="328">
        <f t="shared" si="3"/>
        <v>2.6187020526643123E-2</v>
      </c>
      <c r="L11" s="366"/>
      <c r="M11" s="378"/>
    </row>
    <row r="12" spans="1:13" x14ac:dyDescent="0.3">
      <c r="A12" s="49">
        <v>6</v>
      </c>
      <c r="B12" s="5">
        <v>7</v>
      </c>
      <c r="C12" s="5" t="s">
        <v>29</v>
      </c>
      <c r="D12" s="40">
        <v>564</v>
      </c>
      <c r="E12" s="1">
        <v>514</v>
      </c>
      <c r="F12" s="104">
        <f t="shared" si="0"/>
        <v>50</v>
      </c>
      <c r="G12" s="104">
        <f t="shared" si="1"/>
        <v>514</v>
      </c>
      <c r="H12" s="188">
        <f t="shared" si="2"/>
        <v>0.91134751773049649</v>
      </c>
      <c r="I12" s="326">
        <v>0.91</v>
      </c>
      <c r="J12" s="328">
        <f t="shared" si="3"/>
        <v>1.3475177304964614E-3</v>
      </c>
      <c r="L12" s="366"/>
      <c r="M12" s="354"/>
    </row>
    <row r="13" spans="1:13" x14ac:dyDescent="0.3">
      <c r="A13" s="49">
        <v>7</v>
      </c>
      <c r="B13" s="5">
        <v>42</v>
      </c>
      <c r="C13" s="5" t="s">
        <v>19</v>
      </c>
      <c r="D13" s="40">
        <v>5042</v>
      </c>
      <c r="E13" s="1">
        <v>4583</v>
      </c>
      <c r="F13" s="104">
        <f t="shared" si="0"/>
        <v>459</v>
      </c>
      <c r="G13" s="104">
        <f t="shared" si="1"/>
        <v>4583</v>
      </c>
      <c r="H13" s="188">
        <f t="shared" si="2"/>
        <v>0.90896469654898848</v>
      </c>
      <c r="I13" s="326">
        <v>0.9</v>
      </c>
      <c r="J13" s="328">
        <f t="shared" si="3"/>
        <v>8.96469654898846E-3</v>
      </c>
      <c r="L13" s="366"/>
      <c r="M13" s="354"/>
    </row>
    <row r="14" spans="1:13" x14ac:dyDescent="0.3">
      <c r="A14" s="49">
        <v>8</v>
      </c>
      <c r="B14" s="237">
        <v>25</v>
      </c>
      <c r="C14" s="237" t="s">
        <v>23</v>
      </c>
      <c r="D14" s="40">
        <v>44363</v>
      </c>
      <c r="E14" s="43">
        <v>39917</v>
      </c>
      <c r="F14" s="104">
        <f t="shared" si="0"/>
        <v>4446</v>
      </c>
      <c r="G14" s="104">
        <f t="shared" si="1"/>
        <v>39917</v>
      </c>
      <c r="H14" s="188">
        <f t="shared" si="2"/>
        <v>0.89978134932263376</v>
      </c>
      <c r="I14" s="326">
        <v>0.89</v>
      </c>
      <c r="J14" s="328">
        <f t="shared" si="3"/>
        <v>9.7813493226337478E-3</v>
      </c>
      <c r="L14" s="367"/>
      <c r="M14" s="354"/>
    </row>
    <row r="15" spans="1:13" x14ac:dyDescent="0.3">
      <c r="A15" s="49">
        <v>9</v>
      </c>
      <c r="B15" s="5">
        <v>39</v>
      </c>
      <c r="C15" s="5" t="s">
        <v>26</v>
      </c>
      <c r="D15" s="40">
        <v>12817</v>
      </c>
      <c r="E15" s="5">
        <v>11339</v>
      </c>
      <c r="F15" s="104">
        <f t="shared" si="0"/>
        <v>1478</v>
      </c>
      <c r="G15" s="104">
        <f t="shared" si="1"/>
        <v>11339</v>
      </c>
      <c r="H15" s="188">
        <f t="shared" si="2"/>
        <v>0.8846844035265663</v>
      </c>
      <c r="I15" s="326">
        <v>0.85</v>
      </c>
      <c r="J15" s="327">
        <f t="shared" si="3"/>
        <v>3.4684403526566321E-2</v>
      </c>
      <c r="L15" s="367"/>
      <c r="M15" s="378"/>
    </row>
    <row r="16" spans="1:13" x14ac:dyDescent="0.3">
      <c r="A16" s="49">
        <v>10</v>
      </c>
      <c r="B16" s="5">
        <v>17</v>
      </c>
      <c r="C16" s="375" t="s">
        <v>25</v>
      </c>
      <c r="D16" s="40">
        <v>5223</v>
      </c>
      <c r="E16" s="43">
        <v>4274</v>
      </c>
      <c r="F16" s="104">
        <f t="shared" si="0"/>
        <v>949</v>
      </c>
      <c r="G16" s="104">
        <f t="shared" si="1"/>
        <v>4274</v>
      </c>
      <c r="H16" s="188">
        <f t="shared" si="2"/>
        <v>0.81830365690216356</v>
      </c>
      <c r="I16" s="326">
        <v>0.83</v>
      </c>
      <c r="J16" s="328">
        <f t="shared" si="3"/>
        <v>-1.1696343097836404E-2</v>
      </c>
      <c r="L16" s="365"/>
      <c r="M16" s="354"/>
    </row>
    <row r="17" spans="1:13" x14ac:dyDescent="0.3">
      <c r="A17" s="49">
        <v>11</v>
      </c>
      <c r="B17" s="5">
        <v>58</v>
      </c>
      <c r="C17" s="5" t="s">
        <v>20</v>
      </c>
      <c r="D17" s="40">
        <v>17123</v>
      </c>
      <c r="E17" s="3">
        <v>13102</v>
      </c>
      <c r="F17" s="104">
        <f t="shared" si="0"/>
        <v>4021</v>
      </c>
      <c r="G17" s="104">
        <f t="shared" si="1"/>
        <v>13102</v>
      </c>
      <c r="H17" s="188">
        <f t="shared" si="2"/>
        <v>0.7651696548502015</v>
      </c>
      <c r="I17" s="326">
        <v>0.72</v>
      </c>
      <c r="J17" s="328">
        <f t="shared" si="3"/>
        <v>4.5169654850201524E-2</v>
      </c>
      <c r="L17" s="367"/>
      <c r="M17" s="378"/>
    </row>
    <row r="18" spans="1:13" x14ac:dyDescent="0.3">
      <c r="A18" s="49">
        <v>12</v>
      </c>
      <c r="B18" s="5">
        <v>11</v>
      </c>
      <c r="C18" s="5" t="s">
        <v>24</v>
      </c>
      <c r="D18" s="40">
        <v>1447</v>
      </c>
      <c r="E18" s="3">
        <v>1085</v>
      </c>
      <c r="F18" s="104">
        <f t="shared" si="0"/>
        <v>362</v>
      </c>
      <c r="G18" s="104">
        <f t="shared" si="1"/>
        <v>1085</v>
      </c>
      <c r="H18" s="188">
        <f t="shared" si="2"/>
        <v>0.7498272287491361</v>
      </c>
      <c r="I18" s="326">
        <v>0.72</v>
      </c>
      <c r="J18" s="328">
        <f t="shared" si="3"/>
        <v>2.9827228749136125E-2</v>
      </c>
      <c r="L18" s="367"/>
      <c r="M18" s="354"/>
    </row>
    <row r="19" spans="1:13" x14ac:dyDescent="0.3">
      <c r="A19" s="49">
        <v>13</v>
      </c>
      <c r="B19" s="5">
        <v>20</v>
      </c>
      <c r="C19" s="375" t="s">
        <v>28</v>
      </c>
      <c r="D19" s="40">
        <v>711</v>
      </c>
      <c r="E19" s="42">
        <v>352</v>
      </c>
      <c r="F19" s="104">
        <f t="shared" si="0"/>
        <v>359</v>
      </c>
      <c r="G19" s="104">
        <f t="shared" si="1"/>
        <v>352</v>
      </c>
      <c r="H19" s="188">
        <f t="shared" si="2"/>
        <v>0.49507735583684953</v>
      </c>
      <c r="I19" s="356">
        <v>0.48</v>
      </c>
      <c r="J19" s="357">
        <f t="shared" si="3"/>
        <v>1.5077355836849549E-2</v>
      </c>
      <c r="L19" s="365"/>
      <c r="M19" s="378"/>
    </row>
    <row r="20" spans="1:13" ht="17.399999999999999" x14ac:dyDescent="0.3">
      <c r="A20" s="51"/>
      <c r="B20" s="46">
        <f>SUM(B7:B19)</f>
        <v>420</v>
      </c>
      <c r="C20" s="47" t="s">
        <v>30</v>
      </c>
      <c r="D20" s="48">
        <f>SUM(D7:D19)</f>
        <v>123788</v>
      </c>
      <c r="E20" s="48">
        <f t="shared" ref="E20:G20" si="4">SUM(E7:E19)</f>
        <v>110220</v>
      </c>
      <c r="F20" s="48">
        <f t="shared" si="4"/>
        <v>13568</v>
      </c>
      <c r="G20" s="48">
        <f t="shared" si="4"/>
        <v>110220</v>
      </c>
      <c r="H20" s="95"/>
      <c r="I20" s="95"/>
      <c r="J20" s="95"/>
      <c r="K20" s="221"/>
      <c r="L20" s="370"/>
      <c r="M20" s="325"/>
    </row>
    <row r="21" spans="1:13" ht="17.399999999999999" x14ac:dyDescent="0.3">
      <c r="A21" s="51"/>
      <c r="B21" s="51"/>
      <c r="C21" s="51"/>
      <c r="D21" s="50"/>
      <c r="E21" s="50">
        <f>E20/D20</f>
        <v>0.89039325298090288</v>
      </c>
      <c r="F21" s="51"/>
      <c r="G21" s="51"/>
      <c r="H21" s="95"/>
      <c r="I21" s="95"/>
      <c r="J21" s="95"/>
      <c r="K21" s="221"/>
      <c r="L21" s="221"/>
    </row>
    <row r="22" spans="1:13" ht="18" customHeight="1" x14ac:dyDescent="0.3">
      <c r="A22" s="450" t="s">
        <v>93</v>
      </c>
      <c r="B22" s="450"/>
      <c r="C22" s="450"/>
      <c r="D22" s="450"/>
      <c r="E22" s="450"/>
      <c r="F22" s="450"/>
      <c r="G22" s="450"/>
      <c r="H22" s="450"/>
      <c r="I22" s="450"/>
      <c r="J22" s="450"/>
      <c r="K22" s="450"/>
      <c r="L22" s="450"/>
    </row>
    <row r="23" spans="1:13" ht="15.75" customHeight="1" x14ac:dyDescent="0.3">
      <c r="A23" s="446" t="s">
        <v>1</v>
      </c>
      <c r="B23" s="443" t="s">
        <v>2</v>
      </c>
      <c r="C23" s="446" t="s">
        <v>3</v>
      </c>
      <c r="D23" s="387" t="s">
        <v>4</v>
      </c>
      <c r="E23" s="387"/>
      <c r="F23" s="387"/>
      <c r="G23" s="387"/>
      <c r="H23" s="387"/>
      <c r="I23" s="387"/>
      <c r="J23" s="387"/>
      <c r="K23" s="387"/>
      <c r="L23" s="384" t="s">
        <v>45</v>
      </c>
    </row>
    <row r="24" spans="1:13" ht="15.6" x14ac:dyDescent="0.3">
      <c r="A24" s="447"/>
      <c r="B24" s="444"/>
      <c r="C24" s="447"/>
      <c r="D24" s="451" t="s">
        <v>7</v>
      </c>
      <c r="E24" s="451"/>
      <c r="F24" s="451"/>
      <c r="G24" s="451"/>
      <c r="H24" s="393" t="s">
        <v>8</v>
      </c>
      <c r="I24" s="393"/>
      <c r="J24" s="393"/>
      <c r="K24" s="393"/>
      <c r="L24" s="384"/>
    </row>
    <row r="25" spans="1:13" ht="53.4" x14ac:dyDescent="0.3">
      <c r="A25" s="448"/>
      <c r="B25" s="445"/>
      <c r="C25" s="448"/>
      <c r="D25" s="193" t="s">
        <v>84</v>
      </c>
      <c r="E25" s="193" t="s">
        <v>85</v>
      </c>
      <c r="F25" s="193" t="s">
        <v>86</v>
      </c>
      <c r="G25" s="193" t="s">
        <v>87</v>
      </c>
      <c r="H25" s="193" t="s">
        <v>84</v>
      </c>
      <c r="I25" s="193" t="s">
        <v>85</v>
      </c>
      <c r="J25" s="193" t="s">
        <v>86</v>
      </c>
      <c r="K25" s="193" t="s">
        <v>87</v>
      </c>
      <c r="L25" s="384"/>
    </row>
    <row r="26" spans="1:13" x14ac:dyDescent="0.3">
      <c r="A26" s="194"/>
      <c r="B26" s="194" t="s">
        <v>12</v>
      </c>
      <c r="C26" s="194" t="s">
        <v>13</v>
      </c>
      <c r="D26" s="193" t="s">
        <v>46</v>
      </c>
      <c r="E26" s="193" t="s">
        <v>14</v>
      </c>
      <c r="F26" s="193" t="s">
        <v>15</v>
      </c>
      <c r="G26" s="193" t="s">
        <v>16</v>
      </c>
      <c r="H26" s="193" t="s">
        <v>17</v>
      </c>
      <c r="I26" s="193" t="s">
        <v>83</v>
      </c>
      <c r="J26" s="193" t="s">
        <v>64</v>
      </c>
      <c r="K26" s="193" t="s">
        <v>88</v>
      </c>
      <c r="L26" s="193" t="s">
        <v>89</v>
      </c>
    </row>
    <row r="27" spans="1:13" x14ac:dyDescent="0.3">
      <c r="A27" s="102">
        <v>1</v>
      </c>
      <c r="B27" s="112">
        <v>20</v>
      </c>
      <c r="C27" s="113" t="s">
        <v>28</v>
      </c>
      <c r="D27" s="104">
        <f>'[1]July 2025'!D17</f>
        <v>0</v>
      </c>
      <c r="E27" s="104">
        <f>'[1]July 2025'!E17+'[1]August,2025'!E17+'[1]Septeber,2025'!E17+'[1]October,2025'!E17+'[1]November,2025'!E17+'[1]December 2025'!E17+'[1]January,2026'!E16+'[1]February,2025'!E17+'[1]March,2026'!E17</f>
        <v>0</v>
      </c>
      <c r="F27" s="104">
        <f>G27+E27-D27</f>
        <v>129</v>
      </c>
      <c r="G27" s="104">
        <v>129</v>
      </c>
      <c r="H27" s="104">
        <v>68</v>
      </c>
      <c r="I27" s="104">
        <f>'[1]July 2025'!G17+'[1]August,2025'!G17+'[1]Septeber,2025'!G17+'[1]October,2025'!G17+'[1]November,2025'!G17+'[1]December 2025'!G17+'[1]January,2026'!G16+'[1]February,2025'!G17+'[1]March,2026'!G17</f>
        <v>280</v>
      </c>
      <c r="J27" s="104">
        <f t="shared" ref="J27:J39" si="5">K27+I27-H27</f>
        <v>4326</v>
      </c>
      <c r="K27" s="203">
        <v>4114</v>
      </c>
      <c r="L27" s="105">
        <f t="shared" ref="L27:L40" si="6">(E27+I27)/(D27+F27+H27+J27)</f>
        <v>6.1905814724740216E-2</v>
      </c>
    </row>
    <row r="28" spans="1:13" x14ac:dyDescent="0.3">
      <c r="A28" s="102">
        <v>2</v>
      </c>
      <c r="B28" s="104">
        <v>49</v>
      </c>
      <c r="C28" s="104" t="s">
        <v>18</v>
      </c>
      <c r="D28" s="104">
        <f>'[1]July 2025'!D6</f>
        <v>359</v>
      </c>
      <c r="E28" s="104">
        <v>359</v>
      </c>
      <c r="F28" s="104">
        <f t="shared" ref="F28:F39" si="7">G28+E28-D28</f>
        <v>0</v>
      </c>
      <c r="G28" s="104">
        <v>0</v>
      </c>
      <c r="H28" s="104">
        <v>0</v>
      </c>
      <c r="I28" s="104">
        <f>'[1]July 2025'!G6+'[1]August,2025'!G6+'[1]Septeber,2025'!G6+'[1]October,2025'!G6+'[1]November,2025'!G6+'[1]December 2025'!G6+'[1]January,2026'!G5+'[1]February,2025'!G6+'[1]March,2026'!G6</f>
        <v>51948</v>
      </c>
      <c r="J28" s="104">
        <f t="shared" si="5"/>
        <v>76999</v>
      </c>
      <c r="K28" s="202">
        <v>25051</v>
      </c>
      <c r="L28" s="105">
        <f t="shared" si="6"/>
        <v>0.67616794643087985</v>
      </c>
    </row>
    <row r="29" spans="1:13" x14ac:dyDescent="0.3">
      <c r="A29" s="102">
        <v>3</v>
      </c>
      <c r="B29" s="108">
        <v>42</v>
      </c>
      <c r="C29" s="104" t="s">
        <v>19</v>
      </c>
      <c r="D29" s="104">
        <f>'[1]July 2025'!D7</f>
        <v>0</v>
      </c>
      <c r="E29" s="104">
        <f>'[1]July 2025'!E7+'[1]August,2025'!E7+'[1]Septeber,2025'!E7+'[1]October,2025'!E7+'[1]November,2025'!E7+'[1]December 2025'!E7+'[1]January,2026'!E6+'[1]February,2025'!E7+'[1]March,2026'!E7</f>
        <v>8582</v>
      </c>
      <c r="F29" s="104">
        <f t="shared" si="7"/>
        <v>13775</v>
      </c>
      <c r="G29" s="104">
        <v>5193</v>
      </c>
      <c r="H29" s="104">
        <v>5573</v>
      </c>
      <c r="I29" s="104">
        <f>'[1]July 2025'!G7+'[1]August,2025'!G7+'[1]Septeber,2025'!G7+'[1]October,2025'!G7+'[1]November,2025'!G7+'[1]December 2025'!G7+'[1]January,2026'!G6+'[1]February,2025'!G7+'[1]March,2026'!G7</f>
        <v>3614</v>
      </c>
      <c r="J29" s="104">
        <f t="shared" si="5"/>
        <v>14441</v>
      </c>
      <c r="K29" s="202">
        <v>16400</v>
      </c>
      <c r="L29" s="105">
        <f t="shared" si="6"/>
        <v>0.36094586995767852</v>
      </c>
    </row>
    <row r="30" spans="1:13" x14ac:dyDescent="0.3">
      <c r="A30" s="102">
        <v>4</v>
      </c>
      <c r="B30" s="108">
        <v>7</v>
      </c>
      <c r="C30" s="104" t="s">
        <v>29</v>
      </c>
      <c r="D30" s="104">
        <f>'[1]July 2025'!D18</f>
        <v>0</v>
      </c>
      <c r="E30" s="104">
        <f>'[1]July 2025'!E18+'[1]August,2025'!E18+'[1]Septeber,2025'!E18+'[1]October,2025'!E18+'[1]November,2025'!E18+'[1]December 2025'!E18+'[1]January,2026'!E17+'[1]February,2025'!E18+'[1]March,2026'!E18</f>
        <v>378</v>
      </c>
      <c r="F30" s="104">
        <f t="shared" si="7"/>
        <v>378</v>
      </c>
      <c r="G30" s="104">
        <v>0</v>
      </c>
      <c r="H30" s="104">
        <v>0</v>
      </c>
      <c r="I30" s="104">
        <f>'[1]July 2025'!G18+'[1]August,2025'!G18+'[1]Septeber,2025'!G18+'[1]October,2025'!G18+'[1]November,2025'!G18+'[1]December 2025'!G18+'[1]January,2026'!G17+'[1]February,2025'!G18+'[1]March,2026'!G18</f>
        <v>290</v>
      </c>
      <c r="J30" s="104">
        <f t="shared" si="5"/>
        <v>1824</v>
      </c>
      <c r="K30" s="202">
        <v>1534</v>
      </c>
      <c r="L30" s="105">
        <f t="shared" si="6"/>
        <v>0.30336058128973659</v>
      </c>
    </row>
    <row r="31" spans="1:13" x14ac:dyDescent="0.3">
      <c r="A31" s="102">
        <v>5</v>
      </c>
      <c r="B31" s="112">
        <v>11</v>
      </c>
      <c r="C31" s="112" t="s">
        <v>24</v>
      </c>
      <c r="D31" s="104">
        <f>'[1]July 2025'!D12</f>
        <v>0</v>
      </c>
      <c r="E31" s="104">
        <f>'[1]July 2025'!E12+'[1]August,2025'!E12+'[1]Septeber,2025'!E12+'[1]October,2025'!E12+'[1]November,2025'!E12+'[1]December 2025'!E12+'[1]January,2026'!E11+'[1]February,2025'!E12+'[1]March,2026'!E12</f>
        <v>2</v>
      </c>
      <c r="F31" s="104">
        <f t="shared" si="7"/>
        <v>1107</v>
      </c>
      <c r="G31" s="104">
        <v>1105</v>
      </c>
      <c r="H31" s="104">
        <v>767</v>
      </c>
      <c r="I31" s="104">
        <f>'[1]July 2025'!G12+'[1]August,2025'!G12+'[1]Septeber,2025'!G12+'[1]October,2025'!G12+'[1]November,2025'!G12+'[1]December 2025'!G12+'[1]January,2026'!G11+'[1]February,2025'!G12+'[1]March,2026'!G12</f>
        <v>927</v>
      </c>
      <c r="J31" s="104">
        <f t="shared" si="5"/>
        <v>2800</v>
      </c>
      <c r="K31" s="202">
        <v>2640</v>
      </c>
      <c r="L31" s="105">
        <f t="shared" si="6"/>
        <v>0.19875909285408644</v>
      </c>
    </row>
    <row r="32" spans="1:13" x14ac:dyDescent="0.3">
      <c r="A32" s="102">
        <v>6</v>
      </c>
      <c r="B32" s="112">
        <v>17</v>
      </c>
      <c r="C32" s="113" t="s">
        <v>25</v>
      </c>
      <c r="D32" s="104">
        <f>'[1]July 2025'!D13</f>
        <v>209</v>
      </c>
      <c r="E32" s="104">
        <f>'[1]July 2025'!E13+'[1]August,2025'!E13+'[1]Septeber,2025'!E13+'[1]October,2025'!E13+'[1]November,2025'!E13+'[1]December 2025'!E13+'[1]January,2026'!E12+'[1]February,2025'!E13+'[1]March,2026'!E13</f>
        <v>306</v>
      </c>
      <c r="F32" s="104">
        <f t="shared" si="7"/>
        <v>1463</v>
      </c>
      <c r="G32" s="104">
        <v>1366</v>
      </c>
      <c r="H32" s="104">
        <v>1084</v>
      </c>
      <c r="I32" s="104">
        <f>'[1]July 2025'!G13+'[1]August,2025'!G13+'[1]Septeber,2025'!G13+'[1]October,2025'!G13+'[1]November,2025'!G13+'[1]December 2025'!G13+'[1]January,2026'!G12+'[1]February,2025'!G13+'[1]March,2026'!G13</f>
        <v>2054</v>
      </c>
      <c r="J32" s="104">
        <f t="shared" si="5"/>
        <v>9011</v>
      </c>
      <c r="K32" s="202">
        <v>8041</v>
      </c>
      <c r="L32" s="105">
        <f t="shared" si="6"/>
        <v>0.20056089062632787</v>
      </c>
    </row>
    <row r="33" spans="1:16" x14ac:dyDescent="0.3">
      <c r="A33" s="102">
        <v>7</v>
      </c>
      <c r="B33" s="112">
        <v>25</v>
      </c>
      <c r="C33" s="112" t="s">
        <v>23</v>
      </c>
      <c r="D33" s="104">
        <f>'[1]July 2025'!D11</f>
        <v>0</v>
      </c>
      <c r="E33" s="104">
        <f>'[1]July 2025'!E11+'[1]August,2025'!E11+'[1]Septeber,2025'!E11+'[1]October,2025'!E11+'[1]November,2025'!E11+'[1]December 2025'!E11+'[1]January,2026'!E10+'[1]February,2025'!E11+'[1]March,2026'!E11</f>
        <v>947</v>
      </c>
      <c r="F33" s="104">
        <f t="shared" si="7"/>
        <v>2500</v>
      </c>
      <c r="G33" s="104">
        <v>1553</v>
      </c>
      <c r="H33" s="104">
        <v>1373</v>
      </c>
      <c r="I33" s="104">
        <f>'[1]July 2025'!G11+'[1]August,2025'!G11+'[1]Septeber,2025'!G11+'[1]October,2025'!G11+'[1]November,2025'!G11+'[1]December 2025'!G11+'[1]January,2026'!G10+'[1]February,2025'!G11+'[1]March,2026'!G11</f>
        <v>1455</v>
      </c>
      <c r="J33" s="104">
        <f t="shared" si="5"/>
        <v>8917</v>
      </c>
      <c r="K33" s="203">
        <v>8835</v>
      </c>
      <c r="L33" s="105">
        <f t="shared" si="6"/>
        <v>0.18780297107114932</v>
      </c>
    </row>
    <row r="34" spans="1:16" x14ac:dyDescent="0.3">
      <c r="A34" s="102">
        <v>8</v>
      </c>
      <c r="B34" s="112">
        <v>26</v>
      </c>
      <c r="C34" s="113" t="s">
        <v>54</v>
      </c>
      <c r="D34" s="104">
        <f>'[1]July 2025'!D16</f>
        <v>701</v>
      </c>
      <c r="E34" s="104">
        <f>'[1]July 2025'!E16+'[1]August,2025'!E16+'[1]Septeber,2025'!E16+'[1]October,2025'!E16+'[1]November,2025'!E16+'[1]December 2025'!E16+'[1]January,2026'!E15+'[1]February,2025'!E16+'[1]March,2026'!E16</f>
        <v>1048</v>
      </c>
      <c r="F34" s="104">
        <f t="shared" si="7"/>
        <v>569</v>
      </c>
      <c r="G34" s="104">
        <v>222</v>
      </c>
      <c r="H34" s="104">
        <v>726</v>
      </c>
      <c r="I34" s="104">
        <f>'[1]July 2025'!G16+'[1]August,2025'!G16+'[1]Septeber,2025'!G16+'[1]October,2025'!G16+'[1]November,2025'!G16+'[1]December 2025'!G16+'[1]January,2026'!G15+'[1]February,2025'!G16+'[1]March,2026'!G16</f>
        <v>2160</v>
      </c>
      <c r="J34" s="104">
        <f t="shared" si="5"/>
        <v>17859</v>
      </c>
      <c r="K34" s="202">
        <v>16425</v>
      </c>
      <c r="L34" s="105">
        <f t="shared" si="6"/>
        <v>0.16157139259632333</v>
      </c>
    </row>
    <row r="35" spans="1:16" x14ac:dyDescent="0.3">
      <c r="A35" s="102">
        <v>9</v>
      </c>
      <c r="B35" s="112">
        <v>36</v>
      </c>
      <c r="C35" s="113" t="s">
        <v>27</v>
      </c>
      <c r="D35" s="104">
        <f>'[1]July 2025'!D15</f>
        <v>0</v>
      </c>
      <c r="E35" s="104">
        <f>'[1]July 2025'!E15+'[1]August,2025'!E15+'[1]Septeber,2025'!E15+'[1]October,2025'!E15+'[1]November,2025'!E15+'[1]December 2025'!E15+'[1]January,2026'!E14+'[1]February,2025'!E15+'[1]March,2026'!E15</f>
        <v>377</v>
      </c>
      <c r="F35" s="104">
        <f t="shared" si="7"/>
        <v>6337</v>
      </c>
      <c r="G35" s="104">
        <v>5960</v>
      </c>
      <c r="H35" s="104">
        <v>4994</v>
      </c>
      <c r="I35" s="104">
        <f>'[1]July 2025'!G15+'[1]August,2025'!G15+'[1]Septeber,2025'!G15+'[1]October,2025'!G15+'[1]November,2025'!G15+'[1]December 2025'!G15+'[1]January,2026'!G14+'[1]February,2025'!G15+'[1]March,2026'!G15</f>
        <v>7051</v>
      </c>
      <c r="J35" s="104">
        <f t="shared" si="5"/>
        <v>49692</v>
      </c>
      <c r="K35" s="202">
        <v>47635</v>
      </c>
      <c r="L35" s="105">
        <f t="shared" si="6"/>
        <v>0.12172459564426527</v>
      </c>
    </row>
    <row r="36" spans="1:16" x14ac:dyDescent="0.3">
      <c r="A36" s="102">
        <v>10</v>
      </c>
      <c r="B36" s="112">
        <v>33</v>
      </c>
      <c r="C36" s="113" t="s">
        <v>22</v>
      </c>
      <c r="D36" s="104">
        <f>'[1]July 2025'!D10</f>
        <v>784</v>
      </c>
      <c r="E36" s="104">
        <f>'[1]July 2025'!E10+'[1]August,2025'!E10+'[1]Septeber,2025'!E10+'[1]October,2025'!E10+'[1]November,2025'!E10+'[1]December 2025'!E10+'[1]January,2026'!E9+'[1]February,2025'!E10+'[1]March,2026'!E10</f>
        <v>9</v>
      </c>
      <c r="F36" s="104">
        <f t="shared" si="7"/>
        <v>437</v>
      </c>
      <c r="G36" s="104">
        <v>1212</v>
      </c>
      <c r="H36" s="104">
        <v>1337</v>
      </c>
      <c r="I36" s="104">
        <f>'[1]July 2025'!G10+'[1]August,2025'!G10+'[1]Septeber,2025'!G10+'[1]October,2025'!G10+'[1]November,2025'!G10+'[1]December 2025'!G10+'[1]January,2026'!G9+'[1]February,2025'!G10+'[1]March,2026'!G10</f>
        <v>739</v>
      </c>
      <c r="J36" s="104">
        <f t="shared" si="5"/>
        <v>15968</v>
      </c>
      <c r="K36" s="202">
        <v>16566</v>
      </c>
      <c r="L36" s="105">
        <f t="shared" si="6"/>
        <v>4.0375688221958327E-2</v>
      </c>
    </row>
    <row r="37" spans="1:16" x14ac:dyDescent="0.3">
      <c r="A37" s="102"/>
      <c r="B37" s="112">
        <v>52</v>
      </c>
      <c r="C37" s="112" t="s">
        <v>20</v>
      </c>
      <c r="D37" s="104">
        <f>'[1]July 2025'!D8</f>
        <v>150</v>
      </c>
      <c r="E37" s="104">
        <f>'[1]July 2025'!E8+'[1]August,2025'!E8+'[1]Septeber,2025'!E8+'[1]October,2025'!E8+'[1]November,2025'!E8+'[1]December 2025'!E8+'[1]January,2026'!E7+'[1]February,2025'!E8+'[1]March,2026'!E8</f>
        <v>48</v>
      </c>
      <c r="F37" s="104">
        <f t="shared" si="7"/>
        <v>7916</v>
      </c>
      <c r="G37" s="104">
        <v>8018</v>
      </c>
      <c r="H37" s="104">
        <v>7486</v>
      </c>
      <c r="I37" s="104">
        <f>'[1]July 2025'!G8+'[1]August,2025'!G8+'[1]Septeber,2025'!G8+'[1]October,2025'!G8+'[1]November,2025'!G8+'[1]December 2025'!G8+'[1]January,2026'!G7+'[1]February,2025'!G8+'[1]March,2026'!G8</f>
        <v>180</v>
      </c>
      <c r="J37" s="104">
        <f t="shared" si="5"/>
        <v>20198</v>
      </c>
      <c r="K37" s="203">
        <v>27504</v>
      </c>
      <c r="L37" s="105">
        <f t="shared" si="6"/>
        <v>6.3776223776223773E-3</v>
      </c>
    </row>
    <row r="38" spans="1:16" x14ac:dyDescent="0.3">
      <c r="A38" s="102">
        <v>11</v>
      </c>
      <c r="B38" s="112">
        <v>39</v>
      </c>
      <c r="C38" s="112" t="s">
        <v>26</v>
      </c>
      <c r="D38" s="104">
        <f>'[1]July 2025'!D14</f>
        <v>0</v>
      </c>
      <c r="E38" s="104">
        <f>'[1]July 2025'!E14+'[1]August,2025'!E14+'[1]Septeber,2025'!E14+'[1]October,2025'!E14+'[1]November,2025'!E14+'[1]December 2025'!E14+'[1]January,2026'!E13+'[1]February,2025'!E14+'[1]March,2026'!E14</f>
        <v>109</v>
      </c>
      <c r="F38" s="104">
        <f t="shared" si="7"/>
        <v>3429</v>
      </c>
      <c r="G38" s="104">
        <v>3320</v>
      </c>
      <c r="H38" s="104">
        <v>2335</v>
      </c>
      <c r="I38" s="104">
        <f>'[1]July 2025'!G14+'[1]August,2025'!G14+'[1]Septeber,2025'!G14+'[1]October,2025'!G14+'[1]November,2025'!G14+'[1]December 2025'!G14+'[1]January,2026'!G13+'[1]February,2025'!G14+'[1]March,2026'!G14</f>
        <v>36</v>
      </c>
      <c r="J38" s="104">
        <f t="shared" si="5"/>
        <v>27569</v>
      </c>
      <c r="K38" s="203">
        <v>29868</v>
      </c>
      <c r="L38" s="105">
        <f t="shared" si="6"/>
        <v>4.3500435004350047E-3</v>
      </c>
    </row>
    <row r="39" spans="1:16" x14ac:dyDescent="0.3">
      <c r="A39" s="204">
        <v>12</v>
      </c>
      <c r="B39" s="104">
        <v>65</v>
      </c>
      <c r="C39" s="104" t="s">
        <v>21</v>
      </c>
      <c r="D39" s="104">
        <f>'[1]July 2025'!D9</f>
        <v>779</v>
      </c>
      <c r="E39" s="104">
        <f>'[1]July 2025'!E9+'[1]August,2025'!E9+'[1]Septeber,2025'!E9+'[1]October,2025'!E9+'[1]November,2025'!E9+'[1]December 2025'!E9+'[1]January,2026'!E8+'[1]February,2025'!E9+'[1]March,2026'!E9</f>
        <v>3</v>
      </c>
      <c r="F39" s="104">
        <f t="shared" si="7"/>
        <v>5000</v>
      </c>
      <c r="G39" s="104">
        <v>5776</v>
      </c>
      <c r="H39" s="104">
        <v>5471</v>
      </c>
      <c r="I39" s="104">
        <f>'[1]July 2025'!G9+'[1]August,2025'!G9+'[1]Septeber,2025'!G9+'[1]October,2025'!G9+'[1]November,2025'!G9+'[1]December 2025'!G9+'[1]January,2026'!G8+'[1]February,2025'!G9+'[1]March,2026'!G9</f>
        <v>0</v>
      </c>
      <c r="J39" s="104">
        <f t="shared" si="5"/>
        <v>14438</v>
      </c>
      <c r="K39" s="202">
        <v>19909</v>
      </c>
      <c r="L39" s="105">
        <f t="shared" si="6"/>
        <v>1.1678604796013703E-4</v>
      </c>
    </row>
    <row r="40" spans="1:16" x14ac:dyDescent="0.3">
      <c r="A40" s="205"/>
      <c r="B40" s="206">
        <f>SUM(B27:B39)</f>
        <v>422</v>
      </c>
      <c r="C40" s="207" t="s">
        <v>30</v>
      </c>
      <c r="D40" s="208">
        <f>SUM(D27:D39)</f>
        <v>2982</v>
      </c>
      <c r="E40" s="208">
        <f t="shared" ref="E40:K40" si="8">SUM(E27:E39)</f>
        <v>12168</v>
      </c>
      <c r="F40" s="208">
        <f t="shared" si="8"/>
        <v>43040</v>
      </c>
      <c r="G40" s="208">
        <f t="shared" si="8"/>
        <v>33854</v>
      </c>
      <c r="H40" s="208">
        <f>SUM(H27:H39)</f>
        <v>31214</v>
      </c>
      <c r="I40" s="208">
        <f t="shared" si="8"/>
        <v>70734</v>
      </c>
      <c r="J40" s="208">
        <f t="shared" si="8"/>
        <v>264042</v>
      </c>
      <c r="K40" s="208">
        <f t="shared" si="8"/>
        <v>224522</v>
      </c>
      <c r="L40" s="209">
        <f t="shared" si="6"/>
        <v>0.24291633213978048</v>
      </c>
      <c r="M40" s="212">
        <f>D40+F40+H40+J40</f>
        <v>341278</v>
      </c>
      <c r="N40" s="212">
        <f>E40+I40</f>
        <v>82902</v>
      </c>
      <c r="O40" s="321">
        <f>N40/M40</f>
        <v>0.24291633213978048</v>
      </c>
      <c r="P40" s="212"/>
    </row>
    <row r="41" spans="1:16" x14ac:dyDescent="0.3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</row>
    <row r="42" spans="1:16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</row>
    <row r="43" spans="1:16" ht="15.6" x14ac:dyDescent="0.3">
      <c r="A43" s="452" t="s">
        <v>94</v>
      </c>
      <c r="B43" s="452"/>
      <c r="C43" s="452"/>
      <c r="D43" s="452"/>
      <c r="E43" s="452"/>
      <c r="F43" s="452"/>
      <c r="G43" s="452"/>
      <c r="H43" s="452"/>
      <c r="I43" s="211"/>
      <c r="J43" s="211"/>
      <c r="K43" s="211"/>
      <c r="L43" s="211"/>
    </row>
    <row r="44" spans="1:16" ht="15.75" customHeight="1" x14ac:dyDescent="0.3">
      <c r="A44" s="446" t="s">
        <v>1</v>
      </c>
      <c r="B44" s="443" t="s">
        <v>2</v>
      </c>
      <c r="C44" s="446" t="s">
        <v>3</v>
      </c>
      <c r="D44" s="451" t="s">
        <v>90</v>
      </c>
      <c r="E44" s="451"/>
      <c r="F44" s="451"/>
      <c r="G44" s="451"/>
      <c r="H44" s="384" t="s">
        <v>45</v>
      </c>
    </row>
    <row r="45" spans="1:16" ht="15.75" customHeight="1" x14ac:dyDescent="0.3">
      <c r="A45" s="447"/>
      <c r="B45" s="444"/>
      <c r="C45" s="447"/>
      <c r="D45" s="451"/>
      <c r="E45" s="451"/>
      <c r="F45" s="451"/>
      <c r="G45" s="451"/>
      <c r="H45" s="384"/>
      <c r="J45" s="212"/>
      <c r="K45" s="212"/>
    </row>
    <row r="46" spans="1:16" ht="53.4" x14ac:dyDescent="0.3">
      <c r="A46" s="448"/>
      <c r="B46" s="445"/>
      <c r="C46" s="448"/>
      <c r="D46" s="193" t="s">
        <v>84</v>
      </c>
      <c r="E46" s="193" t="s">
        <v>85</v>
      </c>
      <c r="F46" s="193" t="s">
        <v>86</v>
      </c>
      <c r="G46" s="193" t="s">
        <v>87</v>
      </c>
      <c r="H46" s="384"/>
      <c r="I46" s="212"/>
      <c r="J46" s="212"/>
      <c r="K46" s="212"/>
      <c r="L46" s="213"/>
    </row>
    <row r="47" spans="1:16" x14ac:dyDescent="0.3">
      <c r="A47" s="194"/>
      <c r="B47" s="194" t="s">
        <v>12</v>
      </c>
      <c r="C47" s="194" t="s">
        <v>13</v>
      </c>
      <c r="D47" s="193" t="s">
        <v>46</v>
      </c>
      <c r="E47" s="193" t="s">
        <v>14</v>
      </c>
      <c r="F47" s="193" t="s">
        <v>15</v>
      </c>
      <c r="G47" s="193" t="s">
        <v>16</v>
      </c>
      <c r="H47" s="193" t="s">
        <v>17</v>
      </c>
      <c r="I47" s="212"/>
      <c r="J47" s="212"/>
      <c r="K47" s="212"/>
      <c r="L47" s="213"/>
    </row>
    <row r="48" spans="1:16" x14ac:dyDescent="0.3">
      <c r="A48" s="214">
        <v>1</v>
      </c>
      <c r="B48" s="112">
        <v>20</v>
      </c>
      <c r="C48" s="113" t="s">
        <v>28</v>
      </c>
      <c r="D48" s="104">
        <v>5</v>
      </c>
      <c r="E48" s="107">
        <v>5</v>
      </c>
      <c r="F48" s="104">
        <f t="shared" ref="F48:F60" si="9">G48+E48-D48</f>
        <v>32</v>
      </c>
      <c r="G48" s="215">
        <v>32</v>
      </c>
      <c r="H48" s="105">
        <f t="shared" ref="H48:H61" si="10">E48/(D48+F48)</f>
        <v>0.13513513513513514</v>
      </c>
    </row>
    <row r="49" spans="1:12" x14ac:dyDescent="0.3">
      <c r="A49" s="214">
        <v>2</v>
      </c>
      <c r="B49" s="112">
        <v>17</v>
      </c>
      <c r="C49" s="113" t="s">
        <v>25</v>
      </c>
      <c r="D49" s="104">
        <v>12</v>
      </c>
      <c r="E49" s="107">
        <f>'[1]July 2025'!I13+'[1]August,2025'!I13+'[1]Septeber,2025'!I13+'[1]October,2025'!I13+'[1]November,2025'!I13+'[1]December 2025'!I13+'[1]January,2026'!I12+'[1]February,2025'!I13+'[1]March,2026'!I13</f>
        <v>850</v>
      </c>
      <c r="F49" s="104">
        <f t="shared" si="9"/>
        <v>842</v>
      </c>
      <c r="G49" s="215">
        <v>4</v>
      </c>
      <c r="H49" s="105">
        <f t="shared" si="10"/>
        <v>0.99531615925058547</v>
      </c>
    </row>
    <row r="50" spans="1:12" x14ac:dyDescent="0.3">
      <c r="A50" s="214">
        <v>3</v>
      </c>
      <c r="B50" s="112">
        <v>26</v>
      </c>
      <c r="C50" s="113" t="s">
        <v>54</v>
      </c>
      <c r="D50" s="104">
        <v>39</v>
      </c>
      <c r="E50" s="107">
        <f>'[1]July 2025'!I16+'[1]August,2025'!I16+'[1]Septeber,2025'!I16+'[1]October,2025'!I16+'[1]November,2025'!I16+'[1]December 2025'!I16+'[1]January,2026'!I15+'[1]February,2025'!I16+'[1]March,2026'!I16</f>
        <v>252</v>
      </c>
      <c r="F50" s="104">
        <f t="shared" si="9"/>
        <v>253</v>
      </c>
      <c r="G50" s="215">
        <v>40</v>
      </c>
      <c r="H50" s="105">
        <f t="shared" si="10"/>
        <v>0.86301369863013699</v>
      </c>
    </row>
    <row r="51" spans="1:12" x14ac:dyDescent="0.3">
      <c r="A51" s="214">
        <v>4</v>
      </c>
      <c r="B51" s="104">
        <v>49</v>
      </c>
      <c r="C51" s="104" t="s">
        <v>18</v>
      </c>
      <c r="D51" s="104">
        <v>110</v>
      </c>
      <c r="E51" s="107">
        <f>'[1]July 2025'!I6+'[1]August,2025'!I6+'[1]Septeber,2025'!I6+'[1]October,2025'!I6+'[1]November,2025'!I6+'[1]December 2025'!I6+'[1]January,2026'!I5+'[1]February,2025'!I6+'[1]March,2026'!I6</f>
        <v>1789</v>
      </c>
      <c r="F51" s="104">
        <f t="shared" si="9"/>
        <v>1810</v>
      </c>
      <c r="G51" s="215">
        <v>131</v>
      </c>
      <c r="H51" s="105">
        <f t="shared" si="10"/>
        <v>0.93177083333333333</v>
      </c>
    </row>
    <row r="52" spans="1:12" x14ac:dyDescent="0.3">
      <c r="A52" s="214">
        <v>5</v>
      </c>
      <c r="B52" s="108">
        <v>7</v>
      </c>
      <c r="C52" s="104" t="s">
        <v>29</v>
      </c>
      <c r="D52" s="104">
        <v>145</v>
      </c>
      <c r="E52" s="107">
        <v>145</v>
      </c>
      <c r="F52" s="104">
        <f t="shared" si="9"/>
        <v>0</v>
      </c>
      <c r="G52" s="215">
        <v>0</v>
      </c>
      <c r="H52" s="105">
        <f t="shared" si="10"/>
        <v>1</v>
      </c>
    </row>
    <row r="53" spans="1:12" x14ac:dyDescent="0.3">
      <c r="A53" s="214">
        <v>6</v>
      </c>
      <c r="B53" s="112">
        <v>52</v>
      </c>
      <c r="C53" s="112" t="s">
        <v>20</v>
      </c>
      <c r="D53" s="104">
        <v>268</v>
      </c>
      <c r="E53" s="107">
        <f>'[1]July 2025'!I8+'[1]August,2025'!I8+'[1]Septeber,2025'!I8+'[1]October,2025'!I8+'[1]November,2025'!I8+'[1]December 2025'!I8+'[1]January,2026'!I7+'[1]February,2025'!I8+'[1]March,2026'!I8</f>
        <v>1481</v>
      </c>
      <c r="F53" s="104">
        <f t="shared" si="9"/>
        <v>1525</v>
      </c>
      <c r="G53" s="215">
        <v>312</v>
      </c>
      <c r="H53" s="105">
        <f t="shared" si="10"/>
        <v>0.82598996095928612</v>
      </c>
    </row>
    <row r="54" spans="1:12" x14ac:dyDescent="0.3">
      <c r="A54" s="214">
        <v>7</v>
      </c>
      <c r="B54" s="112">
        <v>33</v>
      </c>
      <c r="C54" s="113" t="s">
        <v>22</v>
      </c>
      <c r="D54" s="104">
        <v>319</v>
      </c>
      <c r="E54" s="107">
        <v>255</v>
      </c>
      <c r="F54" s="104">
        <f t="shared" si="9"/>
        <v>-13</v>
      </c>
      <c r="G54" s="215">
        <v>51</v>
      </c>
      <c r="H54" s="105">
        <f t="shared" si="10"/>
        <v>0.83333333333333337</v>
      </c>
    </row>
    <row r="55" spans="1:12" x14ac:dyDescent="0.3">
      <c r="A55" s="214">
        <v>8</v>
      </c>
      <c r="B55" s="112">
        <v>36</v>
      </c>
      <c r="C55" s="113" t="s">
        <v>27</v>
      </c>
      <c r="D55" s="104">
        <v>39</v>
      </c>
      <c r="E55" s="107">
        <f>'[1]July 2025'!I15+'[1]August,2025'!I15+'[1]Septeber,2025'!I15+'[1]October,2025'!I15+'[1]November,2025'!I15+'[1]December 2025'!I15+'[1]January,2026'!I14+'[1]February,2025'!I15+'[1]March,2026'!I15</f>
        <v>65</v>
      </c>
      <c r="F55" s="104">
        <f t="shared" si="9"/>
        <v>66</v>
      </c>
      <c r="G55" s="215">
        <v>40</v>
      </c>
      <c r="H55" s="105">
        <f t="shared" si="10"/>
        <v>0.61904761904761907</v>
      </c>
    </row>
    <row r="56" spans="1:12" x14ac:dyDescent="0.3">
      <c r="A56" s="214">
        <v>9</v>
      </c>
      <c r="B56" s="112">
        <v>39</v>
      </c>
      <c r="C56" s="112" t="s">
        <v>26</v>
      </c>
      <c r="D56" s="104">
        <v>72</v>
      </c>
      <c r="E56" s="107">
        <f>'[1]July 2025'!I14+'[1]August,2025'!I14+'[1]Septeber,2025'!I14+'[1]October,2025'!I14+'[1]November,2025'!I14+'[1]December 2025'!I14+'[1]January,2026'!I13+'[1]February,2025'!I14+'[1]March,2026'!I14</f>
        <v>20</v>
      </c>
      <c r="F56" s="104">
        <f t="shared" si="9"/>
        <v>42</v>
      </c>
      <c r="G56" s="215">
        <v>94</v>
      </c>
      <c r="H56" s="105">
        <f t="shared" si="10"/>
        <v>0.17543859649122806</v>
      </c>
    </row>
    <row r="57" spans="1:12" x14ac:dyDescent="0.3">
      <c r="A57" s="214">
        <v>10</v>
      </c>
      <c r="B57" s="108">
        <v>42</v>
      </c>
      <c r="C57" s="104" t="s">
        <v>19</v>
      </c>
      <c r="D57" s="104">
        <v>116</v>
      </c>
      <c r="E57" s="107">
        <v>37</v>
      </c>
      <c r="F57" s="104">
        <f t="shared" si="9"/>
        <v>49</v>
      </c>
      <c r="G57" s="215">
        <v>128</v>
      </c>
      <c r="H57" s="105">
        <f t="shared" si="10"/>
        <v>0.22424242424242424</v>
      </c>
    </row>
    <row r="58" spans="1:12" x14ac:dyDescent="0.3">
      <c r="A58" s="214">
        <v>11</v>
      </c>
      <c r="B58" s="112">
        <v>25</v>
      </c>
      <c r="C58" s="112" t="s">
        <v>23</v>
      </c>
      <c r="D58" s="104">
        <v>28</v>
      </c>
      <c r="E58" s="107">
        <f>'[1]July 2025'!I11+'[1]August,2025'!I11+'[1]Septeber,2025'!I11+'[1]October,2025'!I11+'[1]November,2025'!I11+'[1]December 2025'!I11+'[1]January,2026'!I10+'[1]February,2025'!I11+'[1]March,2026'!I11</f>
        <v>10</v>
      </c>
      <c r="F58" s="104">
        <f t="shared" si="9"/>
        <v>24</v>
      </c>
      <c r="G58" s="215">
        <v>42</v>
      </c>
      <c r="H58" s="105">
        <f t="shared" si="10"/>
        <v>0.19230769230769232</v>
      </c>
    </row>
    <row r="59" spans="1:12" x14ac:dyDescent="0.3">
      <c r="A59" s="214">
        <v>12</v>
      </c>
      <c r="B59" s="104">
        <v>65</v>
      </c>
      <c r="C59" s="104" t="s">
        <v>21</v>
      </c>
      <c r="D59" s="104">
        <v>59</v>
      </c>
      <c r="E59" s="107">
        <f>'[1]July 2025'!I9+'[1]August,2025'!I9+'[1]Septeber,2025'!I9+'[1]October,2025'!I9+'[1]November,2025'!I9+'[1]December 2025'!I9+'[1]January,2026'!I8+'[1]February,2025'!I9+'[1]March,2026'!I9</f>
        <v>20</v>
      </c>
      <c r="F59" s="104">
        <f t="shared" si="9"/>
        <v>154</v>
      </c>
      <c r="G59" s="215">
        <v>193</v>
      </c>
      <c r="H59" s="105">
        <f t="shared" si="10"/>
        <v>9.3896713615023469E-2</v>
      </c>
    </row>
    <row r="60" spans="1:12" x14ac:dyDescent="0.3">
      <c r="A60" s="214">
        <v>13</v>
      </c>
      <c r="B60" s="112">
        <v>11</v>
      </c>
      <c r="C60" s="112" t="s">
        <v>24</v>
      </c>
      <c r="D60" s="104">
        <v>30</v>
      </c>
      <c r="E60" s="107">
        <v>18</v>
      </c>
      <c r="F60" s="104">
        <f t="shared" si="9"/>
        <v>14</v>
      </c>
      <c r="G60" s="215">
        <v>26</v>
      </c>
      <c r="H60" s="105">
        <f t="shared" si="10"/>
        <v>0.40909090909090912</v>
      </c>
    </row>
    <row r="61" spans="1:12" x14ac:dyDescent="0.3">
      <c r="A61" s="218"/>
      <c r="B61" s="206">
        <f>SUM(B48:B60)</f>
        <v>422</v>
      </c>
      <c r="C61" s="207" t="s">
        <v>30</v>
      </c>
      <c r="D61" s="208">
        <f>SUM(D48:D60)</f>
        <v>1242</v>
      </c>
      <c r="E61" s="208">
        <f t="shared" ref="E61:G61" si="11">SUM(E48:E60)</f>
        <v>4947</v>
      </c>
      <c r="F61" s="208">
        <f t="shared" si="11"/>
        <v>4798</v>
      </c>
      <c r="G61" s="208">
        <f t="shared" si="11"/>
        <v>1093</v>
      </c>
      <c r="H61" s="209">
        <f t="shared" si="10"/>
        <v>0.8190397350993377</v>
      </c>
      <c r="I61" s="249">
        <f>D61+F61</f>
        <v>6040</v>
      </c>
      <c r="J61" s="249">
        <f>E61</f>
        <v>4947</v>
      </c>
      <c r="L61" s="212"/>
    </row>
    <row r="62" spans="1:12" ht="15.6" x14ac:dyDescent="0.3">
      <c r="A62" s="442" t="s">
        <v>95</v>
      </c>
      <c r="B62" s="442"/>
      <c r="C62" s="442"/>
      <c r="D62" s="442"/>
      <c r="E62" s="442"/>
      <c r="F62" s="442"/>
      <c r="G62" s="442"/>
      <c r="H62" s="442"/>
      <c r="I62" s="217"/>
      <c r="J62" s="253">
        <f>J61/I61</f>
        <v>0.8190397350993377</v>
      </c>
      <c r="K62" s="217"/>
      <c r="L62" s="341"/>
    </row>
    <row r="63" spans="1:12" x14ac:dyDescent="0.3">
      <c r="A63" s="446" t="s">
        <v>1</v>
      </c>
      <c r="B63" s="443" t="s">
        <v>2</v>
      </c>
      <c r="C63" s="446" t="s">
        <v>3</v>
      </c>
      <c r="D63" s="390" t="s">
        <v>91</v>
      </c>
      <c r="E63" s="390"/>
      <c r="F63" s="390"/>
      <c r="G63" s="390"/>
      <c r="H63" s="384" t="s">
        <v>45</v>
      </c>
    </row>
    <row r="64" spans="1:12" x14ac:dyDescent="0.3">
      <c r="A64" s="447"/>
      <c r="B64" s="444"/>
      <c r="C64" s="447"/>
      <c r="D64" s="390"/>
      <c r="E64" s="390"/>
      <c r="F64" s="390"/>
      <c r="G64" s="390"/>
      <c r="H64" s="384"/>
      <c r="J64" s="212"/>
    </row>
    <row r="65" spans="1:12" ht="53.4" x14ac:dyDescent="0.3">
      <c r="A65" s="448"/>
      <c r="B65" s="445"/>
      <c r="C65" s="448"/>
      <c r="D65" s="193" t="s">
        <v>84</v>
      </c>
      <c r="E65" s="193" t="s">
        <v>85</v>
      </c>
      <c r="F65" s="193" t="s">
        <v>86</v>
      </c>
      <c r="G65" s="193" t="s">
        <v>87</v>
      </c>
      <c r="H65" s="384"/>
      <c r="K65" s="212"/>
    </row>
    <row r="66" spans="1:12" x14ac:dyDescent="0.3">
      <c r="A66" s="194"/>
      <c r="B66" s="231" t="s">
        <v>12</v>
      </c>
      <c r="C66" s="231" t="s">
        <v>13</v>
      </c>
      <c r="D66" s="232" t="s">
        <v>46</v>
      </c>
      <c r="E66" s="232" t="s">
        <v>14</v>
      </c>
      <c r="F66" s="232" t="s">
        <v>15</v>
      </c>
      <c r="G66" s="232" t="s">
        <v>16</v>
      </c>
      <c r="H66" s="232" t="s">
        <v>17</v>
      </c>
      <c r="K66" s="212"/>
    </row>
    <row r="67" spans="1:12" x14ac:dyDescent="0.3">
      <c r="A67" s="214">
        <v>1</v>
      </c>
      <c r="B67" s="108">
        <v>7</v>
      </c>
      <c r="C67" s="104" t="s">
        <v>29</v>
      </c>
      <c r="D67" s="202">
        <v>11</v>
      </c>
      <c r="E67" s="215">
        <f>'[1]July 2025'!K18+'[1]August,2025'!K18+'[1]Septeber,2025'!K18+'[1]October,2025'!K18+'[1]November,2025'!K18+'[1]December 2025'!K18+'[1]January,2026'!K17+'[1]February,2025'!K18+'[1]March,2026'!K18</f>
        <v>16</v>
      </c>
      <c r="F67" s="202">
        <f t="shared" ref="F67:F79" si="12">G67+E67-D67</f>
        <v>5</v>
      </c>
      <c r="G67" s="215">
        <v>0</v>
      </c>
      <c r="H67" s="105">
        <f t="shared" ref="H67:H79" si="13">E67/(D67+F67)</f>
        <v>1</v>
      </c>
    </row>
    <row r="68" spans="1:12" x14ac:dyDescent="0.3">
      <c r="A68" s="214">
        <v>2</v>
      </c>
      <c r="B68" s="112">
        <v>20</v>
      </c>
      <c r="C68" s="113" t="s">
        <v>28</v>
      </c>
      <c r="D68" s="202">
        <v>30</v>
      </c>
      <c r="E68" s="215">
        <v>30</v>
      </c>
      <c r="F68" s="202">
        <f t="shared" si="12"/>
        <v>3238</v>
      </c>
      <c r="G68" s="215">
        <v>3238</v>
      </c>
      <c r="H68" s="105">
        <f t="shared" si="13"/>
        <v>9.1799265605875154E-3</v>
      </c>
    </row>
    <row r="69" spans="1:12" x14ac:dyDescent="0.3">
      <c r="A69" s="214">
        <v>3</v>
      </c>
      <c r="B69" s="112">
        <v>39</v>
      </c>
      <c r="C69" s="112" t="s">
        <v>26</v>
      </c>
      <c r="D69" s="202">
        <v>3987</v>
      </c>
      <c r="E69" s="215">
        <v>3906</v>
      </c>
      <c r="F69" s="202">
        <f t="shared" si="12"/>
        <v>49</v>
      </c>
      <c r="G69" s="215">
        <v>130</v>
      </c>
      <c r="H69" s="105">
        <f t="shared" si="13"/>
        <v>0.96778989098116952</v>
      </c>
    </row>
    <row r="70" spans="1:12" x14ac:dyDescent="0.3">
      <c r="A70" s="214">
        <v>4</v>
      </c>
      <c r="B70" s="112">
        <v>36</v>
      </c>
      <c r="C70" s="113" t="s">
        <v>27</v>
      </c>
      <c r="D70" s="202">
        <v>3465</v>
      </c>
      <c r="E70" s="215">
        <f>'[1]July 2025'!K15+'[1]August,2025'!K15+'[1]Septeber,2025'!K15+'[1]October,2025'!K15+'[1]November,2025'!K15+'[1]December 2025'!K15+'[1]January,2026'!K14+'[1]February,2025'!K15+'[1]March,2026'!K15</f>
        <v>5767</v>
      </c>
      <c r="F70" s="202">
        <f t="shared" si="12"/>
        <v>2368</v>
      </c>
      <c r="G70" s="215">
        <v>66</v>
      </c>
      <c r="H70" s="105">
        <f t="shared" si="13"/>
        <v>0.98868506771815534</v>
      </c>
    </row>
    <row r="71" spans="1:12" x14ac:dyDescent="0.3">
      <c r="A71" s="214">
        <v>5</v>
      </c>
      <c r="B71" s="104">
        <v>65</v>
      </c>
      <c r="C71" s="104" t="s">
        <v>21</v>
      </c>
      <c r="D71" s="202">
        <v>15455</v>
      </c>
      <c r="E71" s="215">
        <v>14792</v>
      </c>
      <c r="F71" s="202">
        <f t="shared" si="12"/>
        <v>201</v>
      </c>
      <c r="G71" s="215">
        <v>864</v>
      </c>
      <c r="H71" s="105">
        <f t="shared" si="13"/>
        <v>0.94481349003576909</v>
      </c>
    </row>
    <row r="72" spans="1:12" x14ac:dyDescent="0.3">
      <c r="A72" s="214">
        <v>6</v>
      </c>
      <c r="B72" s="112">
        <v>33</v>
      </c>
      <c r="C72" s="113" t="s">
        <v>22</v>
      </c>
      <c r="D72" s="202">
        <v>8969</v>
      </c>
      <c r="E72" s="215">
        <v>8905</v>
      </c>
      <c r="F72" s="202">
        <f t="shared" si="12"/>
        <v>200</v>
      </c>
      <c r="G72" s="215">
        <v>264</v>
      </c>
      <c r="H72" s="105">
        <f t="shared" si="13"/>
        <v>0.97120732904351614</v>
      </c>
    </row>
    <row r="73" spans="1:12" x14ac:dyDescent="0.3">
      <c r="A73" s="214">
        <v>7</v>
      </c>
      <c r="B73" s="104">
        <v>49</v>
      </c>
      <c r="C73" s="104" t="s">
        <v>18</v>
      </c>
      <c r="D73" s="202">
        <v>10892</v>
      </c>
      <c r="E73" s="215">
        <f>'[1]July 2025'!K6+'[1]August,2025'!K6+'[1]Septeber,2025'!K6+'[1]October,2025'!K6+'[1]November,2025'!K6+'[1]December 2025'!K6+'[1]January,2026'!K5+'[1]February,2025'!K6+'[1]March,2026'!K6</f>
        <v>22533</v>
      </c>
      <c r="F73" s="202">
        <f t="shared" si="12"/>
        <v>15610</v>
      </c>
      <c r="G73" s="215">
        <v>3969</v>
      </c>
      <c r="H73" s="105">
        <f t="shared" si="13"/>
        <v>0.85023771790808245</v>
      </c>
    </row>
    <row r="74" spans="1:12" x14ac:dyDescent="0.3">
      <c r="A74" s="214">
        <v>8</v>
      </c>
      <c r="B74" s="112">
        <v>17</v>
      </c>
      <c r="C74" s="113" t="s">
        <v>25</v>
      </c>
      <c r="D74" s="202">
        <v>1301</v>
      </c>
      <c r="E74" s="215">
        <f>'[1]July 2025'!K13+'[1]August,2025'!K13+'[1]Septeber,2025'!K13+'[1]October,2025'!K13+'[1]November,2025'!K13+'[1]December 2025'!K13+'[1]January,2026'!K12+'[1]February,2025'!K13+'[1]March,2026'!K13</f>
        <v>4831</v>
      </c>
      <c r="F74" s="202">
        <f t="shared" si="12"/>
        <v>4701</v>
      </c>
      <c r="G74" s="215">
        <v>1171</v>
      </c>
      <c r="H74" s="105">
        <f t="shared" si="13"/>
        <v>0.80489836721092967</v>
      </c>
    </row>
    <row r="75" spans="1:12" x14ac:dyDescent="0.3">
      <c r="A75" s="214">
        <v>9</v>
      </c>
      <c r="B75" s="112">
        <v>25</v>
      </c>
      <c r="C75" s="112" t="s">
        <v>23</v>
      </c>
      <c r="D75" s="202">
        <v>184</v>
      </c>
      <c r="E75" s="215">
        <v>184</v>
      </c>
      <c r="F75" s="202">
        <f t="shared" si="12"/>
        <v>1</v>
      </c>
      <c r="G75" s="215">
        <v>1</v>
      </c>
      <c r="H75" s="105">
        <f t="shared" si="13"/>
        <v>0.99459459459459465</v>
      </c>
    </row>
    <row r="76" spans="1:12" x14ac:dyDescent="0.3">
      <c r="A76" s="214">
        <v>10</v>
      </c>
      <c r="B76" s="108">
        <v>42</v>
      </c>
      <c r="C76" s="104" t="s">
        <v>19</v>
      </c>
      <c r="D76" s="202">
        <v>5033</v>
      </c>
      <c r="E76" s="215">
        <f>'[1]July 2025'!K7+'[1]August,2025'!K7+'[1]Septeber,2025'!K7+'[1]October,2025'!K7+'[1]November,2025'!K7+'[1]December 2025'!K7+'[1]January,2026'!K6+'[1]February,2025'!K7+'[1]March,2026'!K7</f>
        <v>11920</v>
      </c>
      <c r="F76" s="202">
        <f t="shared" si="12"/>
        <v>13542</v>
      </c>
      <c r="G76" s="215">
        <v>6655</v>
      </c>
      <c r="H76" s="105">
        <f t="shared" si="13"/>
        <v>0.6417227456258412</v>
      </c>
    </row>
    <row r="77" spans="1:12" x14ac:dyDescent="0.3">
      <c r="A77" s="214">
        <v>11</v>
      </c>
      <c r="B77" s="112">
        <v>26</v>
      </c>
      <c r="C77" s="113" t="s">
        <v>54</v>
      </c>
      <c r="D77" s="202">
        <v>497</v>
      </c>
      <c r="E77" s="215">
        <f>'[1]July 2025'!K16+'[1]August,2025'!K16+'[1]Septeber,2025'!K16+'[1]October,2025'!K16+'[1]November,2025'!K16+'[1]December 2025'!K16+'[1]January,2026'!K15+'[1]February,2025'!K16+'[1]March,2026'!K16</f>
        <v>4657</v>
      </c>
      <c r="F77" s="202">
        <f t="shared" si="12"/>
        <v>4329</v>
      </c>
      <c r="G77" s="215">
        <v>169</v>
      </c>
      <c r="H77" s="105">
        <f t="shared" si="13"/>
        <v>0.96498135101533355</v>
      </c>
    </row>
    <row r="78" spans="1:12" x14ac:dyDescent="0.3">
      <c r="A78" s="214">
        <v>12</v>
      </c>
      <c r="B78" s="112">
        <v>11</v>
      </c>
      <c r="C78" s="112" t="s">
        <v>24</v>
      </c>
      <c r="D78" s="202">
        <v>0</v>
      </c>
      <c r="E78" s="215">
        <f>'[1]July 2025'!K12+'[1]August,2025'!K12+'[1]Septeber,2025'!K12+'[1]October,2025'!K12+'[1]November,2025'!K12+'[1]December 2025'!K12+'[1]January,2026'!K11+'[1]February,2025'!K12+'[1]March,2026'!K12</f>
        <v>597</v>
      </c>
      <c r="F78" s="202">
        <f t="shared" si="12"/>
        <v>3979</v>
      </c>
      <c r="G78" s="215">
        <v>3382</v>
      </c>
      <c r="H78" s="105">
        <f t="shared" si="13"/>
        <v>0.15003769791404875</v>
      </c>
    </row>
    <row r="79" spans="1:12" x14ac:dyDescent="0.3">
      <c r="A79" s="214">
        <v>13</v>
      </c>
      <c r="B79" s="112">
        <v>52</v>
      </c>
      <c r="C79" s="112" t="s">
        <v>20</v>
      </c>
      <c r="D79" s="202">
        <v>6828</v>
      </c>
      <c r="E79" s="215">
        <f>'[1]July 2025'!K8+'[1]August,2025'!K8+'[1]Septeber,2025'!K8+'[1]October,2025'!K8+'[1]November,2025'!K8+'[1]December 2025'!K8+'[1]January,2026'!K7+'[1]February,2025'!K8+'[1]March,2026'!K8</f>
        <v>3726</v>
      </c>
      <c r="F79" s="202">
        <f t="shared" si="12"/>
        <v>6867</v>
      </c>
      <c r="G79" s="215">
        <v>9969</v>
      </c>
      <c r="H79" s="105">
        <f t="shared" si="13"/>
        <v>0.27207009857612269</v>
      </c>
    </row>
    <row r="80" spans="1:12" x14ac:dyDescent="0.3">
      <c r="A80" s="216"/>
      <c r="B80" s="206">
        <f>SUM(B67:B79)</f>
        <v>422</v>
      </c>
      <c r="C80" s="207" t="s">
        <v>30</v>
      </c>
      <c r="D80" s="219">
        <f>SUM(D67:D79)</f>
        <v>56652</v>
      </c>
      <c r="E80" s="219">
        <f t="shared" ref="E80:G80" si="14">SUM(E67:E79)</f>
        <v>81864</v>
      </c>
      <c r="F80" s="219">
        <f t="shared" si="14"/>
        <v>55090</v>
      </c>
      <c r="G80" s="219">
        <f t="shared" si="14"/>
        <v>29878</v>
      </c>
      <c r="H80" s="220">
        <f t="shared" ref="H80" si="15">E80/(D80+F80)</f>
        <v>0.73261620518694848</v>
      </c>
      <c r="I80" s="212">
        <f>D80+F80</f>
        <v>111742</v>
      </c>
      <c r="J80" s="212">
        <f>E80</f>
        <v>81864</v>
      </c>
      <c r="L80" s="212"/>
    </row>
    <row r="81" spans="1:12" ht="15.6" x14ac:dyDescent="0.3">
      <c r="A81" s="442" t="s">
        <v>96</v>
      </c>
      <c r="B81" s="442"/>
      <c r="C81" s="442"/>
      <c r="D81" s="442"/>
      <c r="E81" s="442"/>
      <c r="F81" s="442"/>
      <c r="G81" s="442"/>
      <c r="H81" s="442"/>
      <c r="I81" s="217"/>
      <c r="J81" s="253">
        <f>J80/I80</f>
        <v>0.73261620518694848</v>
      </c>
      <c r="K81" s="217"/>
      <c r="L81" s="341"/>
    </row>
    <row r="82" spans="1:12" ht="15" customHeight="1" x14ac:dyDescent="0.3">
      <c r="A82" s="446" t="s">
        <v>1</v>
      </c>
      <c r="B82" s="443" t="s">
        <v>2</v>
      </c>
      <c r="C82" s="446" t="s">
        <v>3</v>
      </c>
      <c r="D82" s="390" t="s">
        <v>92</v>
      </c>
      <c r="E82" s="390"/>
      <c r="F82" s="390"/>
      <c r="G82" s="390"/>
      <c r="H82" s="384" t="s">
        <v>45</v>
      </c>
    </row>
    <row r="83" spans="1:12" x14ac:dyDescent="0.3">
      <c r="A83" s="447"/>
      <c r="B83" s="444"/>
      <c r="C83" s="447"/>
      <c r="D83" s="390"/>
      <c r="E83" s="390"/>
      <c r="F83" s="390"/>
      <c r="G83" s="390"/>
      <c r="H83" s="384"/>
      <c r="I83" s="212"/>
    </row>
    <row r="84" spans="1:12" ht="53.4" x14ac:dyDescent="0.3">
      <c r="A84" s="448"/>
      <c r="B84" s="445"/>
      <c r="C84" s="448"/>
      <c r="D84" s="193" t="s">
        <v>84</v>
      </c>
      <c r="E84" s="193" t="s">
        <v>85</v>
      </c>
      <c r="F84" s="193" t="s">
        <v>86</v>
      </c>
      <c r="G84" s="193" t="s">
        <v>87</v>
      </c>
      <c r="H84" s="384"/>
      <c r="L84" s="212"/>
    </row>
    <row r="85" spans="1:12" x14ac:dyDescent="0.3">
      <c r="A85" s="194"/>
      <c r="B85" s="194" t="s">
        <v>12</v>
      </c>
      <c r="C85" s="194" t="s">
        <v>13</v>
      </c>
      <c r="D85" s="193" t="s">
        <v>46</v>
      </c>
      <c r="E85" s="193" t="s">
        <v>14</v>
      </c>
      <c r="F85" s="193" t="s">
        <v>15</v>
      </c>
      <c r="G85" s="193" t="s">
        <v>16</v>
      </c>
      <c r="H85" s="193" t="s">
        <v>17</v>
      </c>
      <c r="L85" s="212"/>
    </row>
    <row r="86" spans="1:12" x14ac:dyDescent="0.3">
      <c r="A86" s="214">
        <v>1</v>
      </c>
      <c r="B86" s="112">
        <v>20</v>
      </c>
      <c r="C86" s="113" t="s">
        <v>28</v>
      </c>
      <c r="D86" s="202">
        <v>5740</v>
      </c>
      <c r="E86" s="215">
        <v>5740</v>
      </c>
      <c r="F86" s="202">
        <f t="shared" ref="F86:F98" si="16">G86+E86-D86</f>
        <v>62264</v>
      </c>
      <c r="G86" s="215">
        <v>62264</v>
      </c>
      <c r="H86" s="105">
        <f t="shared" ref="H86:H98" si="17">E86/(D86+F86)</f>
        <v>8.4406799600023522E-2</v>
      </c>
    </row>
    <row r="87" spans="1:12" x14ac:dyDescent="0.3">
      <c r="A87" s="214">
        <v>2</v>
      </c>
      <c r="B87" s="112">
        <v>39</v>
      </c>
      <c r="C87" s="112" t="s">
        <v>26</v>
      </c>
      <c r="D87" s="202">
        <v>67924</v>
      </c>
      <c r="E87" s="215">
        <v>63734</v>
      </c>
      <c r="F87" s="202">
        <f t="shared" si="16"/>
        <v>14296</v>
      </c>
      <c r="G87" s="215">
        <v>18486</v>
      </c>
      <c r="H87" s="105">
        <f t="shared" si="17"/>
        <v>0.77516419362685474</v>
      </c>
    </row>
    <row r="88" spans="1:12" x14ac:dyDescent="0.3">
      <c r="A88" s="214">
        <v>3</v>
      </c>
      <c r="B88" s="112">
        <v>25</v>
      </c>
      <c r="C88" s="112" t="s">
        <v>23</v>
      </c>
      <c r="D88" s="202">
        <v>32750</v>
      </c>
      <c r="E88" s="215">
        <f>'[1]July 2025'!M11+'[1]August,2025'!M11+'[1]Septeber,2025'!M11+'[1]October,2025'!M11+'[1]November,2025'!M11+'[1]December 2025'!M11+'[1]January,2026'!M10+'[1]February,2025'!M11+'[1]March,2026'!M11</f>
        <v>94874</v>
      </c>
      <c r="F88" s="202">
        <f t="shared" si="16"/>
        <v>86538</v>
      </c>
      <c r="G88" s="215">
        <v>24414</v>
      </c>
      <c r="H88" s="105">
        <f t="shared" si="17"/>
        <v>0.79533565823888408</v>
      </c>
    </row>
    <row r="89" spans="1:12" x14ac:dyDescent="0.3">
      <c r="A89" s="214">
        <v>4</v>
      </c>
      <c r="B89" s="112">
        <v>11</v>
      </c>
      <c r="C89" s="112" t="s">
        <v>24</v>
      </c>
      <c r="D89" s="202">
        <v>1</v>
      </c>
      <c r="E89" s="215">
        <f>'[1]July 2025'!M12+'[1]August,2025'!M12+'[1]Septeber,2025'!M12+'[1]October,2025'!M12+'[1]November,2025'!M12+'[1]December 2025'!M12+'[1]January,2026'!M11+'[1]February,2025'!M12+'[1]March,2026'!M12</f>
        <v>40987</v>
      </c>
      <c r="F89" s="202">
        <f t="shared" si="16"/>
        <v>54561</v>
      </c>
      <c r="G89" s="215">
        <v>13575</v>
      </c>
      <c r="H89" s="105">
        <f t="shared" si="17"/>
        <v>0.75120046919101202</v>
      </c>
    </row>
    <row r="90" spans="1:12" x14ac:dyDescent="0.3">
      <c r="A90" s="214">
        <v>5</v>
      </c>
      <c r="B90" s="108">
        <v>42</v>
      </c>
      <c r="C90" s="104" t="s">
        <v>19</v>
      </c>
      <c r="D90" s="202">
        <v>13201</v>
      </c>
      <c r="E90" s="215">
        <f>'[1]July 2025'!M7+'[1]August,2025'!M7+'[1]Septeber,2025'!M7+'[1]October,2025'!M7+'[1]November,2025'!M7+'[1]December 2025'!M7+'[1]January,2026'!M6+'[1]February,2025'!M7+'[1]March,2026'!M7</f>
        <v>48062</v>
      </c>
      <c r="F90" s="202">
        <f t="shared" si="16"/>
        <v>61940</v>
      </c>
      <c r="G90" s="215">
        <v>27079</v>
      </c>
      <c r="H90" s="105">
        <f t="shared" si="17"/>
        <v>0.63962417322101117</v>
      </c>
    </row>
    <row r="91" spans="1:12" x14ac:dyDescent="0.3">
      <c r="A91" s="214">
        <v>6</v>
      </c>
      <c r="B91" s="104">
        <v>49</v>
      </c>
      <c r="C91" s="104" t="s">
        <v>18</v>
      </c>
      <c r="D91" s="202">
        <v>52976</v>
      </c>
      <c r="E91" s="215">
        <f>'[1]July 2025'!M6+'[1]August,2025'!M6+'[1]Septeber,2025'!M6+'[1]October,2025'!M6+'[1]November,2025'!M6+'[1]December 2025'!M6+'[1]January,2026'!M5+'[1]February,2025'!M6+'[1]March,2026'!M6</f>
        <v>207094</v>
      </c>
      <c r="F91" s="202">
        <f t="shared" si="16"/>
        <v>241917</v>
      </c>
      <c r="G91" s="215">
        <v>87799</v>
      </c>
      <c r="H91" s="105">
        <f t="shared" si="17"/>
        <v>0.70226828035931677</v>
      </c>
    </row>
    <row r="92" spans="1:12" x14ac:dyDescent="0.3">
      <c r="A92" s="214">
        <v>7</v>
      </c>
      <c r="B92" s="112">
        <v>17</v>
      </c>
      <c r="C92" s="113" t="s">
        <v>25</v>
      </c>
      <c r="D92" s="202">
        <v>2989</v>
      </c>
      <c r="E92" s="215">
        <f>'[1]July 2025'!M13+'[1]August,2025'!M13+'[1]Septeber,2025'!M13+'[1]October,2025'!M13+'[1]November,2025'!M13+'[1]December 2025'!M13+'[1]January,2026'!M12+'[1]February,2025'!M13+'[1]March,2026'!M13</f>
        <v>25062</v>
      </c>
      <c r="F92" s="202">
        <f t="shared" si="16"/>
        <v>46077</v>
      </c>
      <c r="G92" s="215">
        <v>24004</v>
      </c>
      <c r="H92" s="105">
        <f t="shared" si="17"/>
        <v>0.51078139648636534</v>
      </c>
    </row>
    <row r="93" spans="1:12" x14ac:dyDescent="0.3">
      <c r="A93" s="214">
        <v>8</v>
      </c>
      <c r="B93" s="112">
        <v>36</v>
      </c>
      <c r="C93" s="113" t="s">
        <v>27</v>
      </c>
      <c r="D93" s="202">
        <v>25759</v>
      </c>
      <c r="E93" s="215">
        <f>'[1]July 2025'!M15+'[1]August,2025'!M15+'[1]Septeber,2025'!M15+'[1]October,2025'!M15+'[1]November,2025'!M15+'[1]December 2025'!M15+'[1]January,2026'!M14+'[1]February,2025'!M15+'[1]March,2026'!M15</f>
        <v>133697</v>
      </c>
      <c r="F93" s="202">
        <f t="shared" si="16"/>
        <v>228140</v>
      </c>
      <c r="G93" s="215">
        <v>120202</v>
      </c>
      <c r="H93" s="105">
        <f t="shared" si="17"/>
        <v>0.52657552806430907</v>
      </c>
    </row>
    <row r="94" spans="1:12" x14ac:dyDescent="0.3">
      <c r="A94" s="214">
        <v>9</v>
      </c>
      <c r="B94" s="112">
        <v>26</v>
      </c>
      <c r="C94" s="113" t="s">
        <v>54</v>
      </c>
      <c r="D94" s="202">
        <v>28489</v>
      </c>
      <c r="E94" s="215">
        <f>'[1]July 2025'!M16+'[1]August,2025'!M16+'[1]Septeber,2025'!M16+'[1]October,2025'!M16+'[1]November,2025'!M16+'[1]December 2025'!M16+'[1]January,2026'!M15+'[1]February,2025'!M16+'[1]March,2026'!M16</f>
        <v>48812</v>
      </c>
      <c r="F94" s="202">
        <f t="shared" si="16"/>
        <v>74142</v>
      </c>
      <c r="G94" s="215">
        <v>53819</v>
      </c>
      <c r="H94" s="105">
        <f t="shared" si="17"/>
        <v>0.47560678547417445</v>
      </c>
    </row>
    <row r="95" spans="1:12" x14ac:dyDescent="0.3">
      <c r="A95" s="214">
        <v>10</v>
      </c>
      <c r="B95" s="108">
        <v>7</v>
      </c>
      <c r="C95" s="104" t="s">
        <v>29</v>
      </c>
      <c r="D95" s="202">
        <v>4056</v>
      </c>
      <c r="E95" s="215">
        <f>'[1]July 2025'!M18+'[1]August,2025'!M18+'[1]Septeber,2025'!M18+'[1]October,2025'!M18+'[1]November,2025'!M18+'[1]December 2025'!M18+'[1]January,2026'!M17+'[1]February,2025'!M18+'[1]March,2026'!M18</f>
        <v>10319</v>
      </c>
      <c r="F95" s="202">
        <f t="shared" si="16"/>
        <v>12533</v>
      </c>
      <c r="G95" s="215">
        <v>6270</v>
      </c>
      <c r="H95" s="105">
        <f t="shared" si="17"/>
        <v>0.6220387003436012</v>
      </c>
    </row>
    <row r="96" spans="1:12" x14ac:dyDescent="0.3">
      <c r="A96" s="214">
        <v>11</v>
      </c>
      <c r="B96" s="104">
        <v>65</v>
      </c>
      <c r="C96" s="104" t="s">
        <v>21</v>
      </c>
      <c r="D96" s="202">
        <v>53771</v>
      </c>
      <c r="E96" s="215">
        <f>'[1]July 2025'!M9+'[1]August,2025'!M9+'[1]Septeber,2025'!M9+'[1]October,2025'!M9+'[1]November,2025'!M9+'[1]December 2025'!M9+'[1]January,2026'!M8+'[1]February,2025'!M9+'[1]March,2026'!M9</f>
        <v>27778</v>
      </c>
      <c r="F96" s="202">
        <f t="shared" si="16"/>
        <v>65247</v>
      </c>
      <c r="G96" s="215">
        <v>91240</v>
      </c>
      <c r="H96" s="105">
        <f t="shared" si="17"/>
        <v>0.2333932682451394</v>
      </c>
    </row>
    <row r="97" spans="1:13" x14ac:dyDescent="0.3">
      <c r="A97" s="214">
        <v>12</v>
      </c>
      <c r="B97" s="112">
        <v>33</v>
      </c>
      <c r="C97" s="113" t="s">
        <v>22</v>
      </c>
      <c r="D97" s="202">
        <v>68423</v>
      </c>
      <c r="E97" s="215">
        <f>'[1]July 2025'!M10+'[1]August,2025'!M10+'[1]Septeber,2025'!M10+'[1]October,2025'!M10+'[1]November,2025'!M10+'[1]December 2025'!M10+'[1]January,2026'!M9+'[1]February,2025'!M10+'[1]March,2026'!M10</f>
        <v>29190</v>
      </c>
      <c r="F97" s="202">
        <f t="shared" si="16"/>
        <v>55512</v>
      </c>
      <c r="G97" s="215">
        <v>94745</v>
      </c>
      <c r="H97" s="105">
        <f t="shared" si="17"/>
        <v>0.23552668737644733</v>
      </c>
    </row>
    <row r="98" spans="1:13" x14ac:dyDescent="0.3">
      <c r="A98" s="214">
        <v>13</v>
      </c>
      <c r="B98" s="112">
        <v>52</v>
      </c>
      <c r="C98" s="112" t="s">
        <v>20</v>
      </c>
      <c r="D98" s="202">
        <v>36501</v>
      </c>
      <c r="E98" s="215">
        <f>'[1]July 2025'!M8+'[1]August,2025'!M8+'[1]Septeber,2025'!M8+'[1]October,2025'!M8+'[1]November,2025'!M8+'[1]December 2025'!M8+'[1]January,2026'!M7+'[1]February,2025'!M8+'[1]March,2026'!M8</f>
        <v>17786</v>
      </c>
      <c r="F98" s="202">
        <f t="shared" si="16"/>
        <v>139444</v>
      </c>
      <c r="G98" s="215">
        <v>158159</v>
      </c>
      <c r="H98" s="105">
        <f t="shared" si="17"/>
        <v>0.10108840830941487</v>
      </c>
    </row>
    <row r="99" spans="1:13" x14ac:dyDescent="0.3">
      <c r="A99" s="218"/>
      <c r="B99" s="206">
        <f>SUM(B86:B98)</f>
        <v>422</v>
      </c>
      <c r="C99" s="207" t="s">
        <v>30</v>
      </c>
      <c r="D99" s="252">
        <f>SUM(D86:D98)</f>
        <v>392580</v>
      </c>
      <c r="E99" s="252">
        <f t="shared" ref="E99:G99" si="18">SUM(E86:E98)</f>
        <v>753135</v>
      </c>
      <c r="F99" s="252">
        <f t="shared" si="18"/>
        <v>1142611</v>
      </c>
      <c r="G99" s="252">
        <f t="shared" si="18"/>
        <v>782056</v>
      </c>
      <c r="H99" s="209">
        <f t="shared" ref="H99" si="19">E99/(D99+F99)</f>
        <v>0.49058065087666614</v>
      </c>
      <c r="I99" s="212">
        <f>D99+F99</f>
        <v>1535191</v>
      </c>
      <c r="J99" s="212">
        <f>E99</f>
        <v>753135</v>
      </c>
      <c r="L99" s="212"/>
    </row>
    <row r="100" spans="1:13" ht="15.6" x14ac:dyDescent="0.3">
      <c r="A100" s="442" t="s">
        <v>97</v>
      </c>
      <c r="B100" s="442"/>
      <c r="C100" s="442"/>
      <c r="D100" s="442"/>
      <c r="E100" s="442"/>
      <c r="F100" s="442"/>
      <c r="G100" s="442"/>
      <c r="H100" s="442"/>
      <c r="I100" s="217"/>
      <c r="J100" s="253">
        <f>J118/I118</f>
        <v>0.32468010678449782</v>
      </c>
      <c r="K100" s="217"/>
      <c r="L100" s="341"/>
    </row>
    <row r="101" spans="1:13" ht="15" customHeight="1" x14ac:dyDescent="0.3">
      <c r="A101" s="383" t="s">
        <v>1</v>
      </c>
      <c r="B101" s="443" t="s">
        <v>2</v>
      </c>
      <c r="C101" s="446" t="s">
        <v>3</v>
      </c>
      <c r="D101" s="393" t="s">
        <v>52</v>
      </c>
      <c r="E101" s="393"/>
      <c r="F101" s="393"/>
      <c r="G101" s="393"/>
      <c r="H101" s="384" t="s">
        <v>45</v>
      </c>
    </row>
    <row r="102" spans="1:13" x14ac:dyDescent="0.3">
      <c r="A102" s="383"/>
      <c r="B102" s="444"/>
      <c r="C102" s="447"/>
      <c r="D102" s="393"/>
      <c r="E102" s="393"/>
      <c r="F102" s="393"/>
      <c r="G102" s="393"/>
      <c r="H102" s="384"/>
      <c r="I102" s="212"/>
    </row>
    <row r="103" spans="1:13" ht="53.4" x14ac:dyDescent="0.3">
      <c r="A103" s="194"/>
      <c r="B103" s="445"/>
      <c r="C103" s="448"/>
      <c r="D103" s="193" t="s">
        <v>84</v>
      </c>
      <c r="E103" s="193" t="s">
        <v>85</v>
      </c>
      <c r="F103" s="193" t="s">
        <v>86</v>
      </c>
      <c r="G103" s="193" t="s">
        <v>87</v>
      </c>
      <c r="H103" s="384"/>
    </row>
    <row r="104" spans="1:13" x14ac:dyDescent="0.3">
      <c r="A104" s="194"/>
      <c r="B104" s="194" t="s">
        <v>12</v>
      </c>
      <c r="C104" s="194" t="s">
        <v>13</v>
      </c>
      <c r="D104" s="193" t="s">
        <v>46</v>
      </c>
      <c r="E104" s="193" t="s">
        <v>14</v>
      </c>
      <c r="F104" s="193" t="s">
        <v>15</v>
      </c>
      <c r="G104" s="193" t="s">
        <v>16</v>
      </c>
      <c r="H104" s="193" t="s">
        <v>17</v>
      </c>
    </row>
    <row r="105" spans="1:13" x14ac:dyDescent="0.3">
      <c r="A105" s="214">
        <v>1</v>
      </c>
      <c r="B105" s="112">
        <v>17</v>
      </c>
      <c r="C105" s="113" t="s">
        <v>25</v>
      </c>
      <c r="D105" s="104">
        <v>0</v>
      </c>
      <c r="E105" s="215">
        <f>'[1]July 2025'!O13+'[1]August,2025'!O13+'[1]Septeber,2025'!O13+'[1]October,2025'!O13+'[1]November,2025'!O13+'[1]December 2025'!O13+'[1]January,2026'!O12+'[1]February,2025'!O13+'[1]March,2026'!O13</f>
        <v>417</v>
      </c>
      <c r="F105" s="104">
        <f t="shared" ref="F105:F117" si="20">G105+E105-D105</f>
        <v>417</v>
      </c>
      <c r="G105" s="215">
        <v>0</v>
      </c>
      <c r="H105" s="105">
        <f t="shared" ref="H105:H117" si="21">E105/(D105+F105)</f>
        <v>1</v>
      </c>
      <c r="I105" s="247"/>
      <c r="J105" s="325"/>
      <c r="K105" s="342"/>
      <c r="L105" s="342"/>
      <c r="M105" s="325"/>
    </row>
    <row r="106" spans="1:13" x14ac:dyDescent="0.3">
      <c r="A106" s="214">
        <v>2</v>
      </c>
      <c r="B106" s="112">
        <v>26</v>
      </c>
      <c r="C106" s="113" t="s">
        <v>54</v>
      </c>
      <c r="D106" s="104">
        <v>2</v>
      </c>
      <c r="E106" s="215">
        <f>'[1]July 2025'!O16+'[1]August,2025'!O16+'[1]Septeber,2025'!O16+'[1]October,2025'!O16+'[1]November,2025'!O16+'[1]December 2025'!O16+'[1]January,2026'!O15+'[1]February,2025'!O16+'[1]March,2026'!O16</f>
        <v>18</v>
      </c>
      <c r="F106" s="104">
        <f t="shared" si="20"/>
        <v>16</v>
      </c>
      <c r="G106" s="215">
        <v>0</v>
      </c>
      <c r="H106" s="105">
        <f t="shared" si="21"/>
        <v>1</v>
      </c>
      <c r="I106" s="247"/>
      <c r="J106" s="325"/>
      <c r="K106" s="342"/>
      <c r="L106" s="342"/>
      <c r="M106" s="325"/>
    </row>
    <row r="107" spans="1:13" x14ac:dyDescent="0.3">
      <c r="A107" s="214">
        <v>3</v>
      </c>
      <c r="B107" s="112">
        <v>39</v>
      </c>
      <c r="C107" s="112" t="s">
        <v>26</v>
      </c>
      <c r="D107" s="104">
        <v>89</v>
      </c>
      <c r="E107" s="215">
        <v>89</v>
      </c>
      <c r="F107" s="104">
        <f t="shared" si="20"/>
        <v>1</v>
      </c>
      <c r="G107" s="215">
        <v>1</v>
      </c>
      <c r="H107" s="105">
        <f t="shared" si="21"/>
        <v>0.98888888888888893</v>
      </c>
      <c r="I107" s="250"/>
      <c r="J107" s="325"/>
      <c r="K107" s="342"/>
      <c r="L107" s="342"/>
      <c r="M107" s="325"/>
    </row>
    <row r="108" spans="1:13" x14ac:dyDescent="0.3">
      <c r="A108" s="214">
        <v>4</v>
      </c>
      <c r="B108" s="112">
        <v>20</v>
      </c>
      <c r="C108" s="113" t="s">
        <v>28</v>
      </c>
      <c r="D108" s="104">
        <v>26</v>
      </c>
      <c r="E108" s="215">
        <v>26</v>
      </c>
      <c r="F108" s="104">
        <f t="shared" si="20"/>
        <v>16</v>
      </c>
      <c r="G108" s="215">
        <v>16</v>
      </c>
      <c r="H108" s="105">
        <f t="shared" si="21"/>
        <v>0.61904761904761907</v>
      </c>
      <c r="I108" s="247"/>
      <c r="J108" s="325"/>
      <c r="K108" s="342"/>
      <c r="L108" s="342"/>
      <c r="M108" s="325"/>
    </row>
    <row r="109" spans="1:13" x14ac:dyDescent="0.3">
      <c r="A109" s="214">
        <v>5</v>
      </c>
      <c r="B109" s="112">
        <v>33</v>
      </c>
      <c r="C109" s="113" t="s">
        <v>22</v>
      </c>
      <c r="D109" s="104">
        <v>18</v>
      </c>
      <c r="E109" s="215">
        <f>'[1]July 2025'!O10+'[1]August,2025'!O10+'[1]Septeber,2025'!O10+'[1]October,2025'!O10+'[1]November,2025'!O10+'[1]December 2025'!O10+'[1]January,2026'!O9+'[1]February,2025'!O10+'[1]March,2026'!O10</f>
        <v>943</v>
      </c>
      <c r="F109" s="104">
        <f t="shared" si="20"/>
        <v>925</v>
      </c>
      <c r="G109" s="215">
        <v>0</v>
      </c>
      <c r="H109" s="105">
        <f t="shared" si="21"/>
        <v>1</v>
      </c>
      <c r="I109" s="251"/>
      <c r="J109" s="325"/>
      <c r="K109" s="342"/>
      <c r="L109" s="342"/>
      <c r="M109" s="325"/>
    </row>
    <row r="110" spans="1:13" x14ac:dyDescent="0.3">
      <c r="A110" s="214">
        <v>6</v>
      </c>
      <c r="B110" s="104">
        <v>49</v>
      </c>
      <c r="C110" s="104" t="s">
        <v>18</v>
      </c>
      <c r="D110" s="104">
        <v>48</v>
      </c>
      <c r="E110" s="215">
        <f>'[1]July 2025'!O6+'[1]August,2025'!O6+'[1]Septeber,2025'!O6+'[1]October,2025'!O6+'[1]November,2025'!O6+'[1]December 2025'!O6+'[1]January,2026'!O5+'[1]February,2025'!O6+'[1]March,2026'!O6</f>
        <v>206</v>
      </c>
      <c r="F110" s="104">
        <f t="shared" si="20"/>
        <v>207</v>
      </c>
      <c r="G110" s="215">
        <v>49</v>
      </c>
      <c r="H110" s="105">
        <f t="shared" si="21"/>
        <v>0.80784313725490198</v>
      </c>
      <c r="I110" s="250"/>
      <c r="J110" s="325"/>
      <c r="K110" s="342"/>
      <c r="L110" s="342"/>
      <c r="M110" s="325"/>
    </row>
    <row r="111" spans="1:13" x14ac:dyDescent="0.3">
      <c r="A111" s="214">
        <v>7</v>
      </c>
      <c r="B111" s="112">
        <v>36</v>
      </c>
      <c r="C111" s="113" t="s">
        <v>27</v>
      </c>
      <c r="D111" s="104"/>
      <c r="E111" s="215">
        <f>'[1]July 2025'!O15+'[1]August,2025'!O15+'[1]Septeber,2025'!O15+'[1]October,2025'!O15+'[1]November,2025'!O15+'[1]December 2025'!O15+'[1]January,2026'!O14+'[1]February,2025'!O15+'[1]March,2026'!O15</f>
        <v>3</v>
      </c>
      <c r="F111" s="104">
        <f t="shared" si="20"/>
        <v>3</v>
      </c>
      <c r="G111" s="215">
        <v>0</v>
      </c>
      <c r="H111" s="105">
        <f t="shared" si="21"/>
        <v>1</v>
      </c>
      <c r="I111" s="250"/>
      <c r="J111" s="325"/>
      <c r="K111" s="342"/>
      <c r="L111" s="342"/>
      <c r="M111" s="325"/>
    </row>
    <row r="112" spans="1:13" x14ac:dyDescent="0.3">
      <c r="A112" s="214">
        <v>8</v>
      </c>
      <c r="B112" s="108">
        <v>7</v>
      </c>
      <c r="C112" s="104" t="s">
        <v>29</v>
      </c>
      <c r="D112" s="104">
        <v>332</v>
      </c>
      <c r="E112" s="215">
        <v>319</v>
      </c>
      <c r="F112" s="104">
        <f t="shared" si="20"/>
        <v>0</v>
      </c>
      <c r="G112" s="215">
        <v>13</v>
      </c>
      <c r="H112" s="105">
        <f t="shared" si="21"/>
        <v>0.96084337349397586</v>
      </c>
      <c r="I112" s="251"/>
      <c r="J112" s="325"/>
      <c r="K112" s="342"/>
      <c r="L112" s="342"/>
      <c r="M112" s="325"/>
    </row>
    <row r="113" spans="1:13" x14ac:dyDescent="0.3">
      <c r="A113" s="214">
        <v>9</v>
      </c>
      <c r="B113" s="108">
        <v>42</v>
      </c>
      <c r="C113" s="104" t="s">
        <v>19</v>
      </c>
      <c r="D113" s="104">
        <v>127</v>
      </c>
      <c r="E113" s="215">
        <f>'[1]July 2025'!O7+'[1]August,2025'!O7+'[1]Septeber,2025'!O7+'[1]October,2025'!O7+'[1]November,2025'!O7+'[1]December 2025'!O7+'[1]January,2026'!O6+'[1]February,2025'!O7+'[1]March,2026'!O7</f>
        <v>495</v>
      </c>
      <c r="F113" s="104">
        <f t="shared" si="20"/>
        <v>3311</v>
      </c>
      <c r="G113" s="215">
        <v>2943</v>
      </c>
      <c r="H113" s="105">
        <f t="shared" si="21"/>
        <v>0.14397905759162305</v>
      </c>
      <c r="I113" s="250"/>
      <c r="J113" s="325"/>
      <c r="K113" s="342"/>
      <c r="L113" s="342"/>
      <c r="M113" s="325"/>
    </row>
    <row r="114" spans="1:13" x14ac:dyDescent="0.3">
      <c r="A114" s="214">
        <v>10</v>
      </c>
      <c r="B114" s="112">
        <v>52</v>
      </c>
      <c r="C114" s="112" t="s">
        <v>20</v>
      </c>
      <c r="D114" s="104">
        <v>721</v>
      </c>
      <c r="E114" s="215">
        <v>218</v>
      </c>
      <c r="F114" s="104">
        <f t="shared" si="20"/>
        <v>656</v>
      </c>
      <c r="G114" s="215">
        <v>1159</v>
      </c>
      <c r="H114" s="105">
        <f t="shared" si="21"/>
        <v>0.15831517792302105</v>
      </c>
      <c r="I114" s="251"/>
      <c r="J114" s="325"/>
      <c r="K114" s="342"/>
      <c r="L114" s="342"/>
      <c r="M114" s="325"/>
    </row>
    <row r="115" spans="1:13" x14ac:dyDescent="0.3">
      <c r="A115" s="214">
        <v>11</v>
      </c>
      <c r="B115" s="104">
        <v>65</v>
      </c>
      <c r="C115" s="104" t="s">
        <v>21</v>
      </c>
      <c r="D115" s="104">
        <v>1891</v>
      </c>
      <c r="E115" s="215">
        <v>468</v>
      </c>
      <c r="F115" s="104">
        <f t="shared" si="20"/>
        <v>1387</v>
      </c>
      <c r="G115" s="215">
        <v>2810</v>
      </c>
      <c r="H115" s="105">
        <f t="shared" si="21"/>
        <v>0.14276998169615621</v>
      </c>
      <c r="I115" s="251"/>
      <c r="J115" s="325"/>
      <c r="K115" s="342"/>
      <c r="L115" s="342"/>
      <c r="M115" s="325"/>
    </row>
    <row r="116" spans="1:13" x14ac:dyDescent="0.3">
      <c r="A116" s="214">
        <v>12</v>
      </c>
      <c r="B116" s="112">
        <v>25</v>
      </c>
      <c r="C116" s="112" t="s">
        <v>23</v>
      </c>
      <c r="D116" s="104">
        <v>329</v>
      </c>
      <c r="E116" s="215">
        <v>325</v>
      </c>
      <c r="F116" s="104">
        <f t="shared" si="20"/>
        <v>341</v>
      </c>
      <c r="G116" s="215">
        <v>345</v>
      </c>
      <c r="H116" s="105">
        <f t="shared" si="21"/>
        <v>0.48507462686567165</v>
      </c>
      <c r="I116" s="251"/>
      <c r="J116" s="325"/>
      <c r="K116" s="342"/>
      <c r="L116" s="342"/>
      <c r="M116" s="325"/>
    </row>
    <row r="117" spans="1:13" x14ac:dyDescent="0.3">
      <c r="A117" s="214">
        <v>13</v>
      </c>
      <c r="B117" s="112">
        <v>11</v>
      </c>
      <c r="C117" s="112" t="s">
        <v>24</v>
      </c>
      <c r="D117" s="104">
        <v>0</v>
      </c>
      <c r="E117" s="215">
        <f>'[1]July 2025'!O12+'[1]August,2025'!O12+'[1]Septeber,2025'!O12+'[1]October,2025'!O12+'[1]November,2025'!O12+'[1]December 2025'!O12+'[1]January,2026'!O11+'[1]February,2025'!O12+'[1]March,2026'!O12</f>
        <v>0</v>
      </c>
      <c r="F117" s="104">
        <f t="shared" si="20"/>
        <v>0</v>
      </c>
      <c r="G117" s="215">
        <v>0</v>
      </c>
      <c r="H117" s="105" t="e">
        <f t="shared" si="21"/>
        <v>#DIV/0!</v>
      </c>
      <c r="I117" s="247"/>
      <c r="J117" s="325"/>
      <c r="K117" s="342"/>
      <c r="L117" s="342"/>
      <c r="M117" s="325"/>
    </row>
    <row r="118" spans="1:13" x14ac:dyDescent="0.3">
      <c r="A118" s="218"/>
      <c r="B118" s="206">
        <f>SUM(B105:B117)</f>
        <v>422</v>
      </c>
      <c r="C118" s="207" t="s">
        <v>30</v>
      </c>
      <c r="D118" s="219">
        <f>SUM(D105:D117)</f>
        <v>3583</v>
      </c>
      <c r="E118" s="219">
        <f t="shared" ref="E118:G118" si="22">SUM(E105:E117)</f>
        <v>3527</v>
      </c>
      <c r="F118" s="219">
        <f t="shared" si="22"/>
        <v>7280</v>
      </c>
      <c r="G118" s="219">
        <f t="shared" si="22"/>
        <v>7336</v>
      </c>
      <c r="H118" s="220">
        <f t="shared" ref="H118" si="23">E118/(D118+F118)</f>
        <v>0.32468010678449782</v>
      </c>
      <c r="I118" s="212">
        <f>D118+F118</f>
        <v>10863</v>
      </c>
      <c r="J118" s="212">
        <f>E118</f>
        <v>3527</v>
      </c>
      <c r="L118" s="212">
        <f>SUM(L105:L117)</f>
        <v>0</v>
      </c>
    </row>
    <row r="119" spans="1:13" x14ac:dyDescent="0.3">
      <c r="J119" s="321"/>
      <c r="L119" s="212"/>
    </row>
    <row r="120" spans="1:13" x14ac:dyDescent="0.3">
      <c r="B120" s="449" t="s">
        <v>120</v>
      </c>
      <c r="C120" s="449"/>
      <c r="D120" s="449"/>
      <c r="E120" s="449"/>
      <c r="F120" s="449"/>
    </row>
    <row r="121" spans="1:13" ht="52.8" x14ac:dyDescent="0.3">
      <c r="B121" s="343" t="s">
        <v>3</v>
      </c>
      <c r="C121" s="344" t="s">
        <v>121</v>
      </c>
      <c r="D121" s="345" t="s">
        <v>122</v>
      </c>
      <c r="E121" s="345" t="s">
        <v>123</v>
      </c>
      <c r="F121" s="345" t="s">
        <v>119</v>
      </c>
      <c r="H121" s="212"/>
    </row>
    <row r="122" spans="1:13" x14ac:dyDescent="0.3">
      <c r="B122" s="343"/>
      <c r="C122" s="344"/>
      <c r="D122" s="345"/>
      <c r="E122" s="344"/>
      <c r="F122" s="344"/>
    </row>
    <row r="123" spans="1:13" x14ac:dyDescent="0.3">
      <c r="B123" s="113" t="s">
        <v>25</v>
      </c>
      <c r="C123" s="346">
        <v>157</v>
      </c>
      <c r="D123" s="347">
        <v>7385</v>
      </c>
      <c r="E123" s="348">
        <v>0</v>
      </c>
      <c r="F123" s="349">
        <f>C123-E123</f>
        <v>157</v>
      </c>
    </row>
    <row r="124" spans="1:13" x14ac:dyDescent="0.3">
      <c r="B124" s="113" t="s">
        <v>54</v>
      </c>
      <c r="C124" s="346">
        <v>0</v>
      </c>
      <c r="D124" s="350">
        <v>0</v>
      </c>
      <c r="E124" s="348">
        <v>0</v>
      </c>
      <c r="F124" s="349">
        <f>C124-E124</f>
        <v>0</v>
      </c>
    </row>
    <row r="125" spans="1:13" x14ac:dyDescent="0.3">
      <c r="B125" s="112" t="s">
        <v>26</v>
      </c>
      <c r="C125" s="346">
        <v>291</v>
      </c>
      <c r="D125" s="347">
        <v>19947.099999999999</v>
      </c>
      <c r="E125" s="348">
        <v>1</v>
      </c>
      <c r="F125" s="349">
        <f t="shared" ref="F125:F135" si="24">C125-E125</f>
        <v>290</v>
      </c>
    </row>
    <row r="126" spans="1:13" x14ac:dyDescent="0.3">
      <c r="B126" s="113" t="s">
        <v>28</v>
      </c>
      <c r="C126" s="346">
        <v>32</v>
      </c>
      <c r="D126" s="347">
        <v>1307.25</v>
      </c>
      <c r="E126" s="348">
        <v>16</v>
      </c>
      <c r="F126" s="349">
        <f t="shared" si="24"/>
        <v>16</v>
      </c>
    </row>
    <row r="127" spans="1:13" x14ac:dyDescent="0.3">
      <c r="B127" s="113" t="s">
        <v>22</v>
      </c>
      <c r="C127" s="346">
        <v>0</v>
      </c>
      <c r="D127" s="346">
        <v>0</v>
      </c>
      <c r="E127" s="348">
        <v>0</v>
      </c>
      <c r="F127" s="349">
        <f t="shared" si="24"/>
        <v>0</v>
      </c>
    </row>
    <row r="128" spans="1:13" x14ac:dyDescent="0.3">
      <c r="B128" s="104" t="s">
        <v>18</v>
      </c>
      <c r="C128" s="346">
        <v>113</v>
      </c>
      <c r="D128" s="347">
        <v>7767.74</v>
      </c>
      <c r="E128" s="348">
        <v>49</v>
      </c>
      <c r="F128" s="349">
        <f t="shared" si="24"/>
        <v>64</v>
      </c>
    </row>
    <row r="129" spans="2:6" x14ac:dyDescent="0.3">
      <c r="B129" s="113" t="s">
        <v>27</v>
      </c>
      <c r="C129" s="346">
        <v>21</v>
      </c>
      <c r="D129" s="347">
        <v>3570</v>
      </c>
      <c r="E129" s="348">
        <v>0</v>
      </c>
      <c r="F129" s="349">
        <f t="shared" si="24"/>
        <v>21</v>
      </c>
    </row>
    <row r="130" spans="2:6" x14ac:dyDescent="0.3">
      <c r="B130" s="104" t="s">
        <v>29</v>
      </c>
      <c r="C130" s="350">
        <v>193</v>
      </c>
      <c r="D130" s="347">
        <v>10175.56</v>
      </c>
      <c r="E130" s="348">
        <v>13</v>
      </c>
      <c r="F130" s="349">
        <f t="shared" si="24"/>
        <v>180</v>
      </c>
    </row>
    <row r="131" spans="2:6" x14ac:dyDescent="0.3">
      <c r="B131" s="104" t="s">
        <v>19</v>
      </c>
      <c r="C131" s="351">
        <v>3440</v>
      </c>
      <c r="D131" s="347">
        <v>159532.45000000001</v>
      </c>
      <c r="E131" s="348">
        <v>2943</v>
      </c>
      <c r="F131" s="349">
        <f t="shared" si="24"/>
        <v>497</v>
      </c>
    </row>
    <row r="132" spans="2:6" x14ac:dyDescent="0.3">
      <c r="B132" s="112" t="s">
        <v>20</v>
      </c>
      <c r="C132" s="347">
        <v>1144</v>
      </c>
      <c r="D132" s="351">
        <v>50937.25</v>
      </c>
      <c r="E132" s="348">
        <v>1159</v>
      </c>
      <c r="F132" s="349">
        <f t="shared" si="24"/>
        <v>-15</v>
      </c>
    </row>
    <row r="133" spans="2:6" x14ac:dyDescent="0.3">
      <c r="B133" s="104" t="s">
        <v>21</v>
      </c>
      <c r="C133" s="347">
        <v>4075</v>
      </c>
      <c r="D133" s="351">
        <v>178485</v>
      </c>
      <c r="E133" s="348">
        <v>2810</v>
      </c>
      <c r="F133" s="349">
        <f t="shared" si="24"/>
        <v>1265</v>
      </c>
    </row>
    <row r="134" spans="2:6" x14ac:dyDescent="0.3">
      <c r="B134" s="112" t="s">
        <v>23</v>
      </c>
      <c r="C134" s="346">
        <v>337</v>
      </c>
      <c r="D134" s="347">
        <v>14299.5</v>
      </c>
      <c r="E134" s="348">
        <v>345</v>
      </c>
      <c r="F134" s="349">
        <f t="shared" si="24"/>
        <v>-8</v>
      </c>
    </row>
    <row r="135" spans="2:6" x14ac:dyDescent="0.3">
      <c r="B135" s="112" t="s">
        <v>24</v>
      </c>
      <c r="C135" s="346"/>
      <c r="D135" s="346"/>
      <c r="E135" s="348">
        <v>0</v>
      </c>
      <c r="F135" s="349">
        <f t="shared" si="24"/>
        <v>0</v>
      </c>
    </row>
    <row r="136" spans="2:6" x14ac:dyDescent="0.3">
      <c r="B136" s="352" t="s">
        <v>30</v>
      </c>
      <c r="C136" s="353">
        <f>SUM(C123:C135)</f>
        <v>9803</v>
      </c>
      <c r="D136" s="353">
        <f t="shared" ref="D136:F136" si="25">SUM(D123:D135)</f>
        <v>453406.85</v>
      </c>
      <c r="E136" s="353">
        <f t="shared" si="25"/>
        <v>7336</v>
      </c>
      <c r="F136" s="353">
        <f t="shared" si="25"/>
        <v>2467</v>
      </c>
    </row>
  </sheetData>
  <sortState ref="B105:H117">
    <sortCondition descending="1" ref="H105:H117"/>
  </sortState>
  <mergeCells count="41">
    <mergeCell ref="A62:H62"/>
    <mergeCell ref="A43:H43"/>
    <mergeCell ref="A44:A46"/>
    <mergeCell ref="B44:B46"/>
    <mergeCell ref="C44:C46"/>
    <mergeCell ref="D44:G45"/>
    <mergeCell ref="H44:H46"/>
    <mergeCell ref="A22:L22"/>
    <mergeCell ref="A23:A25"/>
    <mergeCell ref="B23:B25"/>
    <mergeCell ref="C23:C25"/>
    <mergeCell ref="D23:K23"/>
    <mergeCell ref="L23:L25"/>
    <mergeCell ref="D24:G24"/>
    <mergeCell ref="H24:K24"/>
    <mergeCell ref="B63:B65"/>
    <mergeCell ref="C63:C65"/>
    <mergeCell ref="D63:G64"/>
    <mergeCell ref="H63:H65"/>
    <mergeCell ref="B120:F120"/>
    <mergeCell ref="A1:J1"/>
    <mergeCell ref="A2:J2"/>
    <mergeCell ref="A3:J3"/>
    <mergeCell ref="A100:H100"/>
    <mergeCell ref="A101:A102"/>
    <mergeCell ref="B101:B103"/>
    <mergeCell ref="C101:C103"/>
    <mergeCell ref="D101:G102"/>
    <mergeCell ref="H101:H103"/>
    <mergeCell ref="A81:H81"/>
    <mergeCell ref="A82:A84"/>
    <mergeCell ref="B82:B84"/>
    <mergeCell ref="C82:C84"/>
    <mergeCell ref="D82:G83"/>
    <mergeCell ref="H82:H84"/>
    <mergeCell ref="A63:A65"/>
    <mergeCell ref="A4:A5"/>
    <mergeCell ref="B4:B5"/>
    <mergeCell ref="C4:C5"/>
    <mergeCell ref="D4:E5"/>
    <mergeCell ref="F4:H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workbookViewId="0">
      <selection activeCell="D4" sqref="D4:E5"/>
    </sheetView>
  </sheetViews>
  <sheetFormatPr defaultRowHeight="14.4" x14ac:dyDescent="0.3"/>
  <cols>
    <col min="1" max="1" width="4.6640625" customWidth="1"/>
    <col min="2" max="2" width="12.44140625" customWidth="1"/>
    <col min="3" max="3" width="12.88671875" customWidth="1"/>
    <col min="4" max="4" width="16" bestFit="1" customWidth="1"/>
    <col min="5" max="5" width="18.33203125" bestFit="1" customWidth="1"/>
    <col min="6" max="7" width="16" bestFit="1" customWidth="1"/>
    <col min="8" max="8" width="11" bestFit="1" customWidth="1"/>
    <col min="9" max="9" width="14.6640625" bestFit="1" customWidth="1"/>
    <col min="10" max="10" width="14.33203125" bestFit="1" customWidth="1"/>
    <col min="11" max="11" width="15.88671875" customWidth="1"/>
    <col min="12" max="12" width="17.33203125" bestFit="1" customWidth="1"/>
  </cols>
  <sheetData>
    <row r="1" spans="1:12" ht="17.399999999999999" x14ac:dyDescent="0.3">
      <c r="A1" s="441" t="s">
        <v>100</v>
      </c>
      <c r="B1" s="441"/>
      <c r="C1" s="441"/>
      <c r="D1" s="441"/>
      <c r="E1" s="441"/>
      <c r="F1" s="441"/>
      <c r="G1" s="441"/>
      <c r="H1" s="441"/>
      <c r="I1" s="101"/>
      <c r="J1" s="101"/>
      <c r="K1" s="101"/>
      <c r="L1" s="101"/>
    </row>
    <row r="2" spans="1:12" ht="17.399999999999999" x14ac:dyDescent="0.3">
      <c r="A2" s="441" t="s">
        <v>127</v>
      </c>
      <c r="B2" s="441"/>
      <c r="C2" s="441"/>
      <c r="D2" s="441"/>
      <c r="E2" s="441"/>
      <c r="F2" s="441"/>
      <c r="G2" s="441"/>
      <c r="H2" s="441"/>
      <c r="I2" s="101"/>
      <c r="J2" s="101"/>
      <c r="K2" s="101"/>
      <c r="L2" s="101"/>
    </row>
    <row r="3" spans="1:12" ht="17.399999999999999" x14ac:dyDescent="0.3">
      <c r="A3" s="434" t="s">
        <v>101</v>
      </c>
      <c r="B3" s="434"/>
      <c r="C3" s="434"/>
      <c r="D3" s="434"/>
      <c r="E3" s="434"/>
      <c r="F3" s="434"/>
      <c r="G3" s="434"/>
      <c r="H3" s="434"/>
      <c r="I3" s="236"/>
      <c r="J3" s="235"/>
      <c r="K3" s="235"/>
      <c r="L3" s="235"/>
    </row>
    <row r="4" spans="1:12" ht="18" customHeight="1" x14ac:dyDescent="0.3">
      <c r="A4" s="432" t="s">
        <v>1</v>
      </c>
      <c r="B4" s="436" t="s">
        <v>2</v>
      </c>
      <c r="C4" s="432" t="s">
        <v>3</v>
      </c>
      <c r="D4" s="437" t="s">
        <v>137</v>
      </c>
      <c r="E4" s="437"/>
      <c r="F4" s="438" t="s">
        <v>6</v>
      </c>
      <c r="G4" s="439"/>
      <c r="H4" s="440"/>
      <c r="I4" s="235"/>
      <c r="J4" s="235"/>
      <c r="K4" s="235"/>
      <c r="L4" s="235"/>
    </row>
    <row r="5" spans="1:12" ht="39.6" x14ac:dyDescent="0.3">
      <c r="A5" s="432"/>
      <c r="B5" s="436"/>
      <c r="C5" s="432"/>
      <c r="D5" s="437"/>
      <c r="E5" s="437"/>
      <c r="F5" s="234" t="s">
        <v>69</v>
      </c>
      <c r="G5" s="233" t="s">
        <v>10</v>
      </c>
      <c r="H5" s="234" t="s">
        <v>102</v>
      </c>
      <c r="I5" s="235"/>
      <c r="J5" s="235"/>
      <c r="K5" s="235"/>
      <c r="L5" s="235"/>
    </row>
    <row r="6" spans="1:12" ht="17.399999999999999" x14ac:dyDescent="0.3">
      <c r="A6" s="98"/>
      <c r="B6" s="98" t="s">
        <v>12</v>
      </c>
      <c r="C6" s="98" t="s">
        <v>13</v>
      </c>
      <c r="D6" s="97" t="s">
        <v>9</v>
      </c>
      <c r="E6" s="97" t="s">
        <v>10</v>
      </c>
      <c r="F6" s="98" t="s">
        <v>16</v>
      </c>
      <c r="G6" s="98" t="s">
        <v>17</v>
      </c>
      <c r="H6" s="99" t="s">
        <v>64</v>
      </c>
      <c r="I6" s="235"/>
      <c r="J6" s="235"/>
      <c r="K6" s="235"/>
      <c r="L6" s="235"/>
    </row>
    <row r="7" spans="1:12" ht="17.399999999999999" x14ac:dyDescent="0.3">
      <c r="A7" s="49">
        <v>1</v>
      </c>
      <c r="B7" s="41">
        <v>25</v>
      </c>
      <c r="C7" s="41" t="s">
        <v>23</v>
      </c>
      <c r="D7" s="40">
        <f>'executive summary-edited'!D13+'executive summary-edited'!D33+'executive summary-edited'!F33+'executive summary-edited'!H33+'executive summary-edited'!J33+'executive summary-edited'!D58+'executive summary-edited'!F58+'executive summary-edited'!D75+'executive summary-edited'!F75+'executive summary-edited'!D88+'executive summary-edited'!F88+'executive summary-edited'!D116+'executive summary-edited'!F116</f>
        <v>138027</v>
      </c>
      <c r="E7" s="40">
        <f>'executive summary-edited'!E13+'executive summary-edited'!E33+'executive summary-edited'!I33+'executive summary-edited'!E58+'executive summary-edited'!E75+'executive summary-edited'!E88+'executive summary-edited'!E116</f>
        <v>102378</v>
      </c>
      <c r="F7" s="104">
        <f t="shared" ref="F7:F19" si="0">D7-E7</f>
        <v>35649</v>
      </c>
      <c r="G7" s="104">
        <f>E7</f>
        <v>102378</v>
      </c>
      <c r="H7" s="96">
        <f t="shared" ref="H7:H19" si="1">E7/D7</f>
        <v>0.74172444521724012</v>
      </c>
      <c r="I7" s="235"/>
      <c r="J7" s="235"/>
      <c r="K7" s="235"/>
      <c r="L7" s="235"/>
    </row>
    <row r="8" spans="1:12" ht="17.399999999999999" x14ac:dyDescent="0.3">
      <c r="A8" s="49">
        <v>2</v>
      </c>
      <c r="B8" s="1">
        <v>49</v>
      </c>
      <c r="C8" s="1" t="s">
        <v>18</v>
      </c>
      <c r="D8" s="40">
        <f>'executive summary-edited'!D14+'executive summary-edited'!D28+'executive summary-edited'!F28+'executive summary-edited'!H28+'executive summary-edited'!J28+'executive summary-edited'!D51+'executive summary-edited'!F51+'executive summary-edited'!D73+'executive summary-edited'!F73+'executive summary-edited'!D91+'executive summary-edited'!F91+'executive summary-edited'!D110+'executive summary-edited'!F110</f>
        <v>445291</v>
      </c>
      <c r="E8" s="40">
        <f>'executive summary-edited'!E14+'executive summary-edited'!E28+'executive summary-edited'!I28+'executive summary-edited'!E51+'executive summary-edited'!E73+'executive summary-edited'!E91+'executive summary-edited'!E110</f>
        <v>323846</v>
      </c>
      <c r="F8" s="104">
        <f t="shared" si="0"/>
        <v>121445</v>
      </c>
      <c r="G8" s="104">
        <f t="shared" ref="G8:G19" si="2">E8</f>
        <v>323846</v>
      </c>
      <c r="H8" s="96">
        <f t="shared" si="1"/>
        <v>0.72726823582780697</v>
      </c>
      <c r="I8" s="235"/>
      <c r="J8" s="235"/>
      <c r="K8" s="235"/>
      <c r="L8" s="235"/>
    </row>
    <row r="9" spans="1:12" ht="17.399999999999999" x14ac:dyDescent="0.3">
      <c r="A9" s="49">
        <v>3</v>
      </c>
      <c r="B9" s="237">
        <v>7</v>
      </c>
      <c r="C9" s="40" t="s">
        <v>29</v>
      </c>
      <c r="D9" s="40">
        <f>'executive summary-edited'!D12+'executive summary-edited'!D30+'executive summary-edited'!F30+'executive summary-edited'!H30+'executive summary-edited'!J30+'executive summary-edited'!D52+'executive summary-edited'!F52+'executive summary-edited'!D67+'executive summary-edited'!F67+'executive summary-edited'!D95+'executive summary-edited'!F95+'executive summary-edited'!D112+'executive summary-edited'!F112</f>
        <v>19848</v>
      </c>
      <c r="E9" s="40">
        <f>'executive summary-edited'!E12+'executive summary-edited'!E30+'executive summary-edited'!I30+'executive summary-edited'!E52+'executive summary-edited'!E67+'executive summary-edited'!E95+'executive summary-edited'!E112</f>
        <v>11981</v>
      </c>
      <c r="F9" s="104">
        <f t="shared" si="0"/>
        <v>7867</v>
      </c>
      <c r="G9" s="104">
        <f t="shared" si="2"/>
        <v>11981</v>
      </c>
      <c r="H9" s="96">
        <f t="shared" si="1"/>
        <v>0.60363764611043935</v>
      </c>
      <c r="I9" s="235"/>
      <c r="J9" s="235"/>
      <c r="K9" s="235"/>
      <c r="L9" s="235"/>
    </row>
    <row r="10" spans="1:12" ht="17.399999999999999" x14ac:dyDescent="0.3">
      <c r="A10" s="49">
        <v>4</v>
      </c>
      <c r="B10" s="3">
        <v>11</v>
      </c>
      <c r="C10" s="3" t="s">
        <v>24</v>
      </c>
      <c r="D10" s="40">
        <f>'executive summary-edited'!D15+'executive summary-edited'!D31+'executive summary-edited'!F31+'executive summary-edited'!H31+'executive summary-edited'!J31+'executive summary-edited'!D60+'executive summary-edited'!F60+'executive summary-edited'!D78+'executive summary-edited'!F78+'executive summary-edited'!D89+'executive summary-edited'!F89+'executive summary-edited'!D117+'executive summary-edited'!F117</f>
        <v>76076</v>
      </c>
      <c r="E10" s="3">
        <f>'executive summary-edited'!E15+'executive summary-edited'!E31+'executive summary-edited'!I31+'executive summary-edited'!E60+'executive summary-edited'!E78+'executive summary-edited'!E89+'executive summary-edited'!E117</f>
        <v>53870</v>
      </c>
      <c r="F10" s="104">
        <f t="shared" si="0"/>
        <v>22206</v>
      </c>
      <c r="G10" s="104">
        <f t="shared" si="2"/>
        <v>53870</v>
      </c>
      <c r="H10" s="96">
        <f t="shared" si="1"/>
        <v>0.70810768179189232</v>
      </c>
      <c r="I10" s="235"/>
      <c r="J10" s="235"/>
      <c r="K10" s="235"/>
      <c r="L10" s="235"/>
    </row>
    <row r="11" spans="1:12" ht="17.399999999999999" x14ac:dyDescent="0.3">
      <c r="A11" s="49">
        <v>5</v>
      </c>
      <c r="B11" s="3">
        <v>39</v>
      </c>
      <c r="C11" s="3" t="s">
        <v>26</v>
      </c>
      <c r="D11" s="40">
        <f>'executive summary-edited'!D16+'executive summary-edited'!D38+'executive summary-edited'!F38+'executive summary-edited'!H38+'executive summary-edited'!J38+'executive summary-edited'!D56+'executive summary-edited'!F56+'executive summary-edited'!D69+'executive summary-edited'!F69+'executive summary-edited'!D87+'executive summary-edited'!F87+'executive summary-edited'!D107+'executive summary-edited'!F107</f>
        <v>125016</v>
      </c>
      <c r="E11" s="5">
        <f>'executive summary-edited'!E16+'executive summary-edited'!E38+'executive summary-edited'!I38+'executive summary-edited'!E56+'executive summary-edited'!E69+'executive summary-edited'!E87+'executive summary-edited'!E107</f>
        <v>72168</v>
      </c>
      <c r="F11" s="104">
        <f t="shared" si="0"/>
        <v>52848</v>
      </c>
      <c r="G11" s="104">
        <f t="shared" si="2"/>
        <v>72168</v>
      </c>
      <c r="H11" s="96">
        <f t="shared" si="1"/>
        <v>0.57727010942599344</v>
      </c>
      <c r="I11" s="235"/>
      <c r="J11" s="235"/>
      <c r="K11" s="235"/>
      <c r="L11" s="235"/>
    </row>
    <row r="12" spans="1:12" ht="17.399999999999999" x14ac:dyDescent="0.3">
      <c r="A12" s="49">
        <v>6</v>
      </c>
      <c r="B12" s="5">
        <v>42</v>
      </c>
      <c r="C12" s="1" t="s">
        <v>19</v>
      </c>
      <c r="D12" s="40">
        <f>'executive summary-edited'!D10+'executive summary-edited'!D29+'executive summary-edited'!F29+'executive summary-edited'!H29+'executive summary-edited'!J29+'executive summary-edited'!D57+'executive summary-edited'!F57+'executive summary-edited'!D76+'executive summary-edited'!F76+'executive summary-edited'!D90+'executive summary-edited'!F90+'executive summary-edited'!D113+'executive summary-edited'!F113</f>
        <v>142572</v>
      </c>
      <c r="E12" s="1">
        <f>'executive summary-edited'!E10+'executive summary-edited'!E29+'executive summary-edited'!I29+'executive summary-edited'!E57+'executive summary-edited'!E76+'executive summary-edited'!E90+'executive summary-edited'!E113</f>
        <v>83502</v>
      </c>
      <c r="F12" s="104">
        <f t="shared" si="0"/>
        <v>59070</v>
      </c>
      <c r="G12" s="104">
        <f t="shared" si="2"/>
        <v>83502</v>
      </c>
      <c r="H12" s="96">
        <f t="shared" si="1"/>
        <v>0.58568302331453581</v>
      </c>
      <c r="I12" s="235"/>
      <c r="J12" s="235"/>
      <c r="K12" s="235"/>
      <c r="L12" s="235"/>
    </row>
    <row r="13" spans="1:12" ht="17.399999999999999" x14ac:dyDescent="0.3">
      <c r="A13" s="49">
        <v>7</v>
      </c>
      <c r="B13" s="3">
        <v>17</v>
      </c>
      <c r="C13" s="42" t="s">
        <v>25</v>
      </c>
      <c r="D13" s="40">
        <f>'executive summary-edited'!D11+'executive summary-edited'!D32+'executive summary-edited'!F32+'executive summary-edited'!H32+'executive summary-edited'!J32+'executive summary-edited'!D49+'executive summary-edited'!F49+'executive summary-edited'!D74+'executive summary-edited'!F74+'executive summary-edited'!D92+'executive summary-edited'!F92+'executive summary-edited'!D105+'executive summary-edited'!F105</f>
        <v>72929</v>
      </c>
      <c r="E13" s="43">
        <f>'executive summary-edited'!E11+'executive summary-edited'!E32+'executive summary-edited'!I32+'executive summary-edited'!E49+'executive summary-edited'!E74+'executive summary-edited'!E92+'executive summary-edited'!E105</f>
        <v>37987</v>
      </c>
      <c r="F13" s="104">
        <f t="shared" si="0"/>
        <v>34942</v>
      </c>
      <c r="G13" s="104">
        <f t="shared" si="2"/>
        <v>37987</v>
      </c>
      <c r="H13" s="96">
        <f t="shared" si="1"/>
        <v>0.5208764688944042</v>
      </c>
      <c r="I13" s="235"/>
      <c r="J13" s="235"/>
      <c r="K13" s="235"/>
      <c r="L13" s="235"/>
    </row>
    <row r="14" spans="1:12" ht="17.399999999999999" x14ac:dyDescent="0.3">
      <c r="A14" s="49">
        <v>8</v>
      </c>
      <c r="B14" s="41">
        <v>26</v>
      </c>
      <c r="C14" s="45" t="s">
        <v>54</v>
      </c>
      <c r="D14" s="103">
        <f>'executive summary-edited'!D9+'executive summary-edited'!D34+'executive summary-edited'!F34+'executive summary-edited'!H34+'executive summary-edited'!J34+'executive summary-edited'!D50+'executive summary-edited'!F50+'executive summary-edited'!D77+'executive summary-edited'!F77+'executive summary-edited'!D94+'executive summary-edited'!F94+'executive summary-edited'!D106+'executive summary-edited'!F106</f>
        <v>134909</v>
      </c>
      <c r="E14" s="104">
        <f>'executive summary-edited'!E9+'executive summary-edited'!E34+'executive summary-edited'!I34+'executive summary-edited'!E50+'executive summary-edited'!E77+'executive summary-edited'!E94+'executive summary-edited'!E106</f>
        <v>64024</v>
      </c>
      <c r="F14" s="104">
        <f t="shared" si="0"/>
        <v>70885</v>
      </c>
      <c r="G14" s="104">
        <f t="shared" si="2"/>
        <v>64024</v>
      </c>
      <c r="H14" s="96">
        <f t="shared" si="1"/>
        <v>0.47457174836371185</v>
      </c>
      <c r="I14" s="235"/>
      <c r="J14" s="235"/>
      <c r="K14" s="235"/>
      <c r="L14" s="235"/>
    </row>
    <row r="15" spans="1:12" ht="17.399999999999999" x14ac:dyDescent="0.3">
      <c r="A15" s="49">
        <v>9</v>
      </c>
      <c r="B15" s="3">
        <v>36</v>
      </c>
      <c r="C15" s="42" t="s">
        <v>27</v>
      </c>
      <c r="D15" s="40">
        <f>'executive summary-edited'!D7+'executive summary-edited'!D35+'executive summary-edited'!F35+'executive summary-edited'!H35+'executive summary-edited'!J35+'executive summary-edited'!D55+'executive summary-edited'!F55+'executive summary-edited'!D70+'executive summary-edited'!F70+'executive summary-edited'!D93+'executive summary-edited'!F93+'executive summary-edited'!D111+'executive summary-edited'!F111</f>
        <v>329121</v>
      </c>
      <c r="E15" s="1">
        <f>'executive summary-edited'!E7+'executive summary-edited'!E35+'executive summary-edited'!I35+'executive summary-edited'!E55+'executive summary-edited'!E70+'executive summary-edited'!E93+'executive summary-edited'!E111</f>
        <v>155128</v>
      </c>
      <c r="F15" s="104">
        <f t="shared" si="0"/>
        <v>173993</v>
      </c>
      <c r="G15" s="104">
        <f t="shared" si="2"/>
        <v>155128</v>
      </c>
      <c r="H15" s="96">
        <f t="shared" si="1"/>
        <v>0.47134032772141554</v>
      </c>
      <c r="I15" s="235"/>
      <c r="J15" s="235"/>
      <c r="K15" s="235"/>
      <c r="L15" s="235"/>
    </row>
    <row r="16" spans="1:12" ht="17.399999999999999" x14ac:dyDescent="0.3">
      <c r="A16" s="49">
        <v>10</v>
      </c>
      <c r="B16" s="3">
        <v>33</v>
      </c>
      <c r="C16" s="42" t="s">
        <v>22</v>
      </c>
      <c r="D16" s="40">
        <f>'executive summary-edited'!D8+'executive summary-edited'!D36+'executive summary-edited'!F36+'executive summary-edited'!H36+'executive summary-edited'!J36+'executive summary-edited'!D54+'executive summary-edited'!F54+'executive summary-edited'!D72+'executive summary-edited'!F72+'executive summary-edited'!D97+'executive summary-edited'!F97+'executive summary-edited'!D109+'executive summary-edited'!F109</f>
        <v>157545</v>
      </c>
      <c r="E16" s="43">
        <f>'executive summary-edited'!E8+'executive summary-edited'!E36+'executive summary-edited'!I36+'executive summary-edited'!E54+'executive summary-edited'!E72+'executive summary-edited'!E97+'executive summary-edited'!E109</f>
        <v>44591</v>
      </c>
      <c r="F16" s="104">
        <f t="shared" si="0"/>
        <v>112954</v>
      </c>
      <c r="G16" s="104">
        <f t="shared" si="2"/>
        <v>44591</v>
      </c>
      <c r="H16" s="96">
        <f t="shared" si="1"/>
        <v>0.28303659271954046</v>
      </c>
      <c r="I16" s="235"/>
      <c r="J16" s="235"/>
      <c r="K16" s="235"/>
      <c r="L16" s="235"/>
    </row>
    <row r="17" spans="1:12" ht="17.399999999999999" x14ac:dyDescent="0.3">
      <c r="A17" s="49">
        <v>11</v>
      </c>
      <c r="B17" s="1">
        <v>57</v>
      </c>
      <c r="C17" s="1" t="s">
        <v>21</v>
      </c>
      <c r="D17" s="40">
        <f>'executive summary-edited'!D19+'executive summary-edited'!D39+'executive summary-edited'!F39+'executive summary-edited'!H39+'executive summary-edited'!J39+'executive summary-edited'!D59+'executive summary-edited'!F59+'executive summary-edited'!D71+'executive summary-edited'!F71+'executive summary-edited'!D96+'executive summary-edited'!F96+'executive summary-edited'!D115+'executive summary-edited'!F115</f>
        <v>164564</v>
      </c>
      <c r="E17" s="1">
        <f>'executive summary-edited'!E18+'executive summary-edited'!E39+'executive summary-edited'!I39+'executive summary-edited'!E59+'executive summary-edited'!E71+'executive summary-edited'!E96+'executive summary-edited'!E115</f>
        <v>44146</v>
      </c>
      <c r="F17" s="104">
        <f t="shared" si="0"/>
        <v>120418</v>
      </c>
      <c r="G17" s="104">
        <f t="shared" si="2"/>
        <v>44146</v>
      </c>
      <c r="H17" s="96">
        <f t="shared" si="1"/>
        <v>0.26826037286405291</v>
      </c>
      <c r="I17" s="235"/>
      <c r="J17" s="235"/>
      <c r="K17" s="235"/>
      <c r="L17" s="235"/>
    </row>
    <row r="18" spans="1:12" ht="17.399999999999999" x14ac:dyDescent="0.3">
      <c r="A18" s="49">
        <v>12</v>
      </c>
      <c r="B18" s="3">
        <v>20</v>
      </c>
      <c r="C18" s="42" t="s">
        <v>28</v>
      </c>
      <c r="D18" s="40">
        <f>'executive summary-edited'!D17+'executive summary-edited'!D27+'executive summary-edited'!F27+'executive summary-edited'!H27+'executive summary-edited'!J27+'executive summary-edited'!D48+'executive summary-edited'!F48+'executive summary-edited'!D68+'executive summary-edited'!F68+'executive summary-edited'!D86+'executive summary-edited'!F86+'executive summary-edited'!D108+'executive summary-edited'!F108</f>
        <v>92997</v>
      </c>
      <c r="E18" s="1">
        <f>'executive summary-edited'!E17+'executive summary-edited'!E27+'executive summary-edited'!I27+'executive summary-edited'!E48+'executive summary-edited'!E68+'executive summary-edited'!E86+'executive summary-edited'!E108</f>
        <v>19183</v>
      </c>
      <c r="F18" s="104">
        <f t="shared" si="0"/>
        <v>73814</v>
      </c>
      <c r="G18" s="104">
        <f t="shared" si="2"/>
        <v>19183</v>
      </c>
      <c r="H18" s="96">
        <f t="shared" si="1"/>
        <v>0.20627547125176082</v>
      </c>
      <c r="I18" s="235"/>
      <c r="J18" s="235"/>
      <c r="K18" s="235"/>
      <c r="L18" s="235"/>
    </row>
    <row r="19" spans="1:12" ht="17.399999999999999" x14ac:dyDescent="0.3">
      <c r="A19" s="49">
        <v>13</v>
      </c>
      <c r="B19" s="3">
        <v>58</v>
      </c>
      <c r="C19" s="3" t="s">
        <v>20</v>
      </c>
      <c r="D19" s="40">
        <f>'executive summary-edited'!D18+'executive summary-edited'!D37+'executive summary-edited'!F37+'executive summary-edited'!H37+'executive summary-edited'!J37+'executive summary-edited'!D53+'executive summary-edited'!F53+'executive summary-edited'!D79+'executive summary-edited'!F79+'executive summary-edited'!D98+'executive summary-edited'!F98+'executive summary-edited'!D114+'executive summary-edited'!F114</f>
        <v>230007</v>
      </c>
      <c r="E19" s="3">
        <f>'executive summary-edited'!E18+'executive summary-edited'!E37+'executive summary-edited'!I37+'executive summary-edited'!E53+'executive summary-edited'!E79+'executive summary-edited'!E98+'executive summary-edited'!E114</f>
        <v>24524</v>
      </c>
      <c r="F19" s="104">
        <f t="shared" si="0"/>
        <v>205483</v>
      </c>
      <c r="G19" s="104">
        <f t="shared" si="2"/>
        <v>24524</v>
      </c>
      <c r="H19" s="96">
        <f t="shared" si="1"/>
        <v>0.10662284191350697</v>
      </c>
      <c r="I19" s="235"/>
      <c r="J19" s="235"/>
      <c r="K19" s="235"/>
      <c r="L19" s="235"/>
    </row>
    <row r="20" spans="1:12" ht="17.399999999999999" x14ac:dyDescent="0.3">
      <c r="A20" s="51"/>
      <c r="B20" s="46">
        <f>SUM(B7:B19)</f>
        <v>420</v>
      </c>
      <c r="C20" s="47" t="s">
        <v>30</v>
      </c>
      <c r="D20" s="48">
        <f>SUM(D7:D19)</f>
        <v>2128902</v>
      </c>
      <c r="E20" s="48">
        <f>SUM(E7:E19)</f>
        <v>1037328</v>
      </c>
      <c r="F20" s="48">
        <f>SUM(F7:F19)</f>
        <v>1091574</v>
      </c>
      <c r="G20" s="48">
        <f>SUM(G7:G19)</f>
        <v>1037328</v>
      </c>
      <c r="H20" s="95"/>
      <c r="I20" s="235"/>
      <c r="J20" s="235"/>
      <c r="K20" s="235"/>
      <c r="L20" s="235"/>
    </row>
    <row r="21" spans="1:12" ht="17.399999999999999" x14ac:dyDescent="0.3">
      <c r="A21" s="51"/>
      <c r="B21" s="51"/>
      <c r="C21" s="51"/>
      <c r="D21" s="50"/>
      <c r="E21" s="51"/>
      <c r="F21" s="50">
        <f>F20/D20</f>
        <v>0.5127403703881156</v>
      </c>
      <c r="G21" s="50">
        <f>G20/D20</f>
        <v>0.48725962961188446</v>
      </c>
      <c r="H21" s="95"/>
      <c r="I21" s="235"/>
      <c r="J21" s="235"/>
      <c r="K21" s="235"/>
      <c r="L21" s="235"/>
    </row>
    <row r="22" spans="1:12" x14ac:dyDescent="0.3">
      <c r="E22" s="212">
        <f>'executive summary-edited'!E20+'executive summary-edited'!E40+'executive summary-edited'!I40+'executive summary-edited'!E61+'executive summary-edited'!E80+'executive summary-edited'!E99+'executive summary-edited'!E118</f>
        <v>1036595</v>
      </c>
    </row>
    <row r="23" spans="1:12" x14ac:dyDescent="0.3">
      <c r="D23" s="238">
        <v>2128902</v>
      </c>
      <c r="E23" s="238">
        <v>1036595</v>
      </c>
    </row>
    <row r="24" spans="1:12" x14ac:dyDescent="0.3">
      <c r="D24" s="212">
        <f>D20-D23</f>
        <v>0</v>
      </c>
      <c r="E24" s="212">
        <f>E20-E23</f>
        <v>733</v>
      </c>
    </row>
  </sheetData>
  <sortState ref="B7:H19">
    <sortCondition descending="1" ref="H7:H19"/>
  </sortState>
  <mergeCells count="8">
    <mergeCell ref="A1:H1"/>
    <mergeCell ref="A2:H2"/>
    <mergeCell ref="A3:H3"/>
    <mergeCell ref="A4:A5"/>
    <mergeCell ref="B4:B5"/>
    <mergeCell ref="C4:C5"/>
    <mergeCell ref="D4:E5"/>
    <mergeCell ref="F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opLeftCell="A7" workbookViewId="0">
      <selection activeCell="E23" sqref="E23"/>
    </sheetView>
  </sheetViews>
  <sheetFormatPr defaultRowHeight="14.4" x14ac:dyDescent="0.3"/>
  <cols>
    <col min="1" max="1" width="4.6640625" customWidth="1"/>
    <col min="2" max="2" width="29.33203125" customWidth="1"/>
    <col min="3" max="3" width="16.6640625" bestFit="1" customWidth="1"/>
    <col min="4" max="4" width="18.44140625" bestFit="1" customWidth="1"/>
    <col min="5" max="5" width="18.33203125" customWidth="1"/>
    <col min="6" max="6" width="17.109375" bestFit="1" customWidth="1"/>
    <col min="7" max="7" width="11.6640625" customWidth="1"/>
  </cols>
  <sheetData>
    <row r="1" spans="1:8" ht="17.399999999999999" x14ac:dyDescent="0.3">
      <c r="A1" s="441"/>
      <c r="B1" s="441"/>
      <c r="C1" s="441"/>
      <c r="D1" s="441"/>
      <c r="E1" s="441"/>
      <c r="F1" s="441"/>
    </row>
    <row r="2" spans="1:8" x14ac:dyDescent="0.3">
      <c r="A2" s="453" t="s">
        <v>101</v>
      </c>
      <c r="B2" s="453"/>
      <c r="C2" s="453"/>
      <c r="D2" s="453"/>
      <c r="E2" s="453"/>
      <c r="F2" s="453"/>
      <c r="G2" s="453"/>
      <c r="H2" s="453"/>
    </row>
    <row r="3" spans="1:8" x14ac:dyDescent="0.3">
      <c r="A3" s="434" t="s">
        <v>136</v>
      </c>
      <c r="B3" s="434"/>
      <c r="C3" s="434"/>
      <c r="D3" s="434"/>
      <c r="E3" s="434"/>
      <c r="F3" s="434"/>
      <c r="G3" s="434"/>
      <c r="H3" s="434"/>
    </row>
    <row r="4" spans="1:8" x14ac:dyDescent="0.3">
      <c r="A4" s="454" t="s">
        <v>1</v>
      </c>
      <c r="B4" s="454" t="s">
        <v>38</v>
      </c>
      <c r="C4" s="436" t="s">
        <v>9</v>
      </c>
      <c r="D4" s="436" t="s">
        <v>10</v>
      </c>
      <c r="E4" s="436" t="s">
        <v>69</v>
      </c>
      <c r="F4" s="436" t="s">
        <v>103</v>
      </c>
      <c r="G4" s="436" t="s">
        <v>104</v>
      </c>
      <c r="H4" s="436" t="s">
        <v>110</v>
      </c>
    </row>
    <row r="5" spans="1:8" ht="24.75" customHeight="1" x14ac:dyDescent="0.3">
      <c r="A5" s="455"/>
      <c r="B5" s="455"/>
      <c r="C5" s="436"/>
      <c r="D5" s="436"/>
      <c r="E5" s="436"/>
      <c r="F5" s="436"/>
      <c r="G5" s="436"/>
      <c r="H5" s="436"/>
    </row>
    <row r="6" spans="1:8" x14ac:dyDescent="0.3">
      <c r="A6" s="239">
        <v>1</v>
      </c>
      <c r="B6" s="3" t="s">
        <v>44</v>
      </c>
      <c r="C6" s="48">
        <v>123788</v>
      </c>
      <c r="D6" s="240">
        <v>110220</v>
      </c>
      <c r="E6" s="202">
        <f>C6-D6</f>
        <v>13568</v>
      </c>
      <c r="F6" s="205" t="s">
        <v>130</v>
      </c>
      <c r="G6" s="241">
        <v>0.89</v>
      </c>
      <c r="H6" s="248">
        <v>0.88</v>
      </c>
    </row>
    <row r="7" spans="1:8" ht="43.5" customHeight="1" x14ac:dyDescent="0.3">
      <c r="A7" s="239">
        <v>2</v>
      </c>
      <c r="B7" s="5" t="s">
        <v>105</v>
      </c>
      <c r="C7" s="240">
        <v>341278</v>
      </c>
      <c r="D7" s="240">
        <v>82902</v>
      </c>
      <c r="E7" s="202">
        <f t="shared" ref="E7:E11" si="0">C7-D7</f>
        <v>258376</v>
      </c>
      <c r="F7" s="205" t="s">
        <v>132</v>
      </c>
      <c r="G7" s="241">
        <v>0.24</v>
      </c>
      <c r="H7" s="248">
        <v>0.25</v>
      </c>
    </row>
    <row r="8" spans="1:8" ht="15" customHeight="1" x14ac:dyDescent="0.3">
      <c r="A8" s="239">
        <v>3</v>
      </c>
      <c r="B8" s="242" t="s">
        <v>106</v>
      </c>
      <c r="C8" s="243">
        <v>6040</v>
      </c>
      <c r="D8" s="243">
        <v>4947</v>
      </c>
      <c r="E8" s="202">
        <f t="shared" si="0"/>
        <v>1093</v>
      </c>
      <c r="F8" s="205" t="s">
        <v>117</v>
      </c>
      <c r="G8" s="241">
        <v>0.82</v>
      </c>
      <c r="H8" s="248">
        <v>0.83</v>
      </c>
    </row>
    <row r="9" spans="1:8" x14ac:dyDescent="0.3">
      <c r="A9" s="239">
        <v>4</v>
      </c>
      <c r="B9" s="244" t="s">
        <v>107</v>
      </c>
      <c r="C9" s="243">
        <v>111742</v>
      </c>
      <c r="D9" s="243">
        <v>81864</v>
      </c>
      <c r="E9" s="202">
        <f t="shared" si="0"/>
        <v>29878</v>
      </c>
      <c r="F9" s="205" t="s">
        <v>133</v>
      </c>
      <c r="G9" s="241">
        <v>0.73</v>
      </c>
      <c r="H9" s="248">
        <v>0.76</v>
      </c>
    </row>
    <row r="10" spans="1:8" x14ac:dyDescent="0.3">
      <c r="A10" s="239">
        <v>5</v>
      </c>
      <c r="B10" s="242" t="s">
        <v>108</v>
      </c>
      <c r="C10" s="243">
        <v>1535191</v>
      </c>
      <c r="D10" s="243">
        <v>753135</v>
      </c>
      <c r="E10" s="202">
        <f t="shared" si="0"/>
        <v>782056</v>
      </c>
      <c r="F10" s="205" t="s">
        <v>134</v>
      </c>
      <c r="G10" s="241">
        <v>0.49</v>
      </c>
      <c r="H10" s="248">
        <v>0.54</v>
      </c>
    </row>
    <row r="11" spans="1:8" ht="28.2" x14ac:dyDescent="0.3">
      <c r="A11" s="239">
        <v>6</v>
      </c>
      <c r="B11" s="5" t="s">
        <v>109</v>
      </c>
      <c r="C11" s="240">
        <v>10863</v>
      </c>
      <c r="D11" s="245">
        <v>3527</v>
      </c>
      <c r="E11" s="202">
        <f t="shared" si="0"/>
        <v>7336</v>
      </c>
      <c r="F11" s="205" t="s">
        <v>135</v>
      </c>
      <c r="G11" s="241">
        <v>0.32</v>
      </c>
      <c r="H11" s="248">
        <v>0.31</v>
      </c>
    </row>
    <row r="12" spans="1:8" x14ac:dyDescent="0.3">
      <c r="A12" s="51"/>
      <c r="B12" s="246" t="s">
        <v>30</v>
      </c>
      <c r="C12" s="379">
        <f>SUM(C6:C11)</f>
        <v>2128902</v>
      </c>
      <c r="D12" s="379">
        <f>SUM(D6:D11)</f>
        <v>1036595</v>
      </c>
      <c r="E12" s="380">
        <f>C12-D12</f>
        <v>1092307</v>
      </c>
      <c r="F12" s="379">
        <f t="shared" ref="F12" si="1">SUM(F6:F11)</f>
        <v>0</v>
      </c>
      <c r="G12" s="381">
        <f>D12/C12</f>
        <v>0.48691532066764931</v>
      </c>
      <c r="H12" s="220"/>
    </row>
    <row r="13" spans="1:8" x14ac:dyDescent="0.3">
      <c r="A13" s="51"/>
      <c r="B13" s="51"/>
      <c r="C13" s="50"/>
      <c r="D13" s="50">
        <f>D12/C12</f>
        <v>0.48691532066764931</v>
      </c>
      <c r="E13" s="50"/>
      <c r="F13" s="205"/>
      <c r="G13" s="218"/>
      <c r="H13" s="248"/>
    </row>
    <row r="14" spans="1:8" x14ac:dyDescent="0.3">
      <c r="D14" s="212"/>
      <c r="E14" s="212"/>
    </row>
  </sheetData>
  <mergeCells count="11">
    <mergeCell ref="H4:H5"/>
    <mergeCell ref="A2:H2"/>
    <mergeCell ref="A3:H3"/>
    <mergeCell ref="G4:G5"/>
    <mergeCell ref="A1:F1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selection activeCell="F14" sqref="F14"/>
    </sheetView>
  </sheetViews>
  <sheetFormatPr defaultColWidth="9" defaultRowHeight="14.4" x14ac:dyDescent="0.3"/>
  <cols>
    <col min="1" max="1" width="6.88671875" style="7" customWidth="1"/>
    <col min="2" max="2" width="15.109375" style="7" customWidth="1"/>
    <col min="3" max="3" width="11.33203125" style="7" bestFit="1" customWidth="1"/>
    <col min="4" max="4" width="16" style="7" bestFit="1" customWidth="1"/>
    <col min="5" max="5" width="14.109375" style="7" bestFit="1" customWidth="1"/>
    <col min="6" max="6" width="14" style="7" customWidth="1"/>
    <col min="7" max="7" width="12.33203125" style="7" bestFit="1" customWidth="1"/>
    <col min="8" max="8" width="12.44140625" style="7" customWidth="1"/>
    <col min="9" max="9" width="9.5546875" style="7" bestFit="1" customWidth="1"/>
    <col min="10" max="16384" width="9" style="7"/>
  </cols>
  <sheetData>
    <row r="1" spans="1:9" x14ac:dyDescent="0.3">
      <c r="A1" s="456"/>
      <c r="B1" s="456"/>
      <c r="C1" s="456"/>
      <c r="D1" s="456"/>
      <c r="E1" s="456"/>
      <c r="F1" s="456"/>
      <c r="G1" s="456"/>
    </row>
    <row r="2" spans="1:9" ht="15.6" x14ac:dyDescent="0.3">
      <c r="A2" s="406" t="s">
        <v>118</v>
      </c>
      <c r="B2" s="406"/>
      <c r="C2" s="406"/>
      <c r="D2" s="406"/>
      <c r="E2" s="406"/>
      <c r="F2" s="406"/>
      <c r="G2" s="406"/>
    </row>
    <row r="3" spans="1:9" ht="15.6" x14ac:dyDescent="0.3">
      <c r="A3" s="457" t="s">
        <v>1</v>
      </c>
      <c r="B3" s="457" t="s">
        <v>3</v>
      </c>
      <c r="C3" s="329"/>
      <c r="D3" s="459" t="s">
        <v>32</v>
      </c>
      <c r="E3" s="460" t="s">
        <v>6</v>
      </c>
      <c r="F3" s="461"/>
      <c r="G3" s="462"/>
    </row>
    <row r="4" spans="1:9" ht="30.6" x14ac:dyDescent="0.3">
      <c r="A4" s="458"/>
      <c r="B4" s="458"/>
      <c r="C4" s="330" t="s">
        <v>70</v>
      </c>
      <c r="D4" s="459"/>
      <c r="E4" s="331" t="s">
        <v>9</v>
      </c>
      <c r="F4" s="331" t="s">
        <v>10</v>
      </c>
      <c r="G4" s="332" t="s">
        <v>11</v>
      </c>
    </row>
    <row r="5" spans="1:9" ht="15.6" x14ac:dyDescent="0.3">
      <c r="A5" s="330"/>
      <c r="B5" s="331" t="s">
        <v>12</v>
      </c>
      <c r="C5" s="331" t="s">
        <v>13</v>
      </c>
      <c r="D5" s="333" t="s">
        <v>46</v>
      </c>
      <c r="E5" s="334" t="s">
        <v>14</v>
      </c>
      <c r="F5" s="329" t="s">
        <v>16</v>
      </c>
      <c r="G5" s="329" t="s">
        <v>17</v>
      </c>
    </row>
    <row r="6" spans="1:9" ht="15.6" x14ac:dyDescent="0.3">
      <c r="A6" s="335">
        <v>1</v>
      </c>
      <c r="B6" s="119" t="s">
        <v>27</v>
      </c>
      <c r="C6" s="364">
        <v>46204</v>
      </c>
      <c r="D6" s="111">
        <v>234</v>
      </c>
      <c r="E6" s="107">
        <f t="shared" ref="E6:E18" si="0">D6-F6</f>
        <v>28</v>
      </c>
      <c r="F6" s="336">
        <v>206</v>
      </c>
      <c r="G6" s="337">
        <f t="shared" ref="G6:G18" si="1">F6/D6</f>
        <v>0.88034188034188032</v>
      </c>
      <c r="H6" s="143"/>
      <c r="I6" s="143"/>
    </row>
    <row r="7" spans="1:9" ht="15.6" x14ac:dyDescent="0.3">
      <c r="A7" s="335">
        <v>2</v>
      </c>
      <c r="B7" s="104" t="s">
        <v>29</v>
      </c>
      <c r="C7" s="364">
        <v>46204</v>
      </c>
      <c r="D7" s="114">
        <v>6</v>
      </c>
      <c r="E7" s="107">
        <f t="shared" si="0"/>
        <v>3</v>
      </c>
      <c r="F7" s="336">
        <v>3</v>
      </c>
      <c r="G7" s="337">
        <f t="shared" si="1"/>
        <v>0.5</v>
      </c>
      <c r="H7" s="143"/>
      <c r="I7" s="143"/>
    </row>
    <row r="8" spans="1:9" ht="15.6" x14ac:dyDescent="0.3">
      <c r="A8" s="335">
        <v>3</v>
      </c>
      <c r="B8" s="103" t="s">
        <v>18</v>
      </c>
      <c r="C8" s="364">
        <v>46204</v>
      </c>
      <c r="D8" s="111">
        <v>625</v>
      </c>
      <c r="E8" s="107">
        <f t="shared" si="0"/>
        <v>384</v>
      </c>
      <c r="F8" s="336">
        <v>241</v>
      </c>
      <c r="G8" s="337">
        <f t="shared" si="1"/>
        <v>0.3856</v>
      </c>
      <c r="H8" s="143"/>
      <c r="I8" s="143"/>
    </row>
    <row r="9" spans="1:9" ht="15.6" x14ac:dyDescent="0.3">
      <c r="A9" s="335">
        <v>4</v>
      </c>
      <c r="B9" s="104" t="s">
        <v>19</v>
      </c>
      <c r="C9" s="364">
        <v>46204</v>
      </c>
      <c r="D9" s="111">
        <v>228</v>
      </c>
      <c r="E9" s="107">
        <f t="shared" si="0"/>
        <v>163</v>
      </c>
      <c r="F9" s="336">
        <v>65</v>
      </c>
      <c r="G9" s="337">
        <f t="shared" si="1"/>
        <v>0.28508771929824561</v>
      </c>
      <c r="H9" s="143"/>
      <c r="I9" s="143"/>
    </row>
    <row r="10" spans="1:9" ht="15.6" x14ac:dyDescent="0.3">
      <c r="A10" s="335">
        <v>5</v>
      </c>
      <c r="B10" s="112" t="s">
        <v>24</v>
      </c>
      <c r="C10" s="364">
        <v>46204</v>
      </c>
      <c r="D10" s="111">
        <v>268</v>
      </c>
      <c r="E10" s="107">
        <f t="shared" si="0"/>
        <v>219</v>
      </c>
      <c r="F10" s="336">
        <v>49</v>
      </c>
      <c r="G10" s="337">
        <f t="shared" si="1"/>
        <v>0.18283582089552239</v>
      </c>
      <c r="H10" s="143"/>
      <c r="I10" s="143"/>
    </row>
    <row r="11" spans="1:9" ht="15.6" x14ac:dyDescent="0.3">
      <c r="A11" s="335">
        <v>6</v>
      </c>
      <c r="B11" s="104" t="s">
        <v>21</v>
      </c>
      <c r="C11" s="364">
        <v>46204</v>
      </c>
      <c r="D11" s="114">
        <v>160</v>
      </c>
      <c r="E11" s="107">
        <f t="shared" si="0"/>
        <v>140</v>
      </c>
      <c r="F11" s="336">
        <v>20</v>
      </c>
      <c r="G11" s="337">
        <f t="shared" si="1"/>
        <v>0.125</v>
      </c>
      <c r="H11" s="143"/>
      <c r="I11" s="143"/>
    </row>
    <row r="12" spans="1:9" ht="15.6" x14ac:dyDescent="0.3">
      <c r="A12" s="335">
        <v>7</v>
      </c>
      <c r="B12" s="113" t="s">
        <v>54</v>
      </c>
      <c r="C12" s="364">
        <v>46204</v>
      </c>
      <c r="D12" s="111">
        <v>101</v>
      </c>
      <c r="E12" s="107">
        <f t="shared" si="0"/>
        <v>90</v>
      </c>
      <c r="F12" s="336">
        <v>11</v>
      </c>
      <c r="G12" s="337">
        <f t="shared" si="1"/>
        <v>0.10891089108910891</v>
      </c>
      <c r="H12" s="143"/>
      <c r="I12" s="143"/>
    </row>
    <row r="13" spans="1:9" ht="15.6" x14ac:dyDescent="0.3">
      <c r="A13" s="335">
        <v>8</v>
      </c>
      <c r="B13" s="119" t="s">
        <v>22</v>
      </c>
      <c r="C13" s="364">
        <v>46204</v>
      </c>
      <c r="D13" s="111">
        <v>207</v>
      </c>
      <c r="E13" s="107">
        <f t="shared" si="0"/>
        <v>187</v>
      </c>
      <c r="F13" s="336">
        <v>20</v>
      </c>
      <c r="G13" s="337">
        <f t="shared" si="1"/>
        <v>9.6618357487922704E-2</v>
      </c>
      <c r="H13" s="143"/>
      <c r="I13" s="143"/>
    </row>
    <row r="14" spans="1:9" ht="15.6" x14ac:dyDescent="0.3">
      <c r="A14" s="335">
        <v>9</v>
      </c>
      <c r="B14" s="112" t="s">
        <v>23</v>
      </c>
      <c r="C14" s="364">
        <v>46204</v>
      </c>
      <c r="D14" s="114">
        <v>4342</v>
      </c>
      <c r="E14" s="107">
        <f t="shared" si="0"/>
        <v>4090</v>
      </c>
      <c r="F14" s="336">
        <v>252</v>
      </c>
      <c r="G14" s="16">
        <f t="shared" si="1"/>
        <v>5.8037770612620915E-2</v>
      </c>
      <c r="H14" s="143"/>
      <c r="I14" s="143"/>
    </row>
    <row r="15" spans="1:9" ht="15.6" x14ac:dyDescent="0.3">
      <c r="A15" s="335">
        <v>10</v>
      </c>
      <c r="B15" s="112" t="s">
        <v>20</v>
      </c>
      <c r="C15" s="364">
        <v>46204</v>
      </c>
      <c r="D15" s="111">
        <v>818</v>
      </c>
      <c r="E15" s="107">
        <f t="shared" si="0"/>
        <v>810</v>
      </c>
      <c r="F15" s="336">
        <v>8</v>
      </c>
      <c r="G15" s="337">
        <f t="shared" si="1"/>
        <v>9.7799511002444987E-3</v>
      </c>
      <c r="H15" s="143"/>
      <c r="I15" s="143"/>
    </row>
    <row r="16" spans="1:9" ht="15.6" x14ac:dyDescent="0.3">
      <c r="A16" s="335">
        <v>11</v>
      </c>
      <c r="B16" s="113" t="s">
        <v>25</v>
      </c>
      <c r="C16" s="364">
        <v>46204</v>
      </c>
      <c r="D16" s="111">
        <v>240</v>
      </c>
      <c r="E16" s="107">
        <f t="shared" si="0"/>
        <v>240</v>
      </c>
      <c r="F16" s="336">
        <v>0</v>
      </c>
      <c r="G16" s="337">
        <f t="shared" si="1"/>
        <v>0</v>
      </c>
      <c r="H16" s="143"/>
      <c r="I16" s="143"/>
    </row>
    <row r="17" spans="1:9" ht="15.6" x14ac:dyDescent="0.3">
      <c r="A17" s="335">
        <v>12</v>
      </c>
      <c r="B17" s="112" t="s">
        <v>26</v>
      </c>
      <c r="C17" s="364">
        <v>46204</v>
      </c>
      <c r="D17" s="114">
        <v>582</v>
      </c>
      <c r="E17" s="107">
        <f t="shared" si="0"/>
        <v>582</v>
      </c>
      <c r="F17" s="336">
        <v>0</v>
      </c>
      <c r="G17" s="337">
        <f t="shared" si="1"/>
        <v>0</v>
      </c>
      <c r="H17" s="143"/>
      <c r="I17" s="143"/>
    </row>
    <row r="18" spans="1:9" ht="15.6" x14ac:dyDescent="0.3">
      <c r="A18" s="12">
        <v>13</v>
      </c>
      <c r="B18" s="113" t="s">
        <v>28</v>
      </c>
      <c r="C18" s="364">
        <v>46204</v>
      </c>
      <c r="D18" s="111">
        <v>300</v>
      </c>
      <c r="E18" s="107">
        <f t="shared" si="0"/>
        <v>300</v>
      </c>
      <c r="F18" s="336">
        <v>0</v>
      </c>
      <c r="G18" s="337">
        <f t="shared" si="1"/>
        <v>0</v>
      </c>
      <c r="H18" s="141"/>
      <c r="I18" s="143"/>
    </row>
    <row r="19" spans="1:9" ht="15.6" x14ac:dyDescent="0.3">
      <c r="A19" s="183"/>
      <c r="B19" s="184" t="s">
        <v>30</v>
      </c>
      <c r="C19" s="185"/>
      <c r="D19" s="186">
        <f>SUM(D6:D18)</f>
        <v>8111</v>
      </c>
      <c r="E19" s="186">
        <f>SUM(E6:E18)</f>
        <v>7236</v>
      </c>
      <c r="F19" s="186">
        <f>SUM(F6:F18)</f>
        <v>875</v>
      </c>
      <c r="G19" s="187">
        <f t="shared" ref="G19" si="2">F19/D19</f>
        <v>0.10787819011219332</v>
      </c>
      <c r="H19" s="322"/>
      <c r="I19" s="322"/>
    </row>
    <row r="20" spans="1:9" x14ac:dyDescent="0.3">
      <c r="F20" s="133">
        <f>F19/D19</f>
        <v>0.10787819011219332</v>
      </c>
    </row>
  </sheetData>
  <sortState ref="B6:G18">
    <sortCondition descending="1" ref="G6:G18"/>
  </sortState>
  <mergeCells count="6">
    <mergeCell ref="A1:G1"/>
    <mergeCell ref="A2:G2"/>
    <mergeCell ref="A3:A4"/>
    <mergeCell ref="B3:B4"/>
    <mergeCell ref="D3:D4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July 25-August 24</vt:lpstr>
      <vt:lpstr>Detail monthly summaryBD</vt:lpstr>
      <vt:lpstr>Rank in other cases</vt:lpstr>
      <vt:lpstr>executive summary-edited</vt:lpstr>
      <vt:lpstr>Ranks in all cases</vt:lpstr>
      <vt:lpstr>Gross percentages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Wondimu Fullas</dc:creator>
  <cp:lastModifiedBy>HP</cp:lastModifiedBy>
  <cp:lastPrinted>2025-11-24T06:18:27Z</cp:lastPrinted>
  <dcterms:created xsi:type="dcterms:W3CDTF">2025-11-17T10:40:13Z</dcterms:created>
  <dcterms:modified xsi:type="dcterms:W3CDTF">2026-08-31T12:45:08Z</dcterms:modified>
</cp:coreProperties>
</file>
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0" yWindow="0" windowWidth="15600" windowHeight="9015" activeTab="1"/>
  </bookViews>
  <sheets>
    <sheet name="Uncovered Branches" sheetId="1" r:id="rId1"/>
    <sheet name="Case Summarised" sheetId="9" r:id="rId2"/>
    <sheet name="Summarised" sheetId="2" r:id="rId3"/>
    <sheet name="East" sheetId="3" r:id="rId4"/>
    <sheet name="North" sheetId="4" r:id="rId5"/>
    <sheet name="South" sheetId="5" r:id="rId6"/>
    <sheet name="West" sheetId="6" r:id="rId7"/>
    <sheet name="Hawassa" sheetId="8" r:id="rId8"/>
    <sheet name="B-Dar" sheetId="7" r:id="rId9"/>
    <sheet name="Adama" sheetId="16" r:id="rId10"/>
    <sheet name="Hossaena" sheetId="10" r:id="rId11"/>
    <sheet name="Wolkite" sheetId="11" r:id="rId12"/>
    <sheet name="Dire Dawa" sheetId="12" r:id="rId13"/>
    <sheet name="Mekelle" sheetId="13" r:id="rId14"/>
    <sheet name="Jimma" sheetId="14" r:id="rId15"/>
    <sheet name="Desie" sheetId="15" r:id="rId16"/>
  </sheets>
  <externalReferences>
    <externalReference r:id="rId17"/>
  </externalReferences>
  <definedNames>
    <definedName name="_xlnm._FilterDatabase" localSheetId="5" hidden="1">South!$A$5:$Q$1069</definedName>
  </definedNames>
  <calcPr calcId="144525"/>
</workbook>
</file>

<file path=xl/calcChain.xml><?xml version="1.0" encoding="utf-8"?>
<calcChain xmlns="http://schemas.openxmlformats.org/spreadsheetml/2006/main">
  <c r="F5" i="9" l="1"/>
  <c r="G219" i="10" l="1"/>
  <c r="G220" i="10"/>
  <c r="J220" i="10"/>
  <c r="L16" i="9"/>
  <c r="F760" i="3" l="1"/>
  <c r="G760" i="3"/>
  <c r="H760" i="3"/>
  <c r="I760" i="3"/>
  <c r="J760" i="3"/>
  <c r="K760" i="3"/>
  <c r="L760" i="3"/>
  <c r="M760" i="3"/>
  <c r="N760" i="3"/>
  <c r="K5" i="2" s="1"/>
  <c r="O760" i="3"/>
  <c r="P760" i="3"/>
  <c r="Q760" i="3"/>
  <c r="K7" i="2"/>
  <c r="G173" i="15" l="1"/>
  <c r="I161" i="15"/>
  <c r="J161" i="15"/>
  <c r="K161" i="15"/>
  <c r="L161" i="15"/>
  <c r="M161" i="15"/>
  <c r="N161" i="15"/>
  <c r="O161" i="15"/>
  <c r="G221" i="10"/>
  <c r="E220" i="10"/>
  <c r="E219" i="10"/>
  <c r="G218" i="10"/>
  <c r="F218" i="10"/>
  <c r="H218" i="10" s="1"/>
  <c r="E218" i="10"/>
  <c r="G217" i="10"/>
  <c r="F217" i="10"/>
  <c r="H217" i="10" s="1"/>
  <c r="E217" i="10"/>
  <c r="G216" i="10"/>
  <c r="H216" i="10" s="1"/>
  <c r="F216" i="10"/>
  <c r="E216" i="10"/>
  <c r="G215" i="10"/>
  <c r="F215" i="10"/>
  <c r="H215" i="10" s="1"/>
  <c r="E215" i="10"/>
  <c r="G214" i="10"/>
  <c r="F214" i="10"/>
  <c r="E214" i="10"/>
  <c r="H209" i="10"/>
  <c r="I209" i="10"/>
  <c r="J209" i="10"/>
  <c r="K209" i="10"/>
  <c r="F219" i="10" s="1"/>
  <c r="H219" i="10" s="1"/>
  <c r="L209" i="10"/>
  <c r="F220" i="10" s="1"/>
  <c r="H220" i="10" s="1"/>
  <c r="M209" i="10"/>
  <c r="O209" i="10"/>
  <c r="G246" i="7"/>
  <c r="F246" i="7"/>
  <c r="H246" i="7" s="1"/>
  <c r="E246" i="7"/>
  <c r="G245" i="7"/>
  <c r="F245" i="7"/>
  <c r="H245" i="7" s="1"/>
  <c r="E245" i="7"/>
  <c r="G244" i="7"/>
  <c r="F244" i="7"/>
  <c r="H244" i="7" s="1"/>
  <c r="E244" i="7"/>
  <c r="G243" i="7"/>
  <c r="F243" i="7"/>
  <c r="H243" i="7" s="1"/>
  <c r="E243" i="7"/>
  <c r="G242" i="7"/>
  <c r="F242" i="7"/>
  <c r="H242" i="7" s="1"/>
  <c r="E242" i="7"/>
  <c r="H241" i="7"/>
  <c r="G241" i="7"/>
  <c r="F241" i="7"/>
  <c r="E241" i="7"/>
  <c r="G240" i="7"/>
  <c r="G247" i="7" s="1"/>
  <c r="F240" i="7"/>
  <c r="F247" i="7" s="1"/>
  <c r="H247" i="7" s="1"/>
  <c r="E240" i="7"/>
  <c r="G235" i="7"/>
  <c r="H235" i="7"/>
  <c r="I235" i="7"/>
  <c r="J235" i="7"/>
  <c r="K235" i="7"/>
  <c r="L235" i="7"/>
  <c r="M235" i="7"/>
  <c r="N235" i="7"/>
  <c r="O235" i="7"/>
  <c r="N234" i="7"/>
  <c r="N233" i="7"/>
  <c r="N232" i="7"/>
  <c r="N231" i="7"/>
  <c r="N230" i="7"/>
  <c r="N229" i="7"/>
  <c r="N228" i="7"/>
  <c r="N227" i="7"/>
  <c r="N226" i="7"/>
  <c r="N225" i="7"/>
  <c r="N224" i="7"/>
  <c r="N223" i="7"/>
  <c r="N222" i="7"/>
  <c r="N221" i="7"/>
  <c r="N220" i="7"/>
  <c r="N219" i="7"/>
  <c r="N218" i="7"/>
  <c r="N217" i="7"/>
  <c r="N216" i="7"/>
  <c r="M216" i="7"/>
  <c r="N215" i="7"/>
  <c r="N214" i="7"/>
  <c r="N213" i="7"/>
  <c r="N212" i="7"/>
  <c r="N211" i="7"/>
  <c r="N210" i="7"/>
  <c r="M210" i="7"/>
  <c r="N209" i="7"/>
  <c r="N208" i="7"/>
  <c r="N207" i="7"/>
  <c r="N206" i="7"/>
  <c r="N205" i="7"/>
  <c r="M205" i="7"/>
  <c r="N204" i="7"/>
  <c r="M204" i="7"/>
  <c r="N203" i="7"/>
  <c r="M203" i="7"/>
  <c r="N202" i="7"/>
  <c r="M202" i="7"/>
  <c r="N201" i="7"/>
  <c r="N200" i="7"/>
  <c r="N199" i="7"/>
  <c r="N198" i="7"/>
  <c r="N197" i="7"/>
  <c r="N196" i="7"/>
  <c r="N195" i="7"/>
  <c r="N194" i="7"/>
  <c r="N193" i="7"/>
  <c r="N192" i="7"/>
  <c r="N191" i="7"/>
  <c r="N190" i="7"/>
  <c r="N189" i="7"/>
  <c r="N188" i="7"/>
  <c r="N187" i="7"/>
  <c r="N186" i="7"/>
  <c r="N185" i="7"/>
  <c r="N184" i="7"/>
  <c r="N183" i="7"/>
  <c r="N182" i="7"/>
  <c r="N181" i="7"/>
  <c r="N180" i="7"/>
  <c r="N179" i="7"/>
  <c r="N178" i="7"/>
  <c r="N177" i="7"/>
  <c r="N176" i="7"/>
  <c r="N175" i="7"/>
  <c r="N174" i="7"/>
  <c r="M174" i="7"/>
  <c r="N173" i="7"/>
  <c r="N172" i="7"/>
  <c r="N171" i="7"/>
  <c r="N170" i="7"/>
  <c r="N169" i="7"/>
  <c r="N168" i="7"/>
  <c r="N167" i="7"/>
  <c r="N166" i="7"/>
  <c r="N165" i="7"/>
  <c r="N164" i="7"/>
  <c r="N163" i="7"/>
  <c r="N162" i="7"/>
  <c r="N161" i="7"/>
  <c r="N160" i="7"/>
  <c r="N159" i="7"/>
  <c r="N158" i="7"/>
  <c r="N157" i="7"/>
  <c r="N156" i="7"/>
  <c r="M156" i="7"/>
  <c r="N155" i="7"/>
  <c r="N154" i="7"/>
  <c r="N153" i="7"/>
  <c r="N152" i="7"/>
  <c r="N151" i="7"/>
  <c r="N150" i="7"/>
  <c r="N149" i="7"/>
  <c r="N148" i="7"/>
  <c r="N147" i="7"/>
  <c r="N146" i="7"/>
  <c r="N145" i="7"/>
  <c r="N144" i="7"/>
  <c r="N143" i="7"/>
  <c r="N142" i="7"/>
  <c r="M142" i="7"/>
  <c r="N141" i="7"/>
  <c r="N140" i="7"/>
  <c r="N139" i="7"/>
  <c r="N138" i="7"/>
  <c r="N137" i="7"/>
  <c r="N136" i="7"/>
  <c r="N135" i="7"/>
  <c r="N134" i="7"/>
  <c r="N133" i="7"/>
  <c r="N132" i="7"/>
  <c r="N131" i="7"/>
  <c r="N130" i="7"/>
  <c r="N129" i="7"/>
  <c r="N128" i="7"/>
  <c r="N127" i="7"/>
  <c r="N126" i="7"/>
  <c r="N125" i="7"/>
  <c r="M125" i="7"/>
  <c r="N124" i="7"/>
  <c r="M123" i="7"/>
  <c r="L123" i="7"/>
  <c r="N123" i="7" s="1"/>
  <c r="N122" i="7"/>
  <c r="N121" i="7"/>
  <c r="M121" i="7"/>
  <c r="M120" i="7"/>
  <c r="L120" i="7"/>
  <c r="N120" i="7" s="1"/>
  <c r="M119" i="7"/>
  <c r="L119" i="7"/>
  <c r="N119" i="7" s="1"/>
  <c r="M118" i="7"/>
  <c r="L118" i="7"/>
  <c r="N118" i="7" s="1"/>
  <c r="N117" i="7"/>
  <c r="M116" i="7"/>
  <c r="L116" i="7"/>
  <c r="N116" i="7" s="1"/>
  <c r="N115" i="7"/>
  <c r="M115" i="7"/>
  <c r="N114" i="7"/>
  <c r="N113" i="7"/>
  <c r="G113" i="7"/>
  <c r="M113" i="7" s="1"/>
  <c r="N112"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3" i="7"/>
  <c r="N72" i="7"/>
  <c r="N71" i="7"/>
  <c r="N70" i="7"/>
  <c r="N69" i="7"/>
  <c r="N68" i="7"/>
  <c r="N67" i="7"/>
  <c r="L67" i="7"/>
  <c r="N66" i="7"/>
  <c r="N65" i="7"/>
  <c r="N64" i="7"/>
  <c r="N63" i="7"/>
  <c r="N62" i="7"/>
  <c r="N61" i="7"/>
  <c r="N60" i="7"/>
  <c r="N59" i="7"/>
  <c r="N58" i="7"/>
  <c r="N57" i="7"/>
  <c r="N56" i="7"/>
  <c r="N55" i="7"/>
  <c r="N54" i="7"/>
  <c r="N53" i="7"/>
  <c r="N52" i="7"/>
  <c r="N51" i="7"/>
  <c r="N50" i="7"/>
  <c r="N49" i="7"/>
  <c r="N48" i="7"/>
  <c r="N47" i="7"/>
  <c r="N46" i="7"/>
  <c r="N45" i="7"/>
  <c r="N44" i="7"/>
  <c r="N43" i="7"/>
  <c r="N42" i="7"/>
  <c r="N41" i="7"/>
  <c r="N40" i="7"/>
  <c r="N39" i="7"/>
  <c r="N38" i="7"/>
  <c r="N37" i="7"/>
  <c r="N36" i="7"/>
  <c r="N35" i="7"/>
  <c r="M35" i="7"/>
  <c r="N34" i="7"/>
  <c r="N33" i="7"/>
  <c r="N32" i="7"/>
  <c r="N31" i="7"/>
  <c r="N30" i="7"/>
  <c r="N29" i="7"/>
  <c r="N28" i="7"/>
  <c r="N27" i="7"/>
  <c r="N26" i="7"/>
  <c r="N25" i="7"/>
  <c r="N24" i="7"/>
  <c r="K23" i="7"/>
  <c r="J23" i="7"/>
  <c r="N23" i="7" s="1"/>
  <c r="I23" i="7"/>
  <c r="H23" i="7"/>
  <c r="N22" i="7"/>
  <c r="N21" i="7"/>
  <c r="N20" i="7"/>
  <c r="N19" i="7"/>
  <c r="N18" i="7"/>
  <c r="N17" i="7"/>
  <c r="N16" i="7"/>
  <c r="N15" i="7"/>
  <c r="N14" i="7"/>
  <c r="N13" i="7"/>
  <c r="N12" i="7"/>
  <c r="N11" i="7"/>
  <c r="N10" i="7"/>
  <c r="N9" i="7"/>
  <c r="N8" i="7"/>
  <c r="N7" i="7"/>
  <c r="F221" i="10" l="1"/>
  <c r="H221" i="10" s="1"/>
  <c r="H214" i="10"/>
  <c r="H240" i="7"/>
  <c r="O92" i="12" l="1"/>
  <c r="P92" i="12"/>
  <c r="Q92" i="12"/>
  <c r="N92" i="12"/>
  <c r="F92" i="12"/>
  <c r="G92" i="12"/>
  <c r="H92" i="12"/>
  <c r="I92" i="12"/>
  <c r="J92" i="12"/>
  <c r="K92" i="12"/>
  <c r="E92" i="12"/>
  <c r="O91" i="12"/>
  <c r="O90" i="12"/>
  <c r="O89" i="12"/>
  <c r="O88" i="12"/>
  <c r="O87" i="12"/>
  <c r="O86" i="12"/>
  <c r="O85" i="12"/>
  <c r="O84" i="12"/>
  <c r="O83" i="12"/>
  <c r="O82" i="12"/>
  <c r="O81" i="12"/>
  <c r="O80" i="12"/>
  <c r="O79" i="12"/>
  <c r="O78" i="12"/>
  <c r="O77" i="12"/>
  <c r="O76" i="12"/>
  <c r="O72" i="12"/>
  <c r="O71" i="12"/>
  <c r="O70" i="12"/>
  <c r="O69" i="12"/>
  <c r="O66" i="12"/>
  <c r="O65" i="12"/>
  <c r="O64" i="12"/>
  <c r="O61" i="12"/>
  <c r="O60" i="12"/>
  <c r="O58" i="12"/>
  <c r="O57" i="12"/>
  <c r="O56" i="12"/>
  <c r="O55" i="12"/>
  <c r="O54" i="12"/>
  <c r="O53" i="12"/>
  <c r="O51" i="12"/>
  <c r="O50" i="12"/>
  <c r="O49" i="12"/>
  <c r="O48" i="12"/>
  <c r="O47" i="12"/>
  <c r="O46" i="12"/>
  <c r="O45" i="12"/>
  <c r="O44" i="12"/>
  <c r="O42" i="12"/>
  <c r="O41" i="12"/>
  <c r="O39" i="12"/>
  <c r="O38" i="12"/>
  <c r="O37" i="12"/>
  <c r="O36" i="12"/>
  <c r="O35" i="12"/>
  <c r="O34" i="12"/>
  <c r="O33" i="12"/>
  <c r="O32" i="12"/>
  <c r="O30" i="12"/>
  <c r="O29" i="12"/>
  <c r="O28" i="12"/>
  <c r="O27" i="12"/>
  <c r="O26" i="12"/>
  <c r="O25" i="12"/>
  <c r="O24" i="12"/>
  <c r="O23" i="12"/>
  <c r="O22" i="12"/>
  <c r="O21" i="12"/>
  <c r="O20" i="12"/>
  <c r="O19" i="12"/>
  <c r="O18" i="12"/>
  <c r="O17" i="12"/>
  <c r="O16" i="12"/>
  <c r="O15" i="12"/>
  <c r="O14" i="12"/>
  <c r="O13" i="12"/>
  <c r="O12" i="12"/>
  <c r="O11" i="12"/>
  <c r="O10" i="12"/>
  <c r="O13" i="16" l="1"/>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O177" i="16"/>
  <c r="O178" i="16"/>
  <c r="O179" i="16"/>
  <c r="O180" i="16"/>
  <c r="O181" i="16"/>
  <c r="O182" i="16"/>
  <c r="O183" i="16"/>
  <c r="O184" i="16"/>
  <c r="O185" i="16"/>
  <c r="O186" i="16"/>
  <c r="O187" i="16"/>
  <c r="O188" i="16"/>
  <c r="O189" i="16"/>
  <c r="O190" i="16"/>
  <c r="O191" i="16"/>
  <c r="O192" i="16"/>
  <c r="O193" i="16"/>
  <c r="O194" i="16"/>
  <c r="O195" i="16"/>
  <c r="O196" i="16"/>
  <c r="O197"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253" i="16"/>
  <c r="O254" i="16"/>
  <c r="O255" i="16"/>
  <c r="O256" i="16"/>
  <c r="O257" i="16"/>
  <c r="O258" i="16"/>
  <c r="O259" i="16"/>
  <c r="O260" i="16"/>
  <c r="O261" i="16"/>
  <c r="O262" i="16"/>
  <c r="O263" i="16"/>
  <c r="O264" i="16"/>
  <c r="O265" i="16"/>
  <c r="O266" i="16"/>
  <c r="O267" i="16"/>
  <c r="O268" i="16"/>
  <c r="O269" i="16"/>
  <c r="O270" i="16"/>
  <c r="O271" i="16"/>
  <c r="O272" i="16"/>
  <c r="O273" i="16"/>
  <c r="O274" i="16"/>
  <c r="O275" i="16"/>
  <c r="O276" i="16"/>
  <c r="O277" i="16"/>
  <c r="O278" i="16"/>
  <c r="O279" i="16"/>
  <c r="O280" i="16"/>
  <c r="O281" i="16"/>
  <c r="O12" i="16"/>
  <c r="F294" i="16" l="1"/>
  <c r="G194" i="11" l="1"/>
  <c r="H194" i="11" s="1"/>
  <c r="F195" i="11"/>
  <c r="G195" i="11"/>
  <c r="H195" i="11"/>
  <c r="F196" i="11"/>
  <c r="H196" i="11" s="1"/>
  <c r="G196" i="11"/>
  <c r="F197" i="11"/>
  <c r="G197" i="11"/>
  <c r="H197" i="11"/>
  <c r="F198" i="11"/>
  <c r="G198" i="11"/>
  <c r="H198" i="11"/>
  <c r="G199" i="11"/>
  <c r="H199" i="11"/>
  <c r="F200" i="11"/>
  <c r="H200" i="11" s="1"/>
  <c r="G200" i="11"/>
  <c r="O184" i="11"/>
  <c r="O183" i="11"/>
  <c r="O182" i="11"/>
  <c r="O181" i="11"/>
  <c r="O180" i="11"/>
  <c r="O179" i="11"/>
  <c r="O178" i="11"/>
  <c r="O177" i="11"/>
  <c r="O176" i="11"/>
  <c r="O175" i="11"/>
  <c r="O174" i="11"/>
  <c r="O173" i="11"/>
  <c r="O172" i="11"/>
  <c r="O171" i="11"/>
  <c r="O170" i="11"/>
  <c r="O169" i="11"/>
  <c r="O168" i="11"/>
  <c r="O167" i="11"/>
  <c r="O166" i="11"/>
  <c r="O165" i="11"/>
  <c r="O164" i="11"/>
  <c r="O163" i="11"/>
  <c r="N163" i="11"/>
  <c r="O162" i="11"/>
  <c r="O161" i="11"/>
  <c r="O160" i="11"/>
  <c r="O159" i="11"/>
  <c r="O158" i="11"/>
  <c r="O157" i="11"/>
  <c r="O156" i="11"/>
  <c r="O155" i="11"/>
  <c r="O154" i="11"/>
  <c r="O153" i="11"/>
  <c r="O152" i="11"/>
  <c r="O151" i="11"/>
  <c r="O150" i="11"/>
  <c r="O149" i="11"/>
  <c r="O148" i="11"/>
  <c r="O147" i="11"/>
  <c r="O146" i="11"/>
  <c r="O145" i="11"/>
  <c r="O144" i="11"/>
  <c r="O143" i="11"/>
  <c r="O142" i="11"/>
  <c r="O141" i="11"/>
  <c r="O140" i="11"/>
  <c r="O139" i="11"/>
  <c r="O138" i="11"/>
  <c r="O137" i="11"/>
  <c r="O136" i="11"/>
  <c r="O135" i="11"/>
  <c r="O134" i="11"/>
  <c r="O133" i="11"/>
  <c r="O132" i="11"/>
  <c r="O131" i="11"/>
  <c r="O130" i="11"/>
  <c r="O129" i="11"/>
  <c r="O128" i="11"/>
  <c r="O127" i="11"/>
  <c r="O126" i="11"/>
  <c r="O125" i="11"/>
  <c r="O124" i="11"/>
  <c r="O123" i="11"/>
  <c r="O122" i="11"/>
  <c r="O121" i="11"/>
  <c r="O120" i="11"/>
  <c r="O119" i="11"/>
  <c r="O118" i="11"/>
  <c r="O117" i="11"/>
  <c r="O116" i="11"/>
  <c r="O115" i="11"/>
  <c r="O114" i="11"/>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L389" i="4" l="1"/>
  <c r="K388" i="4"/>
  <c r="M388" i="4" s="1"/>
  <c r="J388" i="4"/>
  <c r="L388" i="4" s="1"/>
  <c r="K387" i="4"/>
  <c r="J387" i="4"/>
  <c r="L387" i="4" s="1"/>
  <c r="K386" i="4"/>
  <c r="J386" i="4"/>
  <c r="L386" i="4" s="1"/>
  <c r="K385" i="4"/>
  <c r="K389" i="4" s="1"/>
  <c r="J385" i="4"/>
  <c r="L385" i="4" s="1"/>
  <c r="J384" i="4"/>
  <c r="L384" i="4" s="1"/>
  <c r="J383" i="4"/>
  <c r="L383" i="4" s="1"/>
  <c r="J382" i="4"/>
  <c r="J389" i="4" s="1"/>
  <c r="H377" i="4"/>
  <c r="I377" i="4"/>
  <c r="J377" i="4"/>
  <c r="K377" i="4"/>
  <c r="L377" i="4"/>
  <c r="M377" i="4"/>
  <c r="N377" i="4"/>
  <c r="O377" i="4"/>
  <c r="P377" i="4"/>
  <c r="Q377" i="4"/>
  <c r="G377" i="4"/>
  <c r="O376" i="4"/>
  <c r="O375" i="4"/>
  <c r="O374" i="4"/>
  <c r="O373" i="4"/>
  <c r="O372" i="4"/>
  <c r="O371" i="4"/>
  <c r="O370" i="4"/>
  <c r="O369" i="4"/>
  <c r="O368" i="4"/>
  <c r="O367" i="4"/>
  <c r="O366" i="4"/>
  <c r="O365" i="4"/>
  <c r="O364" i="4"/>
  <c r="O363" i="4"/>
  <c r="O362" i="4"/>
  <c r="O361" i="4"/>
  <c r="O360" i="4"/>
  <c r="O359" i="4"/>
  <c r="O358" i="4"/>
  <c r="O357" i="4"/>
  <c r="O356" i="4"/>
  <c r="O355" i="4"/>
  <c r="G354" i="4"/>
  <c r="O354" i="4" s="1"/>
  <c r="O353" i="4"/>
  <c r="O352" i="4"/>
  <c r="O351" i="4"/>
  <c r="O350" i="4"/>
  <c r="O349" i="4"/>
  <c r="O348" i="4"/>
  <c r="O347" i="4"/>
  <c r="O346" i="4"/>
  <c r="O345" i="4"/>
  <c r="O344" i="4"/>
  <c r="O343" i="4"/>
  <c r="O342" i="4"/>
  <c r="O341" i="4"/>
  <c r="O340" i="4"/>
  <c r="O339" i="4"/>
  <c r="O338" i="4"/>
  <c r="O337" i="4"/>
  <c r="O336" i="4"/>
  <c r="O335" i="4"/>
  <c r="O334" i="4"/>
  <c r="O333" i="4"/>
  <c r="O332" i="4"/>
  <c r="O331" i="4"/>
  <c r="O330" i="4"/>
  <c r="G329" i="4"/>
  <c r="O329" i="4" s="1"/>
  <c r="O328" i="4"/>
  <c r="O327" i="4"/>
  <c r="O326" i="4"/>
  <c r="O325" i="4"/>
  <c r="O324" i="4"/>
  <c r="O323" i="4"/>
  <c r="O322" i="4"/>
  <c r="O321" i="4"/>
  <c r="O320" i="4"/>
  <c r="O319" i="4"/>
  <c r="O318" i="4"/>
  <c r="O317" i="4"/>
  <c r="O316" i="4"/>
  <c r="O315" i="4"/>
  <c r="O314" i="4"/>
  <c r="O313" i="4"/>
  <c r="O312" i="4"/>
  <c r="O311" i="4"/>
  <c r="O310" i="4"/>
  <c r="O309" i="4"/>
  <c r="O308" i="4"/>
  <c r="O307" i="4"/>
  <c r="O306" i="4"/>
  <c r="O305" i="4"/>
  <c r="O304" i="4"/>
  <c r="O303" i="4"/>
  <c r="O302" i="4"/>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G172" i="4"/>
  <c r="O172" i="4" s="1"/>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G83" i="4"/>
  <c r="O83" i="4" s="1"/>
  <c r="O82" i="4"/>
  <c r="O81" i="4"/>
  <c r="O80" i="4"/>
  <c r="O79" i="4"/>
  <c r="O78" i="4"/>
  <c r="O77" i="4"/>
  <c r="O76" i="4"/>
  <c r="O75" i="4"/>
  <c r="O74" i="4"/>
  <c r="O73" i="4"/>
  <c r="G72" i="4"/>
  <c r="O72" i="4" s="1"/>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G18" i="4"/>
  <c r="O18" i="4" s="1"/>
  <c r="O17" i="4"/>
  <c r="O16" i="4"/>
  <c r="O15" i="4"/>
  <c r="O14" i="4"/>
  <c r="O13" i="4"/>
  <c r="O12" i="4"/>
  <c r="O11" i="4"/>
  <c r="O10" i="4"/>
  <c r="O9" i="4"/>
  <c r="O8" i="4"/>
  <c r="O7" i="4"/>
  <c r="M389" i="4" l="1"/>
  <c r="L382" i="4"/>
  <c r="O12" i="9"/>
  <c r="O17" i="9"/>
  <c r="M17" i="9"/>
  <c r="K17" i="9"/>
  <c r="I17" i="9"/>
  <c r="G17" i="9"/>
  <c r="E17" i="9"/>
  <c r="O16" i="9"/>
  <c r="M16" i="9"/>
  <c r="K16" i="9"/>
  <c r="I16" i="9"/>
  <c r="G16" i="9"/>
  <c r="E16" i="9"/>
  <c r="O15" i="9"/>
  <c r="O13" i="9"/>
  <c r="M13" i="9"/>
  <c r="K13" i="9"/>
  <c r="I13" i="9"/>
  <c r="G13" i="9"/>
  <c r="E13" i="9"/>
  <c r="O9" i="9"/>
  <c r="I9" i="9"/>
  <c r="H297" i="8"/>
  <c r="I297" i="8"/>
  <c r="J297" i="8"/>
  <c r="K297" i="8"/>
  <c r="L297" i="8"/>
  <c r="M297" i="8"/>
  <c r="N297" i="8"/>
  <c r="O297" i="8"/>
  <c r="P297" i="8"/>
  <c r="Q297" i="8"/>
  <c r="G297" i="8"/>
  <c r="O296" i="8"/>
  <c r="N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N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G26" i="8"/>
  <c r="O26" i="8" s="1"/>
  <c r="O25" i="8"/>
  <c r="O24" i="8"/>
  <c r="O23" i="8"/>
  <c r="O22" i="8"/>
  <c r="O21" i="8"/>
  <c r="O20" i="8"/>
  <c r="O19" i="8"/>
  <c r="O18" i="8"/>
  <c r="O17" i="8"/>
  <c r="O16" i="8"/>
  <c r="O15" i="8"/>
  <c r="O14" i="8"/>
  <c r="O13" i="8"/>
  <c r="O12" i="8"/>
  <c r="O11" i="8"/>
  <c r="O10" i="8"/>
  <c r="O9" i="8"/>
  <c r="O8" i="8"/>
  <c r="O7" i="8"/>
  <c r="O11" i="6" l="1"/>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P514" i="6"/>
  <c r="P282" i="16" l="1"/>
  <c r="F282" i="16"/>
  <c r="G282" i="16"/>
  <c r="H282" i="16"/>
  <c r="I282" i="16"/>
  <c r="J282" i="16"/>
  <c r="K282" i="16"/>
  <c r="E282" i="16"/>
  <c r="O7" i="9" l="1"/>
  <c r="M7" i="9"/>
  <c r="K7" i="9"/>
  <c r="I7" i="9"/>
  <c r="G7" i="9"/>
  <c r="E7" i="9"/>
  <c r="E5" i="9"/>
  <c r="Q7" i="9"/>
  <c r="P7" i="9"/>
  <c r="N7" i="9"/>
  <c r="L7" i="9"/>
  <c r="J7" i="9"/>
  <c r="H7" i="9"/>
  <c r="F7" i="9"/>
  <c r="D7" i="9"/>
  <c r="P1078" i="5"/>
  <c r="Q1078" i="5" s="1"/>
  <c r="O1078" i="5"/>
  <c r="P1077" i="5"/>
  <c r="Q1077" i="5" s="1"/>
  <c r="O1077" i="5"/>
  <c r="Q1076" i="5"/>
  <c r="P1076" i="5"/>
  <c r="O1076" i="5"/>
  <c r="P1075" i="5"/>
  <c r="Q1075" i="5" s="1"/>
  <c r="O1075" i="5"/>
  <c r="P1074" i="5"/>
  <c r="Q1074" i="5" s="1"/>
  <c r="O1074" i="5"/>
  <c r="P1073" i="5"/>
  <c r="Q1073" i="5" s="1"/>
  <c r="O1073" i="5"/>
  <c r="P1072" i="5"/>
  <c r="P1079" i="5" s="1"/>
  <c r="O1072" i="5"/>
  <c r="O1079" i="5" s="1"/>
  <c r="P1066" i="5"/>
  <c r="F1066" i="5"/>
  <c r="G1066" i="5"/>
  <c r="H1066" i="5"/>
  <c r="I1066" i="5"/>
  <c r="J1066" i="5"/>
  <c r="K1066" i="5"/>
  <c r="E1066" i="5"/>
  <c r="O1065" i="5"/>
  <c r="O1064" i="5"/>
  <c r="O1063" i="5"/>
  <c r="O1062" i="5"/>
  <c r="O1061" i="5"/>
  <c r="O1060" i="5"/>
  <c r="O1059" i="5"/>
  <c r="O1058" i="5"/>
  <c r="O1057" i="5"/>
  <c r="O1056" i="5"/>
  <c r="O1055" i="5"/>
  <c r="O1054" i="5"/>
  <c r="O1053" i="5"/>
  <c r="O1052" i="5"/>
  <c r="O1051" i="5"/>
  <c r="O1050" i="5"/>
  <c r="O1049" i="5"/>
  <c r="O1048" i="5"/>
  <c r="O1047" i="5"/>
  <c r="O1046" i="5"/>
  <c r="O1045" i="5"/>
  <c r="O1044" i="5"/>
  <c r="O1043" i="5"/>
  <c r="O1042" i="5"/>
  <c r="O1041" i="5"/>
  <c r="O1040" i="5"/>
  <c r="O1039" i="5"/>
  <c r="O1038" i="5"/>
  <c r="O1037" i="5"/>
  <c r="O1036" i="5"/>
  <c r="O1035" i="5"/>
  <c r="O1034" i="5"/>
  <c r="O1033" i="5"/>
  <c r="O1032" i="5"/>
  <c r="O1031" i="5"/>
  <c r="O1030" i="5"/>
  <c r="O1029" i="5"/>
  <c r="O1028" i="5"/>
  <c r="O1027" i="5"/>
  <c r="O1026" i="5"/>
  <c r="O1025" i="5"/>
  <c r="O1024" i="5"/>
  <c r="O1023" i="5"/>
  <c r="O1022" i="5"/>
  <c r="O1021" i="5"/>
  <c r="O1020" i="5"/>
  <c r="O1019" i="5"/>
  <c r="O1018" i="5"/>
  <c r="O1017" i="5"/>
  <c r="O1016" i="5"/>
  <c r="O1015" i="5"/>
  <c r="O1014" i="5"/>
  <c r="O1013" i="5"/>
  <c r="O1012" i="5"/>
  <c r="O1011" i="5"/>
  <c r="O1010" i="5"/>
  <c r="O1009" i="5"/>
  <c r="O1008" i="5"/>
  <c r="O1007" i="5"/>
  <c r="O1006" i="5"/>
  <c r="O1005" i="5"/>
  <c r="O1004" i="5"/>
  <c r="O1003" i="5"/>
  <c r="O1002" i="5"/>
  <c r="O1001" i="5"/>
  <c r="O1000" i="5"/>
  <c r="O999" i="5"/>
  <c r="O998" i="5"/>
  <c r="O997" i="5"/>
  <c r="O996" i="5"/>
  <c r="O995" i="5"/>
  <c r="O994" i="5"/>
  <c r="O993" i="5"/>
  <c r="O992" i="5"/>
  <c r="O991" i="5"/>
  <c r="O990" i="5"/>
  <c r="O989" i="5"/>
  <c r="O988" i="5"/>
  <c r="O987" i="5"/>
  <c r="O986" i="5"/>
  <c r="O985" i="5"/>
  <c r="O984" i="5"/>
  <c r="O983" i="5"/>
  <c r="O982" i="5"/>
  <c r="O981" i="5"/>
  <c r="O980" i="5"/>
  <c r="O979" i="5"/>
  <c r="O978" i="5"/>
  <c r="O977" i="5"/>
  <c r="O976" i="5"/>
  <c r="O975" i="5"/>
  <c r="O974" i="5"/>
  <c r="O973" i="5"/>
  <c r="O972" i="5"/>
  <c r="O971" i="5"/>
  <c r="O970" i="5"/>
  <c r="O969" i="5"/>
  <c r="O968" i="5"/>
  <c r="O967" i="5"/>
  <c r="O966" i="5"/>
  <c r="O965" i="5"/>
  <c r="O964" i="5"/>
  <c r="O963" i="5"/>
  <c r="O962" i="5"/>
  <c r="O961" i="5"/>
  <c r="O960" i="5"/>
  <c r="O959" i="5"/>
  <c r="O958" i="5"/>
  <c r="O957" i="5"/>
  <c r="O956" i="5"/>
  <c r="O955" i="5"/>
  <c r="O954" i="5"/>
  <c r="O953" i="5"/>
  <c r="O952" i="5"/>
  <c r="O951" i="5"/>
  <c r="O950" i="5"/>
  <c r="O949" i="5"/>
  <c r="O948" i="5"/>
  <c r="O947" i="5"/>
  <c r="N947" i="5"/>
  <c r="O946" i="5"/>
  <c r="O945" i="5"/>
  <c r="O944" i="5"/>
  <c r="O943" i="5"/>
  <c r="O942" i="5"/>
  <c r="O941" i="5"/>
  <c r="N941" i="5"/>
  <c r="O940" i="5"/>
  <c r="O939" i="5"/>
  <c r="O938" i="5"/>
  <c r="O937" i="5"/>
  <c r="O936" i="5"/>
  <c r="O935" i="5"/>
  <c r="O934" i="5"/>
  <c r="O933" i="5"/>
  <c r="N933" i="5"/>
  <c r="O932" i="5"/>
  <c r="O931" i="5"/>
  <c r="O930" i="5"/>
  <c r="O929" i="5"/>
  <c r="O928" i="5"/>
  <c r="O927" i="5"/>
  <c r="O926" i="5"/>
  <c r="O925" i="5"/>
  <c r="O924" i="5"/>
  <c r="O923" i="5"/>
  <c r="O922" i="5"/>
  <c r="O921" i="5"/>
  <c r="O920" i="5"/>
  <c r="O919" i="5"/>
  <c r="O918" i="5"/>
  <c r="O917" i="5"/>
  <c r="O916" i="5"/>
  <c r="O915" i="5"/>
  <c r="O914" i="5"/>
  <c r="O913" i="5"/>
  <c r="O912" i="5"/>
  <c r="O911" i="5"/>
  <c r="O910" i="5"/>
  <c r="N910" i="5"/>
  <c r="O909" i="5"/>
  <c r="O908" i="5"/>
  <c r="O907" i="5"/>
  <c r="O906" i="5"/>
  <c r="O905" i="5"/>
  <c r="O904" i="5"/>
  <c r="O903" i="5"/>
  <c r="O902" i="5"/>
  <c r="O901" i="5"/>
  <c r="O900" i="5"/>
  <c r="O899" i="5"/>
  <c r="O898" i="5"/>
  <c r="O897" i="5"/>
  <c r="O896" i="5"/>
  <c r="O895" i="5"/>
  <c r="O894" i="5"/>
  <c r="O893" i="5"/>
  <c r="O892" i="5"/>
  <c r="O891" i="5"/>
  <c r="O890" i="5"/>
  <c r="O889" i="5"/>
  <c r="O888" i="5"/>
  <c r="O887" i="5"/>
  <c r="O886" i="5"/>
  <c r="O885" i="5"/>
  <c r="O884" i="5"/>
  <c r="O883" i="5"/>
  <c r="O882" i="5"/>
  <c r="O881" i="5"/>
  <c r="O880" i="5"/>
  <c r="O879" i="5"/>
  <c r="O878" i="5"/>
  <c r="O877" i="5"/>
  <c r="O876" i="5"/>
  <c r="O875" i="5"/>
  <c r="O874" i="5"/>
  <c r="O873" i="5"/>
  <c r="O872" i="5"/>
  <c r="O871" i="5"/>
  <c r="O870" i="5"/>
  <c r="O869" i="5"/>
  <c r="O868" i="5"/>
  <c r="O867" i="5"/>
  <c r="O866" i="5"/>
  <c r="O865" i="5"/>
  <c r="O864" i="5"/>
  <c r="O863" i="5"/>
  <c r="O862" i="5"/>
  <c r="O861" i="5"/>
  <c r="O860" i="5"/>
  <c r="O859" i="5"/>
  <c r="O858" i="5"/>
  <c r="O857" i="5"/>
  <c r="O856" i="5"/>
  <c r="O855" i="5"/>
  <c r="O854" i="5"/>
  <c r="O853" i="5"/>
  <c r="O852" i="5"/>
  <c r="O851" i="5"/>
  <c r="O850" i="5"/>
  <c r="O849" i="5"/>
  <c r="O848" i="5"/>
  <c r="O847" i="5"/>
  <c r="O846" i="5"/>
  <c r="O845" i="5"/>
  <c r="O844" i="5"/>
  <c r="O843" i="5"/>
  <c r="O842" i="5"/>
  <c r="O841" i="5"/>
  <c r="O840" i="5"/>
  <c r="O839" i="5"/>
  <c r="O838" i="5"/>
  <c r="O837" i="5"/>
  <c r="O836" i="5"/>
  <c r="O835" i="5"/>
  <c r="O834" i="5"/>
  <c r="O833" i="5"/>
  <c r="O832" i="5"/>
  <c r="O831" i="5"/>
  <c r="O830" i="5"/>
  <c r="O829" i="5"/>
  <c r="O828" i="5"/>
  <c r="O827" i="5"/>
  <c r="O826" i="5"/>
  <c r="O825" i="5"/>
  <c r="O824" i="5"/>
  <c r="O823" i="5"/>
  <c r="O822" i="5"/>
  <c r="O821" i="5"/>
  <c r="O820" i="5"/>
  <c r="O819" i="5"/>
  <c r="O818" i="5"/>
  <c r="O817" i="5"/>
  <c r="O816" i="5"/>
  <c r="O815" i="5"/>
  <c r="O814" i="5"/>
  <c r="O813" i="5"/>
  <c r="O812" i="5"/>
  <c r="O811" i="5"/>
  <c r="O810" i="5"/>
  <c r="O809" i="5"/>
  <c r="O808" i="5"/>
  <c r="O807" i="5"/>
  <c r="O806" i="5"/>
  <c r="O805" i="5"/>
  <c r="O804" i="5"/>
  <c r="O803" i="5"/>
  <c r="O802" i="5"/>
  <c r="O801" i="5"/>
  <c r="O800" i="5"/>
  <c r="O799" i="5"/>
  <c r="O798" i="5"/>
  <c r="O797" i="5"/>
  <c r="O796" i="5"/>
  <c r="O795" i="5"/>
  <c r="O794" i="5"/>
  <c r="O793" i="5"/>
  <c r="O792" i="5"/>
  <c r="O791" i="5"/>
  <c r="O790" i="5"/>
  <c r="O789" i="5"/>
  <c r="O788" i="5"/>
  <c r="O787" i="5"/>
  <c r="O786" i="5"/>
  <c r="O785" i="5"/>
  <c r="O784" i="5"/>
  <c r="O783" i="5"/>
  <c r="O782" i="5"/>
  <c r="O781" i="5"/>
  <c r="O780" i="5"/>
  <c r="O779" i="5"/>
  <c r="O778" i="5"/>
  <c r="O777" i="5"/>
  <c r="O776" i="5"/>
  <c r="O775" i="5"/>
  <c r="O774" i="5"/>
  <c r="O773" i="5"/>
  <c r="O772" i="5"/>
  <c r="O771" i="5"/>
  <c r="O770" i="5"/>
  <c r="O769" i="5"/>
  <c r="O768" i="5"/>
  <c r="O767" i="5"/>
  <c r="O766" i="5"/>
  <c r="O765" i="5"/>
  <c r="O764" i="5"/>
  <c r="O763" i="5"/>
  <c r="O762" i="5"/>
  <c r="O761" i="5"/>
  <c r="O760" i="5"/>
  <c r="O759" i="5"/>
  <c r="O758" i="5"/>
  <c r="O757" i="5"/>
  <c r="O756" i="5"/>
  <c r="O755" i="5"/>
  <c r="N755" i="5"/>
  <c r="O754" i="5"/>
  <c r="O753" i="5"/>
  <c r="O752" i="5"/>
  <c r="O751" i="5"/>
  <c r="O750" i="5"/>
  <c r="O749" i="5"/>
  <c r="O748" i="5"/>
  <c r="O747" i="5"/>
  <c r="O746" i="5"/>
  <c r="O745" i="5"/>
  <c r="O744" i="5"/>
  <c r="O743" i="5"/>
  <c r="O742" i="5"/>
  <c r="O741" i="5"/>
  <c r="O740" i="5"/>
  <c r="O739" i="5"/>
  <c r="O738" i="5"/>
  <c r="O737" i="5"/>
  <c r="O736" i="5"/>
  <c r="O735" i="5"/>
  <c r="O734" i="5"/>
  <c r="O733" i="5"/>
  <c r="O732" i="5"/>
  <c r="O731" i="5"/>
  <c r="O730" i="5"/>
  <c r="O729" i="5"/>
  <c r="O728" i="5"/>
  <c r="O727" i="5"/>
  <c r="O726" i="5"/>
  <c r="O725" i="5"/>
  <c r="O724" i="5"/>
  <c r="O723" i="5"/>
  <c r="O722" i="5"/>
  <c r="O721" i="5"/>
  <c r="O720" i="5"/>
  <c r="O719" i="5"/>
  <c r="O718" i="5"/>
  <c r="O717" i="5"/>
  <c r="O716" i="5"/>
  <c r="O715" i="5"/>
  <c r="O714" i="5"/>
  <c r="O713" i="5"/>
  <c r="O712" i="5"/>
  <c r="O711" i="5"/>
  <c r="O710" i="5"/>
  <c r="O709" i="5"/>
  <c r="O708" i="5"/>
  <c r="O707" i="5"/>
  <c r="O706" i="5"/>
  <c r="O705" i="5"/>
  <c r="O704" i="5"/>
  <c r="O703" i="5"/>
  <c r="O702" i="5"/>
  <c r="O701" i="5"/>
  <c r="O700" i="5"/>
  <c r="O699" i="5"/>
  <c r="O698" i="5"/>
  <c r="O697" i="5"/>
  <c r="O696" i="5"/>
  <c r="O695" i="5"/>
  <c r="O694" i="5"/>
  <c r="O693" i="5"/>
  <c r="O692" i="5"/>
  <c r="O691" i="5"/>
  <c r="O690" i="5"/>
  <c r="O689" i="5"/>
  <c r="O688" i="5"/>
  <c r="O687" i="5"/>
  <c r="O686" i="5"/>
  <c r="O685" i="5"/>
  <c r="O684" i="5"/>
  <c r="O683" i="5"/>
  <c r="O682" i="5"/>
  <c r="O681" i="5"/>
  <c r="O680" i="5"/>
  <c r="O679" i="5"/>
  <c r="O678" i="5"/>
  <c r="O677" i="5"/>
  <c r="O676" i="5"/>
  <c r="O675" i="5"/>
  <c r="O674" i="5"/>
  <c r="O673" i="5"/>
  <c r="O672" i="5"/>
  <c r="O671" i="5"/>
  <c r="O670" i="5"/>
  <c r="O669" i="5"/>
  <c r="O668" i="5"/>
  <c r="O667" i="5"/>
  <c r="O666" i="5"/>
  <c r="O665" i="5"/>
  <c r="O664" i="5"/>
  <c r="O663" i="5"/>
  <c r="O662" i="5"/>
  <c r="O661" i="5"/>
  <c r="O660" i="5"/>
  <c r="O659" i="5"/>
  <c r="N659" i="5"/>
  <c r="O658" i="5"/>
  <c r="O657" i="5"/>
  <c r="O656" i="5"/>
  <c r="O655" i="5"/>
  <c r="O654" i="5"/>
  <c r="O653" i="5"/>
  <c r="O652" i="5"/>
  <c r="O651" i="5"/>
  <c r="O650" i="5"/>
  <c r="O649" i="5"/>
  <c r="O648" i="5"/>
  <c r="O647" i="5"/>
  <c r="O646" i="5"/>
  <c r="O645" i="5"/>
  <c r="O644" i="5"/>
  <c r="O643" i="5"/>
  <c r="O642" i="5"/>
  <c r="O641" i="5"/>
  <c r="O640" i="5"/>
  <c r="O639" i="5"/>
  <c r="O638" i="5"/>
  <c r="O637" i="5"/>
  <c r="O636" i="5"/>
  <c r="O635" i="5"/>
  <c r="O634" i="5"/>
  <c r="O633" i="5"/>
  <c r="O632" i="5"/>
  <c r="O631" i="5"/>
  <c r="O630" i="5"/>
  <c r="O629" i="5"/>
  <c r="O628" i="5"/>
  <c r="O627" i="5"/>
  <c r="O626" i="5"/>
  <c r="O625" i="5"/>
  <c r="O624" i="5"/>
  <c r="O623" i="5"/>
  <c r="O622" i="5"/>
  <c r="O621" i="5"/>
  <c r="O620" i="5"/>
  <c r="O619" i="5"/>
  <c r="O618" i="5"/>
  <c r="O617" i="5"/>
  <c r="O616" i="5"/>
  <c r="O615" i="5"/>
  <c r="O614" i="5"/>
  <c r="O613" i="5"/>
  <c r="O612" i="5"/>
  <c r="O611" i="5"/>
  <c r="O610" i="5"/>
  <c r="O609" i="5"/>
  <c r="O608" i="5"/>
  <c r="O607" i="5"/>
  <c r="O606" i="5"/>
  <c r="O605" i="5"/>
  <c r="O604" i="5"/>
  <c r="O603" i="5"/>
  <c r="O602" i="5"/>
  <c r="O601" i="5"/>
  <c r="O600" i="5"/>
  <c r="O599" i="5"/>
  <c r="O598" i="5"/>
  <c r="O597" i="5"/>
  <c r="O596" i="5"/>
  <c r="O595" i="5"/>
  <c r="O594" i="5"/>
  <c r="O593" i="5"/>
  <c r="O592" i="5"/>
  <c r="O591" i="5"/>
  <c r="O590" i="5"/>
  <c r="O589" i="5"/>
  <c r="O588" i="5"/>
  <c r="O587" i="5"/>
  <c r="O586" i="5"/>
  <c r="O585" i="5"/>
  <c r="O584" i="5"/>
  <c r="O583" i="5"/>
  <c r="O582" i="5"/>
  <c r="O581" i="5"/>
  <c r="O580" i="5"/>
  <c r="O579" i="5"/>
  <c r="O578" i="5"/>
  <c r="O577" i="5"/>
  <c r="O576" i="5"/>
  <c r="N576" i="5"/>
  <c r="O575" i="5"/>
  <c r="O574" i="5"/>
  <c r="O573" i="5"/>
  <c r="O572" i="5"/>
  <c r="O571" i="5"/>
  <c r="O570" i="5"/>
  <c r="O569" i="5"/>
  <c r="O568" i="5"/>
  <c r="O567" i="5"/>
  <c r="O566" i="5"/>
  <c r="O565" i="5"/>
  <c r="O564" i="5"/>
  <c r="O563" i="5"/>
  <c r="O562" i="5"/>
  <c r="O561" i="5"/>
  <c r="O560" i="5"/>
  <c r="O559" i="5"/>
  <c r="O558" i="5"/>
  <c r="O557" i="5"/>
  <c r="O556" i="5"/>
  <c r="O555" i="5"/>
  <c r="O554" i="5"/>
  <c r="O553" i="5"/>
  <c r="O552" i="5"/>
  <c r="O551" i="5"/>
  <c r="O550" i="5"/>
  <c r="O549" i="5"/>
  <c r="O548" i="5"/>
  <c r="O547" i="5"/>
  <c r="O546" i="5"/>
  <c r="O545" i="5"/>
  <c r="O544" i="5"/>
  <c r="O543" i="5"/>
  <c r="O542" i="5"/>
  <c r="O541" i="5"/>
  <c r="O540" i="5"/>
  <c r="O539" i="5"/>
  <c r="O538" i="5"/>
  <c r="O537" i="5"/>
  <c r="O536" i="5"/>
  <c r="O535" i="5"/>
  <c r="O534" i="5"/>
  <c r="O533" i="5"/>
  <c r="O532" i="5"/>
  <c r="O531" i="5"/>
  <c r="O530" i="5"/>
  <c r="O529" i="5"/>
  <c r="O528" i="5"/>
  <c r="O527" i="5"/>
  <c r="O526" i="5"/>
  <c r="O525" i="5"/>
  <c r="O524" i="5"/>
  <c r="O523" i="5"/>
  <c r="O522" i="5"/>
  <c r="O521" i="5"/>
  <c r="O520" i="5"/>
  <c r="O519" i="5"/>
  <c r="O518" i="5"/>
  <c r="O517" i="5"/>
  <c r="O516" i="5"/>
  <c r="O515" i="5"/>
  <c r="O514" i="5"/>
  <c r="O513" i="5"/>
  <c r="O512" i="5"/>
  <c r="O511" i="5"/>
  <c r="O510" i="5"/>
  <c r="O509" i="5"/>
  <c r="O508" i="5"/>
  <c r="O507" i="5"/>
  <c r="O506" i="5"/>
  <c r="O505" i="5"/>
  <c r="O504" i="5"/>
  <c r="O503" i="5"/>
  <c r="O502" i="5"/>
  <c r="O501" i="5"/>
  <c r="O500" i="5"/>
  <c r="O499" i="5"/>
  <c r="O498" i="5"/>
  <c r="O497" i="5"/>
  <c r="O496" i="5"/>
  <c r="O495" i="5"/>
  <c r="O494" i="5"/>
  <c r="O493" i="5"/>
  <c r="O492" i="5"/>
  <c r="O491" i="5"/>
  <c r="O490" i="5"/>
  <c r="O489" i="5"/>
  <c r="O488" i="5"/>
  <c r="O487" i="5"/>
  <c r="O486" i="5"/>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N450" i="5"/>
  <c r="O449" i="5"/>
  <c r="O448" i="5"/>
  <c r="O447" i="5"/>
  <c r="N447" i="5"/>
  <c r="O446" i="5"/>
  <c r="N446" i="5"/>
  <c r="O445" i="5"/>
  <c r="O444" i="5"/>
  <c r="O443" i="5"/>
  <c r="O442" i="5"/>
  <c r="O441" i="5"/>
  <c r="O440" i="5"/>
  <c r="O439" i="5"/>
  <c r="O438" i="5"/>
  <c r="O437" i="5"/>
  <c r="O436" i="5"/>
  <c r="O435" i="5"/>
  <c r="O434" i="5"/>
  <c r="O433" i="5"/>
  <c r="N433" i="5"/>
  <c r="O432" i="5"/>
  <c r="O431" i="5"/>
  <c r="O430" i="5"/>
  <c r="O429" i="5"/>
  <c r="O428" i="5"/>
  <c r="O427" i="5"/>
  <c r="O426" i="5"/>
  <c r="O425" i="5"/>
  <c r="O424" i="5"/>
  <c r="O423" i="5"/>
  <c r="O422" i="5"/>
  <c r="O421" i="5"/>
  <c r="O420" i="5"/>
  <c r="O419" i="5"/>
  <c r="O418" i="5"/>
  <c r="O417" i="5"/>
  <c r="O416" i="5"/>
  <c r="N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N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N248" i="5"/>
  <c r="O247" i="5"/>
  <c r="O246" i="5"/>
  <c r="O245" i="5"/>
  <c r="O244" i="5"/>
  <c r="N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154" i="5"/>
  <c r="O153" i="5"/>
  <c r="O152" i="5"/>
  <c r="O151" i="5"/>
  <c r="O150" i="5"/>
  <c r="O149" i="5"/>
  <c r="O148" i="5"/>
  <c r="O147" i="5"/>
  <c r="O146"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Q1072" i="5" l="1"/>
  <c r="Q1079" i="5" s="1"/>
  <c r="P27" i="13"/>
  <c r="O10" i="13"/>
  <c r="O11" i="13"/>
  <c r="O12" i="13"/>
  <c r="O13" i="13"/>
  <c r="O14" i="13"/>
  <c r="O15" i="13"/>
  <c r="O16" i="13"/>
  <c r="O17" i="13"/>
  <c r="O18" i="13"/>
  <c r="O19" i="13"/>
  <c r="O20" i="13"/>
  <c r="O21" i="13"/>
  <c r="O22" i="13"/>
  <c r="O23" i="13"/>
  <c r="O24" i="13"/>
  <c r="O25" i="13"/>
  <c r="F293" i="16" l="1"/>
  <c r="G9" i="9" s="1"/>
  <c r="F514" i="6" l="1"/>
  <c r="G514" i="6"/>
  <c r="H514" i="6"/>
  <c r="I514" i="6"/>
  <c r="J514" i="6"/>
  <c r="K514" i="6"/>
  <c r="E514" i="6"/>
  <c r="K1069" i="5" l="1"/>
  <c r="J1069" i="5"/>
  <c r="I1069" i="5"/>
  <c r="H1069" i="5"/>
  <c r="G1069" i="5"/>
  <c r="F1069" i="5"/>
  <c r="O1066" i="5" l="1"/>
  <c r="N1066" i="5"/>
  <c r="E1069" i="5"/>
  <c r="F526" i="6" l="1"/>
  <c r="I8" i="9" s="1"/>
  <c r="G28" i="9" l="1"/>
  <c r="G27" i="9"/>
  <c r="G26" i="9"/>
  <c r="C38" i="9"/>
  <c r="K14" i="2"/>
  <c r="K11" i="2"/>
  <c r="K10" i="2"/>
  <c r="H16" i="2"/>
  <c r="O18" i="2"/>
  <c r="B18" i="2"/>
  <c r="P17" i="2"/>
  <c r="P16" i="2"/>
  <c r="P15" i="2"/>
  <c r="P14" i="2"/>
  <c r="P13" i="2"/>
  <c r="P12" i="2"/>
  <c r="P11" i="2"/>
  <c r="P10" i="2"/>
  <c r="P9" i="2"/>
  <c r="P8" i="2"/>
  <c r="P7" i="2"/>
  <c r="P6" i="2"/>
  <c r="P5" i="2"/>
  <c r="F39" i="9"/>
  <c r="D38" i="9"/>
  <c r="H37" i="9"/>
  <c r="G37" i="9"/>
  <c r="H36" i="9"/>
  <c r="G36" i="9"/>
  <c r="H35" i="9"/>
  <c r="G35" i="9"/>
  <c r="H34" i="9"/>
  <c r="G34" i="9"/>
  <c r="H33" i="9"/>
  <c r="G33" i="9"/>
  <c r="H32" i="9"/>
  <c r="G32" i="9"/>
  <c r="H31" i="9"/>
  <c r="G31" i="9"/>
  <c r="H30" i="9"/>
  <c r="G30" i="9"/>
  <c r="H29" i="9"/>
  <c r="G29" i="9"/>
  <c r="H28" i="9"/>
  <c r="H27" i="9"/>
  <c r="H26" i="9"/>
  <c r="H25" i="9"/>
  <c r="B18" i="9"/>
  <c r="O19" i="2" l="1"/>
  <c r="P18" i="2"/>
  <c r="P19" i="2" s="1"/>
  <c r="D39" i="9"/>
  <c r="G25" i="9"/>
  <c r="G38" i="9" s="1"/>
  <c r="H38" i="9"/>
  <c r="F296" i="16" l="1"/>
  <c r="F295" i="16"/>
  <c r="K9" i="9" s="1"/>
  <c r="F292" i="16"/>
  <c r="E9" i="9" s="1"/>
  <c r="Q287" i="16"/>
  <c r="P287" i="16"/>
  <c r="N138" i="16"/>
  <c r="O11" i="16"/>
  <c r="O10" i="16"/>
  <c r="O9" i="16"/>
  <c r="O8" i="16"/>
  <c r="M9" i="9" l="1"/>
  <c r="F298" i="16"/>
  <c r="O282" i="16"/>
  <c r="O287" i="16" s="1"/>
  <c r="N282" i="16"/>
  <c r="K9" i="2" s="1"/>
  <c r="J287" i="16"/>
  <c r="G297" i="16" s="1"/>
  <c r="H297" i="16" s="1"/>
  <c r="N9" i="9"/>
  <c r="H287" i="16"/>
  <c r="G295" i="16" s="1"/>
  <c r="H295" i="16" s="1"/>
  <c r="J9" i="9"/>
  <c r="F287" i="16"/>
  <c r="G293" i="16" s="1"/>
  <c r="H293" i="16" s="1"/>
  <c r="F9" i="9"/>
  <c r="G287" i="16"/>
  <c r="G294" i="16" s="1"/>
  <c r="H294" i="16" s="1"/>
  <c r="H9" i="9"/>
  <c r="I287" i="16"/>
  <c r="G296" i="16" s="1"/>
  <c r="H296" i="16" s="1"/>
  <c r="L9" i="9"/>
  <c r="K287" i="16"/>
  <c r="G298" i="16" s="1"/>
  <c r="P9" i="9"/>
  <c r="N287" i="16" l="1"/>
  <c r="F299" i="16"/>
  <c r="Q9" i="9"/>
  <c r="H298" i="16"/>
  <c r="E9" i="2"/>
  <c r="H9" i="2"/>
  <c r="F9" i="2"/>
  <c r="G9" i="2"/>
  <c r="I9" i="2"/>
  <c r="J9" i="2"/>
  <c r="Q11" i="9"/>
  <c r="E173" i="15"/>
  <c r="G172" i="15"/>
  <c r="O11" i="9" s="1"/>
  <c r="E172" i="15"/>
  <c r="G171" i="15"/>
  <c r="M11" i="9" s="1"/>
  <c r="F171" i="15"/>
  <c r="H171" i="15" s="1"/>
  <c r="E171" i="15"/>
  <c r="G170" i="15"/>
  <c r="K11" i="9" s="1"/>
  <c r="F170" i="15"/>
  <c r="H170" i="15" s="1"/>
  <c r="E170" i="15"/>
  <c r="G169" i="15"/>
  <c r="I11" i="9" s="1"/>
  <c r="F169" i="15"/>
  <c r="E169" i="15"/>
  <c r="G168" i="15"/>
  <c r="G11" i="9" s="1"/>
  <c r="E168" i="15"/>
  <c r="G167" i="15"/>
  <c r="E11" i="9" s="1"/>
  <c r="E167" i="15"/>
  <c r="L11" i="9"/>
  <c r="H11" i="2" s="1"/>
  <c r="J11" i="9"/>
  <c r="G11" i="2" s="1"/>
  <c r="H161" i="15"/>
  <c r="H11" i="9" s="1"/>
  <c r="F11" i="2" s="1"/>
  <c r="G161" i="15"/>
  <c r="F161" i="15"/>
  <c r="N160" i="15"/>
  <c r="N159" i="15"/>
  <c r="N158" i="15"/>
  <c r="N157" i="15"/>
  <c r="N156" i="15"/>
  <c r="N155" i="15"/>
  <c r="N154" i="15"/>
  <c r="N153" i="15"/>
  <c r="N152" i="15"/>
  <c r="N151" i="15"/>
  <c r="N150" i="15"/>
  <c r="N149" i="15"/>
  <c r="N148" i="15"/>
  <c r="N147" i="15"/>
  <c r="N146" i="15"/>
  <c r="N145" i="15"/>
  <c r="N144" i="15"/>
  <c r="N143" i="15"/>
  <c r="N142" i="15"/>
  <c r="N141" i="15"/>
  <c r="N140" i="15"/>
  <c r="N139" i="15"/>
  <c r="N138" i="15"/>
  <c r="N137" i="15"/>
  <c r="N136" i="15"/>
  <c r="N135" i="15"/>
  <c r="N134" i="15"/>
  <c r="N133" i="15"/>
  <c r="N132" i="15"/>
  <c r="N131" i="15"/>
  <c r="N130" i="15"/>
  <c r="N129" i="15"/>
  <c r="N128" i="15"/>
  <c r="N127" i="15"/>
  <c r="N126" i="15"/>
  <c r="N125" i="15"/>
  <c r="N124" i="15"/>
  <c r="N123" i="15"/>
  <c r="N122" i="15"/>
  <c r="N121" i="15"/>
  <c r="N120" i="15"/>
  <c r="N119" i="15"/>
  <c r="N118" i="15"/>
  <c r="N117" i="15"/>
  <c r="N116" i="15"/>
  <c r="N115" i="15"/>
  <c r="N114" i="15"/>
  <c r="N113" i="15"/>
  <c r="N112" i="15"/>
  <c r="N111" i="15"/>
  <c r="N110" i="15"/>
  <c r="N109" i="15"/>
  <c r="N108" i="15"/>
  <c r="N107" i="15"/>
  <c r="N106" i="15"/>
  <c r="N105" i="15"/>
  <c r="N104" i="15"/>
  <c r="N103" i="15"/>
  <c r="N102" i="15"/>
  <c r="N101" i="15"/>
  <c r="N100" i="15"/>
  <c r="N99" i="15"/>
  <c r="N98" i="15"/>
  <c r="N97" i="15"/>
  <c r="N96" i="15"/>
  <c r="N95" i="15"/>
  <c r="N94" i="15"/>
  <c r="N93" i="15"/>
  <c r="N92" i="15"/>
  <c r="N91" i="15"/>
  <c r="N90" i="15"/>
  <c r="N89" i="15"/>
  <c r="N88" i="15"/>
  <c r="N87" i="15"/>
  <c r="N86" i="15"/>
  <c r="N85" i="15"/>
  <c r="N84" i="15"/>
  <c r="N83" i="15"/>
  <c r="N82" i="15"/>
  <c r="N81" i="15"/>
  <c r="N80" i="15"/>
  <c r="N79" i="15"/>
  <c r="N78" i="15"/>
  <c r="N77" i="15"/>
  <c r="N76" i="15"/>
  <c r="N75" i="15"/>
  <c r="N74" i="15"/>
  <c r="N73" i="15"/>
  <c r="N72" i="15"/>
  <c r="N71" i="15"/>
  <c r="N70" i="15"/>
  <c r="N69" i="15"/>
  <c r="N68" i="15"/>
  <c r="N67" i="15"/>
  <c r="N66" i="15"/>
  <c r="N65" i="15"/>
  <c r="N64" i="15"/>
  <c r="N63" i="15"/>
  <c r="N62" i="15"/>
  <c r="N61" i="15"/>
  <c r="N60" i="15"/>
  <c r="N59" i="15"/>
  <c r="N58" i="15"/>
  <c r="N57" i="15"/>
  <c r="N56" i="15"/>
  <c r="N55" i="15"/>
  <c r="N54" i="15"/>
  <c r="N53" i="15"/>
  <c r="N52" i="15"/>
  <c r="N51" i="15"/>
  <c r="N50" i="15"/>
  <c r="N49" i="15"/>
  <c r="N48" i="15"/>
  <c r="N47" i="15"/>
  <c r="N46" i="15"/>
  <c r="N45" i="15"/>
  <c r="N44" i="15"/>
  <c r="N43" i="15"/>
  <c r="N42" i="15"/>
  <c r="N41" i="15"/>
  <c r="N40" i="15"/>
  <c r="N39" i="15"/>
  <c r="N38" i="15"/>
  <c r="N37" i="15"/>
  <c r="N36" i="15"/>
  <c r="N35" i="15"/>
  <c r="N34" i="15"/>
  <c r="N33" i="15"/>
  <c r="N32" i="15"/>
  <c r="N31" i="15"/>
  <c r="N30" i="15"/>
  <c r="N29" i="15"/>
  <c r="N28" i="15"/>
  <c r="N27" i="15"/>
  <c r="N26" i="15"/>
  <c r="N25" i="15"/>
  <c r="N24" i="15"/>
  <c r="N23" i="15"/>
  <c r="N22" i="15"/>
  <c r="N21" i="15"/>
  <c r="N20" i="15"/>
  <c r="N19" i="15"/>
  <c r="N18" i="15"/>
  <c r="N17" i="15"/>
  <c r="N16" i="15"/>
  <c r="N15" i="15"/>
  <c r="N14" i="15"/>
  <c r="N13" i="15"/>
  <c r="N12" i="15"/>
  <c r="N11" i="15"/>
  <c r="N10" i="15"/>
  <c r="N9" i="15"/>
  <c r="N8" i="15"/>
  <c r="N7" i="15"/>
  <c r="H169" i="15" l="1"/>
  <c r="M11" i="2"/>
  <c r="S11" i="9"/>
  <c r="F172" i="15"/>
  <c r="H172" i="15" s="1"/>
  <c r="N11" i="9"/>
  <c r="I11" i="2" s="1"/>
  <c r="F168" i="15"/>
  <c r="H168" i="15" s="1"/>
  <c r="F11" i="9"/>
  <c r="E11" i="2" s="1"/>
  <c r="M9" i="2"/>
  <c r="N9" i="2" s="1"/>
  <c r="S9" i="9"/>
  <c r="F167" i="15"/>
  <c r="D11" i="9"/>
  <c r="F173" i="15"/>
  <c r="H173" i="15" s="1"/>
  <c r="P11" i="9"/>
  <c r="J11" i="2" s="1"/>
  <c r="G174" i="15"/>
  <c r="H167" i="15"/>
  <c r="F174" i="15" l="1"/>
  <c r="H174" i="15" s="1"/>
  <c r="D11" i="2"/>
  <c r="R11" i="9"/>
  <c r="T11" i="9" s="1"/>
  <c r="N11" i="2"/>
  <c r="F42" i="13"/>
  <c r="Q17" i="9" s="1"/>
  <c r="F41" i="13"/>
  <c r="O40" i="13"/>
  <c r="F40" i="13"/>
  <c r="F37" i="13"/>
  <c r="Q26" i="13"/>
  <c r="Q31" i="13" s="1"/>
  <c r="P31" i="13"/>
  <c r="N26" i="13"/>
  <c r="K17" i="2" s="1"/>
  <c r="K26" i="13"/>
  <c r="P17" i="9" s="1"/>
  <c r="J17" i="2" s="1"/>
  <c r="J26" i="13"/>
  <c r="N17" i="9" s="1"/>
  <c r="I17" i="2" s="1"/>
  <c r="I26" i="13"/>
  <c r="L17" i="9" s="1"/>
  <c r="H17" i="2" s="1"/>
  <c r="H26" i="13"/>
  <c r="J17" i="9" s="1"/>
  <c r="G17" i="2" s="1"/>
  <c r="G26" i="13"/>
  <c r="F26" i="13"/>
  <c r="E26" i="13"/>
  <c r="O9" i="13"/>
  <c r="O8" i="13"/>
  <c r="F43" i="13" l="1"/>
  <c r="O26" i="13"/>
  <c r="O31" i="13" s="1"/>
  <c r="H31" i="13"/>
  <c r="G39" i="13" s="1"/>
  <c r="H39" i="13" s="1"/>
  <c r="J31" i="13"/>
  <c r="G41" i="13" s="1"/>
  <c r="H41" i="13" s="1"/>
  <c r="N31" i="13"/>
  <c r="M17" i="2"/>
  <c r="N17" i="2" s="1"/>
  <c r="S17" i="9"/>
  <c r="E31" i="13"/>
  <c r="G36" i="13" s="1"/>
  <c r="D17" i="9"/>
  <c r="U11" i="9"/>
  <c r="I31" i="13"/>
  <c r="G40" i="13" s="1"/>
  <c r="H40" i="13" s="1"/>
  <c r="K31" i="13"/>
  <c r="G42" i="13" s="1"/>
  <c r="H42" i="13" s="1"/>
  <c r="F31" i="13"/>
  <c r="G37" i="13" s="1"/>
  <c r="H37" i="13" s="1"/>
  <c r="F17" i="9"/>
  <c r="E17" i="2" s="1"/>
  <c r="G31" i="13"/>
  <c r="G38" i="13" s="1"/>
  <c r="H38" i="13" s="1"/>
  <c r="H17" i="9"/>
  <c r="F17" i="2" s="1"/>
  <c r="Q11" i="2"/>
  <c r="L11" i="2"/>
  <c r="H36" i="13"/>
  <c r="L141" i="14"/>
  <c r="Q16" i="9" s="1"/>
  <c r="L140" i="14"/>
  <c r="L139" i="14"/>
  <c r="L138" i="14"/>
  <c r="L137" i="14"/>
  <c r="L136" i="14"/>
  <c r="L135" i="14"/>
  <c r="P126" i="14"/>
  <c r="N126" i="14"/>
  <c r="L126" i="14"/>
  <c r="K126" i="14"/>
  <c r="K129" i="14" s="1"/>
  <c r="J126" i="14"/>
  <c r="I126" i="14"/>
  <c r="H126" i="14"/>
  <c r="G126" i="14"/>
  <c r="O125" i="14"/>
  <c r="O124" i="14"/>
  <c r="O123" i="14"/>
  <c r="O122" i="14"/>
  <c r="O121" i="14"/>
  <c r="O120" i="14"/>
  <c r="O119" i="14"/>
  <c r="O118" i="14"/>
  <c r="O117" i="14"/>
  <c r="O116" i="14"/>
  <c r="O115" i="14"/>
  <c r="O114" i="14"/>
  <c r="O113" i="14"/>
  <c r="O112" i="14"/>
  <c r="O111" i="14"/>
  <c r="O110" i="14"/>
  <c r="M109" i="14"/>
  <c r="O109" i="14" s="1"/>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4" i="14"/>
  <c r="O13" i="14"/>
  <c r="O12" i="14"/>
  <c r="O11" i="14"/>
  <c r="O10" i="14"/>
  <c r="O9" i="14"/>
  <c r="O8" i="14"/>
  <c r="O7" i="14"/>
  <c r="M16" i="2" l="1"/>
  <c r="S16" i="9"/>
  <c r="H129" i="14"/>
  <c r="F16" i="9"/>
  <c r="E16" i="2" s="1"/>
  <c r="G43" i="13"/>
  <c r="D17" i="2"/>
  <c r="R17" i="9"/>
  <c r="T17" i="9" s="1"/>
  <c r="H43" i="13"/>
  <c r="N129" i="14"/>
  <c r="K16" i="2"/>
  <c r="G129" i="14"/>
  <c r="D16" i="9"/>
  <c r="I129" i="14"/>
  <c r="H16" i="9"/>
  <c r="F16" i="2" s="1"/>
  <c r="J129" i="14"/>
  <c r="J16" i="9"/>
  <c r="G16" i="2" s="1"/>
  <c r="L129" i="14"/>
  <c r="N16" i="9"/>
  <c r="I16" i="2" s="1"/>
  <c r="L142" i="14"/>
  <c r="K136" i="14"/>
  <c r="M136" i="14" s="1"/>
  <c r="K137" i="14"/>
  <c r="M137" i="14" s="1"/>
  <c r="K135" i="14"/>
  <c r="M135" i="14" s="1"/>
  <c r="O126" i="14"/>
  <c r="O129" i="14" s="1"/>
  <c r="K138" i="14"/>
  <c r="M138" i="14" s="1"/>
  <c r="K140" i="14"/>
  <c r="M140" i="14" s="1"/>
  <c r="M126" i="14"/>
  <c r="P16" i="9" s="1"/>
  <c r="J16" i="2" s="1"/>
  <c r="K139" i="14"/>
  <c r="M139" i="14" s="1"/>
  <c r="U17" i="9" l="1"/>
  <c r="D16" i="2"/>
  <c r="R16" i="9"/>
  <c r="T16" i="9" s="1"/>
  <c r="L17" i="2"/>
  <c r="Q17" i="2"/>
  <c r="M129" i="14"/>
  <c r="K141" i="14"/>
  <c r="M141" i="14" s="1"/>
  <c r="M142" i="14"/>
  <c r="K142" i="14"/>
  <c r="L16" i="2" l="1"/>
  <c r="Q16" i="2"/>
  <c r="O104" i="12"/>
  <c r="Q12" i="9" s="1"/>
  <c r="Q103" i="12"/>
  <c r="O102" i="12"/>
  <c r="M12" i="9" s="1"/>
  <c r="O101" i="12"/>
  <c r="K12" i="9" s="1"/>
  <c r="O100" i="12"/>
  <c r="I12" i="9" s="1"/>
  <c r="O99" i="12"/>
  <c r="G12" i="9" s="1"/>
  <c r="O98" i="12"/>
  <c r="E12" i="9" s="1"/>
  <c r="K12" i="2"/>
  <c r="M92" i="12"/>
  <c r="P12" i="9"/>
  <c r="J12" i="2" s="1"/>
  <c r="N12" i="9"/>
  <c r="I12" i="2" s="1"/>
  <c r="L12" i="9"/>
  <c r="H12" i="2" s="1"/>
  <c r="K95" i="12" l="1"/>
  <c r="P104" i="12" s="1"/>
  <c r="Q104" i="12" s="1"/>
  <c r="I95" i="12"/>
  <c r="P101" i="12" s="1"/>
  <c r="Q101" i="12" s="1"/>
  <c r="E95" i="12"/>
  <c r="P98" i="12" s="1"/>
  <c r="D12" i="9"/>
  <c r="F95" i="12"/>
  <c r="P99" i="12" s="1"/>
  <c r="Q99" i="12" s="1"/>
  <c r="F12" i="9"/>
  <c r="E12" i="2" s="1"/>
  <c r="G95" i="12"/>
  <c r="P100" i="12" s="1"/>
  <c r="Q100" i="12" s="1"/>
  <c r="H12" i="9"/>
  <c r="F12" i="2" s="1"/>
  <c r="H95" i="12"/>
  <c r="P102" i="12" s="1"/>
  <c r="Q102" i="12" s="1"/>
  <c r="J12" i="9"/>
  <c r="G12" i="2" s="1"/>
  <c r="J95" i="12"/>
  <c r="M12" i="2"/>
  <c r="N12" i="2" s="1"/>
  <c r="S12" i="9"/>
  <c r="Q98" i="12"/>
  <c r="Q105" i="12" l="1"/>
  <c r="P105" i="12"/>
  <c r="D12" i="2"/>
  <c r="R12" i="9"/>
  <c r="T12" i="9" s="1"/>
  <c r="Q15" i="9"/>
  <c r="M15" i="9"/>
  <c r="K15" i="9"/>
  <c r="I15" i="9"/>
  <c r="G15" i="9"/>
  <c r="E15" i="9"/>
  <c r="P185" i="11"/>
  <c r="P189" i="11" s="1"/>
  <c r="K185" i="11"/>
  <c r="J185" i="11"/>
  <c r="I185" i="11"/>
  <c r="H185" i="11"/>
  <c r="G185" i="11"/>
  <c r="F185" i="11"/>
  <c r="E185" i="11"/>
  <c r="N185" i="11"/>
  <c r="J189" i="11" l="1"/>
  <c r="N15" i="9"/>
  <c r="I15" i="2" s="1"/>
  <c r="N189" i="11"/>
  <c r="K15" i="2"/>
  <c r="I189" i="11"/>
  <c r="L15" i="9"/>
  <c r="H15" i="2" s="1"/>
  <c r="F201" i="11"/>
  <c r="E189" i="11"/>
  <c r="D15" i="9"/>
  <c r="G189" i="11"/>
  <c r="H15" i="9"/>
  <c r="F15" i="2" s="1"/>
  <c r="K189" i="11"/>
  <c r="P15" i="9"/>
  <c r="J15" i="2" s="1"/>
  <c r="M15" i="2"/>
  <c r="N15" i="2" s="1"/>
  <c r="S15" i="9"/>
  <c r="L12" i="2"/>
  <c r="Q12" i="2"/>
  <c r="U12" i="9"/>
  <c r="F189" i="11"/>
  <c r="F15" i="9"/>
  <c r="E15" i="2" s="1"/>
  <c r="H189" i="11"/>
  <c r="J15" i="9"/>
  <c r="G15" i="2" s="1"/>
  <c r="G201" i="11"/>
  <c r="H201" i="11"/>
  <c r="O185" i="11"/>
  <c r="O189" i="11" s="1"/>
  <c r="D15" i="2" l="1"/>
  <c r="R15" i="9"/>
  <c r="T15" i="9" s="1"/>
  <c r="Q14" i="9"/>
  <c r="O14" i="9"/>
  <c r="M14" i="9"/>
  <c r="K14" i="9"/>
  <c r="I14" i="9"/>
  <c r="G14" i="9"/>
  <c r="L14" i="9"/>
  <c r="H14" i="2" s="1"/>
  <c r="J14" i="9"/>
  <c r="G14" i="2" s="1"/>
  <c r="H14" i="9"/>
  <c r="F14" i="2" s="1"/>
  <c r="G209" i="10"/>
  <c r="F209" i="10"/>
  <c r="D14" i="9" s="1"/>
  <c r="N208" i="10"/>
  <c r="N207" i="10"/>
  <c r="N206" i="10"/>
  <c r="N205" i="10"/>
  <c r="N204" i="10"/>
  <c r="N203" i="10"/>
  <c r="N202" i="10"/>
  <c r="N201" i="10"/>
  <c r="N200" i="10"/>
  <c r="N199" i="10"/>
  <c r="N198" i="10"/>
  <c r="N197" i="10"/>
  <c r="N196" i="10"/>
  <c r="N195" i="10"/>
  <c r="N194" i="10"/>
  <c r="N193" i="10"/>
  <c r="N192" i="10"/>
  <c r="N191" i="10"/>
  <c r="N190" i="10"/>
  <c r="N189" i="10"/>
  <c r="N188" i="10"/>
  <c r="N187" i="10"/>
  <c r="N186" i="10"/>
  <c r="N185" i="10"/>
  <c r="N184" i="10"/>
  <c r="N183" i="10"/>
  <c r="N182" i="10"/>
  <c r="N181" i="10"/>
  <c r="N180" i="10"/>
  <c r="N179" i="10"/>
  <c r="N178" i="10"/>
  <c r="N177" i="10"/>
  <c r="N176" i="10"/>
  <c r="N175" i="10"/>
  <c r="N174" i="10"/>
  <c r="N173" i="10"/>
  <c r="N172" i="10"/>
  <c r="N171" i="10"/>
  <c r="N170" i="10"/>
  <c r="N169" i="10"/>
  <c r="N168" i="10"/>
  <c r="N167" i="10"/>
  <c r="N166" i="10"/>
  <c r="N165" i="10"/>
  <c r="N164" i="10"/>
  <c r="N163" i="10"/>
  <c r="N162" i="10"/>
  <c r="N161" i="10"/>
  <c r="N160" i="10"/>
  <c r="N159" i="10"/>
  <c r="N158" i="10"/>
  <c r="N157" i="10"/>
  <c r="N156" i="10"/>
  <c r="N155" i="10"/>
  <c r="N154" i="10"/>
  <c r="N153" i="10"/>
  <c r="N152" i="10"/>
  <c r="N151" i="10"/>
  <c r="N150" i="10"/>
  <c r="N149" i="10"/>
  <c r="N148" i="10"/>
  <c r="N147" i="10"/>
  <c r="N146" i="10"/>
  <c r="N145" i="10"/>
  <c r="N144" i="10"/>
  <c r="N143" i="10"/>
  <c r="N142" i="10"/>
  <c r="N141" i="10"/>
  <c r="N140" i="10"/>
  <c r="N139" i="10"/>
  <c r="N138" i="10"/>
  <c r="N137" i="10"/>
  <c r="N136" i="10"/>
  <c r="N135" i="10"/>
  <c r="N134" i="10"/>
  <c r="N133" i="10"/>
  <c r="N132" i="10"/>
  <c r="N131" i="10"/>
  <c r="N130" i="10"/>
  <c r="N129" i="10"/>
  <c r="N128" i="10"/>
  <c r="N127" i="10"/>
  <c r="N126" i="10"/>
  <c r="N125" i="10"/>
  <c r="N124" i="10"/>
  <c r="N123" i="10"/>
  <c r="N122" i="10"/>
  <c r="N121" i="10"/>
  <c r="N120" i="10"/>
  <c r="N119" i="10"/>
  <c r="N118" i="10"/>
  <c r="N117" i="10"/>
  <c r="N116" i="10"/>
  <c r="N115" i="10"/>
  <c r="N114" i="10"/>
  <c r="N113" i="10"/>
  <c r="N112" i="10"/>
  <c r="N111" i="10"/>
  <c r="N110" i="10"/>
  <c r="N109" i="10"/>
  <c r="N108" i="10"/>
  <c r="N107" i="10"/>
  <c r="N106" i="10"/>
  <c r="N105" i="10"/>
  <c r="N104" i="10"/>
  <c r="N103" i="10"/>
  <c r="N102" i="10"/>
  <c r="N101" i="10"/>
  <c r="N100" i="10"/>
  <c r="N99" i="10"/>
  <c r="N98" i="10"/>
  <c r="N97" i="10"/>
  <c r="N96" i="10"/>
  <c r="N95" i="10"/>
  <c r="N94" i="10"/>
  <c r="N93" i="10"/>
  <c r="N92" i="10"/>
  <c r="N91" i="10"/>
  <c r="N90" i="10"/>
  <c r="N89" i="10"/>
  <c r="N88" i="10"/>
  <c r="N87" i="10"/>
  <c r="N86" i="10"/>
  <c r="N85" i="10"/>
  <c r="N84" i="10"/>
  <c r="N83" i="10"/>
  <c r="N82" i="10"/>
  <c r="N81" i="10"/>
  <c r="N80" i="10"/>
  <c r="N79" i="10"/>
  <c r="N78" i="10"/>
  <c r="N77" i="10"/>
  <c r="N76" i="10"/>
  <c r="N75" i="10"/>
  <c r="N74" i="10"/>
  <c r="N73" i="10"/>
  <c r="N72" i="10"/>
  <c r="N71" i="10"/>
  <c r="N70" i="10"/>
  <c r="N69" i="10"/>
  <c r="N68" i="10"/>
  <c r="N67" i="10"/>
  <c r="N66" i="10"/>
  <c r="N65" i="10"/>
  <c r="N64" i="10"/>
  <c r="N63" i="10"/>
  <c r="N62" i="10"/>
  <c r="N61" i="10"/>
  <c r="N60" i="10"/>
  <c r="N59" i="10"/>
  <c r="N58" i="10"/>
  <c r="N57" i="10"/>
  <c r="N56" i="10"/>
  <c r="N55" i="10"/>
  <c r="N54" i="10"/>
  <c r="N53" i="10"/>
  <c r="N52" i="10"/>
  <c r="N51" i="10"/>
  <c r="N50" i="10"/>
  <c r="N49" i="10"/>
  <c r="N48" i="10"/>
  <c r="N47" i="10"/>
  <c r="N46" i="10"/>
  <c r="N45" i="10"/>
  <c r="N44" i="10"/>
  <c r="N43" i="10"/>
  <c r="N42" i="10"/>
  <c r="N41" i="10"/>
  <c r="N40" i="10"/>
  <c r="N39" i="10"/>
  <c r="N38" i="10"/>
  <c r="N37" i="10"/>
  <c r="N36" i="10"/>
  <c r="N35" i="10"/>
  <c r="N34" i="10"/>
  <c r="N33" i="10"/>
  <c r="N32" i="10"/>
  <c r="N31" i="10"/>
  <c r="N30" i="10"/>
  <c r="N29" i="10"/>
  <c r="N28" i="10"/>
  <c r="N27" i="10"/>
  <c r="N26" i="10"/>
  <c r="N25" i="10"/>
  <c r="N24" i="10"/>
  <c r="N23" i="10"/>
  <c r="N22" i="10"/>
  <c r="N21" i="10"/>
  <c r="N20" i="10"/>
  <c r="N19" i="10"/>
  <c r="N18" i="10"/>
  <c r="N17" i="10"/>
  <c r="N16" i="10"/>
  <c r="N15" i="10"/>
  <c r="N14" i="10"/>
  <c r="N13" i="10"/>
  <c r="N12" i="10"/>
  <c r="N11" i="10"/>
  <c r="N10" i="10"/>
  <c r="N9" i="10"/>
  <c r="N8" i="10"/>
  <c r="N7" i="10"/>
  <c r="N209" i="10" l="1"/>
  <c r="E14" i="9"/>
  <c r="P14" i="9"/>
  <c r="J14" i="2" s="1"/>
  <c r="N14" i="9"/>
  <c r="I14" i="2" s="1"/>
  <c r="D14" i="2"/>
  <c r="M14" i="2"/>
  <c r="S14" i="9"/>
  <c r="F14" i="9"/>
  <c r="E14" i="2" s="1"/>
  <c r="Q15" i="2"/>
  <c r="L15" i="2"/>
  <c r="U15" i="9"/>
  <c r="N14" i="2" l="1"/>
  <c r="L14" i="2"/>
  <c r="Q14" i="2"/>
  <c r="R14" i="9"/>
  <c r="J306" i="8"/>
  <c r="J305" i="8"/>
  <c r="J304" i="8"/>
  <c r="J303" i="8"/>
  <c r="J302" i="8"/>
  <c r="J301" i="8"/>
  <c r="J307" i="8" s="1"/>
  <c r="J300" i="8"/>
  <c r="P13" i="9"/>
  <c r="J13" i="2" s="1"/>
  <c r="N13" i="9"/>
  <c r="I13" i="2" s="1"/>
  <c r="L13" i="9"/>
  <c r="H13" i="2" s="1"/>
  <c r="J13" i="9"/>
  <c r="G13" i="2" s="1"/>
  <c r="H13" i="9"/>
  <c r="F13" i="2" s="1"/>
  <c r="F13" i="9"/>
  <c r="E13" i="2" s="1"/>
  <c r="K13" i="2"/>
  <c r="I302" i="8" l="1"/>
  <c r="K302" i="8" s="1"/>
  <c r="I303" i="8"/>
  <c r="K303" i="8" s="1"/>
  <c r="I300" i="8"/>
  <c r="D13" i="9"/>
  <c r="I304" i="8"/>
  <c r="K304" i="8" s="1"/>
  <c r="I305" i="8"/>
  <c r="K305" i="8" s="1"/>
  <c r="I306" i="8"/>
  <c r="K306" i="8" s="1"/>
  <c r="U14" i="9"/>
  <c r="T14" i="9"/>
  <c r="I301" i="8"/>
  <c r="K301" i="8" s="1"/>
  <c r="L306" i="8"/>
  <c r="Q13" i="9"/>
  <c r="K300" i="8"/>
  <c r="K307" i="8" l="1"/>
  <c r="I307" i="8"/>
  <c r="L307" i="8" s="1"/>
  <c r="M13" i="2"/>
  <c r="N13" i="2" s="1"/>
  <c r="S13" i="9"/>
  <c r="D13" i="2"/>
  <c r="R13" i="9"/>
  <c r="Q10" i="9"/>
  <c r="O10" i="9"/>
  <c r="M10" i="9"/>
  <c r="K10" i="9"/>
  <c r="I10" i="9"/>
  <c r="G10" i="9"/>
  <c r="F235" i="7"/>
  <c r="F10" i="9"/>
  <c r="E10" i="2" s="1"/>
  <c r="E10" i="9" l="1"/>
  <c r="U13" i="9"/>
  <c r="N10" i="9"/>
  <c r="I10" i="2" s="1"/>
  <c r="H10" i="9"/>
  <c r="F10" i="2" s="1"/>
  <c r="L10" i="9"/>
  <c r="H10" i="2" s="1"/>
  <c r="M10" i="2"/>
  <c r="S10" i="9"/>
  <c r="D10" i="9"/>
  <c r="T13" i="9"/>
  <c r="J10" i="9"/>
  <c r="G10" i="2" s="1"/>
  <c r="L13" i="2"/>
  <c r="Q13" i="2"/>
  <c r="P10" i="9" l="1"/>
  <c r="J10" i="2" s="1"/>
  <c r="D10" i="2"/>
  <c r="R10" i="9"/>
  <c r="T10" i="9" s="1"/>
  <c r="N10" i="2"/>
  <c r="L10" i="2" l="1"/>
  <c r="Q10" i="2"/>
  <c r="U10" i="9"/>
  <c r="F529" i="6"/>
  <c r="F528" i="6"/>
  <c r="F527" i="6"/>
  <c r="K8" i="9" s="1"/>
  <c r="F525" i="6"/>
  <c r="G8" i="9" s="1"/>
  <c r="F524" i="6"/>
  <c r="E8" i="9" s="1"/>
  <c r="Q519" i="6"/>
  <c r="P519" i="6"/>
  <c r="N251" i="6"/>
  <c r="N250" i="6"/>
  <c r="N237" i="6"/>
  <c r="N162" i="6"/>
  <c r="O10" i="6"/>
  <c r="O9" i="6"/>
  <c r="O8" i="6"/>
  <c r="O8" i="9" l="1"/>
  <c r="M8" i="9"/>
  <c r="N514" i="6"/>
  <c r="J519" i="6"/>
  <c r="G529" i="6" s="1"/>
  <c r="H529" i="6" s="1"/>
  <c r="N8" i="9"/>
  <c r="G519" i="6"/>
  <c r="G526" i="6" s="1"/>
  <c r="H526" i="6" s="1"/>
  <c r="H8" i="9"/>
  <c r="I519" i="6"/>
  <c r="G528" i="6" s="1"/>
  <c r="H528" i="6" s="1"/>
  <c r="L8" i="9"/>
  <c r="F519" i="6"/>
  <c r="G525" i="6" s="1"/>
  <c r="H525" i="6" s="1"/>
  <c r="F8" i="9"/>
  <c r="H519" i="6"/>
  <c r="G527" i="6" s="1"/>
  <c r="H527" i="6" s="1"/>
  <c r="J8" i="9"/>
  <c r="K519" i="6"/>
  <c r="G530" i="6" s="1"/>
  <c r="P8" i="9"/>
  <c r="O514" i="6"/>
  <c r="O519" i="6" s="1"/>
  <c r="E519" i="6"/>
  <c r="G524" i="6" s="1"/>
  <c r="D8" i="9"/>
  <c r="F530" i="6"/>
  <c r="G531" i="6"/>
  <c r="H524" i="6"/>
  <c r="F531" i="6" l="1"/>
  <c r="Q8" i="9"/>
  <c r="K8" i="2"/>
  <c r="N519" i="6"/>
  <c r="D8" i="2"/>
  <c r="R8" i="9"/>
  <c r="J8" i="2"/>
  <c r="G8" i="2"/>
  <c r="H8" i="2"/>
  <c r="F8" i="2"/>
  <c r="H530" i="6"/>
  <c r="H531" i="6" s="1"/>
  <c r="E8" i="2"/>
  <c r="I8" i="2"/>
  <c r="I7" i="2"/>
  <c r="H7" i="2"/>
  <c r="F7" i="2"/>
  <c r="E7" i="2"/>
  <c r="G7" i="2" l="1"/>
  <c r="D7" i="2"/>
  <c r="M7" i="2"/>
  <c r="S7" i="9"/>
  <c r="M8" i="2"/>
  <c r="N8" i="2" s="1"/>
  <c r="S8" i="9"/>
  <c r="T8" i="9" s="1"/>
  <c r="Q8" i="2"/>
  <c r="L8" i="2"/>
  <c r="O6" i="9"/>
  <c r="M6" i="9"/>
  <c r="K6" i="9"/>
  <c r="I6" i="9"/>
  <c r="G6" i="9"/>
  <c r="K6" i="2"/>
  <c r="P6" i="9"/>
  <c r="J6" i="2" s="1"/>
  <c r="F6" i="9"/>
  <c r="E6" i="2" s="1"/>
  <c r="E6" i="9" l="1"/>
  <c r="E18" i="9" s="1"/>
  <c r="K18" i="2"/>
  <c r="J6" i="9"/>
  <c r="G6" i="2" s="1"/>
  <c r="H6" i="9"/>
  <c r="F6" i="2" s="1"/>
  <c r="L6" i="9"/>
  <c r="H6" i="2" s="1"/>
  <c r="R7" i="9"/>
  <c r="T7" i="9" s="1"/>
  <c r="J7" i="2"/>
  <c r="N7" i="2" s="1"/>
  <c r="N6" i="9"/>
  <c r="U8" i="9"/>
  <c r="Q6" i="9"/>
  <c r="D6" i="9"/>
  <c r="D6" i="2" s="1"/>
  <c r="L7" i="2" l="1"/>
  <c r="Q7" i="2"/>
  <c r="M6" i="2"/>
  <c r="N6" i="2" s="1"/>
  <c r="S6" i="9"/>
  <c r="R6" i="9"/>
  <c r="I6" i="2"/>
  <c r="L6" i="2" s="1"/>
  <c r="U7" i="9"/>
  <c r="T6" i="9" l="1"/>
  <c r="U6" i="9"/>
  <c r="Q6" i="2"/>
  <c r="O772" i="3" l="1"/>
  <c r="Q5" i="9" s="1"/>
  <c r="O771" i="3"/>
  <c r="O5" i="9" s="1"/>
  <c r="O18" i="9" s="1"/>
  <c r="O770" i="3"/>
  <c r="M5" i="9" s="1"/>
  <c r="M18" i="9" s="1"/>
  <c r="O769" i="3"/>
  <c r="O768" i="3"/>
  <c r="O767" i="3"/>
  <c r="G5" i="9" s="1"/>
  <c r="G18" i="9" s="1"/>
  <c r="E760" i="3"/>
  <c r="E763" i="3" s="1"/>
  <c r="K29" i="3"/>
  <c r="K28" i="3"/>
  <c r="D28" i="3"/>
  <c r="D27" i="3" s="1"/>
  <c r="D26" i="3" s="1"/>
  <c r="D25" i="3" s="1"/>
  <c r="D24" i="3" s="1"/>
  <c r="D23" i="3" s="1"/>
  <c r="K24" i="3"/>
  <c r="K25" i="3" s="1"/>
  <c r="K5" i="9" l="1"/>
  <c r="K18" i="9" s="1"/>
  <c r="I5" i="9"/>
  <c r="I18" i="9" s="1"/>
  <c r="P766" i="3"/>
  <c r="Q766" i="3" s="1"/>
  <c r="D5" i="9"/>
  <c r="H763" i="3"/>
  <c r="P769" i="3" s="1"/>
  <c r="Q769" i="3" s="1"/>
  <c r="J5" i="9"/>
  <c r="F763" i="3"/>
  <c r="P767" i="3" s="1"/>
  <c r="O773" i="3"/>
  <c r="G763" i="3"/>
  <c r="P768" i="3" s="1"/>
  <c r="Q768" i="3" s="1"/>
  <c r="H5" i="9"/>
  <c r="J763" i="3"/>
  <c r="P771" i="3" s="1"/>
  <c r="Q771" i="3" s="1"/>
  <c r="N5" i="9"/>
  <c r="I763" i="3"/>
  <c r="P770" i="3" s="1"/>
  <c r="Q770" i="3" s="1"/>
  <c r="L5" i="9"/>
  <c r="M5" i="2"/>
  <c r="Q18" i="9"/>
  <c r="S5" i="9"/>
  <c r="S18" i="9" s="1"/>
  <c r="K26" i="3"/>
  <c r="K27" i="3" s="1"/>
  <c r="Q767" i="3"/>
  <c r="D29" i="3"/>
  <c r="K763" i="3" l="1"/>
  <c r="P772" i="3" s="1"/>
  <c r="P5" i="9"/>
  <c r="R5" i="9" s="1"/>
  <c r="T5" i="9" s="1"/>
  <c r="M18" i="2"/>
  <c r="H5" i="2"/>
  <c r="L18" i="9"/>
  <c r="I5" i="2"/>
  <c r="N18" i="9"/>
  <c r="F5" i="2"/>
  <c r="H18" i="9"/>
  <c r="E5" i="2"/>
  <c r="F18" i="9"/>
  <c r="G5" i="2"/>
  <c r="J18" i="9"/>
  <c r="D5" i="2"/>
  <c r="O19" i="9" l="1"/>
  <c r="I18" i="2"/>
  <c r="K19" i="9"/>
  <c r="G18" i="2"/>
  <c r="F18" i="2"/>
  <c r="I19" i="9"/>
  <c r="G19" i="9"/>
  <c r="E18" i="2"/>
  <c r="M19" i="9"/>
  <c r="H18" i="2"/>
  <c r="J5" i="2"/>
  <c r="N5" i="2" s="1"/>
  <c r="P18" i="9"/>
  <c r="Q772" i="3"/>
  <c r="Q773" i="3" s="1"/>
  <c r="P773" i="3"/>
  <c r="J18" i="2" l="1"/>
  <c r="N18" i="2" s="1"/>
  <c r="Q19" i="9"/>
  <c r="L5" i="2"/>
  <c r="Q5" i="2"/>
  <c r="D9" i="9" l="1"/>
  <c r="D9" i="2" s="1"/>
  <c r="E287" i="16"/>
  <c r="G292" i="16" s="1"/>
  <c r="D18" i="9" l="1"/>
  <c r="R18" i="9" s="1"/>
  <c r="L9" i="2"/>
  <c r="Q9" i="2"/>
  <c r="D18" i="2"/>
  <c r="H292" i="16"/>
  <c r="H299" i="16" s="1"/>
  <c r="G299" i="16"/>
  <c r="E19" i="9"/>
  <c r="R9" i="9"/>
  <c r="U9" i="9" l="1"/>
  <c r="U18" i="9" s="1"/>
  <c r="T9" i="9"/>
  <c r="T18" i="9" s="1"/>
  <c r="Q18" i="2"/>
  <c r="L18" i="2"/>
  <c r="L215" i="5"/>
</calcChain>
</file>

<file path=xl/comments1.xml><?xml version="1.0" encoding="utf-8"?>
<comments xmlns="http://schemas.openxmlformats.org/spreadsheetml/2006/main">
  <authors>
    <author>Author</author>
  </authors>
  <commentList>
    <comment ref="M855" authorId="0">
      <text>
        <r>
          <rPr>
            <b/>
            <sz val="9"/>
            <color indexed="81"/>
            <rFont val="Tahoma"/>
            <family val="2"/>
          </rPr>
          <t xml:space="preserve">Author:
</t>
        </r>
      </text>
    </comment>
  </commentList>
</comments>
</file>

<file path=xl/comments2.xml><?xml version="1.0" encoding="utf-8"?>
<comments xmlns="http://schemas.openxmlformats.org/spreadsheetml/2006/main">
  <authors>
    <author>Author</author>
  </authors>
  <commentList>
    <comment ref="M141" authorId="0">
      <text>
        <r>
          <rPr>
            <b/>
            <sz val="9"/>
            <color indexed="81"/>
            <rFont val="Tahoma"/>
            <family val="2"/>
          </rPr>
          <t xml:space="preserve">Author:
</t>
        </r>
      </text>
    </comment>
  </commentList>
</comments>
</file>

<file path=xl/sharedStrings.xml><?xml version="1.0" encoding="utf-8"?>
<sst xmlns="http://schemas.openxmlformats.org/spreadsheetml/2006/main" count="16924" uniqueCount="3163">
  <si>
    <t>NIB International Bank S.C</t>
  </si>
  <si>
    <t>Monthly internal Control Reports</t>
  </si>
  <si>
    <r>
      <t>As of July 31</t>
    </r>
    <r>
      <rPr>
        <u/>
        <sz val="11"/>
        <rFont val="Times New Roman"/>
        <family val="1"/>
      </rPr>
      <t>, 2026</t>
    </r>
  </si>
  <si>
    <t>Ser.No</t>
  </si>
  <si>
    <t>Branch</t>
  </si>
  <si>
    <t>District</t>
  </si>
  <si>
    <t xml:space="preserve">Operation area </t>
  </si>
  <si>
    <t xml:space="preserve">ATM Cases </t>
  </si>
  <si>
    <t>It Case</t>
  </si>
  <si>
    <t>Zero Balance</t>
  </si>
  <si>
    <t>Dormant A/C</t>
  </si>
  <si>
    <t>Cheque Bok Case</t>
  </si>
  <si>
    <t>Other cases</t>
  </si>
  <si>
    <t>Posting Date</t>
  </si>
  <si>
    <t>Types of Irregularities/problems</t>
  </si>
  <si>
    <t>Amount involved</t>
  </si>
  <si>
    <t>Status of the irregularities</t>
  </si>
  <si>
    <t xml:space="preserve">Mismatch </t>
  </si>
  <si>
    <t xml:space="preserve">Long outstanding </t>
  </si>
  <si>
    <t>finding NO.</t>
  </si>
  <si>
    <t>Finding</t>
  </si>
  <si>
    <t>Unrectified</t>
  </si>
  <si>
    <t>Rectified</t>
  </si>
  <si>
    <t>Unrectified In Amount</t>
  </si>
  <si>
    <t>ARABSSA</t>
  </si>
  <si>
    <t>East district</t>
  </si>
  <si>
    <t>Cash and Cash Items</t>
  </si>
  <si>
    <t>JULY 31,2026</t>
  </si>
  <si>
    <t>Difference observed on ATM cash balance.(The physical cash count balance of ATM  have shown a difference of Birr compared with the general ledger balance . )</t>
  </si>
  <si>
    <t>Account Management</t>
  </si>
  <si>
    <t>october 10,2021</t>
  </si>
  <si>
    <t>System suspense account AC</t>
  </si>
  <si>
    <t>Migration suspense accounts</t>
  </si>
  <si>
    <t>Deposit Accounts</t>
  </si>
  <si>
    <t>Zero  (0.00) balance  Account Found at branch</t>
  </si>
  <si>
    <t xml:space="preserve">Dormant accounts Found at the branch  </t>
  </si>
  <si>
    <t xml:space="preserve">Card Banking </t>
  </si>
  <si>
    <t>ATM cards &amp; PIN mailers were not delivered to the respective account holders/ customers for a long period of time as presented below. 354 Card &amp; 22 PIN</t>
  </si>
  <si>
    <t xml:space="preserve">Ticket Vouching </t>
  </si>
  <si>
    <t>JULY 6,2026</t>
  </si>
  <si>
    <t>Diposit vocher missing date</t>
  </si>
  <si>
    <t>JULY 8,2026</t>
  </si>
  <si>
    <t>fund transfer missing signaature</t>
  </si>
  <si>
    <t>JULY 17,2026</t>
  </si>
  <si>
    <t>Missing date in withdrawal voucher</t>
  </si>
  <si>
    <t>JULY 25,2026</t>
  </si>
  <si>
    <t>Withddrawal vocher in word&amp;f igure d/c</t>
  </si>
  <si>
    <t>AYAT 72</t>
  </si>
  <si>
    <t xml:space="preserve">Abnormal balances of ATM cash </t>
  </si>
  <si>
    <t xml:space="preserve">Inter branch T-24  R10 </t>
  </si>
  <si>
    <t xml:space="preserve">Catch all asset and liability </t>
  </si>
  <si>
    <t>Sundry creditors</t>
  </si>
  <si>
    <t>ATM cards &amp; PIN mailers were not delivered to the respective account holders/ customers for a long period of time as presented below.</t>
  </si>
  <si>
    <t>Ato addis ashenafi  acc transfe wrong date 150USD</t>
  </si>
  <si>
    <t xml:space="preserve">cash withdrawal with wrong year but </t>
  </si>
  <si>
    <t xml:space="preserve">tsedenia manaye cash deposit date error </t>
  </si>
  <si>
    <t xml:space="preserve">tsedenia manaye acc transfer date error </t>
  </si>
  <si>
    <t xml:space="preserve">cash withdrawal with out customer signatuer </t>
  </si>
  <si>
    <t>21/07/26</t>
  </si>
  <si>
    <t>cash withdrawal with out customer  signature</t>
  </si>
  <si>
    <t>24/07/26</t>
  </si>
  <si>
    <t>cash withdrawal with wrong date</t>
  </si>
  <si>
    <t>23/07/26</t>
  </si>
  <si>
    <t xml:space="preserve">cash withdrawal with customer signature error </t>
  </si>
  <si>
    <t>AYAT ADEBABAY</t>
  </si>
  <si>
    <t>Un collected Service fee on RTGS transfer from customers in Nov 2022</t>
  </si>
  <si>
    <t>ATM cards &amp; PIN mailers were not delivered to the respective account holders/ customers for a long period of time.(691 Cards &amp; 722 Pins)</t>
  </si>
  <si>
    <t>-</t>
  </si>
  <si>
    <t>Loan and Advances</t>
  </si>
  <si>
    <t>Loans with Arears</t>
  </si>
  <si>
    <t>Date error made on cash withdrawal voucher</t>
  </si>
  <si>
    <t>24/7/2026</t>
  </si>
  <si>
    <t>Amount in words not written in cash withdrawal Voucherform</t>
  </si>
  <si>
    <t>Fcy cash GBP is kept on custody of the branch that denied by treasury due to in genuinity. GBP 15</t>
  </si>
  <si>
    <t>Tickets &amp; Stationery materials kept in cash area</t>
  </si>
  <si>
    <t>BESHALE</t>
  </si>
  <si>
    <t>30/06/2026</t>
  </si>
  <si>
    <t xml:space="preserve">Inter branch  ACC T-24  </t>
  </si>
  <si>
    <t>System Suspense-Ac</t>
  </si>
  <si>
    <t xml:space="preserve">Catch all unassigned pl </t>
  </si>
  <si>
    <t xml:space="preserve">ATM cards &amp; PIN mailers were not delivered to the respective account holders/ customers for a long period of time </t>
  </si>
  <si>
    <t>16/05/2026</t>
  </si>
  <si>
    <t xml:space="preserve">fund transfer made without authorized customer signature </t>
  </si>
  <si>
    <t>26/07/2026</t>
  </si>
  <si>
    <t xml:space="preserve">ACCOUNT FUND TRANSFER MADE WITHOUT AUTRIZED CUSTOMER SIGNATURE </t>
  </si>
  <si>
    <t>28/05/2026</t>
  </si>
  <si>
    <t>28/5/2026</t>
  </si>
  <si>
    <t xml:space="preserve">check book prepaired and deliverd to customer without authorized signature </t>
  </si>
  <si>
    <t>Feb/5/2026</t>
  </si>
  <si>
    <t>Feb/4/2026</t>
  </si>
  <si>
    <t>Employee salary transfer with out Athourized custmor sign</t>
  </si>
  <si>
    <t xml:space="preserve">Fund Transfer made from Z-Addis Hotel Account  for wtihholding tax payment  woth out Athourized sign </t>
  </si>
  <si>
    <t>Feb/10/2026</t>
  </si>
  <si>
    <t>23/03/26</t>
  </si>
  <si>
    <t>CASH WITHDRWAL MADE MISMACH WITH PAYMENT TCIKET AND TRANSACTION IN T24 SYSTEM</t>
  </si>
  <si>
    <t xml:space="preserve">FUND TRNSFER MDE WITH ATTACHING  NATIONAL ID </t>
  </si>
  <si>
    <t>22/06/2026</t>
  </si>
  <si>
    <t xml:space="preserve">CASH WITHDRWAL MADE WITH D/T OR MISMACH AMOUNT INWORD AND INFIGUR </t>
  </si>
  <si>
    <t>30/07/2026</t>
  </si>
  <si>
    <t xml:space="preserve">ACCOUNT FUND TRANSFER MADE WITHOUT AUTORIZED SIGNATURE </t>
  </si>
  <si>
    <t>31/07/2026</t>
  </si>
  <si>
    <t>Bole Brass</t>
  </si>
  <si>
    <t>Dormant accounts Found at the branch  12 Active</t>
  </si>
  <si>
    <t>Negotiable Instrument</t>
  </si>
  <si>
    <t>Dis-functional metal detector.</t>
  </si>
  <si>
    <t xml:space="preserve">Others </t>
  </si>
  <si>
    <t>FEMAL SEARCHER</t>
  </si>
  <si>
    <t>ATM cards &amp; PIN mailers were not delivered to the respective account holders/ customers for a long period of time as presented below. ATM 306 AND PIN 390</t>
  </si>
  <si>
    <t>CASH WITHDRAWAL SIGNATURE MISSED</t>
  </si>
  <si>
    <t>CASH WITHDRWAL SIGNATURE MISSED</t>
  </si>
  <si>
    <t>18/7/2026</t>
  </si>
  <si>
    <t>TRANSFER DATE MISSING</t>
  </si>
  <si>
    <t>27/7/26</t>
  </si>
  <si>
    <t>DEPOSIT DATE MISSING</t>
  </si>
  <si>
    <t>28/7/2026</t>
  </si>
  <si>
    <t>WITHDRAWAL ID NOT ATTACHED</t>
  </si>
  <si>
    <t>Imperial sport acadamy</t>
  </si>
  <si>
    <t>CASh and Cash Items</t>
  </si>
  <si>
    <t>Difference observed on ATM cash balance.(The physical cash count balance of ATM  have shown a difference of Birr ……….. compared with the general ledger balance . )</t>
  </si>
  <si>
    <t>Total fixed asset</t>
  </si>
  <si>
    <t>ATM cards &amp; PIN mailers were not delivered to the respective account holders/ customers for a long period of time as presented below. 265 CARD &amp; 264  PIN</t>
  </si>
  <si>
    <t>MEGENAGNA GURD SHOLLA</t>
  </si>
  <si>
    <t>Dofference observed On Cash balance (physical cash count balance of cash have shown a difference of bir 502.50 compared with the General sedger balance.)</t>
  </si>
  <si>
    <t>Ticket Voucher</t>
  </si>
  <si>
    <t>RTGS WITHOUT CUSTOMER SiGNACHERE RTGS TEDROS ALEMU 7000112722381</t>
  </si>
  <si>
    <t>RTGS TEDROS ALEMU 7000112722381 WITHOUT CUSTOMER SiGNACHERE</t>
  </si>
  <si>
    <t>RTGS BERCHUMA PLC  351SPS23 WITHOUT CUSTOMER SiGNACHERE</t>
  </si>
  <si>
    <t>RTGS WITHOUT CUSTOMER SIGNACHER/TWO SIGNCHER  Abel 351SAV7173</t>
  </si>
  <si>
    <t xml:space="preserve"> RTGS ABEL DUGUMA 7000062459137 WITHOUT CUSTOMER SIGNACHERE</t>
  </si>
  <si>
    <t>WITHOUT CUSTEMERE SEGNCHERE WITHDRAW 7000103066437 SLTANIE BOGALE</t>
  </si>
  <si>
    <t>TRANSFER REQUEST FORM ELECTRONIC PAYMENT MINSTRY OF TREDE AND REGIONAL 7000067533017 WITHOUT CUSTEMERE SEGNCHERE</t>
  </si>
  <si>
    <t>CHEQU WITHDRWAL WITHOUT CUSTEMERE SEGNCHERE MOTORI 7000067533017</t>
  </si>
  <si>
    <t>CHEQU ORGNIZATION FOR SOCLALSERVIC WITHOUT COUSTEMERE SEGNCHERE 7000048081628</t>
  </si>
  <si>
    <t>Account transfer Emoloy consumers privat WITHOUT CUSTOMER SIGNCAHER 7000067533017</t>
  </si>
  <si>
    <t>Account transfer WITHOUT CUSTOMER SIGNACHER MAHLLET ,ERAGIAW 351SAV1457</t>
  </si>
  <si>
    <t>TRANSFERE AMTH BUSNESS 117CUR57  WITHOUT CUSTOMER SiGNACHERE</t>
  </si>
  <si>
    <t>RTGS TRANSFERE MAHLAT MERIGAW 351SAV1457 WITHOUT CUSTOMER SiGNACHERE</t>
  </si>
  <si>
    <t>WITHOUT CUSTOMER SIGNACHER RTGS WEHENETYGEGU TRADING PLC 7000006478177</t>
  </si>
  <si>
    <t>payrole  WITHOUT CUSTOMER SIGNACHERE/TWO SIGNACHERE Payrole RTGS  7000067533017</t>
  </si>
  <si>
    <t>WITHOUT CUSTOMER SIGNACHER PAOLOS Payrole 7000018535179</t>
  </si>
  <si>
    <t>Account transfer WITHOUT CUSTOMER SIGNCHER ABNTE AMTH BUSNESS 117CUR57</t>
  </si>
  <si>
    <t>Account transfer WITHOUT CUSTOMER SIGNACHER BRUKTAWITE TRANSFERE 351SAV1811</t>
  </si>
  <si>
    <t>Account transfer WITHOUT CUSTOMER SIGNACHER/TWO SEGNCHERE AMTH BUSNESS TRANSFERE 7000005142027</t>
  </si>
  <si>
    <t>Account transfer  REQUEST FORM WITHOUT CUSTOMER SIGNACHER PAOLOS TAX ELECTRONIC PAYMENT CUR66</t>
  </si>
  <si>
    <t>Account transfer WITHOUT CUSTOMER SIGNACHER MAHLLET MERAGIAW TRANSFERE 351SAV1457</t>
  </si>
  <si>
    <t xml:space="preserve"> ACCOUNT NAME AYEDA  NASERE BUT ID NAME IS AYDA FESHA 7000000276494</t>
  </si>
  <si>
    <t>MOENCO</t>
  </si>
  <si>
    <t>cash and Cash Items</t>
  </si>
  <si>
    <t>Difference observed on ATM cash balance.(The physical cash count balance of ATM  have shown a difference of Birr ATM 1 ---1200 ATM 2…(4300) from two atm machines  compared with the general ledger balance . )</t>
  </si>
  <si>
    <t>Sundry debtors Miscellaneous  and RTGS Recievable not collected</t>
  </si>
  <si>
    <t>14/07/2026</t>
  </si>
  <si>
    <t xml:space="preserve"> Catch All - Unassigned PL</t>
  </si>
  <si>
    <t>Zero balance  Account Found at branch</t>
  </si>
  <si>
    <t xml:space="preserve">
375 </t>
  </si>
  <si>
    <t>ATM cards &amp; PIN mailers were not delivered to the respective account holders/ customers for a long period of time as presented below. there are 334 atm cards and 375 PIN mailers and the difference 
was 41(pin over)</t>
  </si>
  <si>
    <t>10/07/2026
25/07/2026
16/07/2026</t>
  </si>
  <si>
    <t>fund transfer without customer signature ACCOUNT NUMBER 223SPS71,7000062460957,7000062460957  19900 170 USD 100 USD</t>
  </si>
  <si>
    <t>20,170‬</t>
  </si>
  <si>
    <t>foreigne currency detecting machine sent for maintenance long time ago</t>
  </si>
  <si>
    <t>fund transfer without customer signature
ACCOUNT NUMBER 223SPS71</t>
  </si>
  <si>
    <t>summit</t>
  </si>
  <si>
    <t>Long-term unconsolidated POS cash advance(POS Cash advance of  left over in the General Ledger for a long time without being claimed by POS USER customer )</t>
  </si>
  <si>
    <t>Standardized Cheque books printed but not delivered to customers for long period of time.</t>
  </si>
  <si>
    <t>account Management</t>
  </si>
  <si>
    <t>gain  on A/L Revaluation</t>
  </si>
  <si>
    <t>A subsidiary ledger balance of the following account was found different from its respective general ledger balance as of……</t>
  </si>
  <si>
    <t xml:space="preserve">1,346,900.00
</t>
  </si>
  <si>
    <t xml:space="preserve">Sundry debtors </t>
  </si>
  <si>
    <t>RTGS COMMISTION  RECIVEBLE NOT COLLECTED</t>
  </si>
  <si>
    <t>Others</t>
  </si>
  <si>
    <t xml:space="preserve">CASH OVERAGE </t>
  </si>
  <si>
    <t>ATM cards &amp; PIN mailers were not delivered to the respective account holders/ customers for a long period of time as presented below. ATM CARD 852 PIN 632</t>
  </si>
  <si>
    <t>others</t>
  </si>
  <si>
    <t>Foreign currency detecting machine that unable to issue print out</t>
  </si>
  <si>
    <t>Stationery materials kept out of cash area ( Vault room)  LARGE AMOUNT CPO FOUND IN THE ROOM.</t>
  </si>
  <si>
    <t>AMOUNT COLLECTED FOR  POS TRA.BUT NOT CLAIMED BY H.O</t>
  </si>
  <si>
    <t>JACROS</t>
  </si>
  <si>
    <t>Abnormal balances concerning Foreign currency. expired 30GBP</t>
  </si>
  <si>
    <t>Long-term unconsolidated   POS cash advance Positive  17400</t>
  </si>
  <si>
    <t xml:space="preserve">Cheque books prepared but not delivered to customers for a long period of time. </t>
  </si>
  <si>
    <t>System suspense account AC Positive  321.75</t>
  </si>
  <si>
    <t>Migration suspense accounts  Positive  60.64</t>
  </si>
  <si>
    <t>CATCH- ALL ASSET AND LIABILITIES</t>
  </si>
  <si>
    <t>Catch All - Unassigned PL</t>
  </si>
  <si>
    <t>Sundry debtors  Rev Stamps On Hand (on the branch)</t>
  </si>
  <si>
    <t>Sundry debtors  RTGS Receivable not collected</t>
  </si>
  <si>
    <t>Zero  (0.00) balance  Account Found at branch BEFOR JULY 1ST.</t>
  </si>
  <si>
    <t>ATM cards &amp; PIN mailers were not delivered to the respective account holders/ customers for a long period of time as presented below. 15 ATM CARD MISSMACHED THE BRANCH Card=544 &amp; Pin=238</t>
  </si>
  <si>
    <t>ESHETU  MEKONEN ACCOUNT TERANSFER TO ZEBIDAR BREWERY S.C    MISSING SINITURE</t>
  </si>
  <si>
    <t>cash withdrwal MULATU MOLA  ACCOUNT NO. 288SAV739 FIGURE AND WORD VARIATION</t>
  </si>
  <si>
    <t>cash withdrwal KIM CHOL BIS ACCOUNR NO.187SAV1386  FIGURE AND WORD VARIATION</t>
  </si>
  <si>
    <t xml:space="preserve">MISSING SIGNITURE OF ACCOUNT TRANSFER YONAS CHERCHERE PLC FOR ESHETU MEKONNEN </t>
  </si>
  <si>
    <t xml:space="preserve">Agent  not active to serve customers      </t>
  </si>
  <si>
    <t xml:space="preserve">QR code not delivered to merchants &amp; 19 QR code deliver without customer signature        </t>
  </si>
  <si>
    <t>Bole stadium</t>
  </si>
  <si>
    <t xml:space="preserve">Fixed Asset Management </t>
  </si>
  <si>
    <t>Defective/obsolete fixed assets found at the branch</t>
  </si>
  <si>
    <t xml:space="preserve">unfunctional lamp in office that make our office look dark </t>
  </si>
  <si>
    <t>AYAT ARABSA</t>
  </si>
  <si>
    <t>catch all unassigned pl</t>
  </si>
  <si>
    <t>cyrus trading plc RTGS trsnsfer amount birr 90,000(ninty thousend birr only)with out signatur on July 22,2026</t>
  </si>
  <si>
    <t>Bethelhem Alemayehu account transfer birr 10,300(ten thousend three hundred birr only)with out signetur on July 13,2026</t>
  </si>
  <si>
    <t>Hana Worku withdrowal amount birr 2,200 (two thousend two hundred)mismach of in word and in figur on July 06,2026</t>
  </si>
  <si>
    <t>Tsion Dejene RTGS transfer amount birr 200,000(two hundred thousend) she used wrong date  on July 24,2026</t>
  </si>
  <si>
    <t>Alesh Bogale withdrowal amount birr 50,000(fifty thousend birr only)she used the wrong name on July 11,2026</t>
  </si>
  <si>
    <t>BOLE 24</t>
  </si>
  <si>
    <t>Difference observed on ATM cash balance.(The physical cash count balance of ATM  have shown a difference of Birr  compared with the general ledger balance . )</t>
  </si>
  <si>
    <t>loss on A/L Revaluation</t>
  </si>
  <si>
    <t>Sundry debtors (Micilanic Lcy Pos )</t>
  </si>
  <si>
    <t>Unearned profit on IFB inancing</t>
  </si>
  <si>
    <t>Amount transfer from closed account by the order of NBE.</t>
  </si>
  <si>
    <t>Tem.sus.Repayment.Amount</t>
  </si>
  <si>
    <t>Unsettled interest amount due to system problem.</t>
  </si>
  <si>
    <t>ATM cards &amp; PIN mailers were not delivered to the respective account holders/ customers for a long period of time as presented below.505Card &amp; 314 Pin, Card and pin are redy but not delivered to the costomer for along period of time 274, The customer not colect the pin 40, The banke stope printing pin and only card are came to the brunch 231</t>
  </si>
  <si>
    <t>25/05/2026</t>
  </si>
  <si>
    <t>Tdele Gelecha(TRANSFER) SIGNATURE MISSED</t>
  </si>
  <si>
    <t>Dagim Million Ethio express Import and Export(RTGS)  SIGNATURE MISSED</t>
  </si>
  <si>
    <t>Biruktawit H/raguel(RTGS)  SIGNATURE MISSED</t>
  </si>
  <si>
    <t>Wazema Bulding(Transfer)  SIGNATURE MISSED</t>
  </si>
  <si>
    <t>16/07/2026</t>
  </si>
  <si>
    <t>ACCOUNT TRANSFER ECC CHURCH(Letter Transfer) Letter date and post date is DIFFERENT</t>
  </si>
  <si>
    <t>28/07/2026</t>
  </si>
  <si>
    <t>ECC CHURCH(CHEAK TranSfer) ONE SIGNATURE MISSED</t>
  </si>
  <si>
    <t>15/07/2026</t>
  </si>
  <si>
    <t>Birutkan Worku SIGNATURE MISSED WITHDRAWL</t>
  </si>
  <si>
    <t xml:space="preserve">stationery materials found in the cash room </t>
  </si>
  <si>
    <t>BOLE ENEREDADA</t>
  </si>
  <si>
    <t xml:space="preserve">BRANCH POS CASH ADVANCE DEFFER </t>
  </si>
  <si>
    <t>Difference observed on ATM cash balance.(The physical cash count balance of ATM  have shown a difference compared with the general ledger balance.)</t>
  </si>
  <si>
    <t>Sundry debtors  Loan Balance CorrExp.</t>
  </si>
  <si>
    <t>ATM cards &amp; PIN mailers were not delivered to the respective account holders/ customers for a long period of time as presented belowPIN 541,  ATM 532  8  RPLECMENT</t>
  </si>
  <si>
    <t>ACCOUNT TRANSFER WITH OUT CUSTOMER SIGNATURE  (FEKERTE BULBULA)</t>
  </si>
  <si>
    <t>ACCOUNT TRANSFER WITH OUT CUSTOMER SIGNATURE  (TEKLU BERHE)</t>
  </si>
  <si>
    <t>ACCOUNT TRANSFER WITH OUT CUSTOMER SIGNATURE ( LEYLA ADEM )</t>
  </si>
  <si>
    <t>18/07/2026</t>
  </si>
  <si>
    <t>ACCOUNT TRANSFER WITH OUT CUSTOMER SIGNATURE ( TESFAYE ABEBE)</t>
  </si>
  <si>
    <t>OTHER</t>
  </si>
  <si>
    <t>LONG OUT STAN. ITEM'S &amp; TICKETS FOUND ON BR.</t>
  </si>
  <si>
    <t>HAYAHULET MAZORIYA</t>
  </si>
  <si>
    <t>Difference observed on ATM cash balance</t>
  </si>
  <si>
    <t>Catch all asset and liability (GL)</t>
  </si>
  <si>
    <t>Loss on A/L Revaluation (PL)</t>
  </si>
  <si>
    <t>Catch all-Unassigned (PL)</t>
  </si>
  <si>
    <t>Sundry creditors (Mis.)</t>
  </si>
  <si>
    <t>ATM cards &amp; PIN mailers were not delivered to the respective account holders/ customers for a long period of time as presented below.Card 1,167 and PIN 1,302</t>
  </si>
  <si>
    <t>JUL,2 ,2026</t>
  </si>
  <si>
    <t>Date incorrectness Found at the Withdrawal voucher</t>
  </si>
  <si>
    <t>Date missing On Deposit Voucher</t>
  </si>
  <si>
    <t>JUL,3 ,2026</t>
  </si>
  <si>
    <t>Depositor name were missing on deposite voucher</t>
  </si>
  <si>
    <t>JUN,27 ,2026</t>
  </si>
  <si>
    <t>Amount in word were not correct while writing withdrawal voucher</t>
  </si>
  <si>
    <t>JUl,4 ,2026</t>
  </si>
  <si>
    <t>JUL,4 ,2026</t>
  </si>
  <si>
    <t>JUN,10 ,2026</t>
  </si>
  <si>
    <t>Date missing on RTGS Voucher</t>
  </si>
  <si>
    <t>JUL,6 ,2026</t>
  </si>
  <si>
    <t>Date missing On DEPOSIt Voucher</t>
  </si>
  <si>
    <t>JUN,5 ,2026</t>
  </si>
  <si>
    <t>IN Word incorrectness found at the deposite</t>
  </si>
  <si>
    <t>JUl,8 ,2026</t>
  </si>
  <si>
    <t>Date missing on withdrawa voucher</t>
  </si>
  <si>
    <t>JUN,30 ,2026</t>
  </si>
  <si>
    <t>In figure incorrectness found at the deposite</t>
  </si>
  <si>
    <t>jul,15, 2026</t>
  </si>
  <si>
    <t>Date Missing on withdrawa voucher</t>
  </si>
  <si>
    <t xml:space="preserve">JUL,15, 2026 </t>
  </si>
  <si>
    <t xml:space="preserve">Date missing on withdrawal </t>
  </si>
  <si>
    <t>JUL,18,2026</t>
  </si>
  <si>
    <t>JUL17,2026</t>
  </si>
  <si>
    <t>Customer Signiture missing at the deposite</t>
  </si>
  <si>
    <t>JUL,20,2026</t>
  </si>
  <si>
    <t>Date missing on Transfer</t>
  </si>
  <si>
    <t>Jul,21,2026</t>
  </si>
  <si>
    <t>In word &amp; Figure D/T at the deposite</t>
  </si>
  <si>
    <t>JUL,27</t>
  </si>
  <si>
    <t>jul, 30,2026</t>
  </si>
  <si>
    <t>In word missing on deposit voucher</t>
  </si>
  <si>
    <t>JACROS BESHALE</t>
  </si>
  <si>
    <t>Catch all asset and liability</t>
  </si>
  <si>
    <t>March 01,2025</t>
  </si>
  <si>
    <t>ATM cards &amp; PIN mailers were not delivered to the respective account holders/ customers for a long period of time as presented below.328 Card &amp; 9 PIN</t>
  </si>
  <si>
    <t>July ,2026</t>
  </si>
  <si>
    <t xml:space="preserve">Dormant accounts found at the branch  </t>
  </si>
  <si>
    <t>Date incorrectness Found in the deposite and withdrawal voucher</t>
  </si>
  <si>
    <t>Depositor name were missing on Deposite voucher</t>
  </si>
  <si>
    <t>Customer information were not identified at the back of the check</t>
  </si>
  <si>
    <t>Intials of staff missing on withdrawal and deposite voucher</t>
  </si>
  <si>
    <t>customer signature verification were missed on transfer voucher</t>
  </si>
  <si>
    <t>cash stamp missing on deposite voucher</t>
  </si>
  <si>
    <t>Two authorized signatories did not sign on internal tickets.</t>
  </si>
  <si>
    <t>Fixed Asset Management</t>
  </si>
  <si>
    <t>Printer machine not working properly</t>
  </si>
  <si>
    <t>Fax machine not working properly</t>
  </si>
  <si>
    <t>KARA ALO</t>
  </si>
  <si>
    <t>Acc Interest Kara(sundry debit) uncollected amount</t>
  </si>
  <si>
    <t>27/01/2020</t>
  </si>
  <si>
    <t xml:space="preserve">office Rent Under Legale Ato Mesfin Bacha Kara Branch </t>
  </si>
  <si>
    <t>31/08/2020</t>
  </si>
  <si>
    <t xml:space="preserve">Claim  Under Legale Ato Mesfin Bacha Kara Branch </t>
  </si>
  <si>
    <t>18/03/2025</t>
  </si>
  <si>
    <t>ATM cards &amp; PIN mailers were not delivered to the respective account holders/ customers for a long period of time as presented below. CARD 1480  AND  PIN 814 ATM MISMACH   NOT HAVE PIN 30, PIN MISMACH NOT HAVE  ATM CARD 44, GREEN PIN  636</t>
  </si>
  <si>
    <t xml:space="preserve"> CASH WITHDRWAL ELIAS ADANE SIGNTURE NOT VERIFIED </t>
  </si>
  <si>
    <t xml:space="preserve"> CASH WITHDRWAL  WITHOUT CUSTOMER SIGNATURE  AZMERA ASEFA</t>
  </si>
  <si>
    <t xml:space="preserve"> CASH WITHDRWAL MESELU TSEGAYE WITH OUT CASH STAMP</t>
  </si>
  <si>
    <t>CASH WITHDRWAL TIGST G/MEDIHN DATE ALTERATION ON VOCHAR</t>
  </si>
  <si>
    <t xml:space="preserve"> CASH WITHDRWAL FIKADU DEGU  SIGNTURE NOT VERIFIED </t>
  </si>
  <si>
    <t xml:space="preserve"> CASH WITHDRWAL  WITHOUT CUSTOMER SIGNATURE  MESFIN MULUYE</t>
  </si>
  <si>
    <t>CASH DEPOSIT WITH OUT CUSTOMER SINGNATURE  BELAY GIZAW</t>
  </si>
  <si>
    <t>CASH WITHDRWAL AMOUNT IN WORD AND FIGER DIFFER DAWIT HABTAMU</t>
  </si>
  <si>
    <t>CASH WITHDRWAL  WITH OUT CUSTOMER SINGNATURE  AWOL FENTAW</t>
  </si>
  <si>
    <t xml:space="preserve"> CASH WITHDRWAL  A/C  7000059111871 CUSTOMER NAME AND FAYDA  DIFFER ERUTA TESFAYE AND RUTH TESAYE ABAKORAN BRANCH </t>
  </si>
  <si>
    <t xml:space="preserve">CASH DEPOSIT WITH OUT CUSTOMER SINGNATURE  MARECH MELIS </t>
  </si>
  <si>
    <t>17/07/2026</t>
  </si>
  <si>
    <t xml:space="preserve"> CASH WITHDRWAL SEYFU ERMAKO SIGNTURE NOT VERIFIED </t>
  </si>
  <si>
    <t>CASH DEPOSIT WITH OUT CUSTOMER SINGNATURE  HENOK MEGES</t>
  </si>
  <si>
    <t>20/07/2026</t>
  </si>
  <si>
    <t xml:space="preserve">RTGS TRANSFER TSION LISANU WITH OUT CUSTOMER SIGNATURE </t>
  </si>
  <si>
    <t>23/07/2026</t>
  </si>
  <si>
    <t>CASH WITHDRWAL AMOUNT ALTERATION</t>
  </si>
  <si>
    <t>CASH WITHDRWAL WITHOUT CASH STAMP AND SIGNATURE VERFICATION DAWIT HABTAMU</t>
  </si>
  <si>
    <t>ACCOUNT TRANSFER BAYOUSH MULUGETA ACCOUNT NO. NOT WRITTEN ON VOCHAR</t>
  </si>
  <si>
    <t>24/07/2026</t>
  </si>
  <si>
    <t xml:space="preserve">CASH WITHDRWAL WITHOUT SIGNATURE VERFICATION SERKALEM ASEFA </t>
  </si>
  <si>
    <t>CASH DEPOSIT AMIUNT ALTERATION SOLOMON TUMESO</t>
  </si>
  <si>
    <t xml:space="preserve"> 24/07/2026</t>
  </si>
  <si>
    <t xml:space="preserve">CASHWITHDRWAL WITHOUT CUSTOMER  SIGNATURE MESFIN MULYE </t>
  </si>
  <si>
    <t>25/07/2026</t>
  </si>
  <si>
    <t>CASH DEPOSIT WITHOUT CUSTOMER SIGNATURE  SHUMI HAILU</t>
  </si>
  <si>
    <t xml:space="preserve">CASH WITHDRWAL WITH OUT BRANCH STAMP TADELU MEKONEN </t>
  </si>
  <si>
    <t xml:space="preserve">ACCOUNT TRANSFER  WITH OUT  CUSTOMER SIGNATURE MESFIN MULYE </t>
  </si>
  <si>
    <t>CASH WITHDRWAL  WITH OUT CUSTOMER SINGNATURE  MESFIN MULYE</t>
  </si>
  <si>
    <t>LEGETAFO</t>
  </si>
  <si>
    <t>ATM cards &amp; PIN mailers were not delivered to the respective account holders/ customers for a long period of time as presented below.Total ATM  on Hand = 843 PIN on hand =765 &amp; anymeous card on hand  =55</t>
  </si>
  <si>
    <t>13/07/26</t>
  </si>
  <si>
    <t>TOLLA DUBERE NIB TO CBE Transfer customer signature not full</t>
  </si>
  <si>
    <t>25/07/26</t>
  </si>
  <si>
    <t>15/06/26</t>
  </si>
  <si>
    <t>CASH WITHDRAWAL TICKET WRITTEN IS 4890.91 BUT ON SYSTEM WITHDRAWAL 4885.91PENSION SALARY ALEMITU WENZINEH</t>
  </si>
  <si>
    <t>MEGENAGNA ATHLETE DERARTU TULU</t>
  </si>
  <si>
    <t>Difference observed on ATM cash balance.(The physical cash count balance of ATM  have shown a difference of Birr 56250. compared with the general ledger balance . )</t>
  </si>
  <si>
    <t>CORRUPTED LOAN OF ATO TESFAYE KETSELA</t>
  </si>
  <si>
    <t>Zero  (0.00) balance  Account Found at branch which was apened before april2025</t>
  </si>
  <si>
    <t>ATM cards &amp; PIN mailers were not delivered to the respective account holders/ customers for a long period of time as presented below.731 CARD AND 195PIN</t>
  </si>
  <si>
    <t>tickets from theopening of the branch  still available6 years tickets</t>
  </si>
  <si>
    <t>ALTERATION ON AMOUNT ON  WITHDRAWALVOUCHER</t>
  </si>
  <si>
    <t>ALTERATION ON NAME OF BENEFICIARY ON  WITHDRAWAL</t>
  </si>
  <si>
    <t>ALTERATION ON DATE ON  WITHDRAWALVOUCHER</t>
  </si>
  <si>
    <t>ALTERATION ON ACCT ON  WITHDRAWAL VOUCHER</t>
  </si>
  <si>
    <t>ALTERATION ON DATE ON  WTHDRAWAL VOUCHER</t>
  </si>
  <si>
    <t>ALTERATION ON DATE ON  WTHDRAWAL VO</t>
  </si>
  <si>
    <t>OTHERS</t>
  </si>
  <si>
    <t>DAMAGED OR INOPERATIVE PASSBOOK PRINTING MACHINE</t>
  </si>
  <si>
    <t>DAMAGED OR IN OPERATIVE PRINTER  MACHINE</t>
  </si>
  <si>
    <t>DAMAGED OR INOPERATIVE CASH COUNTING  MACHINE</t>
  </si>
  <si>
    <t>MEHAL SUMMIT</t>
  </si>
  <si>
    <t>Difference observed on ATM cash balance.(The physical cash count balance of ATM  have shown a difference of Birr()compared with the general ledger balance . )</t>
  </si>
  <si>
    <t xml:space="preserve">Sundry debtors uncollected amount of  loan Insurance </t>
  </si>
  <si>
    <t>Sundry debtors uncollected amount of loan corection</t>
  </si>
  <si>
    <t>ATM cards &amp; PIN mailers were not delivered to the respective account holders/ customers for a long period of time as presented below.375 card and 375 pin, MISMATCH ATM CARD AND PIN 90 CARD  AND 17 PIN</t>
  </si>
  <si>
    <t>MERI LOQUE</t>
  </si>
  <si>
    <t>Difference observed on ATM cash balance.(The physical cash count balance of ATM  have shown a difference of Birr 163242.83compared with the general ledger balance . )</t>
  </si>
  <si>
    <t>(2,481,092'52)</t>
  </si>
  <si>
    <t>catch all asset &amp; liablity</t>
  </si>
  <si>
    <t>Catch All Unassigned PL</t>
  </si>
  <si>
    <t xml:space="preserve">Security Management </t>
  </si>
  <si>
    <t xml:space="preserve"> </t>
  </si>
  <si>
    <t>ATM cards &amp; PIN mailers were not delivered to the respective account holders/ customers for a long period of time as presented below.total pin 1189,&amp; card 1497, Missmach card 369 and pin 96</t>
  </si>
  <si>
    <t>acount to account transfer 182SPS131without customer signatur</t>
  </si>
  <si>
    <t>RTGS transfer acct no 7000113385907 without customer signatur</t>
  </si>
  <si>
    <t>acount to account transfer 182CUR46 without customer signatur</t>
  </si>
  <si>
    <t>RTGS transfer acct no 7000113385907without customer signatur</t>
  </si>
  <si>
    <t>7000044089877RTGS transfer amount in word is wrong</t>
  </si>
  <si>
    <t>RTGS transfer 7000114197567without customer signatur</t>
  </si>
  <si>
    <t>RTGS transfer without customer signatur7000113385907</t>
  </si>
  <si>
    <t>acount to account transfer 182SPS131 without customer signatur</t>
  </si>
  <si>
    <t>18/07/26</t>
  </si>
  <si>
    <t>7000110050637 rtgs transfer without signatur</t>
  </si>
  <si>
    <t>20/07/26</t>
  </si>
  <si>
    <t>7000008247477 cash deposit amount in words is wrong</t>
  </si>
  <si>
    <t>7000034729889 cash deposit amount in words is wrong</t>
  </si>
  <si>
    <t>22/07/26</t>
  </si>
  <si>
    <t>7000110050637RTGS transfer without customer signatur</t>
  </si>
  <si>
    <t>182sav4835 acct to acct transfer without customer signatur</t>
  </si>
  <si>
    <t>182SAV4171 RTGS transfer without customer signatur</t>
  </si>
  <si>
    <t>27/07/26</t>
  </si>
  <si>
    <t>28/07/26</t>
  </si>
  <si>
    <t>29/07/26</t>
  </si>
  <si>
    <t>30/07/26</t>
  </si>
  <si>
    <t>7000111958292 account to account transfer without customer signatur</t>
  </si>
  <si>
    <t>7000020769756 account to account transfer without customer signatur</t>
  </si>
  <si>
    <t>SHALLA AREA</t>
  </si>
  <si>
    <t>Miscellaneous - LCY RTGS Receivable</t>
  </si>
  <si>
    <t>Temp Loan Repayment Account</t>
  </si>
  <si>
    <t>Sundry Creditors - Misc</t>
  </si>
  <si>
    <t>ATM cards &amp; PIN mailers were not delivered to the respective account holders/ customers for a long period of time as presented below.Card not delivered 531, Pin not delivered 351</t>
  </si>
  <si>
    <t>TRANSFER Without Customer Sig.</t>
  </si>
  <si>
    <t>RTGS Without Customer Sig.</t>
  </si>
  <si>
    <t>YERER BER</t>
  </si>
  <si>
    <t>Abnormal balances of ATM Cash ,Migrated From Yerer Goro Branch S/D Mislaneous</t>
  </si>
  <si>
    <t>30/06/2025</t>
  </si>
  <si>
    <t>Temporary Overdrawal of Current Account Has Abnormal Balance,Need Ajustement.</t>
  </si>
  <si>
    <t>Sundry debtors Staff Recivable is Not Settled For More Than  Two Years,Need Some Justification.</t>
  </si>
  <si>
    <t>RTGS  receivables from the customer have not been collected</t>
  </si>
  <si>
    <t>ATM cards &amp; PIN mailers were not delivered to the respective account holders/ customers for a long period of time .519ATM &amp;202PIN, ATM cards only 353, PIN ONLY 36</t>
  </si>
  <si>
    <t>Providend Fund Account Shoud be Opend at Main Branch.</t>
  </si>
  <si>
    <t>27/06/2026</t>
  </si>
  <si>
    <t>Account to Account Transfer without Sig. Transfer</t>
  </si>
  <si>
    <t>25/06/2026</t>
  </si>
  <si>
    <t>21/06/2026</t>
  </si>
  <si>
    <t>Cash Withdraw without Sig.</t>
  </si>
  <si>
    <t>19/06/2026</t>
  </si>
  <si>
    <t>Salary Payment Without Customer Sig.</t>
  </si>
  <si>
    <t>Atse Zeryakob</t>
  </si>
  <si>
    <t>Difference observed on ATM cash balance.(The physical cash count balance of ATM  have shown a difference of Birr 26,939.85 compared with the general ledger balance . )</t>
  </si>
  <si>
    <t xml:space="preserve">A total of Birr 52,636.59 was kept under Sundary Debtor  and Claims On Head Office&amp; Branch account at the branch for a long period under the following cases. </t>
  </si>
  <si>
    <t>28112.89 On Sundary Debtor 24523.7 on Claims On Head Office&amp; Branch</t>
  </si>
  <si>
    <t>ATM cards 1018  &amp; PIN 600 mailers were not delivered to the respective account holders/ customers for a long period of time as presented below.</t>
  </si>
  <si>
    <t>CASH WITHDRAWAL AMOUNT IN WORDS AND FIGURE DEFFER</t>
  </si>
  <si>
    <t>CUSTOMER DOES NOT SIGN ON WITHDRAW VOCHER</t>
  </si>
  <si>
    <t>ACCOUNT TRANSFER AMOUNT IN WORDS AND FIGURE DEFFER</t>
  </si>
  <si>
    <t>CUSTOMER DOES NOT SIGN ON TRANSFER VOCHER</t>
  </si>
  <si>
    <t>DATE OF WITHDRAW VOCHER ERROR</t>
  </si>
  <si>
    <t>ACCOUNT TRANSFER PAYMENT MADE WITHOUT CUSTOMER SIGNATURE VERFICATION</t>
  </si>
  <si>
    <t>CASH WITHDRWAL AMOUNT IN WORDS AND FIGURE DEFFER</t>
  </si>
  <si>
    <t>PAY CUSTOMER DOES NOT SIGN ON BACK OF CHEQE</t>
  </si>
  <si>
    <t xml:space="preserve">Other </t>
  </si>
  <si>
    <t>EIXSTING  ATM CARD FEE NOT COLLECTED AS PER THE MEMO ON FEB 29 2025 AND ALSO REPORT TO HEAD OFFICE LONG ON HAND UNDELIVER CARD</t>
  </si>
  <si>
    <t xml:space="preserve">Ayat Tefo </t>
  </si>
  <si>
    <t>Cash and cash area</t>
  </si>
  <si>
    <t>Difference Observed on ATM cash Balance</t>
  </si>
  <si>
    <t>migration Suspense Account</t>
  </si>
  <si>
    <t>catch all unassigned PL</t>
  </si>
  <si>
    <t>Difference in non-contingent</t>
  </si>
  <si>
    <t>Deposit Account</t>
  </si>
  <si>
    <t>Zero balance</t>
  </si>
  <si>
    <t>Dormant Account</t>
  </si>
  <si>
    <t>Fixed Asset</t>
  </si>
  <si>
    <t xml:space="preserve">dis functional metal detector </t>
  </si>
  <si>
    <t>Card banking</t>
  </si>
  <si>
    <t>ATM cards (530)&amp; PIN mailers(503) were not delivered to the respective account holders/ customers for a long period of time and card excess by 27</t>
  </si>
  <si>
    <t>Undeliverd QR</t>
  </si>
  <si>
    <t>Ticket Vouching</t>
  </si>
  <si>
    <t>Absence of customer signiture on withdrwal voucher by  kedir Buser(7000100503099)</t>
  </si>
  <si>
    <t>Alteration on amount  in both word and figure by Helen Dawit(7000046176176)</t>
  </si>
  <si>
    <t xml:space="preserve">debre birhan </t>
  </si>
  <si>
    <t xml:space="preserve"> 31/07/2026</t>
  </si>
  <si>
    <t xml:space="preserve">Un paid pension cont' from miyazia 2014-meskerem 2015 E.C for contrat staff Ato Teshale Dinkale.   </t>
  </si>
  <si>
    <t>for closed account by order of NBE their letter ref no FIS/BSD/1423/24 Dated OCT 22,2024</t>
  </si>
  <si>
    <t xml:space="preserve">Dormant band inactive accounts Found at the branch  </t>
  </si>
  <si>
    <t>229  ATM pin and 605  ATM Card not delivered to the respective account holders/ customers for a long period of time as presented below.</t>
  </si>
  <si>
    <t>13/07/2026</t>
  </si>
  <si>
    <t>FUND TRANSFERED WITH OUT CUSTOMER SIGNATURE (TESFAYE YESHITILA TO SAMSON DEBEBE ( 7000027137887 )</t>
  </si>
  <si>
    <t>,07/05/26</t>
  </si>
  <si>
    <t>FUND TRANSFERED WITH OUT CUSTOMER SIGNATURE (Eliyas Tawese TO  Zebene Woldie ( 7000038173079  )</t>
  </si>
  <si>
    <t>FUND TRANSFERED WITH OUT CUSTOMER SIGNATURE (TESHOME DEMISSIE TO  TEKLEMARIAM GIZAW   (7000051877301)</t>
  </si>
  <si>
    <t>FUND TRANSFERED WITH OUT CUSTOMER SIGNATURE (TESHOME DEMISSIE  TO  GETACHEW H/MARIAM 7000051877301 )</t>
  </si>
  <si>
    <t>FUND TRANSFERED WITH OUT CUSTOMER SIGNATURE (TEWODROS KASSA AND H/GEBRIEL NIGUSU TO  ENGIDA MOGES 091SAV15479 )</t>
  </si>
  <si>
    <t>,18/06/2026</t>
  </si>
  <si>
    <t>FUND TRANSFERED WITH OUT CUSTOMER SIGNATURE (TEDROS KASSA AND H/GEBRIEL NIGUSU TO  ESHETU KASAYE  091SAV15479 )</t>
  </si>
  <si>
    <t>FUND TRANSFERED WITH OUT CUSTOMER SIGNATURE (HAILEGEBRIEL NIGUSU AND   TO  MESFIN YABRU  091SAV15479 )</t>
  </si>
  <si>
    <t>,04/05/2026</t>
  </si>
  <si>
    <t>ASTER ASSEFA  CASH WITHDROWAL  WITH OUT SIGNATURE (7000107939801)</t>
  </si>
  <si>
    <t>DEJENE NIGUSSU   CASH WITHDROWAL  WITH OUT SIGNATURE (700011236419)</t>
  </si>
  <si>
    <t>,05/06/2026</t>
  </si>
  <si>
    <t>FUND TRANSFERED WITH OUT CUSTOMER SIGNATURE ( WENDIMHUNEGN BELETE   TO  DESTA EWUNU  091CUR 130)</t>
  </si>
  <si>
    <t>,02/07/2026</t>
  </si>
  <si>
    <t>FUND TRANSFERED ( RTGS )WITH OUT CUSTOMER SIGNATURE ( woynhareg nigussie  TO woynhareg nigussie ( 091SAV3676)</t>
  </si>
  <si>
    <t>,4/07/2026</t>
  </si>
  <si>
    <t>FUND TRANSFERED WITH OUT CUSTOMER SIGNATURE ( SAHILE ATILABACHEW   TO  SHIFERAW  ABIBUAL 7000063311807)</t>
  </si>
  <si>
    <t>QR code not delivered to merchants</t>
  </si>
  <si>
    <t>15 QR</t>
  </si>
  <si>
    <t>accepted for deposit pending clearance stamp expired on 2024</t>
  </si>
  <si>
    <t>no Foreign currency rate display on branch</t>
  </si>
  <si>
    <t xml:space="preserve">Goro </t>
  </si>
  <si>
    <t>Account to Account tranacfer bsence of Signature</t>
  </si>
  <si>
    <t>Account to Account trancfer(RTGS) absence of Signature</t>
  </si>
  <si>
    <t>14/7/2026</t>
  </si>
  <si>
    <t>Account to Account trancfer absence of Signature</t>
  </si>
  <si>
    <t>17/7/2026</t>
  </si>
  <si>
    <t>Account to Account trancfer absence (RTGS)of Signature</t>
  </si>
  <si>
    <t xml:space="preserve">karamara </t>
  </si>
  <si>
    <t>352 ATM cards &amp; PIN mailers were not delivered to the respective account holders/ customers for a long period of time as presented below.</t>
  </si>
  <si>
    <t>22/07/2026</t>
  </si>
  <si>
    <t xml:space="preserve"> withdrawal/Gulilat demissie without signature</t>
  </si>
  <si>
    <t xml:space="preserve"> withdrawal /tesfaye kebede without signature</t>
  </si>
  <si>
    <t>21/07/2026</t>
  </si>
  <si>
    <t>withdrawal/ abrha reda without signature40000</t>
  </si>
  <si>
    <t>transfer/yekoye yigermalwithout signature missed</t>
  </si>
  <si>
    <t>27/07/2026</t>
  </si>
  <si>
    <t>withdrawl /belay asmamaw without ticket</t>
  </si>
  <si>
    <t xml:space="preserve">one personal computer is not function </t>
  </si>
  <si>
    <t xml:space="preserve">lambert </t>
  </si>
  <si>
    <t xml:space="preserve">Cheque books prepared but not delivered to customers for a long period of time. (standard cheque 34 </t>
  </si>
  <si>
    <t>Difrereence IN Non contingent</t>
  </si>
  <si>
    <t xml:space="preserve">IBC SIGHT ( IN WORD BILLS  FOR  COLLECTION </t>
  </si>
  <si>
    <t>loan  Commitment memo but not Disbursed</t>
  </si>
  <si>
    <t>sundry Debtors  found on  Temporary  loan repayment  Account</t>
  </si>
  <si>
    <t>1125 inactive  /Dormant Accounts found at branch as of June 30/2026</t>
  </si>
  <si>
    <t xml:space="preserve"> 829 ATM cards &amp; 802 PIN mailers were not delivered to the respective account holders/ customers for a long period of time as of july 31/2026</t>
  </si>
  <si>
    <t xml:space="preserve"> 18/7/2026</t>
  </si>
  <si>
    <t xml:space="preserve"> Fund Transfer With Out customer signature from Wro selam Hibist Account.(090SAV2088)</t>
  </si>
  <si>
    <t xml:space="preserve"> 28/7/2026</t>
  </si>
  <si>
    <t>Cash Debited With Out customer signature and confirmation letter from Pacific Hotel Account. (090CUR14 )</t>
  </si>
  <si>
    <t xml:space="preserve"> 24/7/2026</t>
  </si>
  <si>
    <t>Fund Transfer  with out Customer Signature From lemat hotel plc Accountwith out campny stamp (090CUR96)</t>
  </si>
  <si>
    <t>more than 4 Years undeliver ticket found at Branch.</t>
  </si>
  <si>
    <t xml:space="preserve">sealit mihret </t>
  </si>
  <si>
    <t>ATM cards 448 &amp; PIN mailers were not delivered to the respective account holders/ customers for a long period of time as presented below.</t>
  </si>
  <si>
    <t>corporat coustomers with out signiture account Transfer with call comfirmition</t>
  </si>
  <si>
    <t>3,749,669.2‬</t>
  </si>
  <si>
    <t xml:space="preserve">Catch All - Unassigned PL  Loan interest   </t>
  </si>
  <si>
    <t xml:space="preserve">Sheno </t>
  </si>
  <si>
    <t>27/11/2021</t>
  </si>
  <si>
    <t>Cheque books prepared but not delivered to customers for a long period of time. (BT3943651-BT3943675)</t>
  </si>
  <si>
    <t>31/08/2025</t>
  </si>
  <si>
    <t>Migration suspense accounts-Absence of source documents.</t>
  </si>
  <si>
    <t xml:space="preserve">Recivebel Not settled for the long period of time </t>
  </si>
  <si>
    <t>lone with arrairs</t>
  </si>
  <si>
    <t>31/10/2025</t>
  </si>
  <si>
    <t xml:space="preserve">branch have not Security gun for the long period of time </t>
  </si>
  <si>
    <t>31/01/2026</t>
  </si>
  <si>
    <t>69 ATM cards &amp; 52 PIN mailers were not delivered to the respective account holders/ customers for a long period of time as presented below.</t>
  </si>
  <si>
    <t>23/01/2026</t>
  </si>
  <si>
    <t>paying cash for finger print customer with out attaching national id (zeyinba tesfaye for ferus hussen)</t>
  </si>
  <si>
    <t>11/07/2026</t>
  </si>
  <si>
    <t>didacted account number on system and on withdrwal voucher are not the same (Almaz Alemu)</t>
  </si>
  <si>
    <t>didacted account number on system and on withdrwal voucher are not the same (Usniya Jemal)</t>
  </si>
  <si>
    <t>26/05/2026</t>
  </si>
  <si>
    <t>paying cash for finger print customer with out attaching national id (Negash Bekele)</t>
  </si>
  <si>
    <t>23/08/2025</t>
  </si>
  <si>
    <t>Deduction of expense with copy source document instade of attaching original source document</t>
  </si>
  <si>
    <t>23/03/2026</t>
  </si>
  <si>
    <t>07/07/2026</t>
  </si>
  <si>
    <t>Witdrawal paid without customer signature(Yeshitla Tibebu)</t>
  </si>
  <si>
    <t xml:space="preserve">summit figa </t>
  </si>
  <si>
    <t xml:space="preserve">Unknown  </t>
  </si>
  <si>
    <t>INTER BRANCH T24 R 10</t>
  </si>
  <si>
    <t xml:space="preserve">Dormant accounts Found at the branch </t>
  </si>
  <si>
    <t>ATM cards 986 were not delivered to the respective customers for a long period of time</t>
  </si>
  <si>
    <t xml:space="preserve">TICKET Vouching </t>
  </si>
  <si>
    <t>30/03/26</t>
  </si>
  <si>
    <t>ACC  Transfer without  of customer  signature</t>
  </si>
  <si>
    <t>20/04/2026</t>
  </si>
  <si>
    <t>RTGS  Transfer without  of customer  signature</t>
  </si>
  <si>
    <t xml:space="preserve">urael </t>
  </si>
  <si>
    <t>POS Cash advance of Birr 45,600.00 left over in the General Ledger for a long time without being deposited)</t>
  </si>
  <si>
    <t xml:space="preserve">Difference observed on ATM cash balance.(The physical cash count balance of ATM  have shown a difference  compared with the general ledger balance . </t>
  </si>
  <si>
    <t xml:space="preserve">cost of check book difference </t>
  </si>
  <si>
    <t>LONGOUTSTANDING DIFFERENCE ON RECUVABLE ACOUNT AND GENERAL LEGER ETB12548 DIBITED INDIFFERENT TIME START FROM 07/07/2022 TO 11/11/2024</t>
  </si>
  <si>
    <t>17/4/26</t>
  </si>
  <si>
    <t>Absence of customer signature on FTD APPLICATION (Tedla)</t>
  </si>
  <si>
    <t>Absence of customer signature on FTD APPLICATION FTD (Rebcca))</t>
  </si>
  <si>
    <t>Absence of customer signature on FTD APPLICATION FTD (BETSHACHEW)</t>
  </si>
  <si>
    <t>ACCRUED INTEREST</t>
  </si>
  <si>
    <t>25/12/25</t>
  </si>
  <si>
    <t>305 cards and  261 pin not deliverd to acount holder</t>
  </si>
  <si>
    <t>TIKET AND VOCHERING</t>
  </si>
  <si>
    <t xml:space="preserve"> AMOUNT IN WORD AND INFIGURE INCORRECT</t>
  </si>
  <si>
    <t>INCORRECT DATE OF WITDRAWAL</t>
  </si>
  <si>
    <t>summit cmc adebebay</t>
  </si>
  <si>
    <t>Difference observed on ATM cash balance.(The physical cash count balance of ATM  have shown a difference of Birr 39296.10 compared with the general ledger balance . ( Recent ATM entries))</t>
  </si>
  <si>
    <t>ATM cards &amp; PIN mailers were not delivered to the respective account holders/ customers for a long period of time as presented below.ATM Card &amp; Pin have 25 &amp; old &amp; replacement pin have 24</t>
  </si>
  <si>
    <t xml:space="preserve">30/07/2026 </t>
  </si>
  <si>
    <t xml:space="preserve">  Absence of customer signature on Acc. To Acc.SELAMAWIT GETACHEW 7000030443848 TO NOC 7000001117788  8,875,701.96</t>
  </si>
  <si>
    <t xml:space="preserve">   Absence of customer signature on Acc. To Acc.SELAMAWIT GETACHEW 7000030443848 TO NOC 7000001117788  8,792,915.95</t>
  </si>
  <si>
    <t xml:space="preserve">  Absence of customer signature on Acc. To Acc.SELAMAWIT GETACHEW 7000030443848 TO NOC 7000001117788  5,836,437.98</t>
  </si>
  <si>
    <t xml:space="preserve">23/07/2026 </t>
  </si>
  <si>
    <t>Absence of customer signature on Acc. To Acc.yohannes yahualashet cpo commsion 500birr cash withdrwal</t>
  </si>
  <si>
    <t xml:space="preserve">23/07/26 </t>
  </si>
  <si>
    <t>Absence of customer signature on Acc. To Acc.r yohannes youhalashet to fregenet traiku 250,000</t>
  </si>
  <si>
    <t>Absence of customer signature on Acc. To Acc. yohannes youhalashet cpo issue 250000</t>
  </si>
  <si>
    <t>17/02/26</t>
  </si>
  <si>
    <t xml:space="preserve">  SHIMELIS BAYEH CASH WITHDRWAL 10,000 customer signature missed</t>
  </si>
  <si>
    <t xml:space="preserve">  18/02/2025</t>
  </si>
  <si>
    <t xml:space="preserve">OBSEREVED 7000031352202 7000045867248 TESSEMA MIHRET ACCOUNTS THAT HE USED TO CREDIT INTEREST OF CUSTOMERS SPECIAL ACCOUNT    TSEHAY AMANUEL 40,000 CASH WITHDRWAL NOT SIGNED                                       </t>
  </si>
  <si>
    <t>19/02/2025</t>
  </si>
  <si>
    <t xml:space="preserve"> there is no ticket for 7000066541927 TSEHAY AMANUEL TO  tessema mihret  7000019994363 83,000.                                                                                  </t>
  </si>
  <si>
    <t xml:space="preserve">19/02/2025 </t>
  </si>
  <si>
    <t xml:space="preserve">There is no ticket for 7000066541927 TSEHAY AMANUEL TO Brehanu Bonge 7000100062416 37,000                                                                                  </t>
  </si>
  <si>
    <t>21/02/2025</t>
  </si>
  <si>
    <t xml:space="preserve"> NO SIGNATURE ON TRANFER FROM 7000066541927 TSEHAY AMANUEL TO Brehanu Bonge 7000100062416 64,000.                             </t>
  </si>
  <si>
    <t xml:space="preserve"> 15,06,2026</t>
  </si>
  <si>
    <t>CASH IS CLOSING WITH A DIFFERENCE OF 100,000 FROM  CASH NOT ON HAND BUT ON TILL NUMBER 9321 TESSEMA MIHRET WHICH WAS STOLE</t>
  </si>
  <si>
    <t>CMC</t>
  </si>
  <si>
    <t>ATM cards &amp; PIN mailers were not delivered to the respective account holders/ customers for a long period of time as presented below.   CARD 864 PIN 429</t>
  </si>
  <si>
    <t>14/07/26</t>
  </si>
  <si>
    <t>7000113651011 CASH WITHDRAWL MADE WRONG MONTH</t>
  </si>
  <si>
    <t>7000050407573 CASH WITHDRAWL MADE  WITH ALTERATION ON DATE</t>
  </si>
  <si>
    <t>7000022494169 CASH WITHDRAWL MADE WITH SAVING WITHDRAWL VOUCHER INSTEAD OF CHEQUE</t>
  </si>
  <si>
    <t>MISCELLANEOUS-LCY(RTGS SERVICE CHARGE UNCOLLECTED FROM CUSTOMER)    10% MEDICAL EXPENSE UNCOLLECTED FROM STAFF</t>
  </si>
  <si>
    <t>PEACOCK</t>
  </si>
  <si>
    <t>22/8/2024</t>
  </si>
  <si>
    <t>Abnormal balance of ATM cash</t>
  </si>
  <si>
    <t>Abnormal balance Foreign Currency</t>
  </si>
  <si>
    <t>Long-term unconsolidated POS cash advance left over in the General Ledger for a long time without being deposited.</t>
  </si>
  <si>
    <t xml:space="preserve">Account Management </t>
  </si>
  <si>
    <t>Total Fixed Asset</t>
  </si>
  <si>
    <t>Inter Branch T-24 R10</t>
  </si>
  <si>
    <t>Migration suspense account</t>
  </si>
  <si>
    <t>15/2/2024</t>
  </si>
  <si>
    <t>Sundry Debtors (Loan Balance Correction Expense)</t>
  </si>
  <si>
    <t>RTGS Receivable</t>
  </si>
  <si>
    <t>Sundry Debtors (RTGS commission)</t>
  </si>
  <si>
    <t>Receivable FCY</t>
  </si>
  <si>
    <t>Sundry Debtors (for Corresponding Bank)</t>
  </si>
  <si>
    <t>undisbursed Term Loan</t>
  </si>
  <si>
    <t>Dormant accounts found with amount</t>
  </si>
  <si>
    <t>Card Banking (ATM)</t>
  </si>
  <si>
    <t xml:space="preserve">ATM card &amp; pin mailers were not delivered to the respective account holders/ customers for a long period of time as presented below.ATM 794 and Pin 642  </t>
  </si>
  <si>
    <t>Fund transfer (Verifay Missing)</t>
  </si>
  <si>
    <t>Cash withdrawal (Verifay Missing)</t>
  </si>
  <si>
    <t>Cash withdrawal (Paid stamp Missing)</t>
  </si>
  <si>
    <t>Fund transfer (Missing Authorised Sign)</t>
  </si>
  <si>
    <t>Cash withdrawal (Paid Stamp Missing)</t>
  </si>
  <si>
    <t>Catch all unassigned pl</t>
  </si>
  <si>
    <t xml:space="preserve">AYAT MALL </t>
  </si>
  <si>
    <t>there is a difference of 1653br from cheque book stock account</t>
  </si>
  <si>
    <t xml:space="preserve">fixed asset </t>
  </si>
  <si>
    <t xml:space="preserve">account manament </t>
  </si>
  <si>
    <t>ATM cards &amp; PIN mailers were not delivered to the respective account holders/ customers for a long period of time as presented below.ATM Card-448 &amp;    PIN - 359</t>
  </si>
  <si>
    <t>on date 22/7/26 transfer made for account no 700021476377 in word and in figure differs</t>
  </si>
  <si>
    <t>21/7/26 check deposit  account no 7000111905105have no crossing stamp and not verified</t>
  </si>
  <si>
    <t>22/7/26 withdrwal account no 7000108050751 processed was not verified</t>
  </si>
  <si>
    <t>23/7/26 withdrwal account no 010sav6793 processed has incorrect date</t>
  </si>
  <si>
    <t>23/7/26 withdrwal account no 203lucy175 processed in word and in figure differs</t>
  </si>
  <si>
    <t>23/7/26 withdrwal account no 203sav1476 processed in word and in figure differs</t>
  </si>
  <si>
    <t>24/7/26 deposit account no 7000114055414processed in word and in figure differs</t>
  </si>
  <si>
    <t>25/7/26 withdrwal account no 7000056344198 processed has incorrect date</t>
  </si>
  <si>
    <t>on date 21/7/26 withdrwal account  no 7000103122673  not verified</t>
  </si>
  <si>
    <t xml:space="preserve">BOLE MEDHANIALEM </t>
  </si>
  <si>
    <t xml:space="preserve">THE BEANCH . Atm ubnormal  balance </t>
  </si>
  <si>
    <t>Difference observed on ATM cash balance.ATM1=(700,981.19) ATM6=(72,950)  ATM7=49,625</t>
  </si>
  <si>
    <t xml:space="preserve">Inter branch T-24  R10-Absence of source documents. </t>
  </si>
  <si>
    <t>CATCH-ALL-UNASSIGNED PL-Absence of source documents.</t>
  </si>
  <si>
    <t>UNCOLLECTED RTGS COMMISION MISCELLANEOUS-LCY ETB12548</t>
  </si>
  <si>
    <t>Sundry debtors miss Longoutstanding item found at the branch regarding with ex-staff henok</t>
  </si>
  <si>
    <t xml:space="preserve">Various Longoutstanding items on Sundry creditors miss </t>
  </si>
  <si>
    <t xml:space="preserve">Temp Susp. Repymnt Account </t>
  </si>
  <si>
    <t xml:space="preserve">Loan Balance Correction Expense </t>
  </si>
  <si>
    <t>ATM cards &amp; PIN mailers were not delivered to the respective account holders/ customers for a long period of time as presented below.ATM=1070PIN1076</t>
  </si>
  <si>
    <t>ACCR INTEREST ON GOV'T BOND &amp; DEP</t>
  </si>
  <si>
    <t>Long outstanding Uncleared Interbranch Pymts found at the branch</t>
  </si>
  <si>
    <t>long outstanding Claims On Head Office/Branches</t>
  </si>
  <si>
    <t xml:space="preserve">TICKET VOUCHERING </t>
  </si>
  <si>
    <t>ACCUNT TRANSFERD WITH OUT CUSTOMER SIG</t>
  </si>
  <si>
    <t>23/7/26</t>
  </si>
  <si>
    <t>CASH WITHDRWAL DATE MISSED</t>
  </si>
  <si>
    <t>24/7/26</t>
  </si>
  <si>
    <t>13/7/26</t>
  </si>
  <si>
    <t>CASH WITHDRWAL INWORD AND INFIGURE DIFFERENCE</t>
  </si>
  <si>
    <t>15/7/26</t>
  </si>
  <si>
    <t>CASH WITHDRWAL NOT VERFIED</t>
  </si>
  <si>
    <t>CASH WITHDRWAL DATE AND ID MISSED</t>
  </si>
  <si>
    <t>20/7/2026</t>
  </si>
  <si>
    <t>CASH WITHDRWAL STAMP AND DATE MISSED</t>
  </si>
  <si>
    <t>CASH WITHDRWAL ID MISSED</t>
  </si>
  <si>
    <t>17/7/26</t>
  </si>
  <si>
    <t xml:space="preserve">BOLE ATLAS </t>
  </si>
  <si>
    <t>Long-term unconsolidated   POS cash advance(POS Cash advance of Birr 9,000.00 left over in the General Ledger for a long time without being deposited)</t>
  </si>
  <si>
    <t xml:space="preserve">account management </t>
  </si>
  <si>
    <t xml:space="preserve">BOLE CHEFFE </t>
  </si>
  <si>
    <t>Cash and Cash Item</t>
  </si>
  <si>
    <t>Long-term unconsolidated   POS cash advance(POS Cash advance of Birr 28,400.03left over in the General Ledger for a long time without being deposited)</t>
  </si>
  <si>
    <t>Difference observed on ATM cash balance.(The physical cash count balance of ATM  have shown a difference of Birr compared with the general ledger balance)</t>
  </si>
  <si>
    <t>Catch all -Unasined PL</t>
  </si>
  <si>
    <t xml:space="preserve">s/creditor   ( *our branch payabel account is ubnormal balance because of bole millinum branch merged to our branch. But  bole millinum branch controll in saromaria ATM  terminal No etb 1000200020212-02  birr 25,996 and branch ATM terminal No etb 1000200030212 birr 4,791.33 in total 30,787.33. ) </t>
  </si>
  <si>
    <t xml:space="preserve">Sundry creditors  (*707,498.06 birr this amount from bole millinum  customer   M A T A foreign employment agent 5%  of  100,000$ from bole millinnum payabel account  transfer on dated  Feb 28, 2025  to bole chefe branch payabel account  balance) </t>
  </si>
  <si>
    <t>Savings accounts were opened using non-compliant documents, including photocopied photographs, missing customer photos, and absence of “checked by” signatures on account opening forms.</t>
  </si>
  <si>
    <t xml:space="preserve">The Branch Manager and Banking Business Manager received additional monthly payments of ETB 75 during the periods January 2025–April 2026 and July 10, 2025–April 2026, in addition to representation allowance, resulting in excess payments of ETB 1,200 and ETB 750 respectively. </t>
  </si>
  <si>
    <t>Deposit accounts</t>
  </si>
  <si>
    <t>Card Banking</t>
  </si>
  <si>
    <t>ATM cards &amp; PIN mailers were not delivered to the respective account holders/ customers for a long period of time as presented below. ATM card 770 &amp; PIN 247 Additional 32 ananimes card</t>
  </si>
  <si>
    <t xml:space="preserve">Gerji giorgis </t>
  </si>
  <si>
    <t xml:space="preserve">Miscellaneous - LCY </t>
  </si>
  <si>
    <t xml:space="preserve">Catch All - Unassigned PL </t>
  </si>
  <si>
    <t>Sus Int on Npls-Term Loans</t>
  </si>
  <si>
    <t>Loan Balance Correction Income</t>
  </si>
  <si>
    <t>loan balance correction expense</t>
  </si>
  <si>
    <t>ATM cards &amp; PIN mailers were not delivered to the respective account holders/ customers for a long period of time as presented below.Gerji Branch 967 ATM card  and  890 PIN, 771 reconcile with PIN and ATM,63 anonymes card And the rest one d/t types of problem</t>
  </si>
  <si>
    <t>Abubeker mudesir cash withdrawal date error account number 7000008168933 made by Tewabch G/kirstos</t>
  </si>
  <si>
    <t>Askale Senbeta cash withdrawal date error  account number 7000050341742 made by Tewabech G/kirstos</t>
  </si>
  <si>
    <t>Abdi Sirur hassen for Feyisel Abdi cash withdrawal Aaccount holder name incorrect account number 70000245789026 made by Tewabech G/kirstos</t>
  </si>
  <si>
    <t>Mahlet Abiy RTGs transfer date error account number 7000011550784 made by Tewabech G/kirstos</t>
  </si>
  <si>
    <t>Yideneku Demamu or Demamu Abera cash withdrawal account holder name incorrect  account number 7000000570902 made by Tewabech G/kirstos</t>
  </si>
  <si>
    <t xml:space="preserve">gurd sholla </t>
  </si>
  <si>
    <t>26/04/2023</t>
  </si>
  <si>
    <t>Century mall ,Zebu And CaffeCentury (34.973.98)
Zebu 35.644.59and 
Caffe (46388.03)</t>
  </si>
  <si>
    <t>(45.717.42)</t>
  </si>
  <si>
    <t>21/10/2021</t>
  </si>
  <si>
    <t>ATM cards &amp; PIN mailers were not delivered to the respective account holders/ customers for a long period of time as presented below. Card with in pin mache 119, Card with out pin mismach 96, Pins with out card  mismach 108, Ano Lucy Card 1, Ano Halal 9, Anonymous Card 8</t>
  </si>
  <si>
    <t xml:space="preserve">Defective/obsolete fixed assets found at the branch </t>
  </si>
  <si>
    <t>Cash withdrwalckword in figer different</t>
  </si>
  <si>
    <t>Cash Deposit without customer name</t>
  </si>
  <si>
    <t>Cash withdraw  withouut custemor sig</t>
  </si>
  <si>
    <t>IFW Cash withdraw without sig</t>
  </si>
  <si>
    <t>Cash  withdraw with out sig.</t>
  </si>
  <si>
    <t>Cash deposit indifferent amount in word.</t>
  </si>
  <si>
    <t>Cash withdraw without sig.</t>
  </si>
  <si>
    <t>29/07/2026</t>
  </si>
  <si>
    <t>CkCash withdraw with out sig</t>
  </si>
  <si>
    <t>main</t>
  </si>
  <si>
    <t xml:space="preserve">Abnormal balances of ATM cash Physical cash on ATM = 0.00  GL Balance = 500.00       </t>
  </si>
  <si>
    <t>Abnormal balances concerning Foreign currency.</t>
  </si>
  <si>
    <t xml:space="preserve">Difference observed on ATM cash balance.  Physical cash on ATM = 398,840.01  GL Balance = 536,163.54      </t>
  </si>
  <si>
    <t xml:space="preserve">account managnemt </t>
  </si>
  <si>
    <t>Revenue Stamps on Hand 461</t>
  </si>
  <si>
    <t>RGTS Recievable not collected</t>
  </si>
  <si>
    <t>System suspense account AA</t>
  </si>
  <si>
    <t>Sundry debtors,Miscellaneous   Tracer = 13,881,519.34  GL = 13,911,519.34</t>
  </si>
  <si>
    <t>Loan Balance Correction</t>
  </si>
  <si>
    <t>Temp.Loan Repayment Account</t>
  </si>
  <si>
    <t>Withholding Tax, Tracer = 11,923.20   GL= 25,483.62</t>
  </si>
  <si>
    <t xml:space="preserve">Sundry creditors ,CPO Difference                                </t>
  </si>
  <si>
    <t xml:space="preserve">Sundry Creditors ,Misellanous  Tracer =159,166,164.29   GL = 159,187,092.75   Difference, 20,928.46               </t>
  </si>
  <si>
    <t>ATM cards &amp; PIN mailers were not delivered to the respective account holders/ customers for a long period of time as presented below.  Mismatch of ATM CARDs(884) and PINs(438) mailer on hand(ATM CARD Over 446),77 PIN Mailers are found opened at branch.</t>
  </si>
  <si>
    <t>Defective/obsolete fixed assets found at the branch (1)Photo copy</t>
  </si>
  <si>
    <t xml:space="preserve">Accont transfer RTGS without customer signature </t>
  </si>
  <si>
    <t>Wthdrawal posting date error</t>
  </si>
  <si>
    <t xml:space="preserve">megenagna </t>
  </si>
  <si>
    <t xml:space="preserve">cash and cash items </t>
  </si>
  <si>
    <t>Long-term unconsolidated   POS cash advance(POS Cash advance of Birr 15,000 left over in the General Ledger for a long time without being deposited)</t>
  </si>
  <si>
    <t xml:space="preserve">cash aaaand cash items </t>
  </si>
  <si>
    <t>Difference observed on ATM cash balance.(The physical cash count balance of ATM  have shown a difference of Birr 114,067.17 compared with the general ledger balance . )</t>
  </si>
  <si>
    <t xml:space="preserve">account managnment </t>
  </si>
  <si>
    <t>INTER ON NPLS</t>
  </si>
  <si>
    <t>Sundry debtors misc</t>
  </si>
  <si>
    <t xml:space="preserve">Loan With Arreres </t>
  </si>
  <si>
    <t>IMPERIAL</t>
  </si>
  <si>
    <t xml:space="preserve">account managnmet </t>
  </si>
  <si>
    <t xml:space="preserve">account and managnmet </t>
  </si>
  <si>
    <t>Long outstanding items./RTGS Receivable not collect from respective customer for more than 3 months 150 and other april 21 2026 until now 400 birr on our miscellaniess receivable for  rtgs commission that have not deduct from customers.</t>
  </si>
  <si>
    <t xml:space="preserve">card banking </t>
  </si>
  <si>
    <t>206 ATM cards &amp; 58 PIN mailers were not delivered to the respective account holders/ customers for a long period of time as presented below.</t>
  </si>
  <si>
    <t>RTGS Transfer to other bank with out customer signature for HUDEYEB GENERAL TRADING PC</t>
  </si>
  <si>
    <t xml:space="preserve">RTGS Receivable not collect from respective customer </t>
  </si>
  <si>
    <t>Defolted loan of GOjo  guzo  loan  amount  2,870,000.00  (two  million  eight  hundred  seventy  thousand) that  is provided to customer on 22/02/2022 has defaulted For Eyob berhanu.</t>
  </si>
  <si>
    <t>GERJI MEBRAT HAIL</t>
  </si>
  <si>
    <t xml:space="preserve">Difference observed on ATM cash balance.(The physical cash count balance of ATM  have shown a difference of Birr compared with the general ledger balance . )   ATM 02 39000.ATM 01 </t>
  </si>
  <si>
    <t>Account management</t>
  </si>
  <si>
    <t xml:space="preserve">Catch All - Unassigned PL                        </t>
  </si>
  <si>
    <t>31/07/26</t>
  </si>
  <si>
    <t>ATM cards &amp; PIN mailers were not delivered to the respective account holders/ customers for a long period of time as presented below.CARD 579&amp;PIN516</t>
  </si>
  <si>
    <t xml:space="preserve"> Ticket Vouching</t>
  </si>
  <si>
    <t xml:space="preserve"> 02/07/26</t>
  </si>
  <si>
    <t>vouching of daily entry ticketof withdrawal wrong date</t>
  </si>
  <si>
    <t xml:space="preserve"> 03/07/26</t>
  </si>
  <si>
    <t xml:space="preserve"> 06/07/26</t>
  </si>
  <si>
    <t>vouching of daily entry ticketof deposit wrong date</t>
  </si>
  <si>
    <t>vouching of daily entry ticketof deposit in figur not writen</t>
  </si>
  <si>
    <t xml:space="preserve"> 13/07/26</t>
  </si>
  <si>
    <t xml:space="preserve">vouching of daily entry ticketof deposit Date  missing  of deposit </t>
  </si>
  <si>
    <t>14/7/26</t>
  </si>
  <si>
    <t>Grand Total</t>
  </si>
  <si>
    <t>un-rectified</t>
  </si>
  <si>
    <t>Outstanding</t>
  </si>
  <si>
    <t xml:space="preserve">IT Case </t>
  </si>
  <si>
    <t>Dormant account</t>
  </si>
  <si>
    <t>Cheque Book case</t>
  </si>
  <si>
    <t>Others Cases</t>
  </si>
  <si>
    <t>TOTAL</t>
  </si>
  <si>
    <t xml:space="preserve">Internal Control Division </t>
  </si>
  <si>
    <t xml:space="preserve">                               Lists of Branches that failed to cover in the monthly internal Control Reports</t>
  </si>
  <si>
    <t>As of july,2026</t>
  </si>
  <si>
    <t>Ser. No</t>
  </si>
  <si>
    <t>Name of  Branches</t>
  </si>
  <si>
    <t>Reasons for failing to uncover in the monthly internal Control Reports</t>
  </si>
  <si>
    <t>22 Megenagna</t>
  </si>
  <si>
    <t>resign</t>
  </si>
  <si>
    <t>North A.A District</t>
  </si>
  <si>
    <t>Detailed Monthly internal Control Reports</t>
  </si>
  <si>
    <t>As of  JULY, 2026</t>
  </si>
  <si>
    <t xml:space="preserve">Branch Name </t>
  </si>
  <si>
    <t xml:space="preserve">District Name </t>
  </si>
  <si>
    <t>Date</t>
  </si>
  <si>
    <t>ATM Cases</t>
  </si>
  <si>
    <t xml:space="preserve">Other Case No. </t>
  </si>
  <si>
    <t xml:space="preserve">Amount involved </t>
  </si>
  <si>
    <t>status of irregularity</t>
  </si>
  <si>
    <t>Mismatch</t>
  </si>
  <si>
    <t>Long O/S</t>
  </si>
  <si>
    <t>IT Cases</t>
  </si>
  <si>
    <t>Zero Bal.</t>
  </si>
  <si>
    <t xml:space="preserve">CK Book </t>
  </si>
  <si>
    <t>Abakoran</t>
  </si>
  <si>
    <t>North A.A</t>
  </si>
  <si>
    <t>Cash &amp; Cash Items</t>
  </si>
  <si>
    <t>Difference observed on ATM cash balance.(The physical cash count balance of ATM   (240,300) have shown a difference of Birr 15,598.34 compared with the general ledger balance .(255,898.34)</t>
  </si>
  <si>
    <t>31/07/2025</t>
  </si>
  <si>
    <t>31/07/25</t>
  </si>
  <si>
    <t>31/08/2026</t>
  </si>
  <si>
    <t xml:space="preserve"> arrears loan show on the branch  and NPL for long period of time</t>
  </si>
  <si>
    <t>Absence of tag number</t>
  </si>
  <si>
    <t>ATM card(321) and PIN Mailers(105) were differ</t>
  </si>
  <si>
    <t>Cash withdrawal  Without Signature</t>
  </si>
  <si>
    <t xml:space="preserve">RTGS  without signature </t>
  </si>
  <si>
    <t xml:space="preserve">Account transfer without signature </t>
  </si>
  <si>
    <t>26/12/25</t>
  </si>
  <si>
    <t>Adidisu Gebeya</t>
  </si>
  <si>
    <t>30/6/26</t>
  </si>
  <si>
    <t xml:space="preserve">Difference in non contingent </t>
  </si>
  <si>
    <t>Sundry debtors (Loan Balance CorrectionExpense)</t>
  </si>
  <si>
    <t>Amist Killo</t>
  </si>
  <si>
    <t>ATM card(897) and PIN Mailers(278) were differ</t>
  </si>
  <si>
    <t>Arada Giorgis</t>
  </si>
  <si>
    <t>North AA</t>
  </si>
  <si>
    <t xml:space="preserve">sundry debtors uncollected RTGS commission  </t>
  </si>
  <si>
    <t>Sundry debtors - RECEIVABLE COURT CASE</t>
  </si>
  <si>
    <t>Sundry creditors(OFFICE RENT)</t>
  </si>
  <si>
    <t>25/072025</t>
  </si>
  <si>
    <t>ATM card(227) and PIN Mailers(21) were differ</t>
  </si>
  <si>
    <t>Arat Killo</t>
  </si>
  <si>
    <t>Artist Mohammud</t>
  </si>
  <si>
    <t xml:space="preserve">Sundry cridtors </t>
  </si>
  <si>
    <t>ATM card(299) and PIN Mailers(278) were differ</t>
  </si>
  <si>
    <t>Atikilt Tera</t>
  </si>
  <si>
    <t>30/04/2026</t>
  </si>
  <si>
    <t>28/02/2026</t>
  </si>
  <si>
    <t>31/03/2026</t>
  </si>
  <si>
    <t>Catch all asset and liability PL</t>
  </si>
  <si>
    <t>Aware</t>
  </si>
  <si>
    <t>January ,2021</t>
  </si>
  <si>
    <t>June 29,2026</t>
  </si>
  <si>
    <t>Account Rec.Miscellaneous</t>
  </si>
  <si>
    <t>October,2021</t>
  </si>
  <si>
    <t>June 10,2026</t>
  </si>
  <si>
    <t>ATM card(2720) and PIN Mailers(1351) were differ</t>
  </si>
  <si>
    <t>Cathedral</t>
  </si>
  <si>
    <t>Difference in Non Contingent</t>
  </si>
  <si>
    <t>ATM card(256) and PIN Mailers(117) were differ</t>
  </si>
  <si>
    <t>CATH ALL -UNASSIGNED PL</t>
  </si>
  <si>
    <t>Diff  of cost of cheque b/n  physical  count and general ledger</t>
  </si>
  <si>
    <t>Churchil</t>
  </si>
  <si>
    <t>FEB 12 2026</t>
  </si>
  <si>
    <t>LULY 31 2025</t>
  </si>
  <si>
    <t>Long-term unconsolidated   POS cash advance(POS Cash advance of Birr 4700left  over in the General Ledger for a long time without being deposited)</t>
  </si>
  <si>
    <t>JUL-31,2025</t>
  </si>
  <si>
    <t>APR-30,2026</t>
  </si>
  <si>
    <t xml:space="preserve">Dormant Account </t>
  </si>
  <si>
    <t>AUG-31,2025</t>
  </si>
  <si>
    <t>ATM card(211) and PIN Mailers(223) were differ</t>
  </si>
  <si>
    <t>Chilto</t>
  </si>
  <si>
    <t>Catch All -Unassigned PL</t>
  </si>
  <si>
    <t>Enkulal Fabrica</t>
  </si>
  <si>
    <t>Difference in non Contingent</t>
  </si>
  <si>
    <t xml:space="preserve">
Sundry debitor-Temporary loan rep't acc.13,049.46</t>
  </si>
  <si>
    <t>Ferensay Lega</t>
  </si>
  <si>
    <t>25/07/2025</t>
  </si>
  <si>
    <t>Difference observed on ATM cash balance.(The physical cash count bale of ATM  have shown a difference of Birr …47,000…….. compared with the general ledger balance . )</t>
  </si>
  <si>
    <t>31/12/2025</t>
  </si>
  <si>
    <t>Sundry debtors (X Staff Daniel shimels Longoutstanding</t>
  </si>
  <si>
    <t xml:space="preserve">                          </t>
  </si>
  <si>
    <t>ATM card(665) and PIN Mailers(46) were differ</t>
  </si>
  <si>
    <t>26/06/2026</t>
  </si>
  <si>
    <t>Fiche</t>
  </si>
  <si>
    <t>CashandCash Items</t>
  </si>
  <si>
    <t>22/05/23</t>
  </si>
  <si>
    <t>Interbranch R10</t>
  </si>
  <si>
    <t>ATM card(588) and PIN Mailers(611) were differ</t>
  </si>
  <si>
    <t>Garbaguracha</t>
  </si>
  <si>
    <t>System Suspense AA</t>
  </si>
  <si>
    <t>Sundry creditors (AA LOAN DEPOSITS)</t>
  </si>
  <si>
    <t>Golla</t>
  </si>
  <si>
    <t>JULY 01 2025</t>
  </si>
  <si>
    <t xml:space="preserve">ATM card(106) and PIN Mailers(29) were differ </t>
  </si>
  <si>
    <t>Loan Commitment-Memo</t>
  </si>
  <si>
    <t>Gulele</t>
  </si>
  <si>
    <t>30/09/2025</t>
  </si>
  <si>
    <t>Difference observed on ATM cash balance.(The physical cash count balance of ATM  have shown a difference of Birr 18,748.32  compared with the general ledger balance . )</t>
  </si>
  <si>
    <t>25/09/2025</t>
  </si>
  <si>
    <t>Janmeda</t>
  </si>
  <si>
    <t>Sundry debtors (INWARD CLEARING EATS/PHILLIPS PHARMACEUTICAL WEGAGEN BANK S.C LIDETA AREA BRANCH CK NO 68098992</t>
  </si>
  <si>
    <t>Sundry creditors(LONG OUTSTADING POS TRANSFER TO SUNDERY CREDITER ACCOUNT MORE THAN THREE  YEARS OLD AT POS ACCOUNT)</t>
  </si>
  <si>
    <t>Kazanchis</t>
  </si>
  <si>
    <t>Difference observed on ATM cash balance.(The physical cash count balance of ATM  have shown 298462a difference of Birr  compared with the general ledger balance . )</t>
  </si>
  <si>
    <t>Catch all - Unassined</t>
  </si>
  <si>
    <t>14/10/2024</t>
  </si>
  <si>
    <t>Difference in non contigent (NPL)</t>
  </si>
  <si>
    <t>Sundry debitor( Receivable From Head Office  ON  05 -08-2023 6890$  FROM ETB 12518 by the rate of 55.36285 and  on 07-04-2023 590,996.11</t>
  </si>
  <si>
    <t xml:space="preserve"> arrears loan show on the branch  and NPL for long period of time  54,329.69</t>
  </si>
  <si>
    <t>ATM card(853) and PIN Mailers(434) were differ</t>
  </si>
  <si>
    <t>Kebena</t>
  </si>
  <si>
    <t>JUN,2025</t>
  </si>
  <si>
    <t>Total fixed asset - source docment not set to branch</t>
  </si>
  <si>
    <t>Sundry debtors  -water,Bolo,car oil,and gas oil for EAAD</t>
  </si>
  <si>
    <t>20/07/2026 &amp; 31/07/2026</t>
  </si>
  <si>
    <t>DIFRERENCE IN NON-CONTINGENT</t>
  </si>
  <si>
    <t>Kotebe</t>
  </si>
  <si>
    <t>30/05/2026</t>
  </si>
  <si>
    <t>Long-term unconsolidated   POS cash advance(POS Cash advance of Birr 55,650.00 left over in the General Ledger for a long time without being deposited)</t>
  </si>
  <si>
    <t>30/06/26</t>
  </si>
  <si>
    <t>gain on A/L Revaluation</t>
  </si>
  <si>
    <t>Kotebe Gebeya</t>
  </si>
  <si>
    <t>Sundry debtors - has no source document on tracer</t>
  </si>
  <si>
    <t xml:space="preserve">Sundry creditors-has no source document on tracer
</t>
  </si>
  <si>
    <t>CLAIM ON HEAD OFFICE-has no source document on trace</t>
  </si>
  <si>
    <t>Defective/obsolete fixed assets found at the branch ;-copy machine</t>
  </si>
  <si>
    <t>ATM card(1699) and PIN Mailers(1526) were differ</t>
  </si>
  <si>
    <t>Nib Premium</t>
  </si>
  <si>
    <t>Inter Branch Account - T24 R10</t>
  </si>
  <si>
    <t xml:space="preserve">System Suspense AC </t>
  </si>
  <si>
    <t xml:space="preserve">Migration Suspense Accounts </t>
  </si>
  <si>
    <t>Catch-All Assets &amp; Liabilities</t>
  </si>
  <si>
    <t>26/03/2025</t>
  </si>
  <si>
    <t>Loan Balance Correction Expense</t>
  </si>
  <si>
    <t>Rtgs Receivable</t>
  </si>
  <si>
    <t>S-Deb-Temp Loan Repayment Account  (abnormal Balnce)</t>
  </si>
  <si>
    <t>Dormant Account Found at the Branch</t>
  </si>
  <si>
    <t xml:space="preserve">08/6/2026
24/7/2026
27/7/2026
29/7/2026
29/7/2026
29/7/2026
29/7/2026
</t>
  </si>
  <si>
    <t>Fund Transfers were made 
without Customer's Signature &amp; company stamp</t>
  </si>
  <si>
    <t xml:space="preserve">14/7/2026
28/7/2026
</t>
  </si>
  <si>
    <t>CPO Issued without
 customer’s company stamp</t>
  </si>
  <si>
    <t>Ras</t>
  </si>
  <si>
    <t>Jully 31 2025</t>
  </si>
  <si>
    <t xml:space="preserve"> Inter Branch Account - T24 R10</t>
  </si>
  <si>
    <t xml:space="preserve"> Migration Suspense Accounts</t>
  </si>
  <si>
    <t>Jully  31 2025</t>
  </si>
  <si>
    <t>S-Debtor- RTGS Receivable</t>
  </si>
  <si>
    <t>Oct  31 2025</t>
  </si>
  <si>
    <t>Sundry creditors: Long outstanding LMTS payable</t>
  </si>
  <si>
    <t>JULY 31 2026</t>
  </si>
  <si>
    <t>MAY 31 2026</t>
  </si>
  <si>
    <t>ATM card(231) and PIN Mailers(135) were differ</t>
  </si>
  <si>
    <t>Rufael</t>
  </si>
  <si>
    <t>30/11/2025</t>
  </si>
  <si>
    <t xml:space="preserve">Sundry creditors EXCHANGE PAYABEL TO NBE </t>
  </si>
  <si>
    <t>Sebara Babur</t>
  </si>
  <si>
    <t>Senga Tera</t>
  </si>
  <si>
    <t>Sundry debtors ;1,Miscellaneous - LCY -1,550.00 (CAR WASH ,TIRE SERVICE AND BRAKE,OIL AND GREASE MAIMTENANCE KODE -3-  32363  )</t>
  </si>
  <si>
    <t>Sundry creditors   1,RTGS Transfer Fee 5,445.00 2,Vat Payable  2,258.10</t>
  </si>
  <si>
    <t>31/7/2026</t>
  </si>
  <si>
    <t>RTGS  the signature on the system differs from the signature the person actually signed.</t>
  </si>
  <si>
    <t>Shiro Meda</t>
  </si>
  <si>
    <t>Difference observed on ATM cash balance.(The physical cash count balance of ATM  have shown a difference of Birr 122586.28 compared with the general ledger balance . )</t>
  </si>
  <si>
    <t>DIFRERENCE IN NON-CONTINGEN</t>
  </si>
  <si>
    <t>ATM card(531) and PIN Mailers(271) were differ</t>
  </si>
  <si>
    <t>Catch all PL</t>
  </si>
  <si>
    <t>Shola Gebeya</t>
  </si>
  <si>
    <t xml:space="preserve">Cash &amp; Cash Items </t>
  </si>
  <si>
    <t>Sholla</t>
  </si>
  <si>
    <t>Long-term unconsolidated   POS cash advance(POS Cash advance of Birr 5,879.68.00 left over in the General Ledger for a long time without being deposited)</t>
  </si>
  <si>
    <t>Difference observed on ATM cash balance.(The physical cash count balance of ATM  have shown a difference of Birr 6,877.76  compared with the general ledger balance . )</t>
  </si>
  <si>
    <t>MARCH</t>
  </si>
  <si>
    <t xml:space="preserve">Inter Branch Account - T24 R10 </t>
  </si>
  <si>
    <t xml:space="preserve">Migration Suspense Accounts  </t>
  </si>
  <si>
    <t xml:space="preserve">DIFRERENCE IN NON-CONTINGENT </t>
  </si>
  <si>
    <t>Accr interest on Gov`tBond&amp;Dep</t>
  </si>
  <si>
    <t>Xpress Money( double payment on 24/04/2013)</t>
  </si>
  <si>
    <t>SINCE 2007 G.C</t>
  </si>
  <si>
    <t xml:space="preserve">Sundry debtors &gt; Long outstanding of uncollected various receivables  </t>
  </si>
  <si>
    <t>SINCE 2014 G.C</t>
  </si>
  <si>
    <t xml:space="preserve">Sundry creditors&gt;Long outstanding of uncollected various payables </t>
  </si>
  <si>
    <t>JULY</t>
  </si>
  <si>
    <t>ATM card OLD(279) and PIN Mailers OLD (412) were differ</t>
  </si>
  <si>
    <t>Sidist Kilo</t>
  </si>
  <si>
    <t>Long-term unconsolidated   POS cash advance(POS Cash advance of left over in the General Ledger for a long time without being deposited)</t>
  </si>
  <si>
    <t>ATM card(366) PIN Mailers(306) were differ</t>
  </si>
  <si>
    <t>Sululta</t>
  </si>
  <si>
    <t xml:space="preserve">Rev Stamps On Hand(Loan/Cash) IT Hase GL Balance not equal to Actual Balance </t>
  </si>
  <si>
    <t>Sundry creditors-
Sundry creditor-Temporary loan rep't acc.74,087.96</t>
  </si>
  <si>
    <t>ATM card(775) and PIN Mailers(772) were differ</t>
  </si>
  <si>
    <t>Tewodros</t>
  </si>
  <si>
    <t xml:space="preserve">     </t>
  </si>
  <si>
    <t>Long-term unconsolidated   POS cash advance(POS Cash advance of Birr 3,000.00 left over in the General Ledger for a long time without being deposited)</t>
  </si>
  <si>
    <t xml:space="preserve">Catch all asset </t>
  </si>
  <si>
    <t xml:space="preserve"> Arrears loan show on the branch  and NPL for long period of time</t>
  </si>
  <si>
    <t>ATM card(195) and PIN Mailers(249) were differ</t>
  </si>
  <si>
    <t>Tigat</t>
  </si>
  <si>
    <t>07/07/22</t>
  </si>
  <si>
    <t>12/07/2021</t>
  </si>
  <si>
    <t xml:space="preserve">A subsidiary ledger balance of the following account was found different from its respective general ledger balance as of……            (till cash position kept this amount but threr is no diference actual cash and Gl but when the migration period R10 TO R20 the amount directly move on GL as aresult when daily cash  close by this amount of differece </t>
  </si>
  <si>
    <t>08/08/2014</t>
  </si>
  <si>
    <t>Sundry debtors (interst receveble from several customers due to interst rate difference</t>
  </si>
  <si>
    <t xml:space="preserve">Sundry creditors ( corrupted loan of keffa forest coffe farmers from catchall   </t>
  </si>
  <si>
    <t>ATM card(533) and PIN Mailers(179) were differ  354</t>
  </si>
  <si>
    <t>02/75/26</t>
  </si>
  <si>
    <t>RTGS TRANSFER SIG MISSING</t>
  </si>
  <si>
    <t>4/7/2026</t>
  </si>
  <si>
    <t>CASH WITHDRAW HOLDER NAME ERROR</t>
  </si>
  <si>
    <t>cash withdraw date error</t>
  </si>
  <si>
    <t>rtgs transfer with copy ticket</t>
  </si>
  <si>
    <t>ACC TRANSFER SIG MISSING</t>
  </si>
  <si>
    <t>Catch all  unassign pl</t>
  </si>
  <si>
    <t>Wesen</t>
  </si>
  <si>
    <t>ATM card(408) and PIN Mailers(322) were differ</t>
  </si>
  <si>
    <t>25/7/2026</t>
  </si>
  <si>
    <t>16/7/2026</t>
  </si>
  <si>
    <t>Account transfer with error date</t>
  </si>
  <si>
    <t>Wuha Limat</t>
  </si>
  <si>
    <t>Sundry Creditors - Misc _Abnormal Balance</t>
  </si>
  <si>
    <t>Yeka Abado</t>
  </si>
  <si>
    <t>Difference observed on ATM cash balance.(The physical cash count balance of ATM  have shown a difference of Birr (8009.25) compared with the general ledger balance . )</t>
  </si>
  <si>
    <t>Difference in non contigent</t>
  </si>
  <si>
    <t>25/2/2026</t>
  </si>
  <si>
    <t xml:space="preserve">Sundry debtors Miscellaneous </t>
  </si>
  <si>
    <t>ATM card(141) and PIN Mailers(51) were differ</t>
  </si>
  <si>
    <t>Yeka</t>
  </si>
  <si>
    <t>30/09/2022</t>
  </si>
  <si>
    <t>22/11/2019</t>
  </si>
  <si>
    <t>Long outstanding items. UE-CLAIM ON H.O AND BRANCH</t>
  </si>
  <si>
    <t>17/04/2026</t>
  </si>
  <si>
    <t>Sundry debtors Miscellaneous RTGS service charge to be collect from customer</t>
  </si>
  <si>
    <t>ATM card(620) and PIN Mailers(420) were differ</t>
  </si>
  <si>
    <t>30/9/2022</t>
  </si>
  <si>
    <t xml:space="preserve">10 CAD / CANADIAN DOLLAR/   Long period  kept  to Voult   </t>
  </si>
  <si>
    <t>Total</t>
  </si>
  <si>
    <t>Long Outstanding</t>
  </si>
  <si>
    <t>IT Case</t>
  </si>
  <si>
    <t>Dormant</t>
  </si>
  <si>
    <t>Cheque Book</t>
  </si>
  <si>
    <t>Other Case</t>
  </si>
  <si>
    <t>Amount Involved</t>
  </si>
  <si>
    <t>NO.Case</t>
  </si>
  <si>
    <t>Remaining</t>
  </si>
  <si>
    <t>Dormat</t>
  </si>
  <si>
    <t>Sheger menefesha</t>
  </si>
  <si>
    <t>maturnity leave</t>
  </si>
  <si>
    <t>Habte giorgis</t>
  </si>
  <si>
    <t>East</t>
  </si>
  <si>
    <t>North</t>
  </si>
  <si>
    <t>South AA District</t>
  </si>
  <si>
    <t>As of July 31, 2026</t>
  </si>
  <si>
    <t>Amount involved in Birr</t>
  </si>
  <si>
    <t>Africa Avenue</t>
  </si>
  <si>
    <t>South AA</t>
  </si>
  <si>
    <t>CASH sorting,counting and wrapping area of the branch were not separeted</t>
  </si>
  <si>
    <t>Absence of source documents.</t>
  </si>
  <si>
    <t>Gain on A/L Revaluation</t>
  </si>
  <si>
    <t>Abnormal Balance</t>
  </si>
  <si>
    <t>Long outstanding items.</t>
  </si>
  <si>
    <t>south AA</t>
  </si>
  <si>
    <t>Sundry debtors :-accr interest Govt Bond &amp; Dep</t>
  </si>
  <si>
    <t>Sundry debtors :-loan balance correction expense</t>
  </si>
  <si>
    <t>Sundry debtors :-Receivable from Atayol Asphalt</t>
  </si>
  <si>
    <t>Sundry creditors:- loan balance correction income</t>
  </si>
  <si>
    <t>Loan &amp; Advances with Arrears:-BISRATA TAFA AND ISTANBUL TEXTILE PLC</t>
  </si>
  <si>
    <t xml:space="preserve">Defective/obsolete fixed assets found at the branch:- broken chair </t>
  </si>
  <si>
    <r>
      <t xml:space="preserve">ATM cards &amp; PIN mailers were not delivered to the respective account holders/ customers for a long period of time as presented below. </t>
    </r>
    <r>
      <rPr>
        <b/>
        <i/>
        <sz val="10"/>
        <color theme="1"/>
        <rFont val="Cambria"/>
        <family val="1"/>
        <scheme val="major"/>
      </rPr>
      <t>ATM Card = 19   PIN Mailers = 11</t>
    </r>
  </si>
  <si>
    <r>
      <t xml:space="preserve">Mismatch Between ATM Card &amp; Pin Mailers </t>
    </r>
    <r>
      <rPr>
        <b/>
        <i/>
        <sz val="10"/>
        <color theme="1"/>
        <rFont val="Cambria"/>
        <family val="1"/>
        <scheme val="major"/>
      </rPr>
      <t>ATM Card =19    PIN Mailers = 12</t>
    </r>
  </si>
  <si>
    <t xml:space="preserve">Fund Transfers were made without Customer's Signature:-DECHASSA WEYESSA TOLLA/7000021046758/ TO CBE 
 </t>
  </si>
  <si>
    <t xml:space="preserve">Fund Transfers were made without Customer's Signature:- SEKET IMPORT AND EXPORT TRADING PLC /7000113962742/ TO CBE
 </t>
  </si>
  <si>
    <t xml:space="preserve">Fund Transfers were made without Customer's Signature:-R AND M BUSINESS PLC /7000002626743/ TO AWASH BANK
 </t>
  </si>
  <si>
    <r>
      <t xml:space="preserve">Fund Transfers were made without Customer's Signature:-R AND M BUSINESS PLC /7000002626743/ TO </t>
    </r>
    <r>
      <rPr>
        <i/>
        <sz val="11"/>
        <color theme="1"/>
        <rFont val="Cambria"/>
        <family val="1"/>
        <scheme val="major"/>
      </rPr>
      <t>UNITED BANK</t>
    </r>
    <r>
      <rPr>
        <i/>
        <sz val="11"/>
        <rFont val="Cambria"/>
        <family val="1"/>
        <scheme val="major"/>
      </rPr>
      <t xml:space="preserve">
 </t>
    </r>
  </si>
  <si>
    <t xml:space="preserve">Fund Transfers were made without Customer's Signature:- AMIR ZINABU TESSEMA/7000102473227/ TO CBE
 </t>
  </si>
  <si>
    <t xml:space="preserve">Fund Transfers were made without Customer's Signature:- ABIMELEK DANIEL BEKELE/7000053780534/ TO CBE
 </t>
  </si>
  <si>
    <t xml:space="preserve">Fund Transfers were made without Customer's Signature:-  MULUKEN MOHAMMED AHMED/7000015183409/ TO ABISSINIYA BANK
 </t>
  </si>
  <si>
    <t>AKAKI GEBEYA</t>
  </si>
  <si>
    <t>Cash&amp; cash items</t>
  </si>
  <si>
    <r>
      <t xml:space="preserve">Difference observed on ATM cash balance.(The physical cash count balance of ATM  have shown a difference of </t>
    </r>
    <r>
      <rPr>
        <b/>
        <i/>
        <sz val="12"/>
        <color theme="1"/>
        <rFont val="Cambria"/>
        <family val="1"/>
        <scheme val="major"/>
      </rPr>
      <t>Birr 14,300.00 Excess</t>
    </r>
    <r>
      <rPr>
        <i/>
        <sz val="12"/>
        <color theme="1"/>
        <rFont val="Cambria"/>
        <family val="1"/>
        <scheme val="major"/>
      </rPr>
      <t xml:space="preserve"> compared with the general ledger balance on July31, 2026 . )</t>
    </r>
  </si>
  <si>
    <t>Inter branch T-24  R10 -</t>
  </si>
  <si>
    <t>Gain on A/L revaluation</t>
  </si>
  <si>
    <t>Abnormal Tem loan repayment balance</t>
  </si>
  <si>
    <t>Undisbursed term loan</t>
  </si>
  <si>
    <t xml:space="preserve">Catch All - Unassigned PL                </t>
  </si>
  <si>
    <t>Sundry creditors/Cash in ATM</t>
  </si>
  <si>
    <t>Sundry creditors/cash in pos</t>
  </si>
  <si>
    <t>Sundry creditors/rent payable</t>
  </si>
  <si>
    <t>Sundry creditors/Staff loan repayment by court order</t>
  </si>
  <si>
    <t>Sundry creditors/suspictous acc clossed amount</t>
  </si>
  <si>
    <t>Loan  and Advance</t>
  </si>
  <si>
    <t>loan balance correction income</t>
  </si>
  <si>
    <t>Loan &amp; Advances with Arrears</t>
  </si>
  <si>
    <t xml:space="preserve">Zero  (0.00) balance  Account Found at branch </t>
  </si>
  <si>
    <t>Fixed ASSET Management</t>
  </si>
  <si>
    <r>
      <t>ATM cards &amp; PIN mailers were not delivered to the respective account holders/ customers for a long period of time as presented below</t>
    </r>
    <r>
      <rPr>
        <b/>
        <i/>
        <sz val="12"/>
        <color theme="1"/>
        <rFont val="Cambria"/>
        <family val="1"/>
        <scheme val="major"/>
      </rPr>
      <t>ATM Card = 931  Pin Mailers =  666</t>
    </r>
  </si>
  <si>
    <r>
      <t>Mismatch Between ATM Card &amp; Pin Mailers.</t>
    </r>
    <r>
      <rPr>
        <b/>
        <i/>
        <sz val="12"/>
        <color theme="1"/>
        <rFont val="Cambria"/>
        <family val="1"/>
        <scheme val="major"/>
      </rPr>
      <t xml:space="preserve"> ATM Card=  931 PIN Mailers =666</t>
    </r>
  </si>
  <si>
    <t>Alemgena</t>
  </si>
  <si>
    <r>
      <t xml:space="preserve">Long-term unconsolidated   POS cash advance(POS Cash advance of Birr </t>
    </r>
    <r>
      <rPr>
        <b/>
        <i/>
        <sz val="12"/>
        <color rgb="FF000000"/>
        <rFont val="Cambria"/>
        <family val="1"/>
        <scheme val="major"/>
      </rPr>
      <t>30,741.99 Excess</t>
    </r>
    <r>
      <rPr>
        <i/>
        <sz val="12"/>
        <color rgb="FF000000"/>
        <rFont val="Cambria"/>
        <family val="1"/>
        <scheme val="major"/>
      </rPr>
      <t xml:space="preserve"> left over in the General Ledger for a long time without being deposited)</t>
    </r>
  </si>
  <si>
    <r>
      <t>Difference observed on ATM cash balance.(The physical cash</t>
    </r>
    <r>
      <rPr>
        <b/>
        <i/>
        <sz val="12"/>
        <color rgb="FF000000"/>
        <rFont val="Cambria"/>
        <family val="1"/>
        <scheme val="major"/>
      </rPr>
      <t xml:space="preserve"> </t>
    </r>
    <r>
      <rPr>
        <i/>
        <sz val="12"/>
        <color rgb="FF000000"/>
        <rFont val="Cambria"/>
        <family val="1"/>
        <scheme val="major"/>
      </rPr>
      <t>count balance of ATM  have shown  a difference of Birr</t>
    </r>
    <r>
      <rPr>
        <b/>
        <i/>
        <sz val="12"/>
        <color rgb="FF000000"/>
        <rFont val="Cambria"/>
        <family val="1"/>
        <scheme val="major"/>
      </rPr>
      <t xml:space="preserve"> (340,138.00) shortage</t>
    </r>
    <r>
      <rPr>
        <i/>
        <sz val="12"/>
        <color rgb="FF000000"/>
        <rFont val="Cambria"/>
        <family val="1"/>
        <scheme val="major"/>
      </rPr>
      <t>compared with the general ledger balance )</t>
    </r>
  </si>
  <si>
    <t>Difference in Non-Contingent</t>
  </si>
  <si>
    <t>Uncleared Interbranch pymts</t>
  </si>
  <si>
    <t>Money Bags</t>
  </si>
  <si>
    <t>Money Box</t>
  </si>
  <si>
    <t>Sundry debtors (RTGS Receivable)</t>
  </si>
  <si>
    <t>Loan Balance CorrectionExpense</t>
  </si>
  <si>
    <t>Sundry creditors/Collected from closed account,penality and unpaid salary</t>
  </si>
  <si>
    <t>Loan&amp;Advance</t>
  </si>
  <si>
    <t>Loan with arrears</t>
  </si>
  <si>
    <t>Irregularities in connection with deposit account openings.</t>
  </si>
  <si>
    <t>Defective fixed assets NIB/ALGB/02/001  ( Note Counting Machine Heavy 8650</t>
  </si>
  <si>
    <t>Defective fixed assets NIB/ALGB/02/018 (Note Counting Machine Heavy 8650</t>
  </si>
  <si>
    <r>
      <t xml:space="preserve">ATM cards &amp; PIN mailers were not delivered to the respective account holders/ customers for a long period of time as presented below. </t>
    </r>
    <r>
      <rPr>
        <i/>
        <sz val="12"/>
        <color rgb="FFFF0000"/>
        <rFont val="Cambria"/>
        <family val="1"/>
        <scheme val="major"/>
      </rPr>
      <t>ATM=81    PIN=154</t>
    </r>
  </si>
  <si>
    <t>Mismatch Between ATM Card &amp; Pin MailersATM=81    PIN=154</t>
  </si>
  <si>
    <t>Beklobet</t>
  </si>
  <si>
    <t>cash &amp; cash items</t>
  </si>
  <si>
    <t xml:space="preserve">Abnormal balances concerning physical cash difference of birr 1300.00 shortage compared with GL Balance </t>
  </si>
  <si>
    <r>
      <t>Long-term unconsolidated   POS cash advance(POS Cash advance of Birr (2,200</t>
    </r>
    <r>
      <rPr>
        <i/>
        <sz val="12"/>
        <color rgb="FFFF0000"/>
        <rFont val="Cambria"/>
        <family val="1"/>
        <scheme val="major"/>
      </rPr>
      <t>.</t>
    </r>
    <r>
      <rPr>
        <i/>
        <sz val="12"/>
        <rFont val="Cambria"/>
        <family val="1"/>
        <scheme val="major"/>
      </rPr>
      <t>00)</t>
    </r>
    <r>
      <rPr>
        <i/>
        <sz val="12"/>
        <color rgb="FFFF0000"/>
        <rFont val="Cambria"/>
        <family val="1"/>
        <scheme val="major"/>
      </rPr>
      <t xml:space="preserve"> Shortage  </t>
    </r>
    <r>
      <rPr>
        <i/>
        <sz val="12"/>
        <color rgb="FF000000"/>
        <rFont val="Cambria"/>
        <family val="1"/>
        <scheme val="major"/>
      </rPr>
      <t>left over in the General Ledger for a long time without being deposited)</t>
    </r>
  </si>
  <si>
    <r>
      <t>Difference observed on ATM cash balance.(The physical cash count balance of ATM  have shown a difference of Birr 47,366.1</t>
    </r>
    <r>
      <rPr>
        <i/>
        <sz val="12"/>
        <color rgb="FFFF0000"/>
        <rFont val="Cambria"/>
        <family val="1"/>
        <scheme val="major"/>
      </rPr>
      <t xml:space="preserve"> Excess </t>
    </r>
    <r>
      <rPr>
        <i/>
        <sz val="12"/>
        <color rgb="FF000000"/>
        <rFont val="Cambria"/>
        <family val="1"/>
        <scheme val="major"/>
      </rPr>
      <t>compared with the general ledger balance . )</t>
    </r>
  </si>
  <si>
    <t xml:space="preserve">Undisbursed Term Loans  </t>
  </si>
  <si>
    <t>Defective/obsolete fixed assets found at the branch Cash count machine no function</t>
  </si>
  <si>
    <t xml:space="preserve">ATM cards &amp; PIN mailers were not delivered to the respective account holders/ customers for a long period of time as presented below. ATM cards 580 and pin 366  </t>
  </si>
  <si>
    <t>Mismatch between Atm cards and pin . Card 580 and pin 366  Difference  214</t>
  </si>
  <si>
    <t xml:space="preserve">BISRATE GEBREAL </t>
  </si>
  <si>
    <r>
      <t xml:space="preserve">Abnormal balances of ATM cash </t>
    </r>
    <r>
      <rPr>
        <i/>
        <sz val="12"/>
        <color rgb="FFFF0000"/>
        <rFont val="Cambria"/>
        <family val="1"/>
        <scheme val="major"/>
      </rPr>
      <t>/Overage</t>
    </r>
  </si>
  <si>
    <r>
      <t xml:space="preserve">Long-term unconsolidated   POS cash advance(POS Cash advance of Birr 67000 </t>
    </r>
    <r>
      <rPr>
        <b/>
        <i/>
        <sz val="12"/>
        <color rgb="FFFF0000"/>
        <rFont val="Cambria"/>
        <family val="1"/>
        <scheme val="major"/>
      </rPr>
      <t>/Overgage</t>
    </r>
    <r>
      <rPr>
        <i/>
        <sz val="12"/>
        <color rgb="FFFF0000"/>
        <rFont val="Cambria"/>
        <family val="1"/>
        <scheme val="major"/>
      </rPr>
      <t xml:space="preserve"> </t>
    </r>
    <r>
      <rPr>
        <i/>
        <sz val="12"/>
        <color rgb="FF000000"/>
        <rFont val="Cambria"/>
        <family val="1"/>
        <scheme val="major"/>
      </rPr>
      <t>left over in the General Ledger for a long time without being deposited)</t>
    </r>
  </si>
  <si>
    <r>
      <t xml:space="preserve">Difference observed on ATM cash balance.(The physical cash count balance of ATM  have shown a difference of Birr </t>
    </r>
    <r>
      <rPr>
        <b/>
        <i/>
        <sz val="12"/>
        <color rgb="FF000000"/>
        <rFont val="Cambria"/>
        <family val="1"/>
        <scheme val="major"/>
      </rPr>
      <t>1,370,083.97</t>
    </r>
    <r>
      <rPr>
        <b/>
        <i/>
        <sz val="12"/>
        <color rgb="FFFF0000"/>
        <rFont val="Cambria"/>
        <family val="1"/>
        <scheme val="major"/>
      </rPr>
      <t xml:space="preserve">/ Excess </t>
    </r>
    <r>
      <rPr>
        <i/>
        <sz val="12"/>
        <color rgb="FF000000"/>
        <rFont val="Cambria"/>
        <family val="1"/>
        <scheme val="major"/>
      </rPr>
      <t>compared with the general ledger balance . )</t>
    </r>
  </si>
  <si>
    <r>
      <t>Cheque books prepared but not delivered to customers for a long period of time.</t>
    </r>
    <r>
      <rPr>
        <sz val="12"/>
        <color theme="1"/>
        <rFont val="Calibri"/>
        <family val="2"/>
        <scheme val="minor"/>
      </rPr>
      <t xml:space="preserve"> </t>
    </r>
  </si>
  <si>
    <t>Gainon A/L Revaluation</t>
  </si>
  <si>
    <t>Difference in Non- Contingent</t>
  </si>
  <si>
    <t>Catch all Unassigned PL</t>
  </si>
  <si>
    <t>RTGS transfer fee</t>
  </si>
  <si>
    <t xml:space="preserve">Sundry debtors/Rtgs Recievable </t>
  </si>
  <si>
    <t>Prepaid Rent</t>
  </si>
  <si>
    <t>Sundry debtors/Rmiscellaneous (fraud made at vatican and catedral branch and paid to the custemer until the police is investigating).</t>
  </si>
  <si>
    <t>Sundry creditors/ CPO payable</t>
  </si>
  <si>
    <t>Loan &amp; Advance</t>
  </si>
  <si>
    <t>ZERO BALACE FOUND AT THE BRANCH</t>
  </si>
  <si>
    <r>
      <t>ATM cards &amp; PIN mailers were not delivered to the respective account holders/ customers for a long period of time as presented below.ATM card(Green)=</t>
    </r>
    <r>
      <rPr>
        <i/>
        <sz val="12"/>
        <color rgb="FFFF0000"/>
        <rFont val="Cambria"/>
        <family val="1"/>
        <scheme val="major"/>
      </rPr>
      <t>113</t>
    </r>
    <r>
      <rPr>
        <i/>
        <sz val="12"/>
        <color rgb="FF000000"/>
        <rFont val="Cambria"/>
        <family val="1"/>
        <scheme val="major"/>
      </rPr>
      <t>,ATM card (Normal)=</t>
    </r>
    <r>
      <rPr>
        <i/>
        <sz val="12"/>
        <color rgb="FFFF0000"/>
        <rFont val="Cambria"/>
        <family val="1"/>
        <scheme val="major"/>
      </rPr>
      <t>112</t>
    </r>
    <r>
      <rPr>
        <i/>
        <sz val="12"/>
        <color rgb="FF000000"/>
        <rFont val="Cambria"/>
        <family val="1"/>
        <scheme val="major"/>
      </rPr>
      <t xml:space="preserve"> PIN mailers=</t>
    </r>
    <r>
      <rPr>
        <i/>
        <sz val="12"/>
        <color rgb="FFC00000"/>
        <rFont val="Cambria"/>
        <family val="1"/>
        <scheme val="major"/>
      </rPr>
      <t>156</t>
    </r>
  </si>
  <si>
    <r>
      <t xml:space="preserve">Mismatch Between ATM Card &amp; Pin Mailers </t>
    </r>
    <r>
      <rPr>
        <b/>
        <i/>
        <sz val="12"/>
        <color rgb="FFFF0000"/>
        <rFont val="Cambria"/>
        <family val="1"/>
        <scheme val="major"/>
      </rPr>
      <t>ATM Card =  225 ,  PIN Mailers = 156</t>
    </r>
  </si>
  <si>
    <t>Bole</t>
  </si>
  <si>
    <t xml:space="preserve">Cash &amp;cash item </t>
  </si>
  <si>
    <t>Abnormal balances of ATM cash Overage CASH IN ATM 02</t>
  </si>
  <si>
    <r>
      <t xml:space="preserve">Abnormal balances of ATM cash </t>
    </r>
    <r>
      <rPr>
        <i/>
        <sz val="12"/>
        <color rgb="FFFF0000"/>
        <rFont val="Cambria"/>
        <family val="1"/>
        <scheme val="major"/>
      </rPr>
      <t>ShortageCASH IN ATM 03</t>
    </r>
  </si>
  <si>
    <r>
      <t>Difference observed on ATM cash balance.(The physical cash count balance of ATM  have shown a difference of Birr 766,250.47</t>
    </r>
    <r>
      <rPr>
        <b/>
        <i/>
        <sz val="12"/>
        <color rgb="FF000000"/>
        <rFont val="Cambria"/>
        <family val="1"/>
        <scheme val="major"/>
      </rPr>
      <t xml:space="preserve"> </t>
    </r>
    <r>
      <rPr>
        <b/>
        <i/>
        <sz val="12"/>
        <color rgb="FFFF0000"/>
        <rFont val="Cambria"/>
        <family val="1"/>
        <scheme val="major"/>
      </rPr>
      <t xml:space="preserve">Excess </t>
    </r>
    <r>
      <rPr>
        <i/>
        <sz val="12"/>
        <color rgb="FF000000"/>
        <rFont val="Cambria"/>
        <family val="1"/>
        <scheme val="major"/>
      </rPr>
      <t>compared with the general ledger balance . )</t>
    </r>
  </si>
  <si>
    <t>Gain A/L Revaluation</t>
  </si>
  <si>
    <t>Abnormal balance</t>
  </si>
  <si>
    <t>Sundry Debtor/ Loan Balance CorrectionExpense</t>
  </si>
  <si>
    <t>Sundry creditors micelaneous(ETB17568)/ Auction sold house for loan closure by the bank, the borrower has passed away the remaining amount on legal case.</t>
  </si>
  <si>
    <t>Security Management</t>
  </si>
  <si>
    <r>
      <t xml:space="preserve">ATM cards &amp; PIN mailers were not delivered to the respective account holders/ customers for a long period of time as presented below. </t>
    </r>
    <r>
      <rPr>
        <b/>
        <i/>
        <sz val="12"/>
        <color rgb="FFFF0000"/>
        <rFont val="Cambria"/>
        <family val="1"/>
        <scheme val="major"/>
      </rPr>
      <t>ATM Card = 1213   PIN Mailers = 335</t>
    </r>
  </si>
  <si>
    <r>
      <t xml:space="preserve">Mismatch Between ATM Card &amp; Pin Mailers </t>
    </r>
    <r>
      <rPr>
        <b/>
        <i/>
        <sz val="12"/>
        <color rgb="FFFF0000"/>
        <rFont val="Cambria"/>
        <family val="1"/>
        <scheme val="major"/>
      </rPr>
      <t>ATM Card =  1213  PIN Mailers = 335</t>
    </r>
  </si>
  <si>
    <t>BOLE BULBULA</t>
  </si>
  <si>
    <t>Sundry creditors/With Holding Tax 2% (house rent payment late b/c TIN NO.)</t>
  </si>
  <si>
    <r>
      <t xml:space="preserve">ATM cards &amp; PIN mailers were not delivered to the respective account holders/ customers for a long period of time as presented below . </t>
    </r>
    <r>
      <rPr>
        <b/>
        <i/>
        <sz val="12"/>
        <color rgb="FFFF0000"/>
        <rFont val="Cambria"/>
        <family val="1"/>
        <scheme val="major"/>
      </rPr>
      <t>We have only 383 Green PIN Cards 383</t>
    </r>
  </si>
  <si>
    <t>Bole BULBULA MARIAM MAZORIA</t>
  </si>
  <si>
    <r>
      <t xml:space="preserve">Difference observed on ATM cash balance.(The physical cash count balance of ATM  have shown a difference of Birr </t>
    </r>
    <r>
      <rPr>
        <i/>
        <sz val="10"/>
        <color rgb="FFFF0000"/>
        <rFont val="Cambria"/>
        <family val="1"/>
        <scheme val="major"/>
      </rPr>
      <t>3,796.49</t>
    </r>
    <r>
      <rPr>
        <b/>
        <i/>
        <sz val="10"/>
        <color rgb="FFFF0000"/>
        <rFont val="Cambria"/>
        <family val="1"/>
        <scheme val="major"/>
      </rPr>
      <t xml:space="preserve"> Ovarage </t>
    </r>
    <r>
      <rPr>
        <i/>
        <sz val="10"/>
        <color rgb="FF000000"/>
        <rFont val="Cambria"/>
        <family val="1"/>
        <scheme val="major"/>
      </rPr>
      <t>compared with the general ledger balance . )</t>
    </r>
  </si>
  <si>
    <t xml:space="preserve">Susp Int on NPL'S-Term Loans </t>
  </si>
  <si>
    <t>Catch all unasigned-PL</t>
  </si>
  <si>
    <t>Sundry creditors/Deposit Act in Process Opening</t>
  </si>
  <si>
    <t xml:space="preserve">Ther is no isolated Gun Room or Guard House </t>
  </si>
  <si>
    <r>
      <t xml:space="preserve">ATM cards &amp; PIN mailers were not delivered to the respective account holders/ customers for a long period of time as presented below. </t>
    </r>
    <r>
      <rPr>
        <b/>
        <i/>
        <sz val="10"/>
        <color rgb="FFFF0000"/>
        <rFont val="Cambria"/>
        <family val="1"/>
        <scheme val="major"/>
      </rPr>
      <t>ATM Card = 495   PIN Mailers = 512</t>
    </r>
  </si>
  <si>
    <r>
      <t xml:space="preserve">Mismatch Between ATM Card &amp; Pin Mailers </t>
    </r>
    <r>
      <rPr>
        <b/>
        <i/>
        <sz val="10"/>
        <color rgb="FFFF0000"/>
        <rFont val="Cambria"/>
        <family val="1"/>
        <scheme val="major"/>
      </rPr>
      <t>ATM Card =   495 PIN Mailers = 512</t>
    </r>
  </si>
  <si>
    <t>Cah &amp;Cash items</t>
  </si>
  <si>
    <r>
      <t>Difference observed on ATM cash balance.(The physical cash count balance of ATM  have shown a difference of Birr 15,649.95</t>
    </r>
    <r>
      <rPr>
        <b/>
        <i/>
        <sz val="12"/>
        <color rgb="FFFF0000"/>
        <rFont val="Cambria"/>
        <family val="1"/>
        <scheme val="major"/>
      </rPr>
      <t xml:space="preserve"> excess </t>
    </r>
    <r>
      <rPr>
        <i/>
        <sz val="12"/>
        <color rgb="FF000000"/>
        <rFont val="Cambria"/>
        <family val="1"/>
        <scheme val="major"/>
      </rPr>
      <t>compared with the general ledger balance . )</t>
    </r>
  </si>
  <si>
    <t>Bole Jaefar Mesjid</t>
  </si>
  <si>
    <t xml:space="preserve">Sundry debtors/RTGs Commision </t>
  </si>
  <si>
    <r>
      <t xml:space="preserve">ATM cards &amp; PIN mailers were not delivered to the respective account holders/ customers for a long period of time as presented below. </t>
    </r>
    <r>
      <rPr>
        <b/>
        <i/>
        <sz val="12"/>
        <color rgb="FFFF0000"/>
        <rFont val="Cambria"/>
        <family val="1"/>
        <scheme val="major"/>
      </rPr>
      <t>ATM Card =  163  PIN Mailers = 157</t>
    </r>
  </si>
  <si>
    <r>
      <t xml:space="preserve">Mismatch Between ATM Card &amp; Pin Mailers </t>
    </r>
    <r>
      <rPr>
        <b/>
        <i/>
        <sz val="12"/>
        <color rgb="FFFF0000"/>
        <rFont val="Cambria"/>
        <family val="1"/>
        <scheme val="major"/>
      </rPr>
      <t>ATM Card = 163    PIN Mailers = 157</t>
    </r>
  </si>
  <si>
    <t>BOLE MICHAEL</t>
  </si>
  <si>
    <r>
      <t>Difference observed on ATM cash balance.(The physical cash count balance of ATM  have shown a difference of Birr 194,699.80 ,</t>
    </r>
    <r>
      <rPr>
        <i/>
        <sz val="12"/>
        <color rgb="FFFF0000"/>
        <rFont val="Cambria"/>
        <family val="1"/>
        <scheme val="major"/>
      </rPr>
      <t xml:space="preserve">Excess </t>
    </r>
    <r>
      <rPr>
        <i/>
        <sz val="12"/>
        <color rgb="FF000000"/>
        <rFont val="Cambria"/>
        <family val="1"/>
        <scheme val="major"/>
      </rPr>
      <t>compared with the general ledger balance .)</t>
    </r>
  </si>
  <si>
    <t>Asence of source document</t>
  </si>
  <si>
    <t>Book Difference</t>
  </si>
  <si>
    <t>Contra account difference from the branch and HO.  Inter branch legacy account.</t>
  </si>
  <si>
    <t xml:space="preserve">Sundry debtors/RTGS Recievable </t>
  </si>
  <si>
    <t xml:space="preserve">Sundry creditors                                                                 MTS/ TT PAYABLE LOCAL LMTS  </t>
  </si>
  <si>
    <r>
      <t xml:space="preserve">ATM cards &amp; PIN mailers were not delivered to the respective account holders/ customers for a long period of time as presented below. </t>
    </r>
    <r>
      <rPr>
        <b/>
        <i/>
        <sz val="12"/>
        <color rgb="FFFF0000"/>
        <rFont val="Cambria"/>
        <family val="1"/>
        <scheme val="major"/>
      </rPr>
      <t>ATM Card = 995 PIN= 593</t>
    </r>
  </si>
  <si>
    <r>
      <t xml:space="preserve">Mismatch Between ATM Card &amp; Pin Mailers. </t>
    </r>
    <r>
      <rPr>
        <b/>
        <i/>
        <sz val="12"/>
        <color rgb="FFFF0000"/>
        <rFont val="Cambria"/>
        <family val="1"/>
        <scheme val="major"/>
      </rPr>
      <t>ATM Card = 995PIN= 593</t>
    </r>
  </si>
  <si>
    <t>Bole Rwanda</t>
  </si>
  <si>
    <t xml:space="preserve"> prepaid rent</t>
  </si>
  <si>
    <t>ATM cards &amp; PIN mailers were not delivered to the respective account holders/ customers for a long period of time as presented below ATM CARD 1432 AND PIN MAILER 1472.</t>
  </si>
  <si>
    <t>Mismatch Between ATM Card &amp; Pin Mailers ATM CARD 1432 AND PIN MAILER 1472.</t>
  </si>
  <si>
    <t>BULBULA 93 MAZORIA</t>
  </si>
  <si>
    <r>
      <t xml:space="preserve">Difference observed on ATM cash balance.(The physical cash count balance of ATM  have shown a difference of Birr </t>
    </r>
    <r>
      <rPr>
        <b/>
        <i/>
        <sz val="10"/>
        <color rgb="FF000000"/>
        <rFont val="Cambria"/>
        <family val="1"/>
        <scheme val="major"/>
      </rPr>
      <t>53,669.56</t>
    </r>
    <r>
      <rPr>
        <i/>
        <sz val="10"/>
        <color rgb="FF000000"/>
        <rFont val="Cambria"/>
        <family val="1"/>
        <scheme val="major"/>
      </rPr>
      <t xml:space="preserve"> </t>
    </r>
    <r>
      <rPr>
        <b/>
        <i/>
        <sz val="10"/>
        <color rgb="FF000000"/>
        <rFont val="Cambria"/>
        <family val="1"/>
        <scheme val="major"/>
      </rPr>
      <t xml:space="preserve">Excess </t>
    </r>
    <r>
      <rPr>
        <i/>
        <sz val="10"/>
        <color rgb="FF000000"/>
        <rFont val="Cambria"/>
        <family val="1"/>
        <scheme val="major"/>
      </rPr>
      <t>compared with the general ledger balance . )</t>
    </r>
  </si>
  <si>
    <t>Sundry creditors(miselaneous) Legal case</t>
  </si>
  <si>
    <t>Loan &amp; Advances with Arrears(Ex-staff loan repayment)</t>
  </si>
  <si>
    <r>
      <t xml:space="preserve">ATM cards &amp; PIN mailers were not delivered to the respective account holders/ customers for a long period of time as presented below. ATM Card =   </t>
    </r>
    <r>
      <rPr>
        <b/>
        <i/>
        <sz val="10"/>
        <color rgb="FF000000"/>
        <rFont val="Cambria"/>
        <family val="1"/>
        <scheme val="major"/>
      </rPr>
      <t xml:space="preserve">906 </t>
    </r>
    <r>
      <rPr>
        <i/>
        <sz val="10"/>
        <color rgb="FF000000"/>
        <rFont val="Cambria"/>
        <family val="1"/>
        <scheme val="major"/>
      </rPr>
      <t xml:space="preserve">PIN Mailers = </t>
    </r>
    <r>
      <rPr>
        <b/>
        <i/>
        <sz val="10"/>
        <color rgb="FF000000"/>
        <rFont val="Cambria"/>
        <family val="1"/>
        <scheme val="major"/>
      </rPr>
      <t>857</t>
    </r>
  </si>
  <si>
    <r>
      <t xml:space="preserve">Mismatch Between ATM Card &amp; Pin Mailers ATM Card = </t>
    </r>
    <r>
      <rPr>
        <b/>
        <i/>
        <sz val="10"/>
        <color rgb="FF000000"/>
        <rFont val="Cambria"/>
        <family val="1"/>
        <scheme val="major"/>
      </rPr>
      <t xml:space="preserve">906  </t>
    </r>
    <r>
      <rPr>
        <i/>
        <sz val="10"/>
        <color rgb="FF000000"/>
        <rFont val="Cambria"/>
        <family val="1"/>
        <scheme val="major"/>
      </rPr>
      <t xml:space="preserve"> PIN Mailers = </t>
    </r>
    <r>
      <rPr>
        <b/>
        <i/>
        <sz val="10"/>
        <color rgb="FF000000"/>
        <rFont val="Cambria"/>
        <family val="1"/>
        <scheme val="major"/>
      </rPr>
      <t>857</t>
    </r>
  </si>
  <si>
    <t>RTGS WITHOUT CUSTOMER SIGNATURE/KASAHUN DIRIBA/7000112368987</t>
  </si>
  <si>
    <t>RTGS WIHT OUT SIGNATURE(JENBORO REAL STATE)7000025482277</t>
  </si>
  <si>
    <t xml:space="preserve">RTGS WITH OUT CUSTOMER SIGNATURE/DAWIT TESFAYE.7000102471313 </t>
  </si>
  <si>
    <t>FUND  TRANSFER &amp; RTGS WITHOUT CUSTOMER SIGNATURE/BELETU NIGATU.7000057932282</t>
  </si>
  <si>
    <t>RTGS WITH OUT CUSTOMER SIGNATURE/MASMILKA TRADING PLC/337CUR52</t>
  </si>
  <si>
    <t>BunnaBoard</t>
  </si>
  <si>
    <t>ABNORMAL BALANCE</t>
  </si>
  <si>
    <t>Deposit Act in Process Opening</t>
  </si>
  <si>
    <t>Sundry creditors/Loan Balance Correction Income</t>
  </si>
  <si>
    <r>
      <t xml:space="preserve">ATM cards &amp; PIN mailers were not delivered to the respective account holders/ customers for a long period of time as presented below </t>
    </r>
    <r>
      <rPr>
        <i/>
        <sz val="12"/>
        <color rgb="FFC00000"/>
        <rFont val="Cambria"/>
        <family val="1"/>
        <scheme val="major"/>
      </rPr>
      <t>ATM Card =  130 PIN Mailers = 135</t>
    </r>
  </si>
  <si>
    <r>
      <t xml:space="preserve">Mismatch Between ATM Card &amp; Pin Mailers </t>
    </r>
    <r>
      <rPr>
        <i/>
        <sz val="12"/>
        <color rgb="FFC00000"/>
        <rFont val="Cambria"/>
        <family val="1"/>
        <scheme val="major"/>
      </rPr>
      <t>ATM CARD= 130 PIN MAILERS =135</t>
    </r>
  </si>
  <si>
    <t>Dembel Corporate</t>
  </si>
  <si>
    <r>
      <t>Cheque books prepared on 18/06/2026 but not delivered to  the respective customer for a long period of time.</t>
    </r>
    <r>
      <rPr>
        <b/>
        <sz val="12"/>
        <color theme="1"/>
        <rFont val="Calibri"/>
        <family val="2"/>
        <scheme val="minor"/>
      </rPr>
      <t xml:space="preserve"> </t>
    </r>
  </si>
  <si>
    <t>Under initial deposit amount</t>
  </si>
  <si>
    <t>ATM cards &amp; PIN mailers were not delivered to the respective account holders/ customers for a long period of time as presented below. ATM Card = 0   PIN Mailers = 0</t>
  </si>
  <si>
    <t>RTGS transfer from a/c no 7000106725557 of Abdulnasir Hussen amount of birr 1,200,000.00  was made with no having the transfer requester signature (B/office)</t>
  </si>
  <si>
    <t>Flamingo</t>
  </si>
  <si>
    <r>
      <t xml:space="preserve">Abnormal balances of ATM cash </t>
    </r>
    <r>
      <rPr>
        <i/>
        <sz val="10"/>
        <color rgb="FFFF0000"/>
        <rFont val="Cambria"/>
        <family val="1"/>
        <scheme val="major"/>
      </rPr>
      <t>Overage</t>
    </r>
  </si>
  <si>
    <t xml:space="preserve">Sundry debtors/receivabel account due to corr  </t>
  </si>
  <si>
    <t>Security Managment</t>
  </si>
  <si>
    <r>
      <t xml:space="preserve">ATM cards &amp; PIN mailers were not delivered to the respective account holders/ customers for a long period of time as presented below. </t>
    </r>
    <r>
      <rPr>
        <b/>
        <i/>
        <sz val="9"/>
        <color rgb="FFFF0000"/>
        <rFont val="Cambria"/>
        <family val="1"/>
        <scheme val="major"/>
      </rPr>
      <t>ATM CRAD 535 AND PIN 557</t>
    </r>
  </si>
  <si>
    <r>
      <t xml:space="preserve">Mismatch Between ATM Card &amp; Pin Mailers. </t>
    </r>
    <r>
      <rPr>
        <b/>
        <i/>
        <sz val="10"/>
        <color rgb="FFFF0000"/>
        <rFont val="Cambria"/>
        <family val="1"/>
        <scheme val="major"/>
      </rPr>
      <t>ATM CRAD 535 AND PIN 557</t>
    </r>
  </si>
  <si>
    <t xml:space="preserve">Fund Transfers were made without Customer's Signature  acc,no 7000114900422 WENDAFERAW TESFAYE </t>
  </si>
  <si>
    <t>Fund Transfers were made without Customer's Signature  acc,no 7000114597932 LILTI TEKLU</t>
  </si>
  <si>
    <t>Fund Transfers were made without Customer's Signature  acc,no 7000114996877 AMANUEL TESFAMARIAM</t>
  </si>
  <si>
    <t xml:space="preserve">Fund Transfers were made without Customer's Signature  acc,no 7000111855515 MICHAEL DEMELASH AND OR OLYAD ABEBE </t>
  </si>
  <si>
    <t>Furi</t>
  </si>
  <si>
    <t>Cash &amp;cash items</t>
  </si>
  <si>
    <r>
      <t xml:space="preserve">Abnormal balances of ATM cash on ATM-01 </t>
    </r>
    <r>
      <rPr>
        <i/>
        <sz val="12"/>
        <color rgb="FFFF0000"/>
        <rFont val="Cambria"/>
        <family val="1"/>
        <scheme val="major"/>
      </rPr>
      <t>18,700</t>
    </r>
    <r>
      <rPr>
        <i/>
        <sz val="12"/>
        <color rgb="FF000000"/>
        <rFont val="Cambria"/>
        <family val="1"/>
        <scheme val="major"/>
      </rPr>
      <t xml:space="preserve"> and ATM-02 </t>
    </r>
    <r>
      <rPr>
        <i/>
        <sz val="12"/>
        <color rgb="FFFF0000"/>
        <rFont val="Cambria"/>
        <family val="1"/>
        <scheme val="major"/>
      </rPr>
      <t>57,850</t>
    </r>
    <r>
      <rPr>
        <i/>
        <sz val="12"/>
        <color rgb="FF000000"/>
        <rFont val="Cambria"/>
        <family val="1"/>
        <scheme val="major"/>
      </rPr>
      <t xml:space="preserve"> birr. </t>
    </r>
  </si>
  <si>
    <r>
      <t xml:space="preserve">Difference observed on cash in vault conventional of </t>
    </r>
    <r>
      <rPr>
        <i/>
        <sz val="12"/>
        <color rgb="FFFF0000"/>
        <rFont val="Cambria"/>
        <family val="1"/>
        <scheme val="major"/>
      </rPr>
      <t>3,752</t>
    </r>
    <r>
      <rPr>
        <i/>
        <sz val="12"/>
        <color rgb="FF000000"/>
        <rFont val="Cambria"/>
        <family val="1"/>
        <scheme val="major"/>
      </rPr>
      <t xml:space="preserve"> birr 0.00  or shortage with cash on hand.</t>
    </r>
  </si>
  <si>
    <t>16 Dec 22  AND               30 JAN 23</t>
  </si>
  <si>
    <r>
      <t xml:space="preserve">Long-term unconsolidated   POS cash advance(POS Cash advance of Birr </t>
    </r>
    <r>
      <rPr>
        <i/>
        <sz val="12"/>
        <color rgb="FFFF0000"/>
        <rFont val="Cambria"/>
        <family val="1"/>
        <scheme val="major"/>
      </rPr>
      <t xml:space="preserve">900.00 Excess </t>
    </r>
    <r>
      <rPr>
        <i/>
        <sz val="12"/>
        <color rgb="FF000000"/>
        <rFont val="Cambria"/>
        <family val="1"/>
        <scheme val="major"/>
      </rPr>
      <t>left over in the General Ledger for a long time without being Reconciled)</t>
    </r>
  </si>
  <si>
    <t>Accr Int On Fixed Deposits</t>
  </si>
  <si>
    <t>Fixed ASSET MANAGEMENT</t>
  </si>
  <si>
    <r>
      <t xml:space="preserve">ATM cards &amp; PIN mailers were not delivered to the respective account holders/ customers for a long period of time as presented below. </t>
    </r>
    <r>
      <rPr>
        <i/>
        <sz val="12"/>
        <color rgb="FFFF0000"/>
        <rFont val="Cambria"/>
        <family val="1"/>
        <scheme val="major"/>
      </rPr>
      <t>ATM=211      PIN=211</t>
    </r>
  </si>
  <si>
    <t>Furi Adebabay</t>
  </si>
  <si>
    <t>Difference observed on ATM cash balance.(The physical cash count balance of ATM  have shown a difference of Birr  -40,047.14 shortage compared with the general ledger balance . )</t>
  </si>
  <si>
    <t>Lease Liability Office Rent</t>
  </si>
  <si>
    <t>Catch all Unassigned-PL</t>
  </si>
  <si>
    <t xml:space="preserve">Sundry debtors/ RTGS recievable </t>
  </si>
  <si>
    <t>Instead of using a standard photo to open an account, a colored copy was used.</t>
  </si>
  <si>
    <r>
      <t xml:space="preserve">ATM cards &amp; PIN mailers were not delivered to the respective account holders/ customers for a long period of time as presented below. </t>
    </r>
    <r>
      <rPr>
        <b/>
        <i/>
        <sz val="10"/>
        <color rgb="FFFF0000"/>
        <rFont val="Cambria"/>
        <family val="1"/>
        <scheme val="major"/>
      </rPr>
      <t>ATM Card =189    PIN Mailers = 197</t>
    </r>
  </si>
  <si>
    <r>
      <t xml:space="preserve">Mismatch Between ATM Card &amp; Pin Mailers </t>
    </r>
    <r>
      <rPr>
        <b/>
        <i/>
        <sz val="10"/>
        <color rgb="FFFF0000"/>
        <rFont val="Cambria"/>
        <family val="1"/>
        <scheme val="major"/>
      </rPr>
      <t>ATM Card =189    PIN Mailers = 197</t>
    </r>
  </si>
  <si>
    <t>Gara Duba</t>
  </si>
  <si>
    <t>Sundry creditors/E-Birr fraud to be repaid for customer Adil Ali Nasir account number 7000024689714</t>
  </si>
  <si>
    <t>Fixed AssetManagment</t>
  </si>
  <si>
    <r>
      <t xml:space="preserve">ATM cards &amp; PIN mailers were not delivered to the respective account holders/ customers for a long period of time as presented below. </t>
    </r>
    <r>
      <rPr>
        <b/>
        <i/>
        <sz val="10"/>
        <color rgb="FFFF0000"/>
        <rFont val="Cambria"/>
        <family val="1"/>
        <scheme val="major"/>
      </rPr>
      <t>ATM Card = 301   PIN Mailers = 291</t>
    </r>
  </si>
  <si>
    <t>Mismatch between ATM cards &amp; PIN mailers  ATM Card = 301   PIN Mailers = 291</t>
  </si>
  <si>
    <t>GELAN CONDOMINIUM</t>
  </si>
  <si>
    <r>
      <t xml:space="preserve">Difference observed on ATM cash balance.(The physical cash count balance of ATM  have shown a difference of </t>
    </r>
    <r>
      <rPr>
        <b/>
        <i/>
        <sz val="10"/>
        <color rgb="FFFF0000"/>
        <rFont val="Cambria"/>
        <family val="1"/>
        <scheme val="major"/>
      </rPr>
      <t>Birr 25,675.84 Excess</t>
    </r>
    <r>
      <rPr>
        <b/>
        <i/>
        <sz val="10"/>
        <color rgb="FF002060"/>
        <rFont val="Cambria"/>
        <family val="1"/>
        <scheme val="major"/>
      </rPr>
      <t xml:space="preserve"> </t>
    </r>
    <r>
      <rPr>
        <i/>
        <sz val="10"/>
        <color rgb="FF002060"/>
        <rFont val="Cambria"/>
        <family val="1"/>
        <scheme val="major"/>
      </rPr>
      <t>compared with the general ledger balance . )</t>
    </r>
  </si>
  <si>
    <t>Contra account difference from the branch and HO Inter branch legacy account.</t>
  </si>
  <si>
    <t>CATch all -UNASSIGNED PL INCOME</t>
  </si>
  <si>
    <t>Sundry Debitor/ RTGS RECEIVABLE</t>
  </si>
  <si>
    <t>Sundry Debitor/ Miscellaneous RTGS recievable</t>
  </si>
  <si>
    <t xml:space="preserve"> Prepaid Rent MergeingDue to jati kality Branch Office </t>
  </si>
  <si>
    <t xml:space="preserve">Sundry creditors ATM JATY KALITY MERGEDING TO GELAN CONDOMNIUM </t>
  </si>
  <si>
    <t>Sundry Creditor/INCOME TAX</t>
  </si>
  <si>
    <r>
      <t xml:space="preserve">ATM cards &amp; PIN mailers were not delivered to the respective account holders/ customers for a long period of time as presented below. </t>
    </r>
    <r>
      <rPr>
        <b/>
        <i/>
        <sz val="10"/>
        <color rgb="FFFF0000"/>
        <rFont val="Cambria"/>
        <family val="1"/>
        <scheme val="major"/>
      </rPr>
      <t>ATM Card = 719   PIN Mailers = 783</t>
    </r>
  </si>
  <si>
    <r>
      <t xml:space="preserve">Mismatch Between ATM Card &amp; Pin Mailers </t>
    </r>
    <r>
      <rPr>
        <b/>
        <i/>
        <sz val="10"/>
        <color rgb="FFFF0000"/>
        <rFont val="Cambria"/>
        <family val="1"/>
        <scheme val="major"/>
      </rPr>
      <t>ATM 719Card =    PIN Mailers = 783</t>
    </r>
  </si>
  <si>
    <t>GOFA GEBREL</t>
  </si>
  <si>
    <r>
      <t>Difference observed on ATM cash balance.(The physical cash count balance of ATM  have shown a difference of Birr (-71,406.98)</t>
    </r>
    <r>
      <rPr>
        <i/>
        <sz val="12"/>
        <color rgb="FFFF0000"/>
        <rFont val="Cambria"/>
        <family val="1"/>
        <scheme val="major"/>
      </rPr>
      <t>Shortage</t>
    </r>
    <r>
      <rPr>
        <i/>
        <sz val="12"/>
        <color theme="1"/>
        <rFont val="Cambria"/>
        <family val="1"/>
        <scheme val="major"/>
      </rPr>
      <t xml:space="preserve"> </t>
    </r>
    <r>
      <rPr>
        <i/>
        <sz val="12"/>
        <color rgb="FF000000"/>
        <rFont val="Cambria"/>
        <family val="1"/>
        <scheme val="major"/>
      </rPr>
      <t xml:space="preserve">compared with the general ledger balance </t>
    </r>
  </si>
  <si>
    <r>
      <t>Cheque books prepared but not delivered to customers for a long period of time.</t>
    </r>
    <r>
      <rPr>
        <sz val="12"/>
        <color theme="1"/>
        <rFont val="Cambria"/>
        <family val="1"/>
        <scheme val="major"/>
      </rPr>
      <t xml:space="preserve"> </t>
    </r>
  </si>
  <si>
    <t>Gain/loss on A/L Revaluation</t>
  </si>
  <si>
    <t xml:space="preserve">IBC- Sight </t>
  </si>
  <si>
    <t xml:space="preserve">Contra cpo account has a difference from its respective general ledger </t>
  </si>
  <si>
    <t>S.Debtor-Miscellaneous</t>
  </si>
  <si>
    <t>Long outstanding CPO</t>
  </si>
  <si>
    <t>Sundry debtors \Claime on HO for EX staff Tizta Estifanos</t>
  </si>
  <si>
    <t xml:space="preserve">Sundry Creditors - Misc
</t>
  </si>
  <si>
    <t>Fixed Asset Manaagment</t>
  </si>
  <si>
    <t xml:space="preserve">Defective/obsolete fixed assets found at the branch 3-Teller Stool </t>
  </si>
  <si>
    <r>
      <t xml:space="preserve">ATM cards &amp; PIN mailers were not delivered to the respective account holders/ customers for a long period of time as presented below. </t>
    </r>
    <r>
      <rPr>
        <b/>
        <i/>
        <sz val="12"/>
        <color rgb="FFFF0000"/>
        <rFont val="Cambria"/>
        <family val="1"/>
        <scheme val="major"/>
      </rPr>
      <t>ATM Card = 977   PIN Mailers = 678</t>
    </r>
  </si>
  <si>
    <r>
      <t xml:space="preserve">Mismatch Between ATM Card &amp; Pin Mailers </t>
    </r>
    <r>
      <rPr>
        <b/>
        <i/>
        <sz val="12"/>
        <color rgb="FFFF0000"/>
        <rFont val="Cambria"/>
        <family val="1"/>
        <scheme val="major"/>
      </rPr>
      <t>ATM Card = 977   PIN Mailers = 678 diff= 299</t>
    </r>
  </si>
  <si>
    <t>Cash withdrawals were Made without Customer's Signature HAFTU DERBEW  /7000114017286/</t>
  </si>
  <si>
    <t>GOFA MAZORIA</t>
  </si>
  <si>
    <t>Cash &amp; Cash Item</t>
  </si>
  <si>
    <t>28/02/2017</t>
  </si>
  <si>
    <r>
      <t xml:space="preserve">Difference observed on cash balance.(The physical cash count balance of conventional cash have shown a /1,622,274.38//&amp; the GL have shown the balance of /2,023,821..38/this reflects thedifference of Birr./401,097/ </t>
    </r>
    <r>
      <rPr>
        <b/>
        <i/>
        <sz val="12"/>
        <color rgb="FF000000"/>
        <rFont val="Cambria"/>
        <family val="1"/>
        <scheme val="major"/>
      </rPr>
      <t xml:space="preserve"> </t>
    </r>
    <r>
      <rPr>
        <b/>
        <i/>
        <sz val="12"/>
        <color rgb="FFFF0000"/>
        <rFont val="Cambria"/>
        <family val="1"/>
        <scheme val="major"/>
      </rPr>
      <t xml:space="preserve"> shortage .</t>
    </r>
  </si>
  <si>
    <r>
      <t xml:space="preserve">Difference observed on ATM cash balance.(The physical cash count balance of ATM  have shown a /194,400//&amp; the GL have shown the balance of /68,026.33/this reflects thedifference of Birr./262,426.33/ </t>
    </r>
    <r>
      <rPr>
        <b/>
        <i/>
        <sz val="12"/>
        <color rgb="FF000000"/>
        <rFont val="Cambria"/>
        <family val="1"/>
        <scheme val="major"/>
      </rPr>
      <t xml:space="preserve"> </t>
    </r>
    <r>
      <rPr>
        <b/>
        <i/>
        <sz val="12"/>
        <color rgb="FFFF0000"/>
        <rFont val="Cambria"/>
        <family val="1"/>
        <scheme val="major"/>
      </rPr>
      <t xml:space="preserve"> Excess .</t>
    </r>
  </si>
  <si>
    <r>
      <t>Cheque books prepared but not delivered to customers for a long period of time.</t>
    </r>
    <r>
      <rPr>
        <sz val="12"/>
        <color theme="1"/>
        <rFont val="Calibri"/>
        <family val="2"/>
        <scheme val="minor"/>
      </rPr>
      <t xml:space="preserve"> </t>
    </r>
    <r>
      <rPr>
        <b/>
        <sz val="12"/>
        <color rgb="FFFF0000"/>
        <rFont val="Calibri"/>
        <family val="2"/>
        <scheme val="minor"/>
      </rPr>
      <t>(Standardized Cheque)</t>
    </r>
  </si>
  <si>
    <t xml:space="preserve">Catch All - Unassigned PL  </t>
  </si>
  <si>
    <t>13/4/2016</t>
  </si>
  <si>
    <t>Contra account difference of branch legacy account to it's respective HO. Account/we credit , they do not debit, they debit we do not credit/</t>
  </si>
  <si>
    <t>26/06/206</t>
  </si>
  <si>
    <t>Receivable Account due to corr /long outstanding  USD 610.00 Nostro Mirror account balance under reference no NIB/GOF/001/2023 Dated 31/05/2024</t>
  </si>
  <si>
    <t>Sundry Debtors/Loan Balance Correction expense</t>
  </si>
  <si>
    <t>Sundry debtors/claim on head office/long outstandig cpo not responding by head office)</t>
  </si>
  <si>
    <t>Sundry creditors-misc/LOAN REPAYMENT FOR GIZEWORK /</t>
  </si>
  <si>
    <t>Sundry creditors/temp.susp.repayment</t>
  </si>
  <si>
    <r>
      <t xml:space="preserve">Zero  (0.00) balance  Account Found at branch </t>
    </r>
    <r>
      <rPr>
        <i/>
        <sz val="12"/>
        <color rgb="FFFF0000"/>
        <rFont val="Cambria"/>
        <family val="1"/>
        <scheme val="major"/>
      </rPr>
      <t>(excluding loan account and cash indeminiy)</t>
    </r>
  </si>
  <si>
    <r>
      <t xml:space="preserve">ATM cards &amp; PIN mailers were not delivered to the respective account holders/ customers for a long period of time as presented below. </t>
    </r>
    <r>
      <rPr>
        <b/>
        <i/>
        <sz val="12"/>
        <color rgb="FFFF0000"/>
        <rFont val="Cambria"/>
        <family val="1"/>
        <scheme val="major"/>
      </rPr>
      <t>ATM Card =89    PIN Mailers = 108</t>
    </r>
  </si>
  <si>
    <r>
      <t xml:space="preserve">Mismatch Between ATM Card &amp; Pin Mailers </t>
    </r>
    <r>
      <rPr>
        <b/>
        <i/>
        <sz val="12"/>
        <color rgb="FFFF0000"/>
        <rFont val="Cambria"/>
        <family val="1"/>
        <scheme val="major"/>
      </rPr>
      <t>ATM Card =89    PIN Mailers = 108</t>
    </r>
  </si>
  <si>
    <t>GOTERA</t>
  </si>
  <si>
    <t>Cash &amp;cash item</t>
  </si>
  <si>
    <t xml:space="preserve">   </t>
  </si>
  <si>
    <r>
      <t xml:space="preserve">Long-term unriconciled   POS cash advance(POS Cash advance of Birr </t>
    </r>
    <r>
      <rPr>
        <i/>
        <sz val="12"/>
        <color rgb="FFFF0000"/>
        <rFont val="Cambria"/>
        <family val="1"/>
        <scheme val="major"/>
      </rPr>
      <t>2,</t>
    </r>
    <r>
      <rPr>
        <b/>
        <i/>
        <sz val="12"/>
        <color rgb="FFFF0000"/>
        <rFont val="Cambria"/>
        <family val="1"/>
        <scheme val="major"/>
      </rPr>
      <t>000.00 Overage</t>
    </r>
    <r>
      <rPr>
        <i/>
        <sz val="12"/>
        <color rgb="FFFF0000"/>
        <rFont val="Cambria"/>
        <family val="1"/>
        <scheme val="major"/>
      </rPr>
      <t xml:space="preserve"> </t>
    </r>
    <r>
      <rPr>
        <i/>
        <sz val="12"/>
        <color rgb="FF000000"/>
        <rFont val="Cambria"/>
        <family val="1"/>
        <scheme val="major"/>
      </rPr>
      <t>left over in the General Ledger for a long time without being deposited)</t>
    </r>
  </si>
  <si>
    <r>
      <t>Difference observed on ATM cash balance.(The physical cash count balance of ATM  have shown a difference of Birr</t>
    </r>
    <r>
      <rPr>
        <i/>
        <sz val="12"/>
        <color rgb="FFFF0000"/>
        <rFont val="Cambria"/>
        <family val="1"/>
        <scheme val="major"/>
      </rPr>
      <t xml:space="preserve"> 225,654.22</t>
    </r>
    <r>
      <rPr>
        <b/>
        <i/>
        <sz val="12"/>
        <color rgb="FFFF0000"/>
        <rFont val="Cambria"/>
        <family val="1"/>
        <scheme val="major"/>
      </rPr>
      <t xml:space="preserve"> Excess </t>
    </r>
    <r>
      <rPr>
        <i/>
        <sz val="12"/>
        <color rgb="FF000000"/>
        <rFont val="Cambria"/>
        <family val="1"/>
        <scheme val="major"/>
      </rPr>
      <t>compared with the general ledger balance . )</t>
    </r>
  </si>
  <si>
    <t>26/12/2026</t>
  </si>
  <si>
    <t>Long Term Lease Payment</t>
  </si>
  <si>
    <t>19/11/2025</t>
  </si>
  <si>
    <t>Sundry creditors- (Multi Supplier Payable A/C) transfer from gotera pepesi</t>
  </si>
  <si>
    <t>Sundry creditors- (IFB Charity Payable transfer from gotera pepesi</t>
  </si>
  <si>
    <t>Abnormal balances</t>
  </si>
  <si>
    <t>tempor overdrawal C/A</t>
  </si>
  <si>
    <t>Book difference</t>
  </si>
  <si>
    <t>Inter Branch Account - Legacy Account has adifference from its respective H.o Contra account</t>
  </si>
  <si>
    <t>28/06/2019</t>
  </si>
  <si>
    <t>Sundry debtors -(S.Debtor Miscellaneous)  double  payment made for YR GENERAL TRADING PLC by SWIFT  ORDER)</t>
  </si>
  <si>
    <t>Sundry debtors -(S.Debtor Miscellaneous)  Rev.stamps on hand/loan/cash)</t>
  </si>
  <si>
    <t>Sundry debtors (RECEIVABLE ACCOUNT DUE TO CORR  )</t>
  </si>
  <si>
    <t>17/03/2021</t>
  </si>
  <si>
    <t>Sundry debtors (Loan Balance Correction Expense)</t>
  </si>
  <si>
    <r>
      <rPr>
        <b/>
        <i/>
        <sz val="12"/>
        <color rgb="FF000000"/>
        <rFont val="Cambria"/>
        <family val="1"/>
        <scheme val="major"/>
      </rPr>
      <t>Claims On Head Office</t>
    </r>
    <r>
      <rPr>
        <i/>
        <sz val="12"/>
        <color rgb="FF000000"/>
        <rFont val="Cambria"/>
        <family val="1"/>
        <scheme val="major"/>
      </rPr>
      <t>/Branches (payment were made for  SOUTH EAST DISTRICT OFFICE FOR THE MONTH OF FROM NEHASSIE 10,2016 TO TAHESAS 09,2017 E.C 4 MONTHS HOUSE RENT)</t>
    </r>
  </si>
  <si>
    <t>16/01/2026</t>
  </si>
  <si>
    <t>Sundry Creditor- Miscellaneous(unknown person who order ATM CASH OUT and can not receive  birr but we get from Atm ejectment</t>
  </si>
  <si>
    <t>29/05/26</t>
  </si>
  <si>
    <t>Sundry Creditor- Miscellaneous(ONLINE.AC.CLOSURE FOR SENAIT BIRHANE GIDEY-7000003941979 )</t>
  </si>
  <si>
    <t>15/03/2024</t>
  </si>
  <si>
    <t>Sundry Creditor- Miscellaneous(ONLINE.AC.CLOSURE  for SAMUEL BERHANE HAGOS-7000042477309)</t>
  </si>
  <si>
    <t>Sundry Creditor- Miscellaneous(ONLINE.AC.CLOSURE  for MULUKEN DESTAW ASNAKEW-7000101697385)</t>
  </si>
  <si>
    <t>Sundry Creditor- Miscellaneous(ONLINE.AC.CLOSURE  for ZEWDU ABEBE BELACHEW-7000014625807)</t>
  </si>
  <si>
    <t>Sundry Creditor- Miscellaneous(ATM ABNORMAL BAL TRANSFER FROM GOTERA-PEPSI DUETO BRANCH MERGINIG)</t>
  </si>
  <si>
    <t>Sundry Creditor- Miscellaneous(Deposit For Guarantees Issued for MELANE ELECTRO)</t>
  </si>
  <si>
    <t>21/08/2025</t>
  </si>
  <si>
    <t>Sundry Creditor- Miscellaneous(ONLINE.AC.CLOSURE  for ABHALU TRADING PLC-7000017449511)</t>
  </si>
  <si>
    <t xml:space="preserve">
13/03/2024 </t>
  </si>
  <si>
    <t>Sundry creditors- (Loan Balance correction Income)</t>
  </si>
  <si>
    <t>from  July,1,2026- July,31,2026</t>
  </si>
  <si>
    <t>Instead of using a standard photo to open an account, a colored copy was used.(From 347 account, 60 open by blak photo)</t>
  </si>
  <si>
    <t>from branch opend up to July,31,2026</t>
  </si>
  <si>
    <t xml:space="preserve"> Absence of  Tag number</t>
  </si>
  <si>
    <r>
      <t xml:space="preserve">ATM cards &amp; PIN mailers were not delivered to the respective account holders/ customers for a long period of time as presented below. </t>
    </r>
    <r>
      <rPr>
        <b/>
        <i/>
        <sz val="12"/>
        <color rgb="FFFF0000"/>
        <rFont val="Cambria"/>
        <family val="1"/>
        <scheme val="major"/>
      </rPr>
      <t>ATM Card = 942   PIN Mailers = 778</t>
    </r>
  </si>
  <si>
    <r>
      <t xml:space="preserve">Mismatch Between ATM Card &amp; Pin Mailers </t>
    </r>
    <r>
      <rPr>
        <b/>
        <i/>
        <sz val="12"/>
        <color rgb="FFFF0000"/>
        <rFont val="Cambria"/>
        <family val="1"/>
        <scheme val="major"/>
      </rPr>
      <t>ATM Card =  942 PIN Mailers = 778</t>
    </r>
  </si>
  <si>
    <t>There is Some Loan &amp; Advances with Arrears are for staffs  that shows in amount arrears (name listed which not pay monthly repayment are;TADELE MILLION,DANIEL SIRIKA</t>
  </si>
  <si>
    <t>Gotera Ibex</t>
  </si>
  <si>
    <r>
      <t>Difference observed on ATM cash balance.(The physical cash count balance of ATM  have shown a difference of BR 56,379.60</t>
    </r>
    <r>
      <rPr>
        <b/>
        <i/>
        <sz val="10"/>
        <color rgb="FFFF0000"/>
        <rFont val="Cambria"/>
        <family val="1"/>
        <scheme val="major"/>
      </rPr>
      <t xml:space="preserve"> Excess </t>
    </r>
    <r>
      <rPr>
        <i/>
        <sz val="10"/>
        <color rgb="FF000000"/>
        <rFont val="Cambria"/>
        <family val="1"/>
        <scheme val="major"/>
      </rPr>
      <t>compared with the general ledger balance . )</t>
    </r>
  </si>
  <si>
    <t>Standardized cheque not Delivered for customers  along period of time</t>
  </si>
  <si>
    <t>Absence of Source document</t>
  </si>
  <si>
    <t>17/06/2019</t>
  </si>
  <si>
    <t>Sundry debtors (GUARANTEE PAYMENT FOR COMET COMPANY)</t>
  </si>
  <si>
    <t>Sundry debtors RTGS Receivable</t>
  </si>
  <si>
    <t>Sundry creditor/ Various Yearend accruals</t>
  </si>
  <si>
    <t>Sundry creditor/ Miscelaneous</t>
  </si>
  <si>
    <t xml:space="preserve">Loan &amp; Advances with Arrears </t>
  </si>
  <si>
    <r>
      <t xml:space="preserve">ATM cards &amp; PIN mailers were not delivered to the respective account holders/ customers for a long period of time as presented below. </t>
    </r>
    <r>
      <rPr>
        <b/>
        <i/>
        <sz val="10"/>
        <color rgb="FFFF0000"/>
        <rFont val="Cambria"/>
        <family val="1"/>
        <scheme val="major"/>
      </rPr>
      <t>ATM Card = 410 PIN Mailers = 86</t>
    </r>
  </si>
  <si>
    <r>
      <t xml:space="preserve">Mismatch Between ATM Card &amp; Pin Mailers </t>
    </r>
    <r>
      <rPr>
        <b/>
        <i/>
        <sz val="10"/>
        <color rgb="FFFF0000"/>
        <rFont val="Cambria"/>
        <family val="1"/>
        <scheme val="major"/>
      </rPr>
      <t>ATM Card =  410 PIN Mailers = 86</t>
    </r>
  </si>
  <si>
    <t>Hanna Mariam</t>
  </si>
  <si>
    <r>
      <t xml:space="preserve">Difference observed on ATM cash balance.(The physical cash count balance of ATM  have shown a difference of Birr </t>
    </r>
    <r>
      <rPr>
        <i/>
        <u/>
        <sz val="10"/>
        <color rgb="FF000000"/>
        <rFont val="Cambria"/>
        <family val="1"/>
        <scheme val="major"/>
      </rPr>
      <t xml:space="preserve">9,418.59 </t>
    </r>
    <r>
      <rPr>
        <i/>
        <sz val="10"/>
        <color rgb="FFFF0000"/>
        <rFont val="Cambria"/>
        <family val="1"/>
        <scheme val="major"/>
      </rPr>
      <t xml:space="preserve">Excess </t>
    </r>
    <r>
      <rPr>
        <i/>
        <sz val="10"/>
        <color rgb="FF000000"/>
        <rFont val="Cambria"/>
        <family val="1"/>
        <scheme val="major"/>
      </rPr>
      <t>compared with the general ledger balance .)</t>
    </r>
  </si>
  <si>
    <t>Sundry Creditor Deposit account in process</t>
  </si>
  <si>
    <t>Fixed asset Management</t>
  </si>
  <si>
    <t>Security managment</t>
  </si>
  <si>
    <t xml:space="preserve">  - Branch has no gun for security purpose</t>
  </si>
  <si>
    <r>
      <t>ATM cards &amp; PIN mailers were not delivered to the respective account holders/ customers for a long period of time as presented below:-
ATM Card…</t>
    </r>
    <r>
      <rPr>
        <b/>
        <i/>
        <sz val="10"/>
        <color rgb="FF000000"/>
        <rFont val="Cambria"/>
        <family val="1"/>
        <scheme val="major"/>
      </rPr>
      <t>198  &amp;   PIN….. 155</t>
    </r>
  </si>
  <si>
    <r>
      <t>Mismatch Between ATM Card &amp; Pin Mailers ATM Card ...</t>
    </r>
    <r>
      <rPr>
        <b/>
        <i/>
        <sz val="10"/>
        <color rgb="FF000000"/>
        <rFont val="Cambria"/>
        <family val="1"/>
        <scheme val="major"/>
      </rPr>
      <t xml:space="preserve">198 </t>
    </r>
    <r>
      <rPr>
        <i/>
        <sz val="10"/>
        <color rgb="FF000000"/>
        <rFont val="Cambria"/>
        <family val="1"/>
        <scheme val="major"/>
      </rPr>
      <t xml:space="preserve"> &amp;   PIN….. </t>
    </r>
    <r>
      <rPr>
        <b/>
        <i/>
        <sz val="10"/>
        <color rgb="FF000000"/>
        <rFont val="Cambria"/>
        <family val="1"/>
        <scheme val="major"/>
      </rPr>
      <t>155</t>
    </r>
  </si>
  <si>
    <t>July 31.2026</t>
  </si>
  <si>
    <r>
      <t xml:space="preserve">Long-term unconsolidated   POS cash advance(POS Cash advance of Birr </t>
    </r>
    <r>
      <rPr>
        <b/>
        <i/>
        <sz val="10"/>
        <rFont val="Cambria"/>
        <family val="1"/>
        <scheme val="major"/>
      </rPr>
      <t>2,500</t>
    </r>
    <r>
      <rPr>
        <b/>
        <i/>
        <u/>
        <sz val="10"/>
        <rFont val="Cambria"/>
        <family val="1"/>
        <scheme val="major"/>
      </rPr>
      <t xml:space="preserve"> Overage</t>
    </r>
    <r>
      <rPr>
        <b/>
        <i/>
        <sz val="10"/>
        <color rgb="FFFF0000"/>
        <rFont val="Cambria"/>
        <family val="1"/>
        <scheme val="major"/>
      </rPr>
      <t xml:space="preserve"> </t>
    </r>
    <r>
      <rPr>
        <i/>
        <sz val="10"/>
        <color rgb="FFFF0000"/>
        <rFont val="Cambria"/>
        <family val="1"/>
        <scheme val="major"/>
      </rPr>
      <t xml:space="preserve"> </t>
    </r>
    <r>
      <rPr>
        <i/>
        <sz val="10"/>
        <color rgb="FF000000"/>
        <rFont val="Cambria"/>
        <family val="1"/>
        <scheme val="major"/>
      </rPr>
      <t>left over in the General Ledger for a long time without being deposited)</t>
    </r>
  </si>
  <si>
    <t>Jemo</t>
  </si>
  <si>
    <r>
      <t xml:space="preserve">Difference observed on ATM cash balance.The physical cash count balance of ATM  have shown a difference of Birr -695,028.28 </t>
    </r>
    <r>
      <rPr>
        <b/>
        <i/>
        <sz val="10"/>
        <rFont val="Cambria"/>
        <family val="1"/>
        <scheme val="major"/>
      </rPr>
      <t>Shortage</t>
    </r>
    <r>
      <rPr>
        <b/>
        <i/>
        <sz val="10"/>
        <color rgb="FFFF0000"/>
        <rFont val="Cambria"/>
        <family val="1"/>
        <scheme val="major"/>
      </rPr>
      <t xml:space="preserve"> </t>
    </r>
    <r>
      <rPr>
        <i/>
        <sz val="10"/>
        <color rgb="FFFF0000"/>
        <rFont val="Cambria"/>
        <family val="1"/>
        <scheme val="major"/>
      </rPr>
      <t xml:space="preserve"> </t>
    </r>
    <r>
      <rPr>
        <i/>
        <sz val="10"/>
        <color rgb="FF000000"/>
        <rFont val="Cambria"/>
        <family val="1"/>
        <scheme val="major"/>
      </rPr>
      <t xml:space="preserve">compared with the general ledger balance . </t>
    </r>
  </si>
  <si>
    <t>Catch all Asset &amp; Liabilty</t>
  </si>
  <si>
    <t>Jan.27,2026</t>
  </si>
  <si>
    <t>Sundry debtors Miscellaneous-Acc.Rec. Related with Mobile banking fraud happen to collect  from  two staff Tizita Alemu &amp; Nardos Tewodors by six month.</t>
  </si>
  <si>
    <t>May 18,2026</t>
  </si>
  <si>
    <t>Sundry debtors Miscellaneous-Acc.Rec. For IFB customer week campiagn</t>
  </si>
  <si>
    <t>Feb.12,2026</t>
  </si>
  <si>
    <t>Sundry debtors (Loan Balance Correction exp)</t>
  </si>
  <si>
    <t xml:space="preserve">Sundry creditors-Various Year End Accruals   </t>
  </si>
  <si>
    <r>
      <t xml:space="preserve">ATM cards &amp; PIN mailers were not delivered to the respective account holders/ customers for a long period of time as presented below. </t>
    </r>
    <r>
      <rPr>
        <b/>
        <i/>
        <sz val="10"/>
        <color rgb="FFFF0000"/>
        <rFont val="Cambria"/>
        <family val="1"/>
        <scheme val="major"/>
      </rPr>
      <t>ATM Card = 968   PIN Mailers = 957</t>
    </r>
  </si>
  <si>
    <r>
      <t xml:space="preserve">Mismatch Between ATM Card &amp; Pin Mailers </t>
    </r>
    <r>
      <rPr>
        <b/>
        <i/>
        <sz val="10"/>
        <color rgb="FFFF0000"/>
        <rFont val="Cambria"/>
        <family val="1"/>
        <scheme val="major"/>
      </rPr>
      <t>ATM Card =968    PIN Mailers = 957</t>
    </r>
  </si>
  <si>
    <t>Kality</t>
  </si>
  <si>
    <r>
      <t>Long-term unconsolidated   POS cash advance(POS Cash advance of Birr -14,798.00Shortage</t>
    </r>
    <r>
      <rPr>
        <i/>
        <sz val="10"/>
        <color rgb="FFFF0000"/>
        <rFont val="Cambria"/>
        <family val="1"/>
        <scheme val="major"/>
      </rPr>
      <t xml:space="preserve"> </t>
    </r>
    <r>
      <rPr>
        <i/>
        <sz val="10"/>
        <color rgb="FF000000"/>
        <rFont val="Cambria"/>
        <family val="1"/>
        <scheme val="major"/>
      </rPr>
      <t>left over in the General Ledger for a long time without being deposited)</t>
    </r>
  </si>
  <si>
    <r>
      <t xml:space="preserve">Difference observed on ATM cash balance.(The physical cash count balance of ATM  have shown a difference of Birr 20,002 </t>
    </r>
    <r>
      <rPr>
        <i/>
        <sz val="10"/>
        <color rgb="FFFF0000"/>
        <rFont val="Cambria"/>
        <family val="1"/>
        <scheme val="major"/>
      </rPr>
      <t xml:space="preserve">Excess </t>
    </r>
    <r>
      <rPr>
        <i/>
        <sz val="10"/>
        <color rgb="FF000000"/>
        <rFont val="Cambria"/>
        <family val="1"/>
        <scheme val="major"/>
      </rPr>
      <t>compared with the general ledger balance . )</t>
    </r>
  </si>
  <si>
    <t>Temporary overdrawal of C/A</t>
  </si>
  <si>
    <t>Contra account difference of legacy account from Ho.</t>
  </si>
  <si>
    <t>SUNDRY DEBTORS INTEREST ON GOV-T BOND&amp;DEP</t>
  </si>
  <si>
    <t>Sundry Creditor-Miscellaneuous cash collected as advance payment for settled of milite gidey term loan and OD</t>
  </si>
  <si>
    <t xml:space="preserve">Sundry Creditor-Miscellaneuous amount of various closed accounts credited to sundry creditors </t>
  </si>
  <si>
    <t xml:space="preserve">KALITY MENAHARIA </t>
  </si>
  <si>
    <r>
      <t xml:space="preserve">Long-term unconsolidated   POS cash advance (POS Cash advance of </t>
    </r>
    <r>
      <rPr>
        <b/>
        <i/>
        <sz val="10"/>
        <color theme="1"/>
        <rFont val="Cambria"/>
        <family val="1"/>
        <scheme val="major"/>
      </rPr>
      <t>Birr 10,800.00 overrage</t>
    </r>
    <r>
      <rPr>
        <i/>
        <sz val="10"/>
        <color theme="1"/>
        <rFont val="Cambria"/>
        <family val="1"/>
        <scheme val="major"/>
      </rPr>
      <t xml:space="preserve"> left over in the General Ledger for a long time without being deposited)</t>
    </r>
  </si>
  <si>
    <r>
      <t xml:space="preserve">Difference observed on ATM cash balance.(The physical cash count balance of ATM  have shown a difference of </t>
    </r>
    <r>
      <rPr>
        <b/>
        <i/>
        <sz val="10"/>
        <color theme="1"/>
        <rFont val="Cambria"/>
        <family val="1"/>
        <scheme val="major"/>
      </rPr>
      <t>Birr</t>
    </r>
    <r>
      <rPr>
        <b/>
        <i/>
        <sz val="10"/>
        <color rgb="FFFF0000"/>
        <rFont val="Cambria"/>
        <family val="1"/>
        <scheme val="major"/>
      </rPr>
      <t xml:space="preserve"> (23,514.02)</t>
    </r>
    <r>
      <rPr>
        <b/>
        <i/>
        <sz val="10"/>
        <color theme="1"/>
        <rFont val="Cambria"/>
        <family val="1"/>
        <scheme val="major"/>
      </rPr>
      <t xml:space="preserve"> Shortage</t>
    </r>
    <r>
      <rPr>
        <i/>
        <sz val="10"/>
        <color theme="1"/>
        <rFont val="Cambria"/>
        <family val="1"/>
        <scheme val="major"/>
      </rPr>
      <t xml:space="preserve"> compared with the general ledger balance on JUNE 30, 2026 . )</t>
    </r>
  </si>
  <si>
    <t xml:space="preserve">Gain on A/L Revaluation    </t>
  </si>
  <si>
    <t xml:space="preserve">Sundery Debtors -Accrued Interest Government Bond </t>
  </si>
  <si>
    <t xml:space="preserve"> Catch All - Unassigned PL                </t>
  </si>
  <si>
    <t>Sundry debtors miscellanes ( ETB12548 ) is long outstanding amount  because of remaining balance due to legal process of cash Theft</t>
  </si>
  <si>
    <t>Sundry debtors miscellanes ( ETB12548 ) is long outstanding amount  because of RTGS commissionnot collected</t>
  </si>
  <si>
    <t xml:space="preserve">Sundry creditors miscellanes is long outsanding  balance because of  From 25/06/2019  various closed acct amount kept under sundry  creditors its reqiured   cats and legal  orders according to the case occurred for closure to rectified </t>
  </si>
  <si>
    <t>Sundery Debtors - RTGS Receivable</t>
  </si>
  <si>
    <t>Various Year end</t>
  </si>
  <si>
    <t>Absence of  Tag number</t>
  </si>
  <si>
    <r>
      <t>ATM cards &amp; PIN mailers were not delivered to the respective account holders/ customers for a long period of time as presented below</t>
    </r>
    <r>
      <rPr>
        <b/>
        <i/>
        <sz val="10"/>
        <color theme="1"/>
        <rFont val="Cambria"/>
        <family val="1"/>
        <scheme val="major"/>
      </rPr>
      <t>ATM Card = 944  Pin Mailers =  742</t>
    </r>
  </si>
  <si>
    <r>
      <t>Mismatch Between ATM Card &amp; Pin Mailers.</t>
    </r>
    <r>
      <rPr>
        <b/>
        <i/>
        <sz val="10"/>
        <color theme="1"/>
        <rFont val="Cambria"/>
        <family val="1"/>
        <scheme val="major"/>
      </rPr>
      <t xml:space="preserve"> ATM Card=  944 PIN Mailers =742</t>
    </r>
  </si>
  <si>
    <t>KERA SARBET</t>
  </si>
  <si>
    <r>
      <t>Difference observed on ATM cash balance.(The physical cash count balance of ATM  have shown a difference of Birr 8251.06.</t>
    </r>
    <r>
      <rPr>
        <i/>
        <sz val="10"/>
        <color rgb="FFFF0000"/>
        <rFont val="Cambria"/>
        <family val="1"/>
        <scheme val="major"/>
      </rPr>
      <t xml:space="preserve">Shortage  </t>
    </r>
    <r>
      <rPr>
        <i/>
        <sz val="10"/>
        <color rgb="FF000000"/>
        <rFont val="Cambria"/>
        <family val="1"/>
        <scheme val="major"/>
      </rPr>
      <t xml:space="preserve">compared with the general ledger balance . </t>
    </r>
  </si>
  <si>
    <t>Diffrence In Non-Contingent</t>
  </si>
  <si>
    <t xml:space="preserve">Accr Int On Fixed Deposits  </t>
  </si>
  <si>
    <t>Contra account difference of CPO payable account</t>
  </si>
  <si>
    <t>804.378.75</t>
  </si>
  <si>
    <r>
      <t xml:space="preserve">ATM cards &amp; PIN mailers were not delivered to the respective account holders/ customers for a long period of time as presented below. </t>
    </r>
    <r>
      <rPr>
        <b/>
        <i/>
        <sz val="10"/>
        <color rgb="FFFF0000"/>
        <rFont val="Cambria"/>
        <family val="1"/>
        <scheme val="major"/>
      </rPr>
      <t>ATM Card = 346  &amp; PIN=  332</t>
    </r>
  </si>
  <si>
    <r>
      <t xml:space="preserve">Mismatch Between ATM Card &amp; PIN Mailers. </t>
    </r>
    <r>
      <rPr>
        <b/>
        <i/>
        <sz val="10"/>
        <color rgb="FFFF0000"/>
        <rFont val="Cambria"/>
        <family val="1"/>
        <scheme val="major"/>
      </rPr>
      <t>ATM Card = 346  &amp; PIN=  332</t>
    </r>
  </si>
  <si>
    <t>Kirkos</t>
  </si>
  <si>
    <t>Sundry debtors-Dubel credited of staff PF which will be collected from August, 2026 salary</t>
  </si>
  <si>
    <t>21/07/202623/07/2026</t>
  </si>
  <si>
    <t>Sundry creditors- STAFF PF</t>
  </si>
  <si>
    <r>
      <t xml:space="preserve">ATM cards &amp; PIN mailers were not delivered to the respective account holders/ customers for a long period of time as presented below. </t>
    </r>
    <r>
      <rPr>
        <b/>
        <i/>
        <sz val="12"/>
        <color rgb="FFFF0000"/>
        <rFont val="Cambria"/>
        <family val="1"/>
        <scheme val="major"/>
      </rPr>
      <t>ATM Card =  111 PIN Mailers = 131</t>
    </r>
  </si>
  <si>
    <r>
      <t xml:space="preserve">Mismatch Between ATM Card &amp; Pin Mailers </t>
    </r>
    <r>
      <rPr>
        <b/>
        <i/>
        <sz val="12"/>
        <color rgb="FFFF0000"/>
        <rFont val="Cambria"/>
        <family val="1"/>
        <scheme val="major"/>
      </rPr>
      <t>ATM Card =  111  PIN Mailers = 131</t>
    </r>
  </si>
  <si>
    <t>Cash Withdrawals were made with a discrepancy of  Account holder Name Differ on the system and ticket voucher:-
Wubit Abebe, 7000039548556</t>
  </si>
  <si>
    <t>Cash Withdrawals were made with a discrepancy of  Account holder Name Differ on the system and ticket voucher:-
Wagaye Misrat, 409SAV7160</t>
  </si>
  <si>
    <t>Transfer were made without Customer's Signature: Solomon Hailu, 7000064496919</t>
  </si>
  <si>
    <t>LAFTO</t>
  </si>
  <si>
    <r>
      <t xml:space="preserve">Difference observed on ATM cash balance.(The physical cash count balance of ATM  have shown a difference of Birr 31,949.64 </t>
    </r>
    <r>
      <rPr>
        <i/>
        <sz val="12"/>
        <rFont val="Cambria"/>
        <family val="1"/>
        <scheme val="major"/>
      </rPr>
      <t xml:space="preserve">Excess </t>
    </r>
    <r>
      <rPr>
        <i/>
        <sz val="12"/>
        <color rgb="FF000000"/>
        <rFont val="Cambria"/>
        <family val="1"/>
        <scheme val="major"/>
      </rPr>
      <t>compared with the general ledger balance . )</t>
    </r>
  </si>
  <si>
    <t>Absence of Source Document</t>
  </si>
  <si>
    <t>ATM cards &amp; PIN mailers were not delivered to the respective account holders/ customers for a long period of time as presented below. ATM Card=    59 PIN =    66</t>
  </si>
  <si>
    <t xml:space="preserve">Mismatch Between Card &amp; PIN . Card=   59 PIN =  66 </t>
  </si>
  <si>
    <t xml:space="preserve">Undelivered Green PIN Card </t>
  </si>
  <si>
    <t>Fund Transfers were made without Customer's Signature Bahiru Ashenafi 123SAV8948</t>
  </si>
  <si>
    <t>LEBU</t>
  </si>
  <si>
    <r>
      <t xml:space="preserve">Difference observed on ATM cash balance.(The physical cash count balance of ATM  have shown a difference of Birr </t>
    </r>
    <r>
      <rPr>
        <b/>
        <i/>
        <sz val="12"/>
        <rFont val="Cambria"/>
        <family val="1"/>
        <scheme val="major"/>
      </rPr>
      <t>(271,635.48</t>
    </r>
    <r>
      <rPr>
        <b/>
        <i/>
        <sz val="12"/>
        <color theme="5"/>
        <rFont val="Cambria"/>
        <family val="1"/>
        <scheme val="major"/>
      </rPr>
      <t xml:space="preserve">) </t>
    </r>
    <r>
      <rPr>
        <b/>
        <i/>
        <sz val="12"/>
        <rFont val="Cambria"/>
        <family val="1"/>
        <scheme val="major"/>
      </rPr>
      <t>Shortage</t>
    </r>
    <r>
      <rPr>
        <b/>
        <i/>
        <sz val="12"/>
        <color rgb="FFFF0000"/>
        <rFont val="Cambria"/>
        <family val="1"/>
        <scheme val="major"/>
      </rPr>
      <t xml:space="preserve"> </t>
    </r>
    <r>
      <rPr>
        <i/>
        <sz val="12"/>
        <color rgb="FF000000"/>
        <rFont val="Cambria"/>
        <family val="1"/>
        <scheme val="major"/>
      </rPr>
      <t>compared with the general ledger balance . )</t>
    </r>
  </si>
  <si>
    <t>_</t>
  </si>
  <si>
    <t>RTGS Receible</t>
  </si>
  <si>
    <t>ATM cards  and PIN mailers were not delivered to the respective account holders/ customers for a long period of time as presented below.                ATM =339         PIN =169</t>
  </si>
  <si>
    <r>
      <t xml:space="preserve">Mismatch Between ATM Card &amp; PIN Mailers </t>
    </r>
    <r>
      <rPr>
        <b/>
        <i/>
        <sz val="12"/>
        <color theme="1"/>
        <rFont val="Cambria"/>
        <family val="1"/>
        <scheme val="major"/>
      </rPr>
      <t>ATM Card =339  PIN = 169</t>
    </r>
  </si>
  <si>
    <t xml:space="preserve">28/07/2026 </t>
  </si>
  <si>
    <t xml:space="preserve">Cash withdrawals were Made without Customer's Signature. 058SAV4432 OF JENBERU ASCHENET </t>
  </si>
  <si>
    <t xml:space="preserve">Fund Transfers were made without Customer's Signature .Customer name   TADELE ALEMAYEHU .account no.7000010786091 </t>
  </si>
  <si>
    <t xml:space="preserve">Fund Transfers other bank were made without Customer's Signature .Customer name   YONASS LETA .account no.7000111698215 </t>
  </si>
  <si>
    <t>LEBU ERITU</t>
  </si>
  <si>
    <r>
      <t xml:space="preserve">Long-term unconsolidated   POS cash advance(POS Cash advance of Birr </t>
    </r>
    <r>
      <rPr>
        <b/>
        <i/>
        <sz val="12"/>
        <color rgb="FFFF0000"/>
        <rFont val="Cambria"/>
        <family val="1"/>
        <scheme val="major"/>
      </rPr>
      <t xml:space="preserve">7,700.00 Overgage </t>
    </r>
    <r>
      <rPr>
        <b/>
        <i/>
        <sz val="12"/>
        <color rgb="FF000000"/>
        <rFont val="Cambria"/>
        <family val="1"/>
        <scheme val="major"/>
      </rPr>
      <t>l</t>
    </r>
    <r>
      <rPr>
        <i/>
        <sz val="12"/>
        <color rgb="FF000000"/>
        <rFont val="Cambria"/>
        <family val="1"/>
        <scheme val="major"/>
      </rPr>
      <t>eft over in the General Ledger for a long time without being deposited)</t>
    </r>
  </si>
  <si>
    <r>
      <t>Difference observed on ATM cash balance.(The physical cash count balance of ATM  have shown a difference of</t>
    </r>
    <r>
      <rPr>
        <b/>
        <i/>
        <sz val="12"/>
        <color rgb="FFFF0000"/>
        <rFont val="Cambria"/>
        <family val="1"/>
        <scheme val="major"/>
      </rPr>
      <t xml:space="preserve"> Birr 96,779.88  Excess</t>
    </r>
    <r>
      <rPr>
        <i/>
        <sz val="12"/>
        <color rgb="FFFF0000"/>
        <rFont val="Cambria"/>
        <family val="1"/>
        <scheme val="major"/>
      </rPr>
      <t xml:space="preserve"> </t>
    </r>
    <r>
      <rPr>
        <i/>
        <sz val="12"/>
        <color rgb="FF000000"/>
        <rFont val="Cambria"/>
        <family val="1"/>
        <scheme val="major"/>
      </rPr>
      <t>compared with the general ledger balance . )</t>
    </r>
  </si>
  <si>
    <t>DIFRENCE IN NON CONTINGENT</t>
  </si>
  <si>
    <t>LEBU MUZIKA SEFER</t>
  </si>
  <si>
    <r>
      <t>ATM cards &amp; PIN mailers were not delivered to the respective account holders/ customers for a long period of time as presented below.</t>
    </r>
    <r>
      <rPr>
        <b/>
        <i/>
        <sz val="12"/>
        <color rgb="FFFF0000"/>
        <rFont val="Cambria"/>
        <family val="1"/>
        <scheme val="major"/>
      </rPr>
      <t xml:space="preserve"> ATM CARD= 506 &amp; PIN=181</t>
    </r>
  </si>
  <si>
    <r>
      <t xml:space="preserve">Mismatch Between ATM Card &amp; PIN Mailers </t>
    </r>
    <r>
      <rPr>
        <b/>
        <i/>
        <sz val="12"/>
        <color rgb="FFFF0000"/>
        <rFont val="Cambria"/>
        <family val="1"/>
        <scheme val="major"/>
      </rPr>
      <t>ATM Card =506  PIN=181</t>
    </r>
  </si>
  <si>
    <r>
      <t>Difference observed on ATM cash balance.(The physical cash count balance of ATM  have shown a difference of Birr</t>
    </r>
    <r>
      <rPr>
        <i/>
        <sz val="12"/>
        <color rgb="FFFF0000"/>
        <rFont val="Cambria"/>
        <family val="1"/>
        <scheme val="major"/>
      </rPr>
      <t xml:space="preserve">  78,400.00 Excess </t>
    </r>
    <r>
      <rPr>
        <i/>
        <sz val="12"/>
        <color rgb="FF000000"/>
        <rFont val="Cambria"/>
        <family val="1"/>
        <scheme val="major"/>
      </rPr>
      <t>compared with the general ledger balance .</t>
    </r>
  </si>
  <si>
    <t xml:space="preserve">AA Loan Deposits (Uncaccount)  </t>
  </si>
  <si>
    <t>July 30-2026</t>
  </si>
  <si>
    <t>June 30-2026</t>
  </si>
  <si>
    <r>
      <t xml:space="preserve">ATM cards &amp; PIN mailers were not delivered to the respective account holders/ customers for a long period of time as presented below. </t>
    </r>
    <r>
      <rPr>
        <b/>
        <i/>
        <sz val="12"/>
        <color rgb="FFFF0000"/>
        <rFont val="Cambria"/>
        <family val="1"/>
        <scheme val="major"/>
      </rPr>
      <t xml:space="preserve">ATM Card =678  PIN=485  </t>
    </r>
  </si>
  <si>
    <r>
      <t>Mismatch Between ATM Card &amp; PIN Mailers</t>
    </r>
    <r>
      <rPr>
        <b/>
        <i/>
        <sz val="12"/>
        <color rgb="FFFF0000"/>
        <rFont val="Cambria"/>
        <family val="1"/>
        <scheme val="major"/>
      </rPr>
      <t xml:space="preserve"> ATM Card =678  PIN=485  </t>
    </r>
  </si>
  <si>
    <t>Mamo Kacha</t>
  </si>
  <si>
    <r>
      <t xml:space="preserve">Difference observed on ATM cash balance.(The physical cash count balance of ATM  have shown a difference of Birr 59356.48 </t>
    </r>
    <r>
      <rPr>
        <b/>
        <i/>
        <sz val="12"/>
        <color rgb="FFFF0000"/>
        <rFont val="Cambria"/>
        <family val="1"/>
        <scheme val="major"/>
      </rPr>
      <t xml:space="preserve">Excess </t>
    </r>
    <r>
      <rPr>
        <b/>
        <i/>
        <sz val="12"/>
        <color rgb="FF000000"/>
        <rFont val="Cambria"/>
        <family val="1"/>
        <scheme val="major"/>
      </rPr>
      <t xml:space="preserve">compared with the general ledger balance . )                       Atm 1=ETB 1000200010008= </t>
    </r>
    <r>
      <rPr>
        <b/>
        <i/>
        <sz val="12"/>
        <color rgb="FFFF0000"/>
        <rFont val="Cambria"/>
        <family val="1"/>
        <scheme val="major"/>
      </rPr>
      <t>shortage</t>
    </r>
    <r>
      <rPr>
        <b/>
        <i/>
        <sz val="12"/>
        <color rgb="FF000000"/>
        <rFont val="Cambria"/>
        <family val="1"/>
        <scheme val="major"/>
      </rPr>
      <t xml:space="preserve"> </t>
    </r>
    <r>
      <rPr>
        <b/>
        <i/>
        <sz val="12"/>
        <color rgb="FFFF0000"/>
        <rFont val="Cambria"/>
        <family val="1"/>
        <scheme val="major"/>
      </rPr>
      <t>(10070.42)</t>
    </r>
    <r>
      <rPr>
        <b/>
        <i/>
        <sz val="12"/>
        <color rgb="FF000000"/>
        <rFont val="Cambria"/>
        <family val="1"/>
        <scheme val="major"/>
      </rPr>
      <t xml:space="preserve"> ,Atm 2=ETB1000200020008=</t>
    </r>
    <r>
      <rPr>
        <b/>
        <i/>
        <sz val="12"/>
        <color rgb="FFFF0000"/>
        <rFont val="Cambria"/>
        <family val="1"/>
        <scheme val="major"/>
      </rPr>
      <t>Excess 69426.90</t>
    </r>
    <r>
      <rPr>
        <b/>
        <i/>
        <sz val="12"/>
        <color rgb="FF000000"/>
        <rFont val="Cambria"/>
        <family val="1"/>
        <scheme val="major"/>
      </rPr>
      <t xml:space="preserve">                    </t>
    </r>
  </si>
  <si>
    <r>
      <t xml:space="preserve">Sundary creditors Deposit Account In process </t>
    </r>
    <r>
      <rPr>
        <b/>
        <i/>
        <sz val="12"/>
        <color rgb="FFFF0000"/>
        <rFont val="Cambria"/>
        <family val="1"/>
        <scheme val="major"/>
      </rPr>
      <t xml:space="preserve">ETB17633 </t>
    </r>
    <r>
      <rPr>
        <b/>
        <i/>
        <sz val="12"/>
        <color theme="1"/>
        <rFont val="Cambria"/>
        <family val="1"/>
        <scheme val="major"/>
      </rPr>
      <t xml:space="preserve"> trial balance  and GL balance diff.
 </t>
    </r>
  </si>
  <si>
    <t>Accr intereset on government bond and dep.</t>
  </si>
  <si>
    <t>Sundery debitors-miscellaneous Lcy-ETB12548
(RTGS commission not deducted from the customer acc for the month of november 2022. Because the acc is inactive and insuff.balance)23account</t>
  </si>
  <si>
    <t>Sundery debtors -RTGS RECEIVABLE (ETB12624)</t>
  </si>
  <si>
    <t>Sundery Creditors Miscellane</t>
  </si>
  <si>
    <t>Dormant accounts Found at the branch  2721</t>
  </si>
  <si>
    <r>
      <t xml:space="preserve">ATM cards &amp; PIN mailers were not delivered to the respective account holders/ customers for a long period of time as presented below.                                </t>
    </r>
    <r>
      <rPr>
        <b/>
        <i/>
        <sz val="12"/>
        <color rgb="FFFF0000"/>
        <rFont val="Cambria"/>
        <family val="1"/>
        <scheme val="major"/>
      </rPr>
      <t>ATM CARD= 217 &amp; ATM PIN=23</t>
    </r>
    <r>
      <rPr>
        <b/>
        <i/>
        <sz val="12"/>
        <color rgb="FF000000"/>
        <rFont val="Cambria"/>
        <family val="1"/>
        <scheme val="major"/>
      </rPr>
      <t xml:space="preserve"> </t>
    </r>
    <r>
      <rPr>
        <i/>
        <sz val="10"/>
        <color rgb="FFC00000"/>
        <rFont val="Cambria"/>
        <family val="1"/>
        <scheme val="major"/>
      </rPr>
      <t/>
    </r>
  </si>
  <si>
    <r>
      <t xml:space="preserve">Mismatch Between ATM Card &amp; Pin Mailers  </t>
    </r>
    <r>
      <rPr>
        <b/>
        <i/>
        <sz val="12"/>
        <color rgb="FFFF0000"/>
        <rFont val="Cambria"/>
        <family val="1"/>
        <scheme val="major"/>
      </rPr>
      <t xml:space="preserve">ATM CARD= 217 &amp; ATM PIN=23 </t>
    </r>
  </si>
  <si>
    <t>MECHARE</t>
  </si>
  <si>
    <r>
      <t>Abnormal balances of ATM cashOverage BIRR2,000 OF ATM2</t>
    </r>
    <r>
      <rPr>
        <i/>
        <u/>
        <sz val="12"/>
        <color rgb="FF000000"/>
        <rFont val="Cambria"/>
        <family val="1"/>
        <scheme val="major"/>
      </rPr>
      <t>AND BIRR 52,237.88 OF  ATM1</t>
    </r>
    <r>
      <rPr>
        <i/>
        <sz val="12"/>
        <color rgb="FF000000"/>
        <rFont val="Cambria"/>
        <family val="1"/>
        <scheme val="major"/>
      </rPr>
      <t xml:space="preserve"> </t>
    </r>
    <r>
      <rPr>
        <i/>
        <sz val="12"/>
        <color rgb="FFFF0000"/>
        <rFont val="Cambria"/>
        <family val="1"/>
        <scheme val="major"/>
      </rPr>
      <t>/NO OF 152</t>
    </r>
  </si>
  <si>
    <t>(15,793,083.77</t>
  </si>
  <si>
    <t>31/7/ /2026</t>
  </si>
  <si>
    <t>Long Term Lease Payment  (Office Rent )</t>
  </si>
  <si>
    <t>Different Date</t>
  </si>
  <si>
    <r>
      <t xml:space="preserve">A subsidiary ledger balance of the </t>
    </r>
    <r>
      <rPr>
        <b/>
        <i/>
        <sz val="12"/>
        <color theme="1"/>
        <rFont val="Cambria"/>
        <family val="1"/>
        <scheme val="major"/>
      </rPr>
      <t>CPO Payable account hasa difference</t>
    </r>
    <r>
      <rPr>
        <i/>
        <sz val="12"/>
        <color theme="1"/>
        <rFont val="Cambria"/>
        <family val="1"/>
        <scheme val="major"/>
      </rPr>
      <t xml:space="preserve"> from its respective general ledger balance as of……</t>
    </r>
  </si>
  <si>
    <t>17/4/2026</t>
  </si>
  <si>
    <t>Sundry debtors  MISCELLANEOUS- LCY</t>
  </si>
  <si>
    <t>Sundry debtors  ( RTGS recivable  from customer )</t>
  </si>
  <si>
    <r>
      <t xml:space="preserve">ATM cards &amp; PIN mailers were not delivered to the respective account holders/ customers for a long period of time as presented below. </t>
    </r>
    <r>
      <rPr>
        <b/>
        <i/>
        <sz val="12"/>
        <color rgb="FFFF0000"/>
        <rFont val="Cambria"/>
        <family val="1"/>
        <scheme val="major"/>
      </rPr>
      <t>ATM Card =   139 PIN Mailers = 130</t>
    </r>
  </si>
  <si>
    <r>
      <t xml:space="preserve">Mismatch Between ATM Card &amp; Pin Mailers </t>
    </r>
    <r>
      <rPr>
        <b/>
        <i/>
        <sz val="12"/>
        <color rgb="FFFF0000"/>
        <rFont val="Cambria"/>
        <family val="1"/>
        <scheme val="major"/>
      </rPr>
      <t>ATM Card =  139  PIN Mailers = 130</t>
    </r>
  </si>
  <si>
    <t xml:space="preserve">MEHAL LAFTO </t>
  </si>
  <si>
    <r>
      <t xml:space="preserve">Difference observed on ATM cash balance.(The physical cash count balance of ATM  have shown a difference of Birr </t>
    </r>
    <r>
      <rPr>
        <i/>
        <sz val="10"/>
        <color rgb="FFFF0000"/>
        <rFont val="Cambria"/>
        <family val="1"/>
        <scheme val="major"/>
      </rPr>
      <t xml:space="preserve">  </t>
    </r>
    <r>
      <rPr>
        <i/>
        <sz val="12"/>
        <color rgb="FFFF0000"/>
        <rFont val="Cambria"/>
        <family val="1"/>
        <scheme val="major"/>
      </rPr>
      <t xml:space="preserve"> 49647.75</t>
    </r>
    <r>
      <rPr>
        <i/>
        <sz val="10"/>
        <color rgb="FFFF0000"/>
        <rFont val="Cambria"/>
        <family val="1"/>
        <scheme val="major"/>
      </rPr>
      <t xml:space="preserve">Excess </t>
    </r>
    <r>
      <rPr>
        <i/>
        <sz val="10"/>
        <color rgb="FF000000"/>
        <rFont val="Cambria"/>
        <family val="1"/>
        <scheme val="major"/>
      </rPr>
      <t>compared with the general ledger balance . )</t>
    </r>
  </si>
  <si>
    <t xml:space="preserve">                   </t>
  </si>
  <si>
    <r>
      <t>Sundry debtors (</t>
    </r>
    <r>
      <rPr>
        <b/>
        <i/>
        <sz val="10"/>
        <color rgb="FF000000"/>
        <rFont val="Cambria"/>
        <family val="1"/>
        <scheme val="major"/>
      </rPr>
      <t>RTGS Receivable</t>
    </r>
    <r>
      <rPr>
        <i/>
        <sz val="10"/>
        <color rgb="FF000000"/>
        <rFont val="Cambria"/>
        <family val="1"/>
        <scheme val="major"/>
      </rPr>
      <t xml:space="preserve"> )</t>
    </r>
  </si>
  <si>
    <t>Sundry debtors (miscelaneous</t>
  </si>
  <si>
    <r>
      <t xml:space="preserve">ATM cards &amp; PIN mailers were not delivered to the respective account holders/ customers for a long period of time as presented below.  </t>
    </r>
    <r>
      <rPr>
        <i/>
        <sz val="10"/>
        <color rgb="FFFF0000"/>
        <rFont val="Cambria"/>
        <family val="1"/>
        <scheme val="major"/>
      </rPr>
      <t>568 ATM CARD &amp;381 PIN</t>
    </r>
  </si>
  <si>
    <r>
      <t xml:space="preserve">Mismatch Between ATM Card &amp; Pin Mailers   ATM </t>
    </r>
    <r>
      <rPr>
        <i/>
        <sz val="10"/>
        <color rgb="FFFF0000"/>
        <rFont val="Cambria"/>
        <family val="1"/>
        <scheme val="major"/>
      </rPr>
      <t>568 &amp; PIN 381</t>
    </r>
  </si>
  <si>
    <t>MEKANISA MICHAEL</t>
  </si>
  <si>
    <r>
      <t xml:space="preserve">Long-term unconsolidated   POS cash advance(POS Cash advance of Birr </t>
    </r>
    <r>
      <rPr>
        <b/>
        <i/>
        <sz val="12"/>
        <rFont val="Cambria"/>
        <family val="1"/>
        <scheme val="major"/>
      </rPr>
      <t xml:space="preserve">25,100.00 </t>
    </r>
    <r>
      <rPr>
        <b/>
        <i/>
        <sz val="12"/>
        <color rgb="FFFF0000"/>
        <rFont val="Cambria"/>
        <family val="1"/>
        <scheme val="major"/>
      </rPr>
      <t>Overgage</t>
    </r>
    <r>
      <rPr>
        <i/>
        <sz val="12"/>
        <rFont val="Cambria"/>
        <family val="1"/>
        <scheme val="major"/>
      </rPr>
      <t xml:space="preserve"> </t>
    </r>
    <r>
      <rPr>
        <i/>
        <sz val="12"/>
        <color rgb="FF000000"/>
        <rFont val="Cambria"/>
        <family val="1"/>
        <scheme val="major"/>
      </rPr>
      <t>left over in the General Ledger for a long time without being deposited)</t>
    </r>
  </si>
  <si>
    <r>
      <t xml:space="preserve">Difference observed on ATM cash balance.(The physical cash count balance of ATM  have shown a difference of </t>
    </r>
    <r>
      <rPr>
        <i/>
        <sz val="12"/>
        <color rgb="FFFF0000"/>
        <rFont val="Cambria"/>
        <family val="1"/>
        <scheme val="major"/>
      </rPr>
      <t xml:space="preserve"> </t>
    </r>
    <r>
      <rPr>
        <b/>
        <i/>
        <sz val="12"/>
        <color rgb="FFFF0000"/>
        <rFont val="Cambria"/>
        <family val="1"/>
        <scheme val="major"/>
      </rPr>
      <t xml:space="preserve">Birr 176,486.59 EXCSE  </t>
    </r>
    <r>
      <rPr>
        <i/>
        <sz val="12"/>
        <color rgb="FF000000"/>
        <rFont val="Cambria"/>
        <family val="1"/>
        <scheme val="major"/>
      </rPr>
      <t>compared with the general ledger balance . )</t>
    </r>
  </si>
  <si>
    <t xml:space="preserve">Abnorma Balance </t>
  </si>
  <si>
    <t xml:space="preserve">Difference in Non-Contingent </t>
  </si>
  <si>
    <t>CATCH ALL-Unassigned PL</t>
  </si>
  <si>
    <t>RTGs Receivable</t>
  </si>
  <si>
    <t xml:space="preserve">Deposit Act in Process Opening  </t>
  </si>
  <si>
    <r>
      <t xml:space="preserve">ATM cards &amp; PIN mailers were not delivered to the respective account holders/ customers for a long period of time as presented below.  </t>
    </r>
    <r>
      <rPr>
        <i/>
        <sz val="12"/>
        <color rgb="FFFF0000"/>
        <rFont val="Cambria"/>
        <family val="1"/>
        <scheme val="major"/>
      </rPr>
      <t xml:space="preserve"> ATM 469 &amp; PIN 445 </t>
    </r>
  </si>
  <si>
    <r>
      <t xml:space="preserve">Mismatch Between ATM Card &amp; Pin Mailers  </t>
    </r>
    <r>
      <rPr>
        <i/>
        <sz val="12"/>
        <color rgb="FFFF0000"/>
        <rFont val="Cambria"/>
        <family val="1"/>
        <scheme val="major"/>
      </rPr>
      <t>469 - 445= 24</t>
    </r>
  </si>
  <si>
    <t>Mekanissa</t>
  </si>
  <si>
    <r>
      <t>Long-term unconsolidated   POS cash advance(POS Cash advance of Birr 1,700</t>
    </r>
    <r>
      <rPr>
        <i/>
        <sz val="12"/>
        <color rgb="FFFF0000"/>
        <rFont val="Cambria"/>
        <family val="1"/>
        <scheme val="major"/>
      </rPr>
      <t xml:space="preserve"> Shortage  </t>
    </r>
    <r>
      <rPr>
        <i/>
        <sz val="12"/>
        <color rgb="FF000000"/>
        <rFont val="Cambria"/>
        <family val="1"/>
        <scheme val="major"/>
      </rPr>
      <t>left over in the General Ledger for a long time without being deposited)</t>
    </r>
  </si>
  <si>
    <r>
      <t xml:space="preserve">Difference observed on ATM cash balance.(The physical cash count balance of ATM  have shown a difference of Birr 1,779.37 </t>
    </r>
    <r>
      <rPr>
        <i/>
        <sz val="12"/>
        <color rgb="FFFF0000"/>
        <rFont val="Cambria"/>
        <family val="1"/>
        <scheme val="major"/>
      </rPr>
      <t xml:space="preserve">Excess </t>
    </r>
    <r>
      <rPr>
        <i/>
        <sz val="12"/>
        <color rgb="FF000000"/>
        <rFont val="Cambria"/>
        <family val="1"/>
        <scheme val="major"/>
      </rPr>
      <t>compared with the general ledger balance . )</t>
    </r>
  </si>
  <si>
    <t xml:space="preserve">(1.594,997.20) </t>
  </si>
  <si>
    <t xml:space="preserve">DIFRERENCE IN NON-CONTINGENT  </t>
  </si>
  <si>
    <r>
      <t>Sundry debtors (</t>
    </r>
    <r>
      <rPr>
        <b/>
        <i/>
        <sz val="12"/>
        <color rgb="FF000000"/>
        <rFont val="Cambria"/>
        <family val="1"/>
        <scheme val="major"/>
      </rPr>
      <t>RTGS Receivable</t>
    </r>
    <r>
      <rPr>
        <i/>
        <sz val="12"/>
        <color rgb="FF000000"/>
        <rFont val="Cambria"/>
        <family val="1"/>
        <scheme val="major"/>
      </rPr>
      <t xml:space="preserve"> )</t>
    </r>
  </si>
  <si>
    <r>
      <t xml:space="preserve">ATM cards &amp; PIN mailers were not delivered to the respective account holders/ customers for a long period of time as presented below.  </t>
    </r>
    <r>
      <rPr>
        <i/>
        <sz val="12"/>
        <color rgb="FFFF0000"/>
        <rFont val="Cambria"/>
        <family val="1"/>
        <scheme val="major"/>
      </rPr>
      <t>422 ATM CARD &amp;381 PIN</t>
    </r>
  </si>
  <si>
    <r>
      <t xml:space="preserve">Mismatch Between ATM Card &amp; Pin Mailers   ATM </t>
    </r>
    <r>
      <rPr>
        <i/>
        <sz val="12"/>
        <color rgb="FFFF0000"/>
        <rFont val="Cambria"/>
        <family val="1"/>
        <scheme val="major"/>
      </rPr>
      <t>422 &amp; PIN 381</t>
    </r>
  </si>
  <si>
    <t>01/07/2026 06/07/2026 07/07/2026 11/07/2026</t>
  </si>
  <si>
    <t xml:space="preserve">Fund Transfers were made with out customer segnature from NEJA SEMAN  ACCOUNT NUMBER 308SAV20 01/07/2026  BIRR 120,000.00  NEJA SEMAN  ACCOUNT NUMBER 308SAV20 06/07/2026  BIRR 160,000.00  NEJA SEMAN  ACCOUNT NUMBER 308SAV20 07/07/2026  BIRR 65,000NEJA SEMAN  ACCOUNT NUMBER 308SAV20 11/07/2026  BIRR 60,000.00 </t>
  </si>
  <si>
    <t xml:space="preserve">MESKEL FLOWER </t>
  </si>
  <si>
    <t>24/06/2025</t>
  </si>
  <si>
    <t>Abnormal balances of ATM -Excess</t>
  </si>
  <si>
    <r>
      <t xml:space="preserve">Difference observed on ATM cash balance . (The physical cash count balance of ATM  have shown a difference of </t>
    </r>
    <r>
      <rPr>
        <b/>
        <i/>
        <sz val="12"/>
        <color rgb="FFFF0000"/>
        <rFont val="Cambria"/>
        <family val="1"/>
        <scheme val="major"/>
      </rPr>
      <t>Birr 211,519.18</t>
    </r>
    <r>
      <rPr>
        <i/>
        <sz val="12"/>
        <color rgb="FF000000"/>
        <rFont val="Cambria"/>
        <family val="1"/>
        <scheme val="major"/>
      </rPr>
      <t>Overage</t>
    </r>
    <r>
      <rPr>
        <i/>
        <sz val="12"/>
        <color rgb="FFFF0000"/>
        <rFont val="Cambria"/>
        <family val="1"/>
        <scheme val="major"/>
      </rPr>
      <t xml:space="preserve"> </t>
    </r>
    <r>
      <rPr>
        <i/>
        <sz val="12"/>
        <color rgb="FF000000"/>
        <rFont val="Cambria"/>
        <family val="1"/>
        <scheme val="major"/>
      </rPr>
      <t>compared with the general ledger balance . )</t>
    </r>
  </si>
  <si>
    <t>Rev stamp on hand(loan/cash)</t>
  </si>
  <si>
    <t>Standard cheque books</t>
  </si>
  <si>
    <t xml:space="preserve"> DIFRERENCE IN NON-CONTINGENT</t>
  </si>
  <si>
    <t>Catch all-unassingned PL</t>
  </si>
  <si>
    <t>Sundry creditors /MIS ETB 17568 / Our branch customer FHI out line branch staff's are not open PF account /FHI STAFF PF/</t>
  </si>
  <si>
    <t>Payable to Disaster risk mgt</t>
  </si>
  <si>
    <r>
      <t>ATM cards &amp; PIN mailers were not delivered to the respective account holders/ customers for a long period of time as presented below</t>
    </r>
    <r>
      <rPr>
        <b/>
        <i/>
        <sz val="12"/>
        <color rgb="FFFF0000"/>
        <rFont val="Cambria"/>
        <family val="1"/>
        <scheme val="major"/>
      </rPr>
      <t>.From The Total 539 ATM Cards,  AND PIN= 33</t>
    </r>
  </si>
  <si>
    <r>
      <t xml:space="preserve">Mismatch Between ATM Card &amp; Pin Mailers </t>
    </r>
    <r>
      <rPr>
        <b/>
        <i/>
        <sz val="12"/>
        <color rgb="FFFF0000"/>
        <rFont val="Cambria"/>
        <family val="1"/>
        <scheme val="major"/>
      </rPr>
      <t>Regular ATM CARD=506</t>
    </r>
  </si>
  <si>
    <t>Fund Transfers were made without customer's Muluken Babsa Acc. No. 7000053860244</t>
  </si>
  <si>
    <t>Fund Transfers were made without customer's Tamirat Abshir Acc. No. 7000023513094</t>
  </si>
  <si>
    <t>Fund Transfers were made without customer's Tamirat Abshir Acc. No. 7000034090462</t>
  </si>
  <si>
    <t>Fund Transfers were made without customer's Prime Packeing plc Acc. No. 7000109514387</t>
  </si>
  <si>
    <t>Fund Transfers were made without customer's Birrara Melese Acc. No. 7000109514387</t>
  </si>
  <si>
    <t>Nib Halal Gofa Akababi</t>
  </si>
  <si>
    <r>
      <t xml:space="preserve">Difference observed on ATM cash balance.(The physical cash count balance of ATM  have shown a difference of Birr </t>
    </r>
    <r>
      <rPr>
        <b/>
        <i/>
        <sz val="10"/>
        <color rgb="FFFF0000"/>
        <rFont val="Cambria"/>
        <family val="1"/>
        <scheme val="major"/>
      </rPr>
      <t>Overgage</t>
    </r>
    <r>
      <rPr>
        <i/>
        <sz val="10"/>
        <color rgb="FF000000"/>
        <rFont val="Cambria"/>
        <family val="1"/>
        <scheme val="major"/>
      </rPr>
      <t>compared with the general ledger balance . )</t>
    </r>
  </si>
  <si>
    <t>Catch all-Unassigned pl</t>
  </si>
  <si>
    <t xml:space="preserve">ATM cards &amp; PIN mailers were not delivered to the respective account holders/ customers for a long period of time as presented below  ATM cards 224 &amp; Pin Mailers 18                        </t>
  </si>
  <si>
    <t xml:space="preserve">Mismatch Between ATM Card &amp; Pin Mailers </t>
  </si>
  <si>
    <t>NIFAS SILK</t>
  </si>
  <si>
    <r>
      <t xml:space="preserve">Long-term unconsolidated   POS cash advance(POS Cash advance of Birr </t>
    </r>
    <r>
      <rPr>
        <b/>
        <i/>
        <sz val="11"/>
        <rFont val="Cambria"/>
        <family val="1"/>
        <scheme val="major"/>
      </rPr>
      <t xml:space="preserve">3,800.00 </t>
    </r>
    <r>
      <rPr>
        <b/>
        <i/>
        <sz val="11"/>
        <color rgb="FFFF0000"/>
        <rFont val="Cambria"/>
        <family val="1"/>
        <scheme val="major"/>
      </rPr>
      <t>Shortag</t>
    </r>
    <r>
      <rPr>
        <b/>
        <i/>
        <sz val="11"/>
        <rFont val="Cambria"/>
        <family val="1"/>
        <scheme val="major"/>
      </rPr>
      <t xml:space="preserve"> </t>
    </r>
    <r>
      <rPr>
        <i/>
        <sz val="11"/>
        <color rgb="FF000000"/>
        <rFont val="Cambria"/>
        <family val="1"/>
        <scheme val="major"/>
      </rPr>
      <t>left over in the General Ledger for a long time without being deposited)</t>
    </r>
  </si>
  <si>
    <r>
      <t xml:space="preserve">Difference observed on ATM cash balance.(The physical cash count balance of ATM  have shown a difference of Birr </t>
    </r>
    <r>
      <rPr>
        <b/>
        <i/>
        <sz val="11"/>
        <color rgb="FF000000"/>
        <rFont val="Cambria"/>
        <family val="1"/>
        <scheme val="major"/>
      </rPr>
      <t xml:space="preserve"> 331,459 </t>
    </r>
    <r>
      <rPr>
        <b/>
        <i/>
        <sz val="11"/>
        <color rgb="FFFF0000"/>
        <rFont val="Cambria"/>
        <family val="1"/>
        <scheme val="major"/>
      </rPr>
      <t xml:space="preserve">Excess </t>
    </r>
    <r>
      <rPr>
        <i/>
        <sz val="11"/>
        <color rgb="FF000000"/>
        <rFont val="Cambria"/>
        <family val="1"/>
        <scheme val="major"/>
      </rPr>
      <t>compared with the general ledger balance .)</t>
    </r>
  </si>
  <si>
    <t>Gain on A/L Revaluation (PL)</t>
  </si>
  <si>
    <t xml:space="preserve">S.Debtor- Temp Loan Repayment Account  </t>
  </si>
  <si>
    <t>Catch all- unassigned PL</t>
  </si>
  <si>
    <t>18/06/2018</t>
  </si>
  <si>
    <t xml:space="preserve">Sundry debtors -Accrude interest Gov't Boand  (Uncollected backdate interest of brorowers on june 18,2018 Ato feysa Bekele </t>
  </si>
  <si>
    <t>S.Debtor -Loan Balance correction Expense</t>
  </si>
  <si>
    <t>Claim on Ho/</t>
  </si>
  <si>
    <t>S.Debtor- Rtgs Receivable</t>
  </si>
  <si>
    <t>Sundry Creditor Miscellaneous</t>
  </si>
  <si>
    <t>Loan balance correction Income</t>
  </si>
  <si>
    <t>ATM cards &amp; PIN mailers were not delivered to the respective account holders/ customers for a long period of time as presented below. ATM 839 &amp; PIN 689</t>
  </si>
  <si>
    <t>Mismatch Between ATM Card &amp; Pin Mailers</t>
  </si>
  <si>
    <t>Olompiya</t>
  </si>
  <si>
    <t>CASH &amp; Cash Item</t>
  </si>
  <si>
    <r>
      <t>Difference observed on ATM cash balance.(The physical cash count balance of ATM  have shown a difference of Birr 27,011.81.</t>
    </r>
    <r>
      <rPr>
        <b/>
        <i/>
        <u/>
        <sz val="11"/>
        <color rgb="FFFF0000"/>
        <rFont val="Cambria"/>
        <family val="1"/>
        <scheme val="major"/>
      </rPr>
      <t>Excess</t>
    </r>
    <r>
      <rPr>
        <i/>
        <sz val="11"/>
        <color rgb="FFFF0000"/>
        <rFont val="Cambria"/>
        <family val="1"/>
        <scheme val="major"/>
      </rPr>
      <t xml:space="preserve"> </t>
    </r>
    <r>
      <rPr>
        <i/>
        <sz val="11"/>
        <color rgb="FF000000"/>
        <rFont val="Cambria"/>
        <family val="1"/>
        <scheme val="major"/>
      </rPr>
      <t>compared with the general ledger balance . )</t>
    </r>
  </si>
  <si>
    <t>Catch all unassigned PL</t>
  </si>
  <si>
    <t xml:space="preserve">Catch-All Assets &amp; Liabilities </t>
  </si>
  <si>
    <t>Sundry creditors(CPO Long outstanding)</t>
  </si>
  <si>
    <r>
      <t>Defective/obsolete fixed assets found at the branch a (</t>
    </r>
    <r>
      <rPr>
        <b/>
        <i/>
        <sz val="11"/>
        <color rgb="FF000000"/>
        <rFont val="Cambria"/>
        <family val="1"/>
        <scheme val="major"/>
      </rPr>
      <t>FAX Machine found in the branch which is no longer nedded)</t>
    </r>
  </si>
  <si>
    <t xml:space="preserve">ATM cards &amp; PIN mailers were not delivered to the respective account holders/ customers for a long period of time as presented below  ATM cards 1024 &amp; Pin Mailers 681                        </t>
  </si>
  <si>
    <t>SARIS</t>
  </si>
  <si>
    <r>
      <t xml:space="preserve">Difference observed on ATM cash balance.(The physical cash count balance of ATM  have shown a difference of Birr </t>
    </r>
    <r>
      <rPr>
        <sz val="11"/>
        <color rgb="FFFF0000"/>
        <rFont val="Calibri"/>
        <family val="2"/>
        <scheme val="minor"/>
      </rPr>
      <t>5938.09/ Exces</t>
    </r>
    <r>
      <rPr>
        <b/>
        <sz val="11"/>
        <color rgb="FFFF0000"/>
        <rFont val="Calibri"/>
        <family val="2"/>
        <scheme val="minor"/>
      </rPr>
      <t xml:space="preserve">s </t>
    </r>
    <r>
      <rPr>
        <sz val="11"/>
        <color theme="1"/>
        <rFont val="Calibri"/>
        <family val="2"/>
        <scheme val="minor"/>
      </rPr>
      <t xml:space="preserve">compared with the general ledger balance </t>
    </r>
  </si>
  <si>
    <t>Abnormal GL Balance</t>
  </si>
  <si>
    <r>
      <t>Sundry creditors (</t>
    </r>
    <r>
      <rPr>
        <b/>
        <i/>
        <sz val="11"/>
        <color rgb="FF000000"/>
        <rFont val="Cambria"/>
        <family val="1"/>
        <scheme val="major"/>
      </rPr>
      <t xml:space="preserve">POS  AT </t>
    </r>
    <r>
      <rPr>
        <i/>
        <sz val="11"/>
        <color rgb="FF000000"/>
        <rFont val="Cambria"/>
        <family val="1"/>
        <scheme val="major"/>
      </rPr>
      <t>SARIS DAMA BRRANCH</t>
    </r>
  </si>
  <si>
    <r>
      <t>Sundry creditors (</t>
    </r>
    <r>
      <rPr>
        <b/>
        <i/>
        <sz val="11"/>
        <color rgb="FF000000"/>
        <rFont val="Cambria"/>
        <family val="1"/>
        <scheme val="major"/>
      </rPr>
      <t>ATM DESP.</t>
    </r>
    <r>
      <rPr>
        <i/>
        <sz val="11"/>
        <color rgb="FF000000"/>
        <rFont val="Cambria"/>
        <family val="1"/>
        <scheme val="major"/>
      </rPr>
      <t xml:space="preserve"> PAYBLE FOR SARIS DAMA BRANCH</t>
    </r>
  </si>
  <si>
    <t>Sundry creditors( PAYBLE TO ENDALE RESTU AS CATS LEGAL ORDER ONLINE ACC. CLOSURE DD SEP.7/2023</t>
  </si>
  <si>
    <t xml:space="preserve">Prepaid Rent </t>
  </si>
  <si>
    <r>
      <t xml:space="preserve">ATM cards &amp; PIN mailers were not delivered to the respective account holders/ customers for a long period of time as presented below. </t>
    </r>
    <r>
      <rPr>
        <b/>
        <i/>
        <sz val="11"/>
        <color rgb="FFFF0000"/>
        <rFont val="Cambria"/>
        <family val="1"/>
        <scheme val="major"/>
      </rPr>
      <t>ATM Card 222  PIN Mailers 710</t>
    </r>
  </si>
  <si>
    <r>
      <t xml:space="preserve">Mismatch Between ATM Card &amp; Pin Mailers  </t>
    </r>
    <r>
      <rPr>
        <b/>
        <i/>
        <sz val="11"/>
        <color rgb="FFFF0000"/>
        <rFont val="Cambria"/>
        <family val="1"/>
        <scheme val="major"/>
      </rPr>
      <t>ATM Card  222 PIN Mailers 710</t>
    </r>
  </si>
  <si>
    <t>Saris Abo</t>
  </si>
  <si>
    <r>
      <t>Difference observed on ATM cash balance.(The physical cash count balance of ATM  have shown a difference of Birr (</t>
    </r>
    <r>
      <rPr>
        <b/>
        <i/>
        <sz val="11"/>
        <color rgb="FF000000"/>
        <rFont val="Cambria"/>
        <family val="1"/>
        <scheme val="major"/>
      </rPr>
      <t>12,643.01)</t>
    </r>
    <r>
      <rPr>
        <b/>
        <i/>
        <sz val="11"/>
        <color rgb="FFFF0000"/>
        <rFont val="Cambria"/>
        <family val="1"/>
        <scheme val="major"/>
      </rPr>
      <t xml:space="preserve">Shortage  </t>
    </r>
    <r>
      <rPr>
        <i/>
        <sz val="11"/>
        <color rgb="FF000000"/>
        <rFont val="Cambria"/>
        <family val="1"/>
        <scheme val="major"/>
      </rPr>
      <t>compared with the general ledger balance . )</t>
    </r>
  </si>
  <si>
    <t>Sundry creditors ETB17568 (poss Difrence)</t>
  </si>
  <si>
    <t>Sundry creditors(ETB17647) Loan Balance Correction Income</t>
  </si>
  <si>
    <t>Sundry creditors Stamp duty charge</t>
  </si>
  <si>
    <r>
      <t xml:space="preserve">ATM cards &amp; PIN mailers were not delivered to the respective account holders/ customers for a long period of time as presented below. </t>
    </r>
    <r>
      <rPr>
        <b/>
        <i/>
        <sz val="11"/>
        <color rgb="FFFF0000"/>
        <rFont val="Cambria"/>
        <family val="1"/>
        <scheme val="major"/>
      </rPr>
      <t>ATM Card =  490  PIN Mailers = 416</t>
    </r>
  </si>
  <si>
    <r>
      <t xml:space="preserve">Mismatch Between ATM Card &amp; Pin Mailers </t>
    </r>
    <r>
      <rPr>
        <b/>
        <i/>
        <sz val="11"/>
        <color rgb="FFFF0000"/>
        <rFont val="Cambria"/>
        <family val="1"/>
        <scheme val="major"/>
      </rPr>
      <t>ATM Card =    490 PIN Mailers = 416</t>
    </r>
  </si>
  <si>
    <t>SARIS ADDISU SEFERE</t>
  </si>
  <si>
    <t>CASH &amp; CASH ITEMS</t>
  </si>
  <si>
    <t>31/07 2026</t>
  </si>
  <si>
    <r>
      <t xml:space="preserve">Difference observed on ATM cash balance.(The physical cash count balance of ATM  have shown a difference of Birr </t>
    </r>
    <r>
      <rPr>
        <b/>
        <sz val="11"/>
        <color rgb="FFFF0000"/>
        <rFont val="Calibri"/>
        <family val="2"/>
        <scheme val="minor"/>
      </rPr>
      <t xml:space="preserve">ATM 1    </t>
    </r>
    <r>
      <rPr>
        <sz val="11"/>
        <color rgb="FFFF0000"/>
        <rFont val="Calibri"/>
        <family val="2"/>
        <scheme val="minor"/>
      </rPr>
      <t>78,638.80</t>
    </r>
    <r>
      <rPr>
        <b/>
        <sz val="11"/>
        <color theme="1"/>
        <rFont val="Calibri"/>
        <family val="2"/>
        <scheme val="minor"/>
      </rPr>
      <t xml:space="preserve">  &amp;     </t>
    </r>
    <r>
      <rPr>
        <b/>
        <sz val="11"/>
        <color rgb="FFFF0000"/>
        <rFont val="Calibri"/>
        <family val="2"/>
        <scheme val="minor"/>
      </rPr>
      <t>ATM 2   22,839.46</t>
    </r>
    <r>
      <rPr>
        <b/>
        <sz val="11"/>
        <color theme="1"/>
        <rFont val="Calibri"/>
        <family val="2"/>
        <scheme val="minor"/>
      </rPr>
      <t xml:space="preserve">/ </t>
    </r>
    <r>
      <rPr>
        <b/>
        <sz val="11"/>
        <color rgb="FFFF0000"/>
        <rFont val="Calibri"/>
        <family val="2"/>
        <scheme val="minor"/>
      </rPr>
      <t xml:space="preserve">Excess </t>
    </r>
    <r>
      <rPr>
        <sz val="11"/>
        <color theme="1"/>
        <rFont val="Calibri"/>
        <family val="2"/>
        <scheme val="minor"/>
      </rPr>
      <t xml:space="preserve">compared with the general ledger balance </t>
    </r>
  </si>
  <si>
    <t xml:space="preserve">Gain on A/L Revaluation </t>
  </si>
  <si>
    <t>Zero  (0.00) balance  FCY  Account Found at branch</t>
  </si>
  <si>
    <r>
      <t xml:space="preserve">ATM cards &amp; PIN mailers were not delivered to the respective account holders/ customers for a long period of time as presented below. </t>
    </r>
    <r>
      <rPr>
        <b/>
        <i/>
        <sz val="11"/>
        <color rgb="FFFF0000"/>
        <rFont val="Cambria"/>
        <family val="1"/>
        <scheme val="major"/>
      </rPr>
      <t xml:space="preserve">ATM Card 84  PIN Mailers 59 </t>
    </r>
  </si>
  <si>
    <r>
      <t xml:space="preserve">Mismatch Between ATM Card &amp; Pin Mailers </t>
    </r>
    <r>
      <rPr>
        <b/>
        <i/>
        <sz val="11"/>
        <color rgb="FFFF0000"/>
        <rFont val="Cambria"/>
        <family val="1"/>
        <scheme val="major"/>
      </rPr>
      <t>ATM Card 84 PIN Mailers 59</t>
    </r>
  </si>
  <si>
    <t>30 /5 /26, 11/6/26</t>
  </si>
  <si>
    <t xml:space="preserve">Fund Transfers were made without Customer's Signature 500,000  &amp; 400,000  &amp; 80,000 ACC NO 7000112672748 KINFE ABREHAM REDA EQUB </t>
  </si>
  <si>
    <t>Sebeta</t>
  </si>
  <si>
    <r>
      <t>Long-term unconsolidated   POS cash advance(POS Cash advance of Birr 13,350 overage</t>
    </r>
    <r>
      <rPr>
        <i/>
        <sz val="9"/>
        <rFont val="Cambria"/>
        <family val="1"/>
        <scheme val="major"/>
      </rPr>
      <t xml:space="preserve"> </t>
    </r>
    <r>
      <rPr>
        <i/>
        <sz val="9"/>
        <color rgb="FF000000"/>
        <rFont val="Cambria"/>
        <family val="1"/>
        <scheme val="major"/>
      </rPr>
      <t>left over in the General Ledger for a long time without being deposited)</t>
    </r>
  </si>
  <si>
    <r>
      <t xml:space="preserve">Difference observed on ATM cash balance.(The physical cash count balance of ATM  have shown a difference of Birr </t>
    </r>
    <r>
      <rPr>
        <b/>
        <i/>
        <sz val="9"/>
        <rFont val="Cambria"/>
        <family val="1"/>
        <scheme val="major"/>
      </rPr>
      <t>(23,000</t>
    </r>
    <r>
      <rPr>
        <b/>
        <i/>
        <sz val="9"/>
        <color theme="5"/>
        <rFont val="Cambria"/>
        <family val="1"/>
        <scheme val="major"/>
      </rPr>
      <t xml:space="preserve">) </t>
    </r>
    <r>
      <rPr>
        <b/>
        <i/>
        <sz val="9"/>
        <rFont val="Cambria"/>
        <family val="1"/>
        <scheme val="major"/>
      </rPr>
      <t>Shortage</t>
    </r>
    <r>
      <rPr>
        <b/>
        <i/>
        <sz val="9"/>
        <color rgb="FFFF0000"/>
        <rFont val="Cambria"/>
        <family val="1"/>
        <scheme val="major"/>
      </rPr>
      <t xml:space="preserve"> </t>
    </r>
    <r>
      <rPr>
        <i/>
        <sz val="9"/>
        <color rgb="FF000000"/>
        <rFont val="Cambria"/>
        <family val="1"/>
        <scheme val="major"/>
      </rPr>
      <t>compared with the general ledger balance . )</t>
    </r>
  </si>
  <si>
    <t>Catch all- Unassigned PL</t>
  </si>
  <si>
    <t>ATM cards  and PIN mailers were not delivered to the respective account holders/ customers for a long period of time as presented below.              ATM =111         PIN =120</t>
  </si>
  <si>
    <r>
      <t xml:space="preserve">Mismatch Between ATM Card &amp; PIN Mailers </t>
    </r>
    <r>
      <rPr>
        <b/>
        <i/>
        <sz val="10"/>
        <color theme="1"/>
        <rFont val="Cambria"/>
        <family val="1"/>
        <scheme val="major"/>
      </rPr>
      <t>ATM Card =111  PIN = 120</t>
    </r>
  </si>
  <si>
    <t>SEFERA ATKILIT TERA</t>
  </si>
  <si>
    <t>Gain on A/L Revolution</t>
  </si>
  <si>
    <t>ATM cards &amp; PIN mailers were not delivered to the respective account holders/ customers for a long period of time as presented below.397 ATM CARD &amp; 183 PIN</t>
  </si>
  <si>
    <t>Mismatch Between ATM Card 397&amp; Pin 183Mailers</t>
  </si>
  <si>
    <t>Temenja Yazhe</t>
  </si>
  <si>
    <t>Cash &amp; cash items</t>
  </si>
  <si>
    <r>
      <t>Difference observed on ATM cash balance.(The physical cash count balance of ATM  have shown a difference of Birr</t>
    </r>
    <r>
      <rPr>
        <i/>
        <sz val="10"/>
        <color rgb="FFFF0000"/>
        <rFont val="Cambria"/>
        <family val="1"/>
        <scheme val="major"/>
      </rPr>
      <t xml:space="preserve"> </t>
    </r>
    <r>
      <rPr>
        <b/>
        <i/>
        <sz val="10"/>
        <color rgb="FFFF0000"/>
        <rFont val="Cambria"/>
        <family val="1"/>
        <scheme val="major"/>
      </rPr>
      <t xml:space="preserve">22,808.91 Excess </t>
    </r>
    <r>
      <rPr>
        <i/>
        <sz val="10"/>
        <color rgb="FF000000"/>
        <rFont val="Cambria"/>
        <family val="1"/>
        <scheme val="major"/>
      </rPr>
      <t>compared with the general ledger balance . )</t>
    </r>
  </si>
  <si>
    <t>Abnormal  Balance</t>
  </si>
  <si>
    <r>
      <t xml:space="preserve">ATM cards &amp; PIN mailers were not delivered to the respective account holders/ customers for a long period of time as presented below. </t>
    </r>
    <r>
      <rPr>
        <b/>
        <i/>
        <sz val="10"/>
        <color rgb="FFFF0000"/>
        <rFont val="Cambria"/>
        <family val="1"/>
        <scheme val="major"/>
      </rPr>
      <t>ATM Card =  461  PIN Mailers = 395</t>
    </r>
  </si>
  <si>
    <r>
      <t xml:space="preserve">Mismatch Between ATM Card &amp; Pin Mailers </t>
    </r>
    <r>
      <rPr>
        <b/>
        <i/>
        <sz val="10"/>
        <color rgb="FFFF0000"/>
        <rFont val="Cambria"/>
        <family val="1"/>
        <scheme val="major"/>
      </rPr>
      <t xml:space="preserve">ATM Card =    PIN Mailers = </t>
    </r>
  </si>
  <si>
    <t>TULU DIMTU</t>
  </si>
  <si>
    <t>Cash &amp; cash item</t>
  </si>
  <si>
    <r>
      <t xml:space="preserve">Difference observed on ATM cash balance.(The physical cash count balance of ATM  have shown a difference of Bir </t>
    </r>
    <r>
      <rPr>
        <i/>
        <sz val="11"/>
        <color rgb="FFFF0000"/>
        <rFont val="Cambria"/>
        <family val="1"/>
        <scheme val="major"/>
      </rPr>
      <t>161,692.93/ Excess</t>
    </r>
    <r>
      <rPr>
        <i/>
        <sz val="11"/>
        <rFont val="Cambria"/>
        <family val="1"/>
        <scheme val="major"/>
      </rPr>
      <t xml:space="preserve"> compared with the general ledger balance . )</t>
    </r>
  </si>
  <si>
    <t xml:space="preserve">Inter branch Acount T-24  R10 </t>
  </si>
  <si>
    <t>Legacy Inter Branch Diffefence</t>
  </si>
  <si>
    <t>Ubnormal PL Balance</t>
  </si>
  <si>
    <t>VATICAN</t>
  </si>
  <si>
    <t>ATM cards &amp; PIN mailers were not delivered to the respective account holders/ customers for a long period of time as presented below.ATM 820 &amp; PIN 842</t>
  </si>
  <si>
    <r>
      <t xml:space="preserve">Long-term unconsolidated   POS cash advance(POS Cash advance of Birr </t>
    </r>
    <r>
      <rPr>
        <b/>
        <i/>
        <sz val="10"/>
        <color rgb="FFFF0000"/>
        <rFont val="Cambria"/>
        <family val="1"/>
        <scheme val="major"/>
      </rPr>
      <t>68,360.44 Overgage</t>
    </r>
    <r>
      <rPr>
        <i/>
        <sz val="10"/>
        <color rgb="FFFF0000"/>
        <rFont val="Cambria"/>
        <family val="1"/>
        <scheme val="major"/>
      </rPr>
      <t xml:space="preserve"> </t>
    </r>
    <r>
      <rPr>
        <i/>
        <sz val="10"/>
        <color rgb="FF000000"/>
        <rFont val="Cambria"/>
        <family val="1"/>
        <scheme val="major"/>
      </rPr>
      <t>left over in the General Ledger for a long time without being deposited)</t>
    </r>
  </si>
  <si>
    <r>
      <t xml:space="preserve">Difference observed on ATM cash balance.(The physical cash count balance of ATM  have shown a difference of Birr </t>
    </r>
    <r>
      <rPr>
        <b/>
        <i/>
        <sz val="10"/>
        <color rgb="FFFF0000"/>
        <rFont val="Cambria"/>
        <family val="1"/>
        <scheme val="major"/>
      </rPr>
      <t xml:space="preserve">78756.13 Excess </t>
    </r>
    <r>
      <rPr>
        <i/>
        <sz val="10"/>
        <color rgb="FF000000"/>
        <rFont val="Cambria"/>
        <family val="1"/>
        <scheme val="major"/>
      </rPr>
      <t>compared with the general ledger balance . )</t>
    </r>
  </si>
  <si>
    <r>
      <t>Cheque books prepared but not delivered to customers for a long period of time.</t>
    </r>
    <r>
      <rPr>
        <sz val="10"/>
        <color theme="1"/>
        <rFont val="Calibri"/>
        <family val="2"/>
        <scheme val="minor"/>
      </rPr>
      <t xml:space="preserve"> </t>
    </r>
  </si>
  <si>
    <t xml:space="preserve">Gain on A/L Revaluation  </t>
  </si>
  <si>
    <t>Sundry debtors (Loan balance correction expense)</t>
  </si>
  <si>
    <r>
      <t xml:space="preserve">Sundry debtors </t>
    </r>
    <r>
      <rPr>
        <b/>
        <i/>
        <sz val="9"/>
        <color rgb="FF000000"/>
        <rFont val="Cambria"/>
        <family val="1"/>
        <scheme val="major"/>
      </rPr>
      <t>( RTGS Receivable )</t>
    </r>
  </si>
  <si>
    <t>Sundry debtors (Prepaid Rent)</t>
  </si>
  <si>
    <t>Sundry creditors(Misc )</t>
  </si>
  <si>
    <r>
      <t xml:space="preserve">ATM cards &amp; PIN mailers were not delivered to the respective account holders/ customers for a long period of time as presented below. </t>
    </r>
    <r>
      <rPr>
        <b/>
        <i/>
        <sz val="10"/>
        <color rgb="FFFF0000"/>
        <rFont val="Cambria"/>
        <family val="1"/>
        <scheme val="major"/>
      </rPr>
      <t>ATM Card = 883,   PIN Mailers = 817</t>
    </r>
  </si>
  <si>
    <r>
      <t xml:space="preserve">Mismatch Between ATM Card &amp; Pin Mailers </t>
    </r>
    <r>
      <rPr>
        <b/>
        <i/>
        <sz val="10"/>
        <color rgb="FFFF0000"/>
        <rFont val="Cambria"/>
        <family val="1"/>
        <scheme val="major"/>
      </rPr>
      <t>ATM Card =883    PIN Mailers = 817</t>
    </r>
  </si>
  <si>
    <t>WOLLO SEFER</t>
  </si>
  <si>
    <t>CASH &amp; CASH ITEM</t>
  </si>
  <si>
    <t>31.07.2026</t>
  </si>
  <si>
    <r>
      <t>Difference observed on ATM cash balance.(The physical cash count balance of ATM  have shown a difference of Birr</t>
    </r>
    <r>
      <rPr>
        <b/>
        <i/>
        <u/>
        <sz val="10"/>
        <color rgb="FF000000"/>
        <rFont val="Cambria"/>
        <family val="1"/>
        <scheme val="major"/>
      </rPr>
      <t xml:space="preserve"> 67,718.46</t>
    </r>
    <r>
      <rPr>
        <i/>
        <sz val="10"/>
        <color rgb="FFFF0000"/>
        <rFont val="Cambria"/>
        <family val="1"/>
        <scheme val="major"/>
      </rPr>
      <t xml:space="preserve"> Overage  </t>
    </r>
    <r>
      <rPr>
        <i/>
        <sz val="10"/>
        <color rgb="FF000000"/>
        <rFont val="Cambria"/>
        <family val="1"/>
        <scheme val="major"/>
      </rPr>
      <t>compared with the general ledger balance . )</t>
    </r>
  </si>
  <si>
    <t>Standardizrd cheque</t>
  </si>
  <si>
    <r>
      <rPr>
        <b/>
        <sz val="10"/>
        <color rgb="FF000000"/>
        <rFont val="Cambria"/>
        <family val="1"/>
        <scheme val="major"/>
      </rPr>
      <t>Sundry debtors</t>
    </r>
    <r>
      <rPr>
        <sz val="10"/>
        <color rgb="FF000000"/>
        <rFont val="Cambria"/>
        <family val="1"/>
        <scheme val="major"/>
      </rPr>
      <t xml:space="preserve"> (ETB12536   Loan Balance Correction)</t>
    </r>
  </si>
  <si>
    <r>
      <rPr>
        <b/>
        <sz val="10"/>
        <color rgb="FF000000"/>
        <rFont val="Cambria"/>
        <family val="1"/>
        <scheme val="major"/>
      </rPr>
      <t xml:space="preserve">Sundry debtors </t>
    </r>
    <r>
      <rPr>
        <sz val="10"/>
        <color rgb="FF000000"/>
        <rFont val="Cambria"/>
        <family val="1"/>
        <scheme val="major"/>
      </rPr>
      <t>(ETB1262400010036 RTGS RECEIVABLE)</t>
    </r>
  </si>
  <si>
    <r>
      <rPr>
        <b/>
        <sz val="10"/>
        <color rgb="FF000000"/>
        <rFont val="Cambria"/>
        <family val="1"/>
        <scheme val="major"/>
      </rPr>
      <t>Sundry creditors</t>
    </r>
    <r>
      <rPr>
        <sz val="10"/>
        <color rgb="FF000000"/>
        <rFont val="Cambria"/>
        <family val="1"/>
        <scheme val="major"/>
      </rPr>
      <t>(ETB 17647  Loan Balance Correction)</t>
    </r>
  </si>
  <si>
    <r>
      <rPr>
        <b/>
        <sz val="10"/>
        <color rgb="FF000000"/>
        <rFont val="Cambria"/>
        <family val="1"/>
        <scheme val="major"/>
      </rPr>
      <t>Sundry creditors</t>
    </r>
    <r>
      <rPr>
        <sz val="10"/>
        <color rgb="FF000000"/>
        <rFont val="Cambria"/>
        <family val="1"/>
        <scheme val="major"/>
      </rPr>
      <t>(ETB17568 Amount diff from W/S/A br.the case of br.merge) ,long out s. cpo &amp; Tax On Saving Interest</t>
    </r>
  </si>
  <si>
    <t>10.115,303.80</t>
  </si>
  <si>
    <t>ATM cards &amp; PIN mailers were not delivered to the respective account holders/ customers for a long period of time as presented below.ATMCARD 1221ATMPIN476</t>
  </si>
  <si>
    <t>Wechecha</t>
  </si>
  <si>
    <r>
      <t xml:space="preserve">Abnormal balances of ATM cash </t>
    </r>
    <r>
      <rPr>
        <i/>
        <sz val="11"/>
        <color rgb="FFFF0000"/>
        <rFont val="Cambria"/>
        <family val="1"/>
        <scheme val="major"/>
      </rPr>
      <t>16,350.00 Overage</t>
    </r>
  </si>
  <si>
    <t>Catch all asset and liability (Unassignd PL)</t>
  </si>
  <si>
    <t>Defective/obsolete fixed assets found at the branch(Note counting Machine STD 5 Tag No NIB/WOCB/02/015</t>
  </si>
  <si>
    <t>Defective/obsolete fixed assets found at the branch(Multi currency detecting machine Tag No NIB/WOCB/02/004</t>
  </si>
  <si>
    <t xml:space="preserve">ATM cards 191 &amp; PIN 91 mailers were not delivered to the respective account holders/ customers for a long period of time as presented below. </t>
  </si>
  <si>
    <t>Zenebwork</t>
  </si>
  <si>
    <t>cash &amp; cash item</t>
  </si>
  <si>
    <r>
      <t xml:space="preserve">Long-term unconsolidated   POS cash advance(POS Cash advance of Birr </t>
    </r>
    <r>
      <rPr>
        <b/>
        <i/>
        <sz val="10"/>
        <color rgb="FFFF0000"/>
        <rFont val="Cambria"/>
        <family val="1"/>
        <scheme val="major"/>
      </rPr>
      <t xml:space="preserve">(1,000) Shortage </t>
    </r>
    <r>
      <rPr>
        <i/>
        <sz val="10"/>
        <color rgb="FF000000"/>
        <rFont val="Cambria"/>
        <family val="1"/>
        <scheme val="major"/>
      </rPr>
      <t>left over in the General Ledger for a long time without being deposited)</t>
    </r>
  </si>
  <si>
    <r>
      <t>Difference observed on ATM cash balance.(The physical cash count balance of ATM  have shown a difference of Birr 217,200</t>
    </r>
    <r>
      <rPr>
        <b/>
        <i/>
        <sz val="10"/>
        <color rgb="FFFF0000"/>
        <rFont val="Cambria"/>
        <family val="1"/>
        <scheme val="major"/>
      </rPr>
      <t xml:space="preserve">Excess </t>
    </r>
    <r>
      <rPr>
        <i/>
        <sz val="10"/>
        <color rgb="FF000000"/>
        <rFont val="Cambria"/>
        <family val="1"/>
        <scheme val="major"/>
      </rPr>
      <t>compared with the general ledger balance . )</t>
    </r>
  </si>
  <si>
    <t>Sundry creditors/ Adjustment/Refund Accts</t>
  </si>
  <si>
    <t>Sundry creditors/ CPO Payable</t>
  </si>
  <si>
    <t>ATM cards &amp; PIN mailers were not delivered to the respective account holders/ customers for a long period of time as presented below. 730 Card &amp; 638PIN</t>
  </si>
  <si>
    <t>Total No.of cases</t>
  </si>
  <si>
    <t>No. of zero</t>
  </si>
  <si>
    <t>Salo Gora</t>
  </si>
  <si>
    <t>South</t>
  </si>
  <si>
    <t>Sick Leave</t>
  </si>
  <si>
    <t>West District</t>
  </si>
  <si>
    <t>As of -July 31,2026</t>
  </si>
  <si>
    <t>SN</t>
  </si>
  <si>
    <t xml:space="preserve">ATM          </t>
  </si>
  <si>
    <t xml:space="preserve">It </t>
  </si>
  <si>
    <t>Inactive/Dormant</t>
  </si>
  <si>
    <t>Ck book stock</t>
  </si>
  <si>
    <t>Other Cases</t>
  </si>
  <si>
    <t>Posting date</t>
  </si>
  <si>
    <t>Long outstanding</t>
  </si>
  <si>
    <t>Abdi Nono</t>
  </si>
  <si>
    <t>West</t>
  </si>
  <si>
    <t>Transfer  from Tulu Jemo branch on date of 23/09/2025 w/ro Birhane Mekonnen accont number 7000018128147 until uncollected loan</t>
  </si>
  <si>
    <t xml:space="preserve">ATM cards &amp; PIN mailers were not delivered to the respective account holders/ customers for a long period of time as presented below.ATM 90 PIN 28 </t>
  </si>
  <si>
    <t>Mismatch of ATM and PIN</t>
  </si>
  <si>
    <t>Ambo</t>
  </si>
  <si>
    <t>Difference observed on ATM cash balance.(The physical cash count252,350 balance of ATM  have shown a difference of Birr 1,050 compared with the general ledger balance 253,400)</t>
  </si>
  <si>
    <t>Sundry debtors (Gemechu Defar ,date   09/04/2019EX staff fraud case)</t>
  </si>
  <si>
    <t>Loan under loss category  Abebe Melese EX staff Emergancy loan</t>
  </si>
  <si>
    <t xml:space="preserve">managerial swivel chair 1/2 lather tag number NIB/AMBOB/01/016 </t>
  </si>
  <si>
    <t xml:space="preserve"> Cleriical swivel chair tag nuber AMBOOB/01/018</t>
  </si>
  <si>
    <t>ATM cards &amp; PIN mailers were not delivered to the respective account holders/ customers for a long period of time as presented below.(ATM carde 229 &amp; PIN 119</t>
  </si>
  <si>
    <t>Alem Bank Tro</t>
  </si>
  <si>
    <t>Catch all asset &amp; liabilty</t>
  </si>
  <si>
    <t>MUSTEFA ABDELLA SHIFA STATUS SUB ARR-DAYS 160 EX staff Emergency loan</t>
  </si>
  <si>
    <t>ATM cards &amp; PIN mailers were not delivered to the respective account holders/ customers for a long period of time as presented below.ATM 123 PIN 22</t>
  </si>
  <si>
    <t>Addisu Mikael</t>
  </si>
  <si>
    <t>Cash in teller showed on GL but the cash is not found in our vault</t>
  </si>
  <si>
    <t>Difference observed on ATM cash balance.(The physical cash count 283,800 balance of ATM  have shown a difference of Birr 67,631.93 compared with the general ledger balance 216,168.07)</t>
  </si>
  <si>
    <t>ATM cards &amp; PIN mailers were not delivered to the respective account holders/ customers for a long period of time as presented below.(ATM card 264 &amp; PIN 234)</t>
  </si>
  <si>
    <t>Adarash</t>
  </si>
  <si>
    <t xml:space="preserve">Accrued interest on gov.t bond &amp; dep </t>
  </si>
  <si>
    <t>yared nibret Loss status</t>
  </si>
  <si>
    <t>ATM cards &amp; PIN mailers were not delivered to the respective account holders/ customers for a long period of time as presented below.ATM 747 PIN 373</t>
  </si>
  <si>
    <t>Abinet Adebabay</t>
  </si>
  <si>
    <t>ATM cards &amp; PIN mailers were not delivered to the respective account holders/ customers for a long period of time as presented below.(ATM carde 1289 &amp; PIN 1272</t>
  </si>
  <si>
    <t>Asfa Wossen</t>
  </si>
  <si>
    <t>Difference observed on ATM cash balance.(The physical cash count 177,500 balance of ATM  have shown a difference of Birr 41,600 compared with the general ledger balance 219,100)</t>
  </si>
  <si>
    <t>ATM cards &amp; PIN mailers were not delivered to the respective account holders/ customers for a long period of time as presented below.(ATM card 787 &amp; PIN 866</t>
  </si>
  <si>
    <t xml:space="preserve"> TRANSFER Without signature from acc. No. 124IFW541 GIZEALEW HABTE  TO 700029265408OF DENCHIZA NERI</t>
  </si>
  <si>
    <t xml:space="preserve"> CPO Without signature from acc. No. 124CUR169 THREE H-FOME TRADING PLCTO ETHIOPNA SHIPPING LINSE</t>
  </si>
  <si>
    <t>Alert</t>
  </si>
  <si>
    <t>Difference observed on ATM cash balance.(The physical cash count 138,900 balance of ATM  have shown a difference of Birr 63,190.06 compared with the general ledger balance 75,709.94)</t>
  </si>
  <si>
    <t>Catch allun assigned PL</t>
  </si>
  <si>
    <t>ATM cards &amp; PIN mailers were not delivered to the respective account holders/ customers for a long period of time as presented below.(ATM card 314 &amp; PIN 85</t>
  </si>
  <si>
    <t>Anfo</t>
  </si>
  <si>
    <t>Difference observed on ATM cash balance.(The physical cash count balance of ATM  have shown 210,400 a difference of Birr 40,886.81 compared with the general ledger balance 169,513.19)</t>
  </si>
  <si>
    <t>Inter branch Account Legacy</t>
  </si>
  <si>
    <t>Catch All-Un assigned PL</t>
  </si>
  <si>
    <t>dis functioanl Fax machine Found at branch</t>
  </si>
  <si>
    <t>dis functioanl Olympia calculators Found at branch</t>
  </si>
  <si>
    <t>ATM cards &amp; PIN mailers were not delivered to the respective account holders/ customers for a long period of time as presented below.(ATM card 350 &amp; PIN 233</t>
  </si>
  <si>
    <t xml:space="preserve">Abinet   </t>
  </si>
  <si>
    <t>Difference observed on ATM cash balance 261,700.(The physical cash count balance of ATM  have shown a difference of Birr  190,651 compared with the general ledger balance  (-452,351.10)</t>
  </si>
  <si>
    <t xml:space="preserve">legal case  of Ato Gtahun Arefayne  </t>
  </si>
  <si>
    <t xml:space="preserve">
130,853.34 intrest &amp; 6,781.78 sales income tax collected  from saving account of Tewodros  Tamiru Kassadue to court case
5,145.96  blocking CK kept  until further investigation 
</t>
  </si>
  <si>
    <t xml:space="preserve"> The branch doesn't have  female assessor</t>
  </si>
  <si>
    <t>ATM cards &amp; PIN mailers were not delivered to the respective account holders/ customers for a long period of time as presented below.(ATM card 8 &amp; PIN 22</t>
  </si>
  <si>
    <t>Addis Ketema</t>
  </si>
  <si>
    <t>ATM cards &amp; PIN mailers were not delivered to the respective account holders/ customers for a long period of time as presented below.(ATM card 295 &amp; PIN 268)</t>
  </si>
  <si>
    <t xml:space="preserve">Alem Bank  </t>
  </si>
  <si>
    <t>The ATM balance shown on  the general ledger is 291,741.50 but our ATM machine is transfer to Gerji store due to branch relocation.</t>
  </si>
  <si>
    <t xml:space="preserve">EAGLE 1000 MULTY CURRENCY DETECTING MACHINE </t>
  </si>
  <si>
    <t>ATM cards &amp; PIN mailers were not delivered to the respective account holders/ customers for a long period of time as presented below.(ATM carde312 &amp; PIN 193</t>
  </si>
  <si>
    <t>make fund transfer ONE customer  signiture WRONG ACC NO. 7000100520104 NAME  KASSAHUN DEGEFU AND ASHENAFIAND DESALEGN(EQUAB) TO ACC NO. 7000113612617 NAME KASSAHUN DEGEFU TEKALIGN .</t>
  </si>
  <si>
    <t>make fund transfer ONE customer  signiture WRONG ACC NO. 7000100520104 NAME  KASSAHUN DEGEFU AND ASHENAFIAND DESALEGN(EQUAB) TO ACC NO. 7000113612617 NAME KASSAHUN DEGEFU TEKALIGN DD 10/07/2026</t>
  </si>
  <si>
    <t xml:space="preserve">make fund transfer with out customer  signiture ACC NO 7000003770996 NAME AHMEDIN SULE SHEHMOLO TRANSFER OTHER BANK CBE 1000486694304  18/07/2026 </t>
  </si>
  <si>
    <t>CASH witdrwal WRONG DATE ACC NO7000016403577 NAME LEMELEM NURGA MELKA DD 27/07/2026</t>
  </si>
  <si>
    <t>Ayer Tena</t>
  </si>
  <si>
    <t>Difference observed on ATM cash balance we count branch ATM cash  found difference. GL balace =409,757 .05 and  cash ON ATM = 646,300  ,VARIANCE=236,542.95</t>
  </si>
  <si>
    <t>Catch all -UNASSIGNED PL</t>
  </si>
  <si>
    <t>Sundry debtors (Accured  interst govt bond birr 123,689.50 ) and Ex staff solomon legal case birr 1,918.90. loan balance correction expanse birr 303.38</t>
  </si>
  <si>
    <t xml:space="preserve">ATM cards &amp; PIN mailers were not delivered to the respective account holders/ customers for a long period of time as presented below.There is 1,006ATM card AND 987 PIN mailers </t>
  </si>
  <si>
    <t>Balcha</t>
  </si>
  <si>
    <t>Difference observed on ATM cash balance.(The physical cash count balance of ATM  have shown a difference  compared with the general ledger balance . )GL 151,620.70  actual cash 218,800  difference 67,179.30</t>
  </si>
  <si>
    <t xml:space="preserve">Temp Susp. Repyment Amount </t>
  </si>
  <si>
    <t xml:space="preserve">ATM cards &amp; PIN mailers were not delivered to the respective account holders/ customers for a long period of time as presented below.506 Card and 217 pin  </t>
  </si>
  <si>
    <t xml:space="preserve">Bethel </t>
  </si>
  <si>
    <t xml:space="preserve">Difference observed on ATM cash balance.(The physical cash count balance of  cash on  ATM  have shown   763,800 and  GL Cash Balance  443,843.61 a difference of Birr  319,956.39  compared with the general ledger balance </t>
  </si>
  <si>
    <t>ATM cards &amp; PIN mailers were not delivered to the respective account holders/ customers for a long period of time as presented below.27 Atm and 12 pin</t>
  </si>
  <si>
    <t>Rome Sefer</t>
  </si>
  <si>
    <r>
      <t>Difference observed on ATM cash balance.(The physical cash count balance of ATM</t>
    </r>
    <r>
      <rPr>
        <b/>
        <i/>
        <sz val="8"/>
        <color rgb="FF000000"/>
        <rFont val="Cambria"/>
        <family val="1"/>
        <scheme val="major"/>
      </rPr>
      <t xml:space="preserve"> </t>
    </r>
    <r>
      <rPr>
        <i/>
        <sz val="8"/>
        <color rgb="FF000000"/>
        <rFont val="Cambria"/>
        <family val="1"/>
        <scheme val="major"/>
      </rPr>
      <t>173,700. The general ledger balance</t>
    </r>
    <r>
      <rPr>
        <b/>
        <i/>
        <sz val="8"/>
        <color rgb="FF000000"/>
        <rFont val="Cambria"/>
        <family val="1"/>
        <scheme val="major"/>
      </rPr>
      <t xml:space="preserve"> </t>
    </r>
    <r>
      <rPr>
        <i/>
        <sz val="8"/>
        <color rgb="FF000000"/>
        <rFont val="Cambria"/>
        <family val="1"/>
        <scheme val="major"/>
      </rPr>
      <t xml:space="preserve"> 158,275.26) a difference of Birr 15,474.74 compared with the general ledger balance . )</t>
    </r>
  </si>
  <si>
    <t xml:space="preserve">      Catch All - Unassigned PL</t>
  </si>
  <si>
    <t>Dormant accounts Found at the branch.</t>
  </si>
  <si>
    <t>ATM cards  296 &amp; PIN mailers(27) were not delivered to the respective account holders/ customers for a long period of time as presented below.</t>
  </si>
  <si>
    <t>Bilal</t>
  </si>
  <si>
    <t>Difference observed on ATM cash balance.(The physical cash count balance on ATM birr 146,900 &amp; GL balance 95,852.20 difference of Birr  51,047.80  compared with the general ledger balance . )</t>
  </si>
  <si>
    <t>ATM cards  &amp; PIN mailers were not delivered to the respective account holders/ customers for a long period of time as presented below.ATM Card 224 &amp; Pin 202 mailers exist in branch that not deliverd to customer</t>
  </si>
  <si>
    <t>Burayu</t>
  </si>
  <si>
    <t>Forgid drahaum purchase  in june,2025</t>
  </si>
  <si>
    <t>2500 AED</t>
  </si>
  <si>
    <r>
      <t>Difference observed on ATM cash balance.(The physical cash count balance of ATM</t>
    </r>
    <r>
      <rPr>
        <b/>
        <i/>
        <sz val="8"/>
        <color theme="1"/>
        <rFont val="Cambria"/>
        <family val="1"/>
        <scheme val="major"/>
      </rPr>
      <t xml:space="preserve">  </t>
    </r>
    <r>
      <rPr>
        <i/>
        <sz val="8"/>
        <color theme="1"/>
        <rFont val="Cambria"/>
        <family val="1"/>
        <scheme val="major"/>
      </rPr>
      <t>59,400</t>
    </r>
    <r>
      <rPr>
        <sz val="8"/>
        <color theme="1"/>
        <rFont val="Cambria"/>
        <family val="1"/>
        <scheme val="major"/>
      </rPr>
      <t xml:space="preserve">  </t>
    </r>
    <r>
      <rPr>
        <i/>
        <sz val="8"/>
        <color theme="1"/>
        <rFont val="Cambria"/>
        <family val="1"/>
        <scheme val="major"/>
      </rPr>
      <t xml:space="preserve">And </t>
    </r>
    <r>
      <rPr>
        <sz val="8"/>
        <color theme="1"/>
        <rFont val="Cambria"/>
        <family val="1"/>
        <scheme val="major"/>
      </rPr>
      <t>GL</t>
    </r>
    <r>
      <rPr>
        <i/>
        <sz val="8"/>
        <color theme="1"/>
        <rFont val="Cambria"/>
        <family val="1"/>
        <scheme val="major"/>
      </rPr>
      <t xml:space="preserve"> balance  30,882.70have shown a difference of Birr </t>
    </r>
    <r>
      <rPr>
        <b/>
        <i/>
        <sz val="8"/>
        <color theme="1"/>
        <rFont val="Cambria"/>
        <family val="1"/>
        <scheme val="major"/>
      </rPr>
      <t xml:space="preserve"> c</t>
    </r>
    <r>
      <rPr>
        <i/>
        <sz val="8"/>
        <color theme="1"/>
        <rFont val="Cambria"/>
        <family val="1"/>
        <scheme val="major"/>
      </rPr>
      <t>ompared with the general ledger balance . )</t>
    </r>
  </si>
  <si>
    <t>ATM cards &amp; PIN mailers were not delivered to the respective account holders/ customers for a long period of time as presented below.217Atm and 239 pin</t>
  </si>
  <si>
    <t>Cinema Ras</t>
  </si>
  <si>
    <t>1,314,041.36</t>
  </si>
  <si>
    <t>8,361,592.51</t>
  </si>
  <si>
    <t>ATM cards &amp; PIN mailers were not delivered to the respective account holders/ customers for a long period of time as presented below.ATM CARD 47 &amp;32PIN</t>
  </si>
  <si>
    <t>Darmar</t>
  </si>
  <si>
    <t>Long-term unconsolidated   POS cash advance(POS Cash advance of Birr 10,500 left over in the General Ledger for a long time without being deposited)</t>
  </si>
  <si>
    <t>Difference observed on ATM cash balance.(The physical cash count balance of ATM  have shown a difference of Birr (96,632.26)  compared with the general ledger balance . ) THE Physical cash 60,000 and the general ledger balance 156,632.26</t>
  </si>
  <si>
    <t xml:space="preserve">CATCH ALL Unassigned pl </t>
  </si>
  <si>
    <t>unearned IFB financing</t>
  </si>
  <si>
    <t>Multi supiler payable</t>
  </si>
  <si>
    <t>ATM cards &amp; PIN mailers were not delivered to the respective account holders/ customers for a long period of time as presented below.ATM CARD 168 &amp;115 PIN</t>
  </si>
  <si>
    <t>D'Afrique</t>
  </si>
  <si>
    <t>Difference observed on ATM cash balance.GL BALL    660,599.54    ATM BALL  643,600 .00   DIFFERENCE  16,999.54</t>
  </si>
  <si>
    <r>
      <t xml:space="preserve"> Standared Cheque books prepared but not delivered to customers for a long period of time.</t>
    </r>
    <r>
      <rPr>
        <sz val="8"/>
        <color theme="1"/>
        <rFont val="Calibri"/>
        <family val="2"/>
        <scheme val="minor"/>
      </rPr>
      <t xml:space="preserve"> </t>
    </r>
  </si>
  <si>
    <t>Difrence in non-contingent</t>
  </si>
  <si>
    <t>ATM cards &amp; PIN mailers were not delivered to the respective account holders/ customers for a long period of time as presented below.ATM cards mailers  231 and PIN mailers  178</t>
  </si>
  <si>
    <t>Dubai Tera</t>
  </si>
  <si>
    <t>ATM cards &amp; PIN mailers were not delivered to the respective account holders/ customers for a long period of time as presented below.ATM CARDS  769 and PIN 515</t>
  </si>
  <si>
    <t>Ehil Berenda</t>
  </si>
  <si>
    <r>
      <t>Difference observed on ATM cash balance.(The physical cash count balance of  ATM  have shown</t>
    </r>
    <r>
      <rPr>
        <i/>
        <sz val="10"/>
        <color rgb="FFFF0000"/>
        <rFont val="Cambria"/>
        <family val="1"/>
        <scheme val="major"/>
      </rPr>
      <t xml:space="preserve"> </t>
    </r>
    <r>
      <rPr>
        <i/>
        <sz val="10"/>
        <color theme="1"/>
        <rFont val="Cambria"/>
        <family val="1"/>
        <scheme val="major"/>
      </rPr>
      <t>246,400‬.00</t>
    </r>
    <r>
      <rPr>
        <i/>
        <sz val="10"/>
        <color rgb="FF000000"/>
        <rFont val="Cambria"/>
        <family val="1"/>
        <scheme val="major"/>
      </rPr>
      <t xml:space="preserve"> and  GL Cash Balance </t>
    </r>
    <r>
      <rPr>
        <i/>
        <sz val="10"/>
        <color theme="1"/>
        <rFont val="Cambria"/>
        <family val="1"/>
        <scheme val="major"/>
      </rPr>
      <t>-187,311.66</t>
    </r>
    <r>
      <rPr>
        <i/>
        <sz val="10"/>
        <color rgb="FF000000"/>
        <rFont val="Cambria"/>
        <family val="1"/>
        <scheme val="major"/>
      </rPr>
      <t xml:space="preserve"> a difference of Birr </t>
    </r>
    <r>
      <rPr>
        <i/>
        <sz val="10"/>
        <color theme="1"/>
        <rFont val="Cambria"/>
        <family val="1"/>
        <scheme val="major"/>
      </rPr>
      <t xml:space="preserve">-59,089‬‬ </t>
    </r>
    <r>
      <rPr>
        <b/>
        <i/>
        <sz val="10"/>
        <color rgb="FF000000"/>
        <rFont val="Cambria"/>
        <family val="1"/>
        <scheme val="major"/>
      </rPr>
      <t xml:space="preserve"> </t>
    </r>
    <r>
      <rPr>
        <i/>
        <sz val="10"/>
        <color rgb="FF000000"/>
        <rFont val="Cambria"/>
        <family val="1"/>
        <scheme val="major"/>
      </rPr>
      <t>compared with the general ledger balance</t>
    </r>
  </si>
  <si>
    <t>59,088.34‬</t>
  </si>
  <si>
    <t>Standard cheque prepared but, not delivered to customer for long period of time , a cheque Book contains 100&amp;50 leave</t>
  </si>
  <si>
    <t>DIFRERENCE IN NON-CONTINGENT SHOWN AS ABNORMAL BALANCE</t>
  </si>
  <si>
    <t>Suspensed Interest  on NPL'S-Term Loans    (7000020835678 and 7000020833977)</t>
  </si>
  <si>
    <t>ATM cards &amp; PIN mailers were not delivered to the respective account holders/ customers for a long period of time as presented below.ATM cards mailers  631 and PIN mailers  594</t>
  </si>
  <si>
    <t>Geja Sefer</t>
  </si>
  <si>
    <t>Difference observed on ATM cash balance 164,500.00 .(The physical cash count balance of  71,236.49 ATM  have shown a difference of  compared with the general ledger balance . ) 235,736.49</t>
  </si>
  <si>
    <t>ATM cards &amp; PIN mailers were not delivered to the respective account holders/ customers for a long period of time as presented below.CARD 268 PIN 72</t>
  </si>
  <si>
    <t>Holeta</t>
  </si>
  <si>
    <r>
      <t>Difference observed on ATM cash balance.(The physical cash count balance of ATM is 58,400 have shown a difference of Birr 26,125.</t>
    </r>
    <r>
      <rPr>
        <b/>
        <i/>
        <u/>
        <sz val="10"/>
        <color rgb="FF000000"/>
        <rFont val="Cambria"/>
        <family val="1"/>
        <scheme val="major"/>
      </rPr>
      <t>41</t>
    </r>
    <r>
      <rPr>
        <i/>
        <sz val="10"/>
        <color rgb="FF000000"/>
        <rFont val="Cambria"/>
        <family val="1"/>
        <scheme val="major"/>
      </rPr>
      <t>compared with the general ledger balanceof 32,274.59)</t>
    </r>
  </si>
  <si>
    <t>catch all-Unassigned PL</t>
  </si>
  <si>
    <t>ATM cards &amp; PIN mailers were not delivered to the respective account holders/ customers for a long period of time as presented below.cards=618 and Pin=634</t>
  </si>
  <si>
    <t>Kara Kore</t>
  </si>
  <si>
    <t>Difference observed on local cash balance.(The physical cash count balance 1,170,741.48 of Vault have shown a difference of Birr 12,000 compared with 1,182,741.48  the  general ledger balance .) /GL more of Migration case &amp; Long oustanding.</t>
  </si>
  <si>
    <t>Difference observed on ATM cash balance.(The physical cash count balance of ATM 939,700 have shown a difference of Birr 136,819.60 compared with the general ledger balance 802,880.60 . )</t>
  </si>
  <si>
    <t>Sundry debtors                                                                            Difference on  Girar Branch ATM  cash with GL during merged. i.e. The  difference amount is transferred to Kara Kore Branch ETB12548 on the date of 17/04/2025.  ( GL balance: 238,760.00 &amp; ATM cash.</t>
  </si>
  <si>
    <t xml:space="preserve">Dormant/inactive accounts Found at the branch  </t>
  </si>
  <si>
    <t>ATM cards &amp; PIN mailers were not delivered to the respective account holders/ customers for a long period of time as presented below.(PIN mailers: 585 &amp; ATM Cards: 394)</t>
  </si>
  <si>
    <t>Kolfe Efoy</t>
  </si>
  <si>
    <t>Abnormal balances of ATM cash.</t>
  </si>
  <si>
    <t>Long-term unconsolidated   POS cash advance(POS Cash advance of Birr 73.36 left over in the General Ledger for a long time without being deposited)</t>
  </si>
  <si>
    <t>Difference observed on ATM cash balance 802,400.(The physical cash count balance of ATM have shown a difference of Birr 252,070 compared with the general ledger balance .[550,330)</t>
  </si>
  <si>
    <t>[5,132,836.56]</t>
  </si>
  <si>
    <t>ATM cards &amp; PIN mailers were not delivered to the respective account holders/ customers for a long period of time as presented below.
ATM cardS 853
PIN Mailers 869
Diffrence    16</t>
  </si>
  <si>
    <t>18/7/26</t>
  </si>
  <si>
    <t>FT FROM NIGUSA ABER[7000106700341]TO ALEMU HAHTA [096CUR 245] WITH OUT SIGNICHER</t>
  </si>
  <si>
    <t>10/7/26</t>
  </si>
  <si>
    <t>FT FROM ALEMU HAHTA [096CUR 245] T0 Tamirat Demisa 096SAV4609 WITH OUT SIGNICHER</t>
  </si>
  <si>
    <t>Kolfe Atena</t>
  </si>
  <si>
    <t>The ATM balance shown on  the general ledger is 13,247.22 but our ATM machine is transfer to Gerji store due to branch relocation.</t>
  </si>
  <si>
    <t xml:space="preserve"> Susp  Int on NPL'S-Term Loans</t>
  </si>
  <si>
    <t>ATM cards &amp; PIN mailers were not delivered to the respective account holders/ customers for a long period of time as presented below.no of card mailers 448 and no of pin mailers 473 dif 25</t>
  </si>
  <si>
    <t>Difference on ATM and PIN</t>
  </si>
  <si>
    <t xml:space="preserve">fund transfer whith out signiture from  tofik temuari/356sav3727 to alemu aheta/096cur245                                                           </t>
  </si>
  <si>
    <t>fund transfer whith out signiture from mikiyas wakbush/356sps42  to alemu aheta/096cur245</t>
  </si>
  <si>
    <t>rtgs  with out signiture from yidnekachew seroni/7000009115868 to hareg seroni/BOA 212348228</t>
  </si>
  <si>
    <t>Kolfe</t>
  </si>
  <si>
    <r>
      <t>Difference observed on ATM cash balance.1,085,700.00(The physical cash count balance of ATM  have shown a difference of Birr164,058</t>
    </r>
    <r>
      <rPr>
        <b/>
        <i/>
        <u/>
        <sz val="10"/>
        <rFont val="Cambria"/>
        <family val="1"/>
        <scheme val="major"/>
      </rPr>
      <t xml:space="preserve"> </t>
    </r>
    <r>
      <rPr>
        <i/>
        <sz val="10"/>
        <rFont val="Cambria"/>
        <family val="1"/>
        <scheme val="major"/>
      </rPr>
      <t>compared with the general ledger balance.</t>
    </r>
    <r>
      <rPr>
        <b/>
        <i/>
        <sz val="10"/>
        <rFont val="Cambria"/>
        <family val="1"/>
        <scheme val="major"/>
      </rPr>
      <t>921,642.42</t>
    </r>
  </si>
  <si>
    <t>164,058‬.00</t>
  </si>
  <si>
    <r>
      <t xml:space="preserve">The following account was found different b/n Legacy Inter branch Kolfe &amp; Head Office                                                                         Legacy Inter Branch Kolfe       </t>
    </r>
    <r>
      <rPr>
        <b/>
        <i/>
        <sz val="9"/>
        <color theme="1"/>
        <rFont val="Cambria"/>
        <family val="1"/>
        <scheme val="major"/>
      </rPr>
      <t xml:space="preserve">174,047,921.32                                   </t>
    </r>
    <r>
      <rPr>
        <i/>
        <sz val="9"/>
        <color theme="1"/>
        <rFont val="Cambria"/>
        <family val="1"/>
        <scheme val="major"/>
      </rPr>
      <t>Legacy Inter.Br Head office</t>
    </r>
    <r>
      <rPr>
        <b/>
        <i/>
        <sz val="9"/>
        <color theme="1"/>
        <rFont val="Cambria"/>
        <family val="1"/>
        <scheme val="major"/>
      </rPr>
      <t xml:space="preserve">               174,019,921.32                                                                                                                                        Difference 28,0000</t>
    </r>
  </si>
  <si>
    <t xml:space="preserve">Loans with arrears /NPL                                                               Hana Amareh        7000041890342                                       Etaferahu Gelaw      70000037849583    </t>
  </si>
  <si>
    <r>
      <t xml:space="preserve">Dormant accounts Found at the branch                                           In active Ratio =Totala Inactive Account  </t>
    </r>
    <r>
      <rPr>
        <b/>
        <i/>
        <sz val="9"/>
        <color theme="1"/>
        <rFont val="Cambria"/>
        <family val="1"/>
        <scheme val="major"/>
      </rPr>
      <t>2,071</t>
    </r>
    <r>
      <rPr>
        <i/>
        <sz val="9"/>
        <color theme="1"/>
        <rFont val="Cambria"/>
        <family val="1"/>
        <scheme val="major"/>
      </rPr>
      <t xml:space="preserve">/                              Total no of Account(Customer Base)  </t>
    </r>
    <r>
      <rPr>
        <b/>
        <i/>
        <sz val="9"/>
        <color theme="1"/>
        <rFont val="Cambria"/>
        <family val="1"/>
        <scheme val="major"/>
      </rPr>
      <t>24,747</t>
    </r>
    <r>
      <rPr>
        <i/>
        <sz val="9"/>
        <color theme="1"/>
        <rFont val="Cambria"/>
        <family val="1"/>
        <scheme val="major"/>
      </rPr>
      <t xml:space="preserve">                           In </t>
    </r>
    <r>
      <rPr>
        <b/>
        <i/>
        <sz val="9"/>
        <color theme="1"/>
        <rFont val="Cambria"/>
        <family val="1"/>
        <scheme val="major"/>
      </rPr>
      <t>active Ratio</t>
    </r>
    <r>
      <rPr>
        <i/>
        <sz val="9"/>
        <color theme="1"/>
        <rFont val="Cambria"/>
        <family val="1"/>
        <scheme val="major"/>
      </rPr>
      <t xml:space="preserve"> 8.37</t>
    </r>
    <r>
      <rPr>
        <b/>
        <i/>
        <sz val="9"/>
        <color theme="1"/>
        <rFont val="Cambria"/>
        <family val="1"/>
        <scheme val="major"/>
      </rPr>
      <t>%</t>
    </r>
    <r>
      <rPr>
        <i/>
        <sz val="9"/>
        <color theme="1"/>
        <rFont val="Cambria"/>
        <family val="1"/>
        <scheme val="major"/>
      </rPr>
      <t xml:space="preserve">  above Bank Standard/Grater than 5%                                                                                                     </t>
    </r>
  </si>
  <si>
    <t xml:space="preserve">ATM cards &amp; PIN mailers were not delivered to the respective account holders/ customers for a long period of time as presented below.
 Inbalance b/n ATM cards with PIN milers                                                                       ATM Crads     340                                                                                             PIN Milers       480                                                             Difference          140     </t>
  </si>
  <si>
    <t>Date Error during cash withdrawal, from Roza Temam, for acct no 7000104597136</t>
  </si>
  <si>
    <t>Account transfer without signature while transfering from act no 7000025235137,  Fikadu Namga for Ayenew Addis &amp; Abush G/Silasse  acct no 7000112520436</t>
  </si>
  <si>
    <t>RTGS transfer without signature while transfering from act no 7000060272099,  Samuel G/wold for Samuel G/wold  acct no 1000265835318</t>
  </si>
  <si>
    <t>Account transfer without signature while transfering from act no 7000018371079, Birhanu Nemani for Desalegn Fonza &amp; Birhanu Bezu &amp; Birhanu Nimane  acct no 7000107972997</t>
  </si>
  <si>
    <t>Tickets &amp; Stationery materials kept out of cash area(Vault room)</t>
  </si>
  <si>
    <t>The cash areas where issuing, sorting and warpping of cash takes place were observed to be not safe</t>
  </si>
  <si>
    <t>Kolfe Fetno</t>
  </si>
  <si>
    <t xml:space="preserve">Difference observed on ATM cash balance.(The physical cash count balance of ATM  have 592,500 shown a difference of  237,140.53 compared with the general ledger balance (355,359,47)
</t>
  </si>
  <si>
    <r>
      <t xml:space="preserve"> Sundary criditor: UNEARNED PROFIT ON IFBFINANCI</t>
    </r>
    <r>
      <rPr>
        <b/>
        <i/>
        <sz val="11"/>
        <rFont val="Cambria"/>
        <family val="1"/>
        <scheme val="major"/>
      </rPr>
      <t>N</t>
    </r>
    <r>
      <rPr>
        <i/>
        <sz val="11"/>
        <rFont val="Cambria"/>
        <family val="1"/>
        <scheme val="major"/>
      </rPr>
      <t xml:space="preserve">G </t>
    </r>
  </si>
  <si>
    <t xml:space="preserve">ATM cards &amp; PIN mailers were not delivered to the respective account holders/ customers for a long period of time as presented below.
ONLY ATM CARD 211 </t>
  </si>
  <si>
    <t>Kolfe Taiwan</t>
  </si>
  <si>
    <t>Difference observed on ATM cash balance.(The physical cash count balance of ATM  have shown 65,900     a difference of Birr 39,923.02 compared with the general ledger balance . 105,823.02)</t>
  </si>
  <si>
    <t xml:space="preserve">Total fixed asset                                                                                        </t>
  </si>
  <si>
    <t xml:space="preserve">                                   System suspense account AA</t>
  </si>
  <si>
    <t xml:space="preserve">Dormant accounts Found at the branch   </t>
  </si>
  <si>
    <t xml:space="preserve">   ON FIXED ASSET     POS COST      
- There is no POS machine at our branch , but the   price is recorded in the G/L.</t>
  </si>
  <si>
    <t xml:space="preserve">ATM cards &amp; PIN mailers were not delivered to the respective account holders/ customers for a long period of time as presented below.  ATM CARD 241 PIN 121 diference  b/n  120 CARD </t>
  </si>
  <si>
    <t>Lideta</t>
  </si>
  <si>
    <t>Difference observed on ATM cash balance 496,600 (The physical cash count balance of ATM  have shown   a difference of Birr 58,362.50 compared with the general ledger balance . (438,237.50)</t>
  </si>
  <si>
    <t>ATM cards &amp; PIN mailers were not delivered to the respective account holders/ customers for a long period of time as presented below.no of card mailers 298 and no of pin mailers 50 dif 248</t>
  </si>
  <si>
    <t>Lomi Meda</t>
  </si>
  <si>
    <t>Difference observed on ATM cash balance.(The physical cash count balance 569,000 of ATM  have shown a difference of Birr 45,942.33. compared with the general ledger balance -523,057.67. )</t>
  </si>
  <si>
    <t>EX setff ato worku meku had deliberately withdraw  money from the customer account the amount is still on Recviable account ETB 12548</t>
  </si>
  <si>
    <t>RTGS Receivable commission charge from various customers</t>
  </si>
  <si>
    <t>25/12/2020</t>
  </si>
  <si>
    <t>Sundary criditor :  AMOUNT CREDITED FOR PAYABLE ACCOUNT FROM POS ACCOUNT UNTIL THE POS DISPUTE AMOUNT IS SETTLED.</t>
  </si>
  <si>
    <t>ATM cards &amp; PIN mailers were not delivered to the respective account holders/ customers for a long period of time as presented below.ATM cards 735 PIN mailers140 Diffrence 595</t>
  </si>
  <si>
    <t>Mehal Merkato</t>
  </si>
  <si>
    <r>
      <t>Standared Cheque books prepared but not delivered to customers for a long period of time.</t>
    </r>
    <r>
      <rPr>
        <sz val="10"/>
        <color theme="1"/>
        <rFont val="Calibri"/>
        <family val="2"/>
        <scheme val="minor"/>
      </rPr>
      <t xml:space="preserve"> </t>
    </r>
  </si>
  <si>
    <t>13/04/2018</t>
  </si>
  <si>
    <t>First initial amount is 38,300 now it is decrease to 11,533.33. Umer Seid finished the payment but the two persons are not finished. Paid amount of birr 27,766.67</t>
  </si>
  <si>
    <t>Loan and Advance</t>
  </si>
  <si>
    <t>Domestic Trade and Services (DTS) of account nuber (7000017579218) Teshome G/mariam Alemu's Loan are corrupted</t>
  </si>
  <si>
    <t>Dormant accounts Found at the branch previous month 430 current month 399</t>
  </si>
  <si>
    <t>ATM cards &amp; PIN mailers were not delivered to the respective account holders/ customers for a long period of time as presented below.
ATM cards-340 PIN mailers-189 Difference-151</t>
  </si>
  <si>
    <t>Melka Gefersa</t>
  </si>
  <si>
    <t>Long-term unconsolidated   POS cash advance(POS Cash advance of Birr 300 left over in the General Ledger for a long time without being deposited)</t>
  </si>
  <si>
    <t>Difference observed on ATM cash balance 414,800.(The physical cash count balance of ATM  have shown a difference of Birr 22,087.56compared with the general ledger balance . )392,712.44</t>
  </si>
  <si>
    <t>again,the cheque of the branch was not properly record and updated the general  legder shows 5,304.34 the general legder shows 5304.34 the stock amount is 5,975 difference 670.66</t>
  </si>
  <si>
    <t xml:space="preserve">ATM cards &amp; PIN mailers were not delivered to the respective account holders/ customers for a long period of time as presented below.
ATM cards 73 &amp; PIN  126 mailers </t>
  </si>
  <si>
    <t>Militeri Tera</t>
  </si>
  <si>
    <t>Difference observed on ATM cash balance 217,700(The physical cash count balance of ATM  have shown a difference of Birr7,463.96compared with the general ledger balance 210,236.04)</t>
  </si>
  <si>
    <t>Dormant accounts Found at the branch ( inactive Accounts Our Branch no Transaction )</t>
  </si>
  <si>
    <t xml:space="preserve">ATM cards &amp; PIN mailers were not delivered to the respective account holders/ customers for a long period of time as presented below. (143 Cards And 30 Pin  Total Cared )    </t>
  </si>
  <si>
    <t>Mirab Mekato</t>
  </si>
  <si>
    <r>
      <t>STANDARD Cheque books prepared but not delivered to customers for a long period of time.</t>
    </r>
    <r>
      <rPr>
        <sz val="11"/>
        <rFont val="Calibri"/>
        <family val="2"/>
        <scheme val="minor"/>
      </rPr>
      <t xml:space="preserve"> </t>
    </r>
  </si>
  <si>
    <t>Difference observed on  tracer balance of prepaid  rent 0 zero have shown a difference of birr 158,155.87 compared with the GL balance -7,474,252.17</t>
  </si>
  <si>
    <t>IBC sight</t>
  </si>
  <si>
    <r>
      <rPr>
        <b/>
        <i/>
        <sz val="11"/>
        <color theme="1"/>
        <rFont val="Calibri"/>
        <family val="2"/>
        <scheme val="minor"/>
      </rPr>
      <t>Loan Balance correction Expence</t>
    </r>
    <r>
      <rPr>
        <i/>
        <sz val="11"/>
        <color theme="1"/>
        <rFont val="Calibri"/>
        <family val="2"/>
        <scheme val="minor"/>
      </rPr>
      <t xml:space="preserve">The Amount shown on loan balance correction expance  due to uncollected and overdue loan repayment from  Acc No 7000012424391 Ziad Temam12,876.81 </t>
    </r>
  </si>
  <si>
    <t>The loan balance correction in come hold various refound loan amount to the virous borrowers  due to diffirent loan  transaction process events</t>
  </si>
  <si>
    <r>
      <t xml:space="preserve"> The  loan status of Zewde Alemu  were turned from pass to DOU  with</t>
    </r>
    <r>
      <rPr>
        <b/>
        <sz val="11"/>
        <rFont val="Times New Roman"/>
        <family val="1"/>
      </rPr>
      <t xml:space="preserve"> 246</t>
    </r>
    <r>
      <rPr>
        <sz val="11"/>
        <rFont val="Times New Roman"/>
        <family val="1"/>
      </rPr>
      <t xml:space="preserve"> arrieers days ACC No 7000032518236 </t>
    </r>
  </si>
  <si>
    <t>Which was resulted from Monthly calculated Debit profit on overdrwal C/A of Eden Sahile (7000005888056) stared from March 01,2018 GC</t>
  </si>
  <si>
    <t>ATM cards &amp; PIN mailers were not delivered to the respective account holders/ customers for a long period of time as presented below.ATM cards      92,  PIN mailers     36,  Diffrence 58</t>
  </si>
  <si>
    <t>Fund Transferd with out Customer Signtur from Acct No 700010484426 Earbat Import  PLC to7000066910698 Amisalu Kibatu &amp; or Biruk Gebru</t>
  </si>
  <si>
    <t>Stationary Items and DailyTransaction tickets of The branch were kept in cash safe room but not in the separated room as per the banks procedure.</t>
  </si>
  <si>
    <t>Mismar Tera</t>
  </si>
  <si>
    <t>DEBELA DANU EX staff Consumer  loan status LOSS</t>
  </si>
  <si>
    <t>ATM cards &amp; PIN mailers were not delivered to the respective account holders/ customers for a long period of time as presented below.ATM CARD =350 and PIN MILLER =245, d/ce=105</t>
  </si>
  <si>
    <t>RTGS Transfer from AKAK TRADING Account of 375CUR32 to  CBE forY ESHAMBEL AYELE Account of 1000183474875</t>
  </si>
  <si>
    <t>Halal Kolfe Ef</t>
  </si>
  <si>
    <t>ATM cards &amp; PIN mailers were not delivered to the respective account holders/ customers for a long period of time as presented below.ATM cards, 665 and PIN mailers , 422 D/C ,243</t>
  </si>
  <si>
    <t xml:space="preserve">Halal Autobus </t>
  </si>
  <si>
    <t xml:space="preserve">ATM cards &amp; PIN mailers were not delivered to the respective account holders/ customers for a long period of time as presented below.ATM Card  313, PIN    17 Total difference card with PIN  </t>
  </si>
  <si>
    <t>Halal Amin</t>
  </si>
  <si>
    <t>Difference observed on ATM cash balance 191,200 (The physical cash count balance of ATM  have shown a difference of Birr  127,939.12 
 compared with the general ledger balance of birr 63806,.88 )</t>
  </si>
  <si>
    <t>ATM cards &amp; PIN mailers were not delivered to the respective account holders/ customers for a long period of time as presented below.ATM card  = 389,  pin =122, D/C =267</t>
  </si>
  <si>
    <t>Halal Emana</t>
  </si>
  <si>
    <t>Difference observed on ATM cash balance.307,500.00(The physical cash count balance of ATM  have shown a difference of Birr 5,828.87compared with the general ledger balance.301,671.13)</t>
  </si>
  <si>
    <t>Sundry creditors:RTGS RECEIVABLE</t>
  </si>
  <si>
    <t>SULETAN YESUF CONSUMER LOAN (EXPIRED)EXSTAFF HIS FIEL IS SEND TO LEGAL ACCTT7000035844096</t>
  </si>
  <si>
    <t>SULETAN YESUF EMERGENCYLOAN (EXPIRED)EXSTAFF HIS FIEL IS SEND TO LEGAL ACCT7000034823028</t>
  </si>
  <si>
    <t>Dormant accounts Found at the branch (IN ACETIVE ACCOUNT)</t>
  </si>
  <si>
    <t>ATM cards &amp; PIN mailers were not delivered to the respective account holders/ customers for a long period of time as presented below.ATM cards(242) and PIN mailers (153) Diffrence  (90)</t>
  </si>
  <si>
    <t>Halal Nur Mesgid</t>
  </si>
  <si>
    <t>200USD</t>
  </si>
  <si>
    <t>Difference observed on ATM cash balance.66,800(The physical cash count balance of ATM  have shown a difference of Birr 36,623.81 compared with the general ledger balance . 103,423.81)</t>
  </si>
  <si>
    <t>Sundry creditors: unearned IFB financing</t>
  </si>
  <si>
    <t>ATM cards &amp; PIN mailers were not delivered to the respective account holders/ customers for a long period of time as presented below.ATM CARD=171 and PIN MILER=172,  difference =1</t>
  </si>
  <si>
    <t>Halal Taqwa</t>
  </si>
  <si>
    <t xml:space="preserve">Difference observed on ATM cash balance.99,500(The physical cash count balance of ATM  have shown a difference of Birr 36,618.96  compared with the general ledger balance  136,118.96 </t>
  </si>
  <si>
    <t>Total fixed asset GLBALANCE 1,895,515 AND 1,260,357.46 on handfixed asset</t>
  </si>
  <si>
    <t>Zero  (0.00)  Account Found at branch from JULY</t>
  </si>
  <si>
    <t>ATM cards &amp; PIN mailers were not delivered to the respective account holders/ customers for a long period of time as presented below.ATM CARD =492 ,PIN =302 d/ce=190</t>
  </si>
  <si>
    <t>GREEN power generator 15kva s/n;2FA0 retern to gergi store but GL  record some amount</t>
  </si>
  <si>
    <t>POS retern to digital banking departement but  GL  record some amount</t>
  </si>
  <si>
    <t>Raguel</t>
  </si>
  <si>
    <t xml:space="preserve">Difference observed on ATM cash balance.104,600(The physical cash count balance of ATM  have shown a difference of Birr 67,410.54    compared with the general ledger balance . 37,189.46)
</t>
  </si>
  <si>
    <t xml:space="preserve"> Standardized Cheque books prepared but not delivered to customers for a long period of tim</t>
  </si>
  <si>
    <t>-2,769,836,871.00</t>
  </si>
  <si>
    <t>catch all - unassigned PL</t>
  </si>
  <si>
    <t>Differnce in non contingent</t>
  </si>
  <si>
    <t>102.50</t>
  </si>
  <si>
    <t>17/08/2013</t>
  </si>
  <si>
    <t xml:space="preserve">TT have been kept  on suspense account for a long period of time due to
 absence of credit summary for its settlement  (Remitting transaction through at jijiga by the order Alsa Rufa &amp; Receiving Branch Raguel favoring Tesfu Berkani.  </t>
  </si>
  <si>
    <t xml:space="preserve">Borrower Gebeyhu Mandefro  settle it loan amount 890,913.82  its acquired his property
 heal as collateral at  book value of 870,000 and to not full cover its loan amount 20,913.82 kept under receivable.   </t>
  </si>
  <si>
    <t>30/05/13</t>
  </si>
  <si>
    <t>Outstanding balance in excess of the value of the collateral estimated by our engineer and kept under receivable account until repay by the borrower /Tesfahiwot Brihan/      dd on 30/05/2013</t>
  </si>
  <si>
    <t xml:space="preserve">Debitd internal account sundry debiter miscellaneous and credited Desalegn G/Michael  
 CUR account no. 918 as per domestic banking letter issued on 13/01/2009 E.C  double payment 
 made to  Ethiopian shipping line on 22/10/14 &amp; 08/11/14 
and adjustment  requsted from information
technology department. However the case is not solved until now. 
 </t>
  </si>
  <si>
    <t>26/12/2017</t>
  </si>
  <si>
    <t xml:space="preserve">Uncollected backdate interest of our customer Gebeyehu mandefro. </t>
  </si>
  <si>
    <t>30/05/2022</t>
  </si>
  <si>
    <t xml:space="preserve">Renewal Insurance premium of Abiy Tadesse paid to global insurance. </t>
  </si>
  <si>
    <t>Dormant accounts Found at the branch</t>
  </si>
  <si>
    <t xml:space="preserve">ATM cards &amp; PIN mailers were not delivered to the respective account holders/ customers for a long period of time as presented below.                                                        ATM card  = 806    
Pin Mailer = 291 </t>
  </si>
  <si>
    <t>Branches</t>
  </si>
  <si>
    <t>West AA</t>
  </si>
  <si>
    <t>Un-rectified</t>
  </si>
  <si>
    <t>No. of zero balance account</t>
  </si>
  <si>
    <t>No. of  inactive balance account</t>
  </si>
  <si>
    <t xml:space="preserve">Others Case </t>
  </si>
  <si>
    <t>Asko</t>
  </si>
  <si>
    <t>Name of Departments/NAAD</t>
  </si>
  <si>
    <t>As of JULY  31 2026 month report</t>
  </si>
  <si>
    <t>as of march 31,2025</t>
  </si>
  <si>
    <t xml:space="preserve">Branch </t>
  </si>
  <si>
    <t>Types of irregularities</t>
  </si>
  <si>
    <t>Transaction Date</t>
  </si>
  <si>
    <t>CK Book stock</t>
  </si>
  <si>
    <t xml:space="preserve">Debre Tabor </t>
  </si>
  <si>
    <t>Bahir Dar</t>
  </si>
  <si>
    <t>Various Date</t>
  </si>
  <si>
    <t>Absence of FCY License</t>
  </si>
  <si>
    <r>
      <t xml:space="preserve">Defective/Obsolete fixed assets found at the branch (note counter machine &amp; </t>
    </r>
    <r>
      <rPr>
        <sz val="10"/>
        <color rgb="FFFF0000"/>
        <rFont val="Californian FB"/>
        <family val="1"/>
      </rPr>
      <t>casio calculator)</t>
    </r>
  </si>
  <si>
    <t xml:space="preserve"> ATM cards were not delivered to the respective account holders  for a long period of time</t>
  </si>
  <si>
    <t xml:space="preserve"> ATM cards and PIN Difference</t>
  </si>
  <si>
    <t>Nifas Mewucha</t>
  </si>
  <si>
    <t xml:space="preserve"> branch oppening</t>
  </si>
  <si>
    <t>Absence of FCY license</t>
  </si>
  <si>
    <t>Dormat  account</t>
  </si>
  <si>
    <t>various</t>
  </si>
  <si>
    <t xml:space="preserve"> ATM cards and pin Difernce</t>
  </si>
  <si>
    <t>our branch security guards do not have any weaponse to protect the branch from attack</t>
  </si>
  <si>
    <t>Humera</t>
  </si>
  <si>
    <t>migration date</t>
  </si>
  <si>
    <t>Varied dates</t>
  </si>
  <si>
    <t>Dec/27/2025</t>
  </si>
  <si>
    <t>Temporarey loan Repaiment</t>
  </si>
  <si>
    <t xml:space="preserve">various date </t>
  </si>
  <si>
    <t>Sundry debtors /Accrued interest receivable from different customers (19,218,683.87)
17 cases
 /Insurace renew recivabel from different customers (37,678.06)28 cases</t>
  </si>
  <si>
    <t>Ghion</t>
  </si>
  <si>
    <t xml:space="preserve"> Unauthorised Accounts Found at Branch with any roason.</t>
  </si>
  <si>
    <t>Un delivered Advanced(04741-04760),bid bond(12081-12100).preformance(05101-05120) &amp;letter of guarantee(02841-02860) at branch  with each of 1 pad(20 in number) (letter written by branch to district for maney times to deliver it but voulanter to recive at district Office).</t>
  </si>
  <si>
    <t>1/1/2023-28/02/2026</t>
  </si>
  <si>
    <t xml:space="preserve">Difference observed on ATM cash balance.(The physical cash count balance of ATM  have shown ashortage  of Birr 400 From The screen. )  </t>
  </si>
  <si>
    <t>PassBook  Registered  Is not Handled on safe way ,Erased &amp;deliver without filling of passbook number,Date  &amp;delivered by .</t>
  </si>
  <si>
    <t>Difference observed on ATM cash balance.(The physical cash count balance of ATM  have shown a difference of Birr over  compared with the general ledger balance . )  due to non dispute apperance of other bank customer ATM user.</t>
  </si>
  <si>
    <t xml:space="preserve"> LONG UNSETTLED CLAIM FOR PERDIEM &amp;TRANSPORTATION EXPENSE OF BAHIR DAR DISTRICT DIRECTOR ATO HAIMANOT YIRGA (Claim unsettled by H.O Due To orginal file not found)</t>
  </si>
  <si>
    <t>Long outstanding CPO ISSUED FOR MSA YENIGID SIRAWOCH BUSSINES GROUP 1247395</t>
  </si>
  <si>
    <t>25/05/2023</t>
  </si>
  <si>
    <t>Long outstanding ATM Cards&amp;PIN (331)With charge not collected  Found at Branch .</t>
  </si>
  <si>
    <t>Irregularities in connection with branches cash areas E.g. unsafe conditions  (broken  keys at window KG and Wooden lockers) and still too many tickets and and other files on voult areas.</t>
  </si>
  <si>
    <t>01/05/2026-30/06/2026</t>
  </si>
  <si>
    <t xml:space="preserve">Irregularities observed on transactions tickets like: - without  customer signature    FT
*ZEMENU GENET(POA:DESTA) 7000109130578   485,000.00  ON 4/4/2026 TO   7000110000745(SAHILEMIHRET) FT
</t>
  </si>
  <si>
    <t>INACTIVE ACCOUNT LIST</t>
  </si>
  <si>
    <t xml:space="preserve"> Failure to re-estimate collaterals :                                                                                       *ABEBE GETNET SHIBABAW Mortgage Loan for Staff  1,837,000.00  Granted date on 03/05/2023 
*HABTAMU AYENGEDA AZMERA Mortgage Loan for Staff 1,778,000.00 G/  Dated on 03/05/2023
</t>
  </si>
  <si>
    <t>3,615,000‬</t>
  </si>
  <si>
    <t>03/06/2026-30/06/2026</t>
  </si>
  <si>
    <t xml:space="preserve"> Unable to settle claim request  of  last years district expense by H.O finance without sufficent reason                                                                                                                  ETB 12,496.18  OUTSTANDING EXPENSE INCURRED SALARY&amp;ALLOWANCE  DISTRICT LEGAL STAFF                                                                                                                *ETB 16,575.49  OUTSTANDING EXPENSE INCURRED SALARY&amp;ALLOWANCE  OF RELEASED STAFF
</t>
  </si>
  <si>
    <t xml:space="preserve">Unjustified balance kept on profit and loss account(Catch All - Unassigned PL related to loan sector  adjestment  )                   </t>
  </si>
  <si>
    <t xml:space="preserve">Injibara </t>
  </si>
  <si>
    <t>DEC04,2025 
UP TO DEC23,2025</t>
  </si>
  <si>
    <t>Sundry Creditors - Misc( estimation fee)</t>
  </si>
  <si>
    <t>Account Rec.Miscellaneous(RTGS Transfer Payable)</t>
  </si>
  <si>
    <t>ATM Cash balance(difference)</t>
  </si>
  <si>
    <t>7,861.51‬</t>
  </si>
  <si>
    <t xml:space="preserve">Loan Balance CorrectionExpense </t>
  </si>
  <si>
    <t xml:space="preserve"> ATM cards  were not delivered to the respective account holders  for a long period of time</t>
  </si>
  <si>
    <t xml:space="preserve">D/Markos </t>
  </si>
  <si>
    <t xml:space="preserve">Difference observed on ATM cash balance  with the general ledger balance . </t>
  </si>
  <si>
    <t>16/10/2021</t>
  </si>
  <si>
    <t>Difference In non contingent</t>
  </si>
  <si>
    <t>24/11/2025</t>
  </si>
  <si>
    <r>
      <t>zero balance</t>
    </r>
    <r>
      <rPr>
        <b/>
        <sz val="8"/>
        <color rgb="FFFF0000"/>
        <rFont val="Trebuchet MS"/>
        <family val="2"/>
      </rPr>
      <t>(7000107440068)D/Markos City Edir Council Charity)</t>
    </r>
  </si>
  <si>
    <t>Defective/obsolete fixed assets found at the branch(THINCLLENTBWITH MONITORS/N-CZC5120G5Z,TELLER STOOL,2(GUEST CHAIR 4 LEGS)</t>
  </si>
  <si>
    <t xml:space="preserve"> ATM cards   were not delivered to the respective account holders  for a long period of time(427)CARD (250) PIN</t>
  </si>
  <si>
    <t>Fund Transfer From account No 7000066141883 (Belsty Tilaye) With out signature Of Birr 350,000</t>
  </si>
  <si>
    <t xml:space="preserve">YESHAMBEL MENGESHA LIYIH(7000105799859 OR SPS 103) DOCUMENTS, POA Do not  Authenticated And This POA NOT Allowed for account oppening
</t>
  </si>
  <si>
    <t xml:space="preserve">Passbook no 2384074   2384080   not register on account registration book </t>
  </si>
  <si>
    <t xml:space="preserve">Difference observed on ATM cash balance.  with the general ledger balance . </t>
  </si>
  <si>
    <t>Cheque books prepared but not delivered to customers for a long period of time.</t>
  </si>
  <si>
    <t>System suspense  AA</t>
  </si>
  <si>
    <t>catch allassets and liability</t>
  </si>
  <si>
    <t xml:space="preserve"> RTGS SERVICE CHARGE  RTGS SERVICE CHARGE WHICH WILL Not COLLECTED FROM 50 CUSTOMER</t>
  </si>
  <si>
    <t xml:space="preserve"> FUEL EXP FOR OUR BRANCH CAR WHICH WILL CL LAIMED TO DIFFERENT BRANCH</t>
  </si>
  <si>
    <t>GAS OIL EXPANSE FOR ENGINER YONAS WHICH WILL BECOLLECTED FROM YOHANNES GETNET</t>
  </si>
  <si>
    <t xml:space="preserve"> GAS OIL EXPANSE FOR ENGINER YONAS WHICH WILL BECOLLECTED FROM ALEMENH FENTAHUN</t>
  </si>
  <si>
    <t xml:space="preserve">   GAS OIL EXP FOR ENGINER YONAS WHICH WILL BE COLLECTED FROM WORKIE KINDYE</t>
  </si>
  <si>
    <t>24/02/2026</t>
  </si>
  <si>
    <t>(ACCOUNT CLOSER OF YESHIWAS NIBERTU BY THE ORDER OF NBE )</t>
  </si>
  <si>
    <t>21/01/2026</t>
  </si>
  <si>
    <t>(ACCOUNT CLOSER OF Abirham Ademasu  BY THE ORDER OF NBE )</t>
  </si>
  <si>
    <t>21/01/2025</t>
  </si>
  <si>
    <t>( ACCOUNT CLOSER OF MIGANAW CHEKOL BY THE ORDER OF NBE)</t>
  </si>
  <si>
    <t>24/12/2024</t>
  </si>
  <si>
    <t>(ACCONUT  CLOSER OF HAILE MELAK BY THE ORDER OF NBE)</t>
  </si>
  <si>
    <t>( ACCOUNT CLOSER OF HAILE MELAK AND KOKEB MEKETE BY THE ORDER OF NBE)</t>
  </si>
  <si>
    <t>17/10/2024</t>
  </si>
  <si>
    <t>(ACCOUNT CLOSER OF ALEMSEFED KASSAHUN BY THE ORDER OF NBE)</t>
  </si>
  <si>
    <t>ACCOUNT CLOSER OF MESERET TESFAHUN BY THE ORDER OF NBE)</t>
  </si>
  <si>
    <t>(AMOUNT KEEPT FOR COURPTED LOAN BY THE TADESSE YIMAM)</t>
  </si>
  <si>
    <t>20/12/2023</t>
  </si>
  <si>
    <t xml:space="preserve">Long outstanding CPO ISSUED </t>
  </si>
  <si>
    <t>Finote Selam</t>
  </si>
  <si>
    <t>from branch oppening</t>
  </si>
  <si>
    <t>Absence of fixed assets source document.</t>
  </si>
  <si>
    <t>Absence of Accepted For Deposit pending Stamp.</t>
  </si>
  <si>
    <t xml:space="preserve">Sundry creditors  (Vat collected from Branch Building Owner) </t>
  </si>
  <si>
    <t>Defective/obsolete fixed assets found at the branch(note counting machin teller Type)</t>
  </si>
  <si>
    <t>One of the strong room(cash room) key is not functional.so the cash room is opend by the managers single key.not Jointly with the BBM.</t>
  </si>
  <si>
    <t xml:space="preserve">Wereta </t>
  </si>
  <si>
    <t>various days</t>
  </si>
  <si>
    <t>Difference observed on ATM cash balance.(The physical cash count balance of ATM  have shown a difference of Birr22,200compared with the general ledger balance . )</t>
  </si>
  <si>
    <t>occured in system migrationT24R10 to T4R20</t>
  </si>
  <si>
    <t>Cash stamps and branch crossing are dameged needs change</t>
  </si>
  <si>
    <t>380 post no debit(17) accounts are found at the branch</t>
  </si>
  <si>
    <t>Total cash in vault is greater than the allowed cash  holding limit of the bracnh</t>
  </si>
  <si>
    <t>unoun</t>
  </si>
  <si>
    <t>Atm shelters  found at the  branch which is idle because of its huge size</t>
  </si>
  <si>
    <t>Long outstanding ATM Cards</t>
  </si>
  <si>
    <t>ATM cards and pin Diference</t>
  </si>
  <si>
    <t>VARIOUS DATE</t>
  </si>
  <si>
    <r>
      <t>Anonyemus ATM cards registored  on customer name but not charged from their  personal account.PAN number 9568052263654937 . And  PAN N</t>
    </r>
    <r>
      <rPr>
        <u val="singleAccounting"/>
        <sz val="8"/>
        <color rgb="FF000000"/>
        <rFont val="Cambria"/>
        <family val="1"/>
        <scheme val="major"/>
      </rPr>
      <t>o</t>
    </r>
    <r>
      <rPr>
        <sz val="8"/>
        <color rgb="FF000000"/>
        <rFont val="Cambria"/>
        <family val="1"/>
        <scheme val="major"/>
      </rPr>
      <t xml:space="preserve"> 9568053467775734 card is present but not found in spx system.</t>
    </r>
  </si>
  <si>
    <t>GL line 9900  Catch All - Unassigned PL shows one birr</t>
  </si>
  <si>
    <t>Defective/obsolete fixed assets found at the branch  copy machine (1), plus to that passbook printers(tally5040 ) not functional (2)</t>
  </si>
  <si>
    <t xml:space="preserve"> unable to hold birr 100 as a petty cash. </t>
  </si>
  <si>
    <t>from  branch oppening</t>
  </si>
  <si>
    <t>B/ Dar Adet Tera</t>
  </si>
  <si>
    <t>VARIOUS</t>
  </si>
  <si>
    <t>17/05/2024</t>
  </si>
  <si>
    <t>ATM cards &amp; PIN mailers were not delivered to the respective account holders/ customers for a long period of time with VAT.</t>
  </si>
  <si>
    <t xml:space="preserve"> Longoutstanding pin </t>
  </si>
  <si>
    <t>Anonyemus ATM cards Difference with VAT.</t>
  </si>
  <si>
    <t>ATM CARD has been created on the system ,But the customer does not sign on  the ATM card registor book and the commission  with VAT is not collected from the customers account.</t>
  </si>
  <si>
    <t>17/05/2025</t>
  </si>
  <si>
    <t xml:space="preserve">Loan Arrears  for  ex staff ato Chekol Addis </t>
  </si>
  <si>
    <t xml:space="preserve">FT Made  WITH OUT CUS SIGNITURE </t>
  </si>
  <si>
    <t xml:space="preserve">Cash WITHDRAWAL WITH OUT CUS SIGNITURE </t>
  </si>
  <si>
    <t xml:space="preserve">RTGS  Made  WITH OUT CUS SIGNITURE </t>
  </si>
  <si>
    <t>INACTIVE ACCOUNT</t>
  </si>
  <si>
    <t>An account opened without orgional customers signiture.(The customer was in a remote  location, so the  signiture is sent by outlook and the account was opened.orgional signiture occurred on the other branch.(ATO FENTAHUN GETNET 357SAV8705)</t>
  </si>
  <si>
    <t xml:space="preserve">6/8/2026         and 15/07/2026 </t>
  </si>
  <si>
    <t>Ato Biruhken Tadesse and Genet Simeneh not signed on certeficat of fixed time deposit.</t>
  </si>
  <si>
    <t>20/06/2026</t>
  </si>
  <si>
    <t>Stationary and printing expense with out  receipt(cash sales voucher).</t>
  </si>
  <si>
    <t>Ziro balance account DR ABIYU SPECIALITY DENTAL CLINIC.(7000115413223).</t>
  </si>
  <si>
    <t xml:space="preserve">Passbook no 2223829 not register on account registration book. </t>
  </si>
  <si>
    <t>B/DAR GEBEYA</t>
  </si>
  <si>
    <t>July 10,2026</t>
  </si>
  <si>
    <r>
      <t xml:space="preserve">Sundery expense (PL62065) </t>
    </r>
    <r>
      <rPr>
        <sz val="8"/>
        <rFont val="Cambria"/>
        <family val="1"/>
        <scheme val="major"/>
      </rPr>
      <t xml:space="preserve"> late payment of income tax penality</t>
    </r>
  </si>
  <si>
    <t>July 30,2026</t>
  </si>
  <si>
    <r>
      <t xml:space="preserve"> Transportation expense (PL62044)     </t>
    </r>
    <r>
      <rPr>
        <sz val="8"/>
        <rFont val="Cambria"/>
        <family val="1"/>
        <scheme val="major"/>
      </rPr>
      <t>stationary transportation  expense  with out supportive document</t>
    </r>
  </si>
  <si>
    <t>July 03,2026</t>
  </si>
  <si>
    <r>
      <t xml:space="preserve">Stationary expense (PL62041)  </t>
    </r>
    <r>
      <rPr>
        <sz val="8"/>
        <rFont val="Cambria"/>
        <family val="1"/>
        <scheme val="major"/>
      </rPr>
      <t>purchase of rubber band with out  supportive</t>
    </r>
    <r>
      <rPr>
        <sz val="8"/>
        <color rgb="FFFF0000"/>
        <rFont val="Cambria"/>
        <family val="1"/>
        <scheme val="major"/>
      </rPr>
      <t xml:space="preserve"> </t>
    </r>
    <r>
      <rPr>
        <sz val="8"/>
        <rFont val="Cambria"/>
        <family val="1"/>
        <scheme val="major"/>
      </rPr>
      <t xml:space="preserve">document </t>
    </r>
    <r>
      <rPr>
        <sz val="8"/>
        <color rgb="FFFF0000"/>
        <rFont val="Cambria"/>
        <family val="1"/>
        <scheme val="major"/>
      </rPr>
      <t xml:space="preserve">. </t>
    </r>
  </si>
  <si>
    <t>Jan 01 2022</t>
  </si>
  <si>
    <t xml:space="preserve">un delivered Normal  Cheque book                             </t>
  </si>
  <si>
    <t xml:space="preserve">various day </t>
  </si>
  <si>
    <t>Dormant account found at the branch</t>
  </si>
  <si>
    <t xml:space="preserve">one birr  balance found at the branch </t>
  </si>
  <si>
    <t>oct 30/2024</t>
  </si>
  <si>
    <t>Medium printer Ecosy2040,</t>
  </si>
  <si>
    <t>passbook printer sp40</t>
  </si>
  <si>
    <t>Thinclint computer</t>
  </si>
  <si>
    <t>kama kva Generator s/n KDE 8500T3T160900048</t>
  </si>
  <si>
    <t>olympia calculator cpd 5212</t>
  </si>
  <si>
    <t xml:space="preserve">  Desk top calculator  casio</t>
  </si>
  <si>
    <t xml:space="preserve">note counting machine  8650  </t>
  </si>
  <si>
    <t xml:space="preserve">at d/t time </t>
  </si>
  <si>
    <t>July 22/2026</t>
  </si>
  <si>
    <t xml:space="preserve">Fund transfere from Tagegnehu Yalew to Abraham Kindu with out customer signature </t>
  </si>
  <si>
    <t xml:space="preserve">there is cash withdrawal   from and Account of mesafint yerega and Beza Alem  but, cash is  withdrawal only by the signature of  mesafint yerega instead of Jointly </t>
  </si>
  <si>
    <t>D/m/gebeya</t>
  </si>
  <si>
    <t xml:space="preserve">Sundry creditors: The amount kept without any source document </t>
  </si>
  <si>
    <t>D/M GEBEYA</t>
  </si>
  <si>
    <t>There is Defective/obsolete fixed assets found at the branch. photo copy machine sharp  and  fax machine.</t>
  </si>
  <si>
    <t xml:space="preserve"> ATM cards AND pins  were not delivered to the respective account holders  for a long period of time</t>
  </si>
  <si>
    <t>Dangila</t>
  </si>
  <si>
    <t>Excess cash holding beyond Branch Limit</t>
  </si>
  <si>
    <t xml:space="preserve">Difference observed on ATM cash balance(shortage) with the general ledger balance . </t>
  </si>
  <si>
    <t>Migration</t>
  </si>
  <si>
    <t>Catchall Unassigned PL</t>
  </si>
  <si>
    <t>various date</t>
  </si>
  <si>
    <t>Various date</t>
  </si>
  <si>
    <t xml:space="preserve"> ATM cards and pin Difference</t>
  </si>
  <si>
    <t xml:space="preserve">B/ DAR Tana </t>
  </si>
  <si>
    <t>Difference observed on ATM cash balance.(The physical cash count balance of ATM  have shown a difference of Birr    compared with the general ledger balance . )  ATM  GL -   ATM    THE PHYSICAL CASH  On our ATM Located at Branch &amp;SKY Resort</t>
  </si>
  <si>
    <t>SYSTEM MIGRATION DATE</t>
  </si>
  <si>
    <t>ATM cards &amp; PIN DIFFERENCE.</t>
  </si>
  <si>
    <t>RTGS Recivable have not collected from respective customer</t>
  </si>
  <si>
    <t>Defective/obsolete fixed assets note counting teller matchine</t>
  </si>
  <si>
    <t xml:space="preserve">Gonder </t>
  </si>
  <si>
    <t>28/07/2020</t>
  </si>
  <si>
    <t>TT RECEIVED</t>
  </si>
  <si>
    <t>loan with arrers that need right off</t>
  </si>
  <si>
    <t xml:space="preserve"> ATM cards   were not delivered to the respective account holders  for a long period of time</t>
  </si>
  <si>
    <t xml:space="preserve">Fasilo </t>
  </si>
  <si>
    <t>VARIOUSE DATE</t>
  </si>
  <si>
    <t xml:space="preserve">ACCOUNT OPENED WITH ZERO BALANCE </t>
  </si>
  <si>
    <t>Catch all - unassigned PL</t>
  </si>
  <si>
    <t>Anonyemus ATM cards registored  on customer name but not charged/ISSUED/ from there personal account.</t>
  </si>
  <si>
    <t>Defective/obsolete fixed assets found at the branch ( teller type note counter machine- non functional (2),COMPUTER WITH ACC (1)</t>
  </si>
  <si>
    <t>Exp. of office &amp; other eqpment made with only invoice/factor</t>
  </si>
  <si>
    <t>Amhara Womens Association(1264301)</t>
  </si>
  <si>
    <t>21/1/2025</t>
  </si>
  <si>
    <t>Tana Subcity Admin Purchesing and F(1264307)</t>
  </si>
  <si>
    <t>RTGS Transfer without customer signature</t>
  </si>
  <si>
    <t xml:space="preserve">FT Made  WITH OUT CUSTOMER SIGNITURE </t>
  </si>
  <si>
    <t xml:space="preserve">Cash WITHDRAWAL WITH OUT CUSTOMER SIGNITURE </t>
  </si>
  <si>
    <t>cash withdrawal with only two signature instade of three signature</t>
  </si>
  <si>
    <t xml:space="preserve">Abay Mado </t>
  </si>
  <si>
    <t>ATM cards  were not delivered to the respective account holders/ customers for a long period of time as presented below.</t>
  </si>
  <si>
    <t>ATM CARD &amp; PIN DIFERENCE</t>
  </si>
  <si>
    <t xml:space="preserve">Motta </t>
  </si>
  <si>
    <t>G/maraki</t>
  </si>
  <si>
    <t>varous days</t>
  </si>
  <si>
    <t>Nib Halal Remedan</t>
  </si>
  <si>
    <t>DORMANT  ACCOUNT IN BRANCH</t>
  </si>
  <si>
    <t>Security Condition of the branch the branch have no gun</t>
  </si>
  <si>
    <t>Merwi</t>
  </si>
  <si>
    <t>before two days</t>
  </si>
  <si>
    <t>one of the dual keys for the Branch voult was broken and we want to getting a replacement key or techinical assistance.</t>
  </si>
  <si>
    <t>excess cash it needs to be deposited to the bank's issue account</t>
  </si>
  <si>
    <t>ATM cards and pin Difernce</t>
  </si>
  <si>
    <t xml:space="preserve">Dejen </t>
  </si>
  <si>
    <t xml:space="preserve"> PIN mailers were not delivered to the respective account holders</t>
  </si>
  <si>
    <t>Dure Bete</t>
  </si>
  <si>
    <t>Various</t>
  </si>
  <si>
    <t>Deposit Acc in pr- opening /ETB17633</t>
  </si>
  <si>
    <t>LOAN  WITH ARREARS</t>
  </si>
  <si>
    <t>Catch all  unassigned pl</t>
  </si>
  <si>
    <t>ZERO BALANCE ON CUSTOMER ACCOUNT</t>
  </si>
  <si>
    <t>BICHENA</t>
  </si>
  <si>
    <t>VARIOUS DAY</t>
  </si>
  <si>
    <t>Claims on Branch HO</t>
  </si>
  <si>
    <t>OCTO 4 2022</t>
  </si>
  <si>
    <t>MIGRATION SUSPENSE ACC</t>
  </si>
  <si>
    <t>ATM CARDS AND PIN DIFFERENCE</t>
  </si>
  <si>
    <t xml:space="preserve">Total </t>
  </si>
  <si>
    <t>Irregularities</t>
  </si>
  <si>
    <t>Case No.</t>
  </si>
  <si>
    <t>Rectification</t>
  </si>
  <si>
    <t>Metema</t>
  </si>
  <si>
    <t>B-Dar</t>
  </si>
  <si>
    <t>Hawassa District</t>
  </si>
  <si>
    <t xml:space="preserve">As of  JULY 31, 2026 </t>
  </si>
  <si>
    <t>Transaction date</t>
  </si>
  <si>
    <t>Operation Area</t>
  </si>
  <si>
    <t xml:space="preserve">Zero balance </t>
  </si>
  <si>
    <t xml:space="preserve">Dormant A/c </t>
  </si>
  <si>
    <t>Cheque Bokk case</t>
  </si>
  <si>
    <t xml:space="preserve">Other Case  </t>
  </si>
  <si>
    <t xml:space="preserve">Adola Woyu </t>
  </si>
  <si>
    <t>Hawassa</t>
  </si>
  <si>
    <t xml:space="preserve">Difference observed on ATM cash balance.(The physical cash count balance of ATM  have shown a difference of Birr    compared with the general ledger balance . )  ATM  GL -   ATM    THE PHYSICAL CASH   ---     </t>
  </si>
  <si>
    <t>WITHDRAWAL  done without cutomer signature</t>
  </si>
  <si>
    <t xml:space="preserve">Transfer done without cutomer signature </t>
  </si>
  <si>
    <t>Aleta Chuko</t>
  </si>
  <si>
    <t>GAIN on A/L Revaluation</t>
  </si>
  <si>
    <t>Mismatch Between ATM Card &amp; Pinmailers</t>
  </si>
  <si>
    <t xml:space="preserve">Cash Withdrawal done without cutomer signature </t>
  </si>
  <si>
    <t>JULY 15,17,20,23,24,26,27,28,29 2026</t>
  </si>
  <si>
    <t>Aleta Wondo</t>
  </si>
  <si>
    <t xml:space="preserve">Difference observed on ATM cash balance.(The physical cash count balance of ATM  have shown a difference of Birr    compared with the general ledger balance . )  ATM  GL -   ATM    THE PHYSICAL CASH   ---    </t>
  </si>
  <si>
    <t xml:space="preserve">Arrears inconnection With loan collection </t>
  </si>
  <si>
    <t>ATM cards &amp; PIN mailers were not delivered to the respective account holders/ customers for a long period of time as presented below. Pin 1383 card 1439</t>
  </si>
  <si>
    <t xml:space="preserve">Legacy inter branch account </t>
  </si>
  <si>
    <t>Arba Minch</t>
  </si>
  <si>
    <t>28-2-2028</t>
  </si>
  <si>
    <t xml:space="preserve">Arrears inconnection with loan collection </t>
  </si>
  <si>
    <t>28-2-2026</t>
  </si>
  <si>
    <t>28-02-2026</t>
  </si>
  <si>
    <t>21&amp;25&amp;21/7/2026</t>
  </si>
  <si>
    <t>21/7/26</t>
  </si>
  <si>
    <t xml:space="preserve">cash withdrawal done with out customer  signature  </t>
  </si>
  <si>
    <t xml:space="preserve">Sundry creditors:long outstanding inconnection with LMTS </t>
  </si>
  <si>
    <t>Arba  Minch Gebeya</t>
  </si>
  <si>
    <t>Difference observed on ATM cash balance.(The physical cash count balance of ATM 87,800 have shown a difference of Birr   56,831.61 compared with the general ledger balance OF 30,968.39</t>
  </si>
  <si>
    <t>ATM cards &amp; PIN mailers were not delivered to the respective account holders/ customers for a long period of time as presented below.ATM CARD 67 PIN MAILERS 61</t>
  </si>
  <si>
    <t xml:space="preserve">Withdrawal done without cutomer signature </t>
  </si>
  <si>
    <t>Areb Sefer</t>
  </si>
  <si>
    <t>Cpo Diffrence</t>
  </si>
  <si>
    <t>Arsi Negele</t>
  </si>
  <si>
    <t>Awasho</t>
  </si>
  <si>
    <t>Birbir</t>
  </si>
  <si>
    <t>28/06/26</t>
  </si>
  <si>
    <t>ATM cards &amp; PIN mailers were not delivered to the respective account holders/ customers for a long period of time as presented below. 542 &amp;517  ATM cards &amp; PIN mailers were not delivered to the respective account holders respectibily</t>
  </si>
  <si>
    <t>Approved account image cannot loaded to T24 system .</t>
  </si>
  <si>
    <t>26/6/26</t>
  </si>
  <si>
    <t>Bore</t>
  </si>
  <si>
    <t>ATM cards &amp; PIN mailers were not delivered to the respective account holders/ customers for a long period of time as presented below.    1011-2 =1009         (1009*50)</t>
  </si>
  <si>
    <t>Bule Hora</t>
  </si>
  <si>
    <t xml:space="preserve">Difference observed on ATM cash balance.(The physical cash count balance of ATM  have shown a difference of Birr 160,742.19   compared with the general ledger balance . )  ATM  GL -  626,857.81 ATM    THE PHYSICAL CASH   787,600    </t>
  </si>
  <si>
    <t>Bole Hora</t>
  </si>
  <si>
    <t>Daye</t>
  </si>
  <si>
    <t>ATM cards were not delivered to the respective account holders/ customers for a long period of time as presented below.</t>
  </si>
  <si>
    <t>Cash withdrawal done without customer signature &amp; stamp</t>
  </si>
  <si>
    <t>17/07/2026
21/07/2026
24/072026
30/07/2026</t>
  </si>
  <si>
    <t xml:space="preserve"> Transfer done without cutomer signature </t>
  </si>
  <si>
    <t xml:space="preserve">Dilla </t>
  </si>
  <si>
    <t xml:space="preserve">Difference observed on ATM cash balance.(The physical cash count balance of ATM  have shown a difference of Birr  compared with the general ledger balance. ) ATM  GL - ATM THE PHYSICAL CASH     </t>
  </si>
  <si>
    <t>Dilla</t>
  </si>
  <si>
    <t xml:space="preserve">Withdrawal without Customer signature </t>
  </si>
  <si>
    <t>Dilla Edget</t>
  </si>
  <si>
    <t>Gedeb</t>
  </si>
  <si>
    <t>system suspense account AA</t>
  </si>
  <si>
    <t xml:space="preserve">Difference outstanding balance inconnection acrued leave </t>
  </si>
  <si>
    <t>Gelila</t>
  </si>
  <si>
    <t xml:space="preserve">Cash withdrawal done without customer signature </t>
  </si>
  <si>
    <t>Gesuba</t>
  </si>
  <si>
    <t>A.A Blance suspense account under ETB1402200010370 for long time</t>
  </si>
  <si>
    <t>Migration suspense accounts Under ETB1460200050370 in dimand depost R10 7000026956094/7000026790641</t>
  </si>
  <si>
    <t>An error was made while writing thecustome's name on the cash withdrawal ticket</t>
  </si>
  <si>
    <t>Sundry debtors :unresponse cliam on branch and HO  incconnection with staff training kept under ETB12604 for a long period without any solution</t>
  </si>
  <si>
    <t>Harufa</t>
  </si>
  <si>
    <t xml:space="preserve">Difference observed on ATM cash balance.(The physical cash count balance of ATM  have shown a difference of Birr    compared with the general ledger balance . )  ATM  GL 2,281,058.78-   ATM    THE PHYSICAL CASH  </t>
  </si>
  <si>
    <t>12,186,371,42</t>
  </si>
  <si>
    <t>22.58</t>
  </si>
  <si>
    <t>Long-term unconsolidated   POS cash advance(POS Cash advance of Birr 93,104,00 left over in the General Ledger for a long time without being deposited)</t>
  </si>
  <si>
    <t>93,104.00</t>
  </si>
  <si>
    <t>Withdrawal done withoust customer signature</t>
  </si>
  <si>
    <t>Hawassa Atote</t>
  </si>
  <si>
    <t>‭225,461.6‬</t>
  </si>
  <si>
    <t>‭1,519,594.45‬</t>
  </si>
  <si>
    <t>Hawassa Meneharia</t>
  </si>
  <si>
    <t>Hawassa Warka</t>
  </si>
  <si>
    <t>Humbo</t>
  </si>
  <si>
    <t>Difference observed on ATM cash balance.(The physical cash count balance of ATM  have shown a difference of Birr  32,403.70  compared with the general ledger balance . )  ATM  GL -  382,296.30 ATM    THE PHYSICAL CASH  414,700</t>
  </si>
  <si>
    <t>ATM cards &amp; PIN mailers were not delivered to the respective account holders/ customers for a long period of time as presented below.card=429 pin=444</t>
  </si>
  <si>
    <t>JULY,27&amp;31 2026</t>
  </si>
  <si>
    <t>Jinka</t>
  </si>
  <si>
    <t>Negele Borena</t>
  </si>
  <si>
    <t>Oda</t>
  </si>
  <si>
    <t>Catch all -Unassined PL</t>
  </si>
  <si>
    <t>Sawula</t>
  </si>
  <si>
    <t>ATM cards &amp; PIN mailers were not delivered to the respective account holders/ customers for a long period of time as presented below. 212 &amp;152  ATM cards &amp; PIN mailers were not delivered to the respective account holders respectibily</t>
  </si>
  <si>
    <t>Fire extinguisher was taken to  repair but not returned to  the branch for last 4 months</t>
  </si>
  <si>
    <t>Mobile banking and ATM card opened /prepared without customer signiture on MOBILE BANKING AND ATM REQUEST application</t>
  </si>
  <si>
    <t>Fixed Asset Mgt</t>
  </si>
  <si>
    <t>Damaged fixed asset hold  and Used  at a branch (2 TELLER STOOL AND 4D WOODEN CABINET)</t>
  </si>
  <si>
    <t xml:space="preserve">Withdrawel done without cutomer signature </t>
  </si>
  <si>
    <t>Selamber</t>
  </si>
  <si>
    <t>uncleared effect:Long outstanding inconnection with claims</t>
  </si>
  <si>
    <t xml:space="preserve">Shakiso </t>
  </si>
  <si>
    <t xml:space="preserve">Transfer done without customer signature &amp; stamp </t>
  </si>
  <si>
    <t xml:space="preserve">WITHDRAWAL  done without cutomer signature </t>
  </si>
  <si>
    <t>2026/07/01-31</t>
  </si>
  <si>
    <t>Shashemene</t>
  </si>
  <si>
    <t>Shecha</t>
  </si>
  <si>
    <t>1/8/9/13/14/16-2026</t>
  </si>
  <si>
    <t>1/10/13/15/20-2026</t>
  </si>
  <si>
    <t>Wolayta Sodo</t>
  </si>
  <si>
    <t xml:space="preserve">  The GL account have an abnormal balance of POS cash advance </t>
  </si>
  <si>
    <t>Wolayta sodo Meneharia</t>
  </si>
  <si>
    <t>Yabelo</t>
  </si>
  <si>
    <t xml:space="preserve">under s/ creditors inconnection with office rent </t>
  </si>
  <si>
    <t>Yirgalem</t>
  </si>
  <si>
    <t xml:space="preserve">s/Debtor : Loan balance correction </t>
  </si>
  <si>
    <t>Yirgachefe</t>
  </si>
  <si>
    <t xml:space="preserve">Arrears inconnection ith loan collection </t>
  </si>
  <si>
    <t>Temp Loan repayment Account etb12504</t>
  </si>
  <si>
    <t>Account interest on gov't bond &amp; dep</t>
  </si>
  <si>
    <t>General Ledger balance held by motor vehicles that is not at at branch</t>
  </si>
  <si>
    <t>Temp Susp Repayment Ac(ETB17605)</t>
  </si>
  <si>
    <t>EXESS CASH ON BRANCH</t>
  </si>
  <si>
    <t>Account Rec.Miscellaneous-ETB12548</t>
  </si>
  <si>
    <t>Moyale</t>
  </si>
  <si>
    <t>Adare</t>
  </si>
  <si>
    <t>Alamura</t>
  </si>
  <si>
    <t>Tabor</t>
  </si>
  <si>
    <t>Nib Halal</t>
  </si>
  <si>
    <t>Controllers not assigned</t>
  </si>
  <si>
    <t>Controllers has not given access right</t>
  </si>
  <si>
    <t>As of JUly 31 2026 month report</t>
  </si>
  <si>
    <t>Adilo</t>
  </si>
  <si>
    <t>Hossaena</t>
  </si>
  <si>
    <t>ATM cards  &amp; PIN mailers ‬ were not delivered to the respective account holders/ customers for a long period of time .</t>
  </si>
  <si>
    <t>Angacha</t>
  </si>
  <si>
    <t>long autsanding on Sundry creditors-misc</t>
  </si>
  <si>
    <t>17/04/2019</t>
  </si>
  <si>
    <t>ATM cards &amp; PIN mailers  were not delivered to the respective account holders/ customers for a long period of time as presented below.</t>
  </si>
  <si>
    <t>ATM cards (1148) &amp; PIN mailers(1119) were differ</t>
  </si>
  <si>
    <t>Ansho</t>
  </si>
  <si>
    <t>13/05/25</t>
  </si>
  <si>
    <t>Perdiem&amp;Travel expence</t>
  </si>
  <si>
    <t>FT withoout custemer signature</t>
  </si>
  <si>
    <t>Areka</t>
  </si>
  <si>
    <t>2021oct01</t>
  </si>
  <si>
    <t>22,JULY,11</t>
  </si>
  <si>
    <t>abnormal teller till balance</t>
  </si>
  <si>
    <t>ATM cards  &amp; PIN mailers  were not delivered to the respective account holders/ customers for a long period of time as presented below.</t>
  </si>
  <si>
    <t>ATM cards(2333) &amp; PIN mailers(1834) were differ</t>
  </si>
  <si>
    <t xml:space="preserve">Bele </t>
  </si>
  <si>
    <t>Difference observed on ATM cash balance.(The physical cash count balance of ATM  has shown a difference of Birr  13,600.02compared with the general ledger balance . )</t>
  </si>
  <si>
    <r>
      <t>Cheque books  by the name ASHENAF ALEMAYEHU HAYLU acount NO 7000024623101(382SPS1),check type BF and check no 6225151-6225200 ,50 leaves prepared but not delivered to customers for a long period of time.</t>
    </r>
    <r>
      <rPr>
        <sz val="10"/>
        <color theme="1"/>
        <rFont val="Calibri"/>
        <family val="2"/>
        <scheme val="minor"/>
      </rPr>
      <t xml:space="preserve"> </t>
    </r>
  </si>
  <si>
    <t>deposit acount on process of oppening, long out stand accoun delayed for more than 5/7 days</t>
  </si>
  <si>
    <t>ATM cards &amp; PIN mailers were not delivered to the respective account holders/ customers for a long period of time and anyonomous not delevered to customer for for long period of time as presented below.</t>
  </si>
  <si>
    <t>ATM cards(1043) &amp; PIN mailers(621) were differ</t>
  </si>
  <si>
    <t>Cash withdrawal with out customer signiture/FT Abera Mitiku</t>
  </si>
  <si>
    <t>Boditi</t>
  </si>
  <si>
    <t>Difference observed on ATM cash balance.(The physical cash count balance of ATM  have shown a difference of Birr 41,000 compared with the general ledger balance . )</t>
  </si>
  <si>
    <t xml:space="preserve">Long outstanding on Sundry debtors </t>
  </si>
  <si>
    <t>ATM cards 639 and PIN mailers 464 were not delivered to the respective account holders/ customers for a long period of time as presented below.</t>
  </si>
  <si>
    <t>ATM cards(639) &amp; PIN mailers(464) were differ</t>
  </si>
  <si>
    <t>Fund transfer without customer signature</t>
  </si>
  <si>
    <t>Cash withdrawal without customer signature</t>
  </si>
  <si>
    <t>Dalocha</t>
  </si>
  <si>
    <t>ATM cards 352 &amp; PIN mailers 464 were not delivered to the respective account holders/ customers for a long period of time as presented below.</t>
  </si>
  <si>
    <t>ATM cards(352) &amp; PIN mailers(464) were differ</t>
  </si>
  <si>
    <t xml:space="preserve">Damboya </t>
  </si>
  <si>
    <t>ATM cards &amp; PIN mailers were not delivered to the respective account holders/ customers for a long period of time as presented below.  CARD(328) &amp; PIN(474)</t>
  </si>
  <si>
    <t>ATM cards(328) &amp; PIN mailers(474) were differ</t>
  </si>
  <si>
    <t>Doyo Gena</t>
  </si>
  <si>
    <t>Difference observed on ATM cash balance.(The physical cash count balance of ATM  have shown a difference of Birr ‬ compared with the general ledger balance . )</t>
  </si>
  <si>
    <t>Cheque book stock balance difference with its GL balance</t>
  </si>
  <si>
    <t>long outstanding of Claims on Branchs &amp; HO-ETB</t>
  </si>
  <si>
    <t>on the Miscellaneous -LCY seen without source of document</t>
  </si>
  <si>
    <t>ATM cards = 3,050 &amp; PIN mailers  3,176‬ were not delivered to the respective account holders/ customers for a long period of time .</t>
  </si>
  <si>
    <t>Fonqo</t>
  </si>
  <si>
    <t>Catch all -Unassigned PL</t>
  </si>
  <si>
    <t>Dormant accounts Found at the branch  /Inactive Accounts</t>
  </si>
  <si>
    <t>Gimbichu</t>
  </si>
  <si>
    <t>Dormant accounts/ Inactive accounts</t>
  </si>
  <si>
    <t>22 up to 26</t>
  </si>
  <si>
    <t>ATM cards 787 and PIN mailers 878 were not delivered to the respective account holders/ customers for a long period of time as presented below.</t>
  </si>
  <si>
    <t>ATM cards(787) &amp; PIN mailers(878) were differ</t>
  </si>
  <si>
    <t>H/Meneharia</t>
  </si>
  <si>
    <t xml:space="preserve"> ATM cards(3839) with respective PIN mailers(3824) on hand </t>
  </si>
  <si>
    <t>01/06/26-30/26</t>
  </si>
  <si>
    <t>FT &amp;Withdrawal pass wihtout customer signature</t>
  </si>
  <si>
    <t>H/Arada</t>
  </si>
  <si>
    <t xml:space="preserve"> 31/08/25</t>
  </si>
  <si>
    <t xml:space="preserve">Difference observed cash  position on system balance 5,665,679.51  and  GL  balance made 5,665,566.51  and have shown a difference of Birr 113 br  compared with the general ledger balance </t>
  </si>
  <si>
    <t xml:space="preserve"> 31/08/26</t>
  </si>
  <si>
    <t xml:space="preserve">ATM cards  &amp; PIN mailers  were not delivered to the respective account holders for a long period of time as presented below.  </t>
  </si>
  <si>
    <t xml:space="preserve"> ATM cards(3020) and PIN mailers(2463) were differe</t>
  </si>
  <si>
    <t>H/Gebeya</t>
  </si>
  <si>
    <t>Difference observed on ATM cash balance.(The physical cash count balance of ATM  have shown a difference of Birr 24,479.79 compared with the general ledger balance . )</t>
  </si>
  <si>
    <t>Long out standing on ATM card=4,114</t>
  </si>
  <si>
    <t>System suspense account DC</t>
  </si>
  <si>
    <t xml:space="preserve">Catch all Unassined PL </t>
  </si>
  <si>
    <r>
      <t xml:space="preserve">Long outstanding on </t>
    </r>
    <r>
      <rPr>
        <sz val="9"/>
        <color rgb="FF000000"/>
        <rFont val="Cambria"/>
        <family val="1"/>
        <scheme val="major"/>
      </rPr>
      <t>DEPOSIT ACC IN PROCESS OPENING</t>
    </r>
  </si>
  <si>
    <t xml:space="preserve">ATM cards &amp; PIN mailers were not delivered to the respective account holders/ customers for a long period of time as presented below.ATM card =3,687 PIN mailers = 3,192 </t>
  </si>
  <si>
    <t>Mismatch ATM card and pin mailer=495</t>
  </si>
  <si>
    <t xml:space="preserve">H/Gombora </t>
  </si>
  <si>
    <t>Difference observed on ATM cash balance.(The physical cash count balance of ATM  have shown a difference of Birr 295,521.25compared with the general ledger balance . )</t>
  </si>
  <si>
    <t>ATM(893)cards &amp;( 966)PIN mailers were not delivered to the respective account holders</t>
  </si>
  <si>
    <t xml:space="preserve"> ATM cards(966) with respective PIN mailers(893) on hand </t>
  </si>
  <si>
    <t>01/07/2026-31</t>
  </si>
  <si>
    <t>Cash withdrawal witho out custemer signature</t>
  </si>
  <si>
    <t xml:space="preserve">Hadero </t>
  </si>
  <si>
    <t xml:space="preserve">Difference observed on ATM cash balance as of june 30-2026.(The physical cash count balance of ATM  has shown a difference of  shortage  Birr 3000  compared with the general ledger balance .(i.e GL balance was  birr 109,000 but physical cash count was birr 106,000) </t>
  </si>
  <si>
    <t>Cash excess found on BBO Teshome Bedore 4000 birr at closing</t>
  </si>
  <si>
    <t>Amount paid to cover accrued interest  of  Ersido Erkalo(FT2230925RSF)</t>
  </si>
  <si>
    <t>2023 up to 2024</t>
  </si>
  <si>
    <t>Longoutstanding  Account Receivable  Miscellaneous-ETB12548 which would be collected from different loan customers for legal case(i.e perdiem and Transportation paid for legal officer</t>
  </si>
  <si>
    <t>18/12/2023</t>
  </si>
  <si>
    <t>Longoutstanding  Claim ETB12604 which will be collected from different loan customers  paid for insurance fee. NB, the amount wos debited from ETB14708 as 18/12/2023</t>
  </si>
  <si>
    <r>
      <rPr>
        <sz val="9"/>
        <color rgb="FF000000"/>
        <rFont val="Times New Roman"/>
        <family val="1"/>
      </rPr>
      <t xml:space="preserve">ATM cards and ATM  PIN mailers were not delivered to the </t>
    </r>
    <r>
      <rPr>
        <sz val="10"/>
        <color rgb="FF000000"/>
        <rFont val="Times New Roman"/>
        <family val="1"/>
      </rPr>
      <t>respective account holders/ customers for a long period of time as presented below.</t>
    </r>
  </si>
  <si>
    <t xml:space="preserve"> ATM cards(3585) &amp; PIN mailers(3066) differ  </t>
  </si>
  <si>
    <t>22/09/2025- 31/07/2026</t>
  </si>
  <si>
    <t xml:space="preserve">Unsigned withdrawal </t>
  </si>
  <si>
    <t>13/01/2026  31/07/2026</t>
  </si>
  <si>
    <t>Unsigned fund transfer</t>
  </si>
  <si>
    <t>Branch BBM has been controlling branch both cash safe box keys and its combination  still it is not changed.</t>
  </si>
  <si>
    <t>Nib Halal Hakika</t>
  </si>
  <si>
    <t>13/01/2025</t>
  </si>
  <si>
    <t>cash balance in general legder in Teller catch in pending for long period of time.</t>
  </si>
  <si>
    <t>26,Mar 2024</t>
  </si>
  <si>
    <t>CPO payable that too much long outstading</t>
  </si>
  <si>
    <t>Catch all-unassigned PL</t>
  </si>
  <si>
    <t>22/02/2025&amp;29/08/2025</t>
  </si>
  <si>
    <r>
      <t xml:space="preserve">Sundry creditors(ETB17633) deposit account processing which </t>
    </r>
    <r>
      <rPr>
        <sz val="9"/>
        <rFont val="Cambria"/>
        <family val="1"/>
        <scheme val="major"/>
      </rPr>
      <t xml:space="preserve">doesn't fulufill KYC  </t>
    </r>
    <r>
      <rPr>
        <sz val="9"/>
        <color rgb="FF000000"/>
        <rFont val="Cambria"/>
        <family val="1"/>
        <scheme val="major"/>
      </rPr>
      <t>requirement stayed for long period of time.</t>
    </r>
  </si>
  <si>
    <t>Inactive accounts are found these are dormant.</t>
  </si>
  <si>
    <t xml:space="preserve">ATM card  &amp;  PIN mailers were not delivered to the respective account holders/ customers for a long period of time. </t>
  </si>
  <si>
    <t xml:space="preserve"> ATM cards(1539) &amp; PIN mailers(1643) differ  </t>
  </si>
  <si>
    <t>Halaba Kulito</t>
  </si>
  <si>
    <t xml:space="preserve">keeping long outstanding on Sundry debtors Account Rec.Miscellaneous-ETB
 </t>
  </si>
  <si>
    <t>ATM cards 1728 &amp; PIN mailers 1747 were not delivered to the respective account holders/ customers for a long period of time as presented below.</t>
  </si>
  <si>
    <t xml:space="preserve"> ATM cards(1747) &amp; PIN mailers(1728) differ  </t>
  </si>
  <si>
    <t>fund transfer without customer signature</t>
  </si>
  <si>
    <t>Withdrawal Voucher without customer signature</t>
  </si>
  <si>
    <t>Homecho</t>
  </si>
  <si>
    <t>ATM cards  Pin mailers were not delivered to the respective account holders/ customers for a long period of time as presented below.</t>
  </si>
  <si>
    <t xml:space="preserve"> ATM cards(1126) &amp; PIN mailers(1072) differ  </t>
  </si>
  <si>
    <t xml:space="preserve">Hossaena </t>
  </si>
  <si>
    <t>Difference observed on ATM cash balance.(The physical cash count balance 917,000‬ of ATM  have shown a difference of Birr 77600 compared with the general ledger balance . 839,400</t>
  </si>
  <si>
    <t>18/8/2018</t>
  </si>
  <si>
    <t>Long outstanding items.TT Received</t>
  </si>
  <si>
    <t>25/06/&amp; 10/09/2021</t>
  </si>
  <si>
    <t>Long outstanding on Sundry debtors  accounts</t>
  </si>
  <si>
    <t>18/02/2025 ,  9/9 , 2/12 ,2/12 ,2/12</t>
  </si>
  <si>
    <t>On the Sundry creditors seen court    case for  a long period of time our branch when closing his loan the system</t>
  </si>
  <si>
    <t xml:space="preserve">                                                                                                                                                 </t>
  </si>
  <si>
    <t>ATM  cards &amp; PIN  mailers were not delivered to the respective account holders/ customers for a long period of time as presented below.</t>
  </si>
  <si>
    <t xml:space="preserve"> ATM cards(655) &amp; PIN mailers(252) differ  </t>
  </si>
  <si>
    <t>Nib Halal Kibet</t>
  </si>
  <si>
    <t>Green Pin ATM cards  mailers were not delivered to the respective account holders/ customers for a long period of time as presented below.</t>
  </si>
  <si>
    <t xml:space="preserve">Lera </t>
  </si>
  <si>
    <t>ATM cards 302&amp; PIN 302 mailers were not delivered to the respective account holders/ customers for a long period of time as presented below.</t>
  </si>
  <si>
    <t>Mudula</t>
  </si>
  <si>
    <t xml:space="preserve">2/22/2022 --03/08/2026 </t>
  </si>
  <si>
    <t>deposit Act in Process Opening same customer are not fule file for kyc apperovale .We have communicate the customer and taken action.Due to this case high amount of initaial depositedto process account ETB17633</t>
  </si>
  <si>
    <t xml:space="preserve">long outstanding on Sundry creditors miss </t>
  </si>
  <si>
    <t>ATM cards 1070 &amp; PIN 1084 Differanc 14 mailers were not delivered to the respective account holders/ customers for a long period of time as presented below.</t>
  </si>
  <si>
    <t xml:space="preserve"> ATM cards(1070) &amp; PIN mailers(1084) differ  </t>
  </si>
  <si>
    <t>30 -31/07/26</t>
  </si>
  <si>
    <t>30-31/07/26</t>
  </si>
  <si>
    <t xml:space="preserve">Nib Halala Hossaena </t>
  </si>
  <si>
    <t xml:space="preserve">Nib Halal Aman </t>
  </si>
  <si>
    <t>2022,08,27</t>
  </si>
  <si>
    <t>Abnormal balances concerningExpired Foreign currency find our branch</t>
  </si>
  <si>
    <t>26/03/26</t>
  </si>
  <si>
    <t>36 cheque stock pice of each price calculeted now on the store,but no teracer on file to veriyfing a  difference .36=5,550BIRR</t>
  </si>
  <si>
    <t xml:space="preserve">Book Difference, deposit acct Proccess openig (ETB17633) is diffirent  with respective teracer balance while checking with subsidairy general ledger balance is greater than ETB17633 by amount birr 9,000(because more than 500 not opend account our branch. </t>
  </si>
  <si>
    <t>The sunder creditors of accured leave no tracer on kante to d/f b/n and gl balance</t>
  </si>
  <si>
    <t>ATM cards &amp; PIN mailers were not delivered to the respective account holders/ customers for a long period of time1,116 old ATM and 474 anyonomous ATM not delevered to customer for for long period of time as presented below.both ATM card =1,590and PIN mailers =1,401 the d/ces is =189</t>
  </si>
  <si>
    <t xml:space="preserve"> ATM cards(1590) &amp; PIN mailers(1401) differ  </t>
  </si>
  <si>
    <t xml:space="preserve">Without custemer signture fund transfer Tegegn Matiwos &amp;  Abdirzake Mohammed </t>
  </si>
  <si>
    <t xml:space="preserve">Sankura </t>
  </si>
  <si>
    <t>Difference observed on ATM cash balance.(The physical cash count balance 44,900,of ATM  have shown a difference of Birr 31,000,compared with the general ledger balance 13,941.13)</t>
  </si>
  <si>
    <t>1/12/2022/24</t>
  </si>
  <si>
    <t>CPO payable long outstanding found in branch.</t>
  </si>
  <si>
    <t>ATM cards 1128  and PIN mailers  339 mailers were not delivered to the respective account holders/ customers for a long period of time as presented below.</t>
  </si>
  <si>
    <t xml:space="preserve"> ATM cards(1128) &amp; PIN mailers(339) differ  </t>
  </si>
  <si>
    <t>08,13,18/07/26</t>
  </si>
  <si>
    <t>Fund transfer with out customer signature</t>
  </si>
  <si>
    <t>08,24/07/26</t>
  </si>
  <si>
    <t xml:space="preserve">Deposit account opening in proceses kept on suspese account for long period </t>
  </si>
  <si>
    <t>Shinshicho</t>
  </si>
  <si>
    <t>Difference observed on ATM cash balance.(The physical cash count balance of ATM  have shown a difference of Birr 41,255.19. compared with the general ledger balance . )</t>
  </si>
  <si>
    <t>ATM cards &amp; PIN mailers   were not delivered to the respective account holders/ customers for a long period of time as presented below.</t>
  </si>
  <si>
    <t xml:space="preserve"> ATM cards(683) &amp; PIN mailers(410) differ  </t>
  </si>
  <si>
    <t xml:space="preserve">Shone </t>
  </si>
  <si>
    <t>Catch all -unassigned</t>
  </si>
  <si>
    <t>ATM cards &amp; PIN mailers were not delivered to the respective account holders/ customers for a long period of time .</t>
  </si>
  <si>
    <t>ATM cards(801)  not muched with PIN mailers(736)</t>
  </si>
  <si>
    <t xml:space="preserve">Halal Silte Mito </t>
  </si>
  <si>
    <t>ATM cards 2517 &amp; PIN mailers  2104 were not delivered to the respective account holders/ customers for a long period of time as presented below.</t>
  </si>
  <si>
    <t>ATM cards(2517)  not muched with PIN mailers(2104)</t>
  </si>
  <si>
    <t>Nib Halal Tora</t>
  </si>
  <si>
    <t>Long date</t>
  </si>
  <si>
    <t>Sundry debtors (E-BIRR FALOTING)</t>
  </si>
  <si>
    <t>Dormant accounts Found at the branch -INACTIVE</t>
  </si>
  <si>
    <t>JULY31/2026</t>
  </si>
  <si>
    <t>ATM cards(412)  not muched with PIN mailers(361)</t>
  </si>
  <si>
    <t>Cash Withdrawal LCY Operated without customer Signatury</t>
  </si>
  <si>
    <t>Fund Transfer Lcy operated without customer Signatury</t>
  </si>
  <si>
    <t>Bombe</t>
  </si>
  <si>
    <t>Werabe</t>
  </si>
  <si>
    <t>Difference observed on ATM cash balance.(The physical cash count balance of ATM  have shown a difference of Birr +24,682.58 compared with the general ledger balance . )</t>
  </si>
  <si>
    <t>Long outstanding of CPO</t>
  </si>
  <si>
    <t>in active acount</t>
  </si>
  <si>
    <t>ATM cards 1676 &amp; PIN mailers 1283  were not delivered to the respective account holders/ customers for a long period of time as presented below. Difference 393</t>
  </si>
  <si>
    <t>ATM cards (1676) &amp; PIN mailers (1283)  were differ</t>
  </si>
  <si>
    <t>Irreularities</t>
  </si>
  <si>
    <t>No of Cases</t>
  </si>
  <si>
    <t>Remain</t>
  </si>
  <si>
    <t xml:space="preserve">Promoted to Branch Manager Position </t>
  </si>
  <si>
    <t>Maternity leave</t>
  </si>
  <si>
    <t>Bonosha</t>
  </si>
  <si>
    <t>He is on forced leave</t>
  </si>
  <si>
    <t>Without reason</t>
  </si>
  <si>
    <t xml:space="preserve">Internal control not assigned </t>
  </si>
  <si>
    <t>Durame</t>
  </si>
  <si>
    <t>Hosaena Batena</t>
  </si>
  <si>
    <t>Wachamo univ</t>
  </si>
  <si>
    <t>Adama District</t>
  </si>
  <si>
    <t>Adama</t>
  </si>
  <si>
    <t>System suspense account  AA</t>
  </si>
  <si>
    <t>ATM cards &amp; PIN mailers were not delivered to the respective account holders/ customers for a long period of time as presented below.Total PIN834&amp; ATM Card 769</t>
  </si>
  <si>
    <t>TICKET not Signed By Customer</t>
  </si>
  <si>
    <t>Adama Men</t>
  </si>
  <si>
    <t>Difference observed on ATM cash balance.(The physical cash count balance of ATM  have shown a difference of Birr 14,950 compared with the general ledger balance . )</t>
  </si>
  <si>
    <t>3,628,749.1</t>
  </si>
  <si>
    <t>1,286,899</t>
  </si>
  <si>
    <t>ATM cards 482 &amp; PIN 475 mailers were not delivered to the respective account holders/ customers for a long period of time as presented below.</t>
  </si>
  <si>
    <t>Adama Boset</t>
  </si>
  <si>
    <t>Difference observed on ATM cash balance.(The physical cash count balance of ATM  have shown a difference of Cash overage Birr  101,984.44 compared with the general ledger balance . )</t>
  </si>
  <si>
    <t>Feb 15,2022</t>
  </si>
  <si>
    <t>In Mar 18,2022it was 241.99 on mar 19,2022 the HO debited the account by 241.73the remaining 0.26 left on migration suspense accounts.</t>
  </si>
  <si>
    <t>2 guard chair</t>
  </si>
  <si>
    <t>ATM cards 61 &amp; PIN 68 mailers were not delivered to the respective account holders/ customers for a long period of time as presented below.</t>
  </si>
  <si>
    <t>Arerti</t>
  </si>
  <si>
    <t>Difference observed on ATM cash balance.(The physical cash count balance of ATM  have shown a difference of Birr  -9600 compared with the general ledger balance . )</t>
  </si>
  <si>
    <t>0ATM cards &amp;53 PIN mailers were not delivered to the respective account holders/ customers for a long period of time as presented below.</t>
  </si>
  <si>
    <t>Fund Transfers were made without Customer's Signature</t>
  </si>
  <si>
    <t>Aseela</t>
  </si>
  <si>
    <t>294 ATM cards &amp; 270 PIN mailers were not delivered to the respective account holders/ customers for a long period of time as presented below.</t>
  </si>
  <si>
    <t>Awash 7</t>
  </si>
  <si>
    <t>31/01/2025</t>
  </si>
  <si>
    <t>Difference observed on ATM cash balance.(The physical cash count balance of ATM  have shown a difference of Birr 10,800.00 Compared with the general ledger balance . )</t>
  </si>
  <si>
    <t>30/12/2021</t>
  </si>
  <si>
    <t>Sundry debtors 
Account Rec.Miscellaneous-ETB 12548  (For RTGS Transfer Payable HO Transfer to GL at the date of April,17,2026</t>
  </si>
  <si>
    <t xml:space="preserve">Sundry creditors  
sundry creditors-Misc ETB17568 Staff PF and untile approved cash indeminity account </t>
  </si>
  <si>
    <t xml:space="preserve">Fire Extingushier </t>
  </si>
  <si>
    <t>ATM cards &amp; PIN mailers were not delivered to the respective account holders/ customers for a long period of time as presented below. No.of ATM =988 and PIN=809</t>
  </si>
  <si>
    <t>11,07,2026</t>
  </si>
  <si>
    <t xml:space="preserve">Without of Customer Signature Withdrawl </t>
  </si>
  <si>
    <t>10,07,2026</t>
  </si>
  <si>
    <t>Without of Customer Signature Account to Account Transfer</t>
  </si>
  <si>
    <t>The issuing, surrendering, sorting and wrapping of cash notes takes place in an area that has no separate or partitioned room designed to serve of its own.</t>
  </si>
  <si>
    <t>The cash room has been used to keep stationery items and all Ticket as a result the room was accessible to those employees demanding these items for operational use.</t>
  </si>
  <si>
    <t xml:space="preserve">Our branch ATM and Tally passbook printer no Function </t>
  </si>
  <si>
    <t>Ada Bishoftu</t>
  </si>
  <si>
    <t>Difference observed on ATM cash balance.(The physical cash count balance of ATM  have shown a difference of Birr -167,711.01. compared with the general ledger balance . )</t>
  </si>
  <si>
    <t>Holiday Salary Advance</t>
  </si>
  <si>
    <t>Accrured  interest on Gov`tBond&amp;Dep</t>
  </si>
  <si>
    <t>704 ATM cards &amp; 792 PIN mailers were not delivered to the respective account holders/ customers for a long period of time as presented below.</t>
  </si>
  <si>
    <t>25-07-2026</t>
  </si>
  <si>
    <t>Bale Robe</t>
  </si>
  <si>
    <t xml:space="preserve">Dormant  accounts Found at the branch  </t>
  </si>
  <si>
    <t>993 ATM cards &amp;1008 PIN mailers were not delivered to the respective account holders/ customers for a long period of time as presented below.</t>
  </si>
  <si>
    <t>JULY 04/07/26</t>
  </si>
  <si>
    <t>Batu</t>
  </si>
  <si>
    <t>1210 ATM cards &amp; 1150 PIN mailers were not delivered to the respective account holders/ customers for a long period of time as presented below.</t>
  </si>
  <si>
    <t>Bekoji</t>
  </si>
  <si>
    <t>31/072026</t>
  </si>
  <si>
    <t>ATM cards &amp; PIN mailers were not delivered to the respective account holders/ customers for a long period of time as presented below.card 542 and pin 725</t>
  </si>
  <si>
    <t>Berecha</t>
  </si>
  <si>
    <t xml:space="preserve">Absence of source documents                                    Inter branch T-24  R10 </t>
  </si>
  <si>
    <t>Absence of petty cash vault and dual control</t>
  </si>
  <si>
    <t xml:space="preserve">Interest free window there is no dedicated staff and there is no transaction in cash book </t>
  </si>
  <si>
    <t>Mismatch of ATM cards with their respective pins mailer on hand. I. e  188ATM cards and 164 PIN on hand.</t>
  </si>
  <si>
    <t xml:space="preserve">Not Verifying customer signatures while delivering ATM cards,Cheque books and Pass books. </t>
  </si>
  <si>
    <t>Bishoftu</t>
  </si>
  <si>
    <t>July 31 2026</t>
  </si>
  <si>
    <t>Difference observed on ATM cash balance.(The physical cash  count balance of ATM  have shown a difference of Birr   -48,433 compared with the general ledger balance . )                                                  actual ATM cash    110,672.40         GL  balance193,633</t>
  </si>
  <si>
    <t>System suspense AA</t>
  </si>
  <si>
    <t xml:space="preserve">Migration  Sispense Accounts </t>
  </si>
  <si>
    <t>cach all assets &amp; liabilities</t>
  </si>
  <si>
    <t xml:space="preserve">Sundry debtors  =  temp. loan repayment account </t>
  </si>
  <si>
    <t>Sundry creditor   = MT`S/TT`s payable local- LMTS</t>
  </si>
  <si>
    <t xml:space="preserve">*    ATM committion collected     =  374                                                          *    ATM card with PIN              =  352                                                                     *    ATM card with out PIN        =  141                                                     </t>
  </si>
  <si>
    <t xml:space="preserve">Our client pyramid Resort filed aserious complaint against our bank due to the fact that our customer had an unpaid the remaining 12,900.00 </t>
  </si>
  <si>
    <t>Bishoftu Mikael</t>
  </si>
  <si>
    <t>Difference observed on ATM cash balance.(The physical cash count balance of ATM  have shown a difference of Cash Overage Birr  0 compared with the general ledger balance . )</t>
  </si>
  <si>
    <t xml:space="preserve">Defective/obsolete fixed assets found at the branch 13 CARDS AND 46 PIN  </t>
  </si>
  <si>
    <t>Chilalo</t>
  </si>
  <si>
    <t>InterBranch Account-T24 R10</t>
  </si>
  <si>
    <t>469ATM cards &amp;441 PIN mailers were not delivered to the respective account holders/ customers for a long period of time as presented below.</t>
  </si>
  <si>
    <t>11-07-2026</t>
  </si>
  <si>
    <t>Fund transfer with out signature Aklilu Negussie</t>
  </si>
  <si>
    <t xml:space="preserve">                      70,000.00</t>
  </si>
  <si>
    <t>28-07-2026</t>
  </si>
  <si>
    <t>yismachew Ayele</t>
  </si>
  <si>
    <t xml:space="preserve">                      110,000.00</t>
  </si>
  <si>
    <t>10,23,30-07-2026</t>
  </si>
  <si>
    <t>Abebe Geremew</t>
  </si>
  <si>
    <t xml:space="preserve">                  1 ,800,000.00</t>
  </si>
  <si>
    <t>31-07-2026</t>
  </si>
  <si>
    <t>Samket Abebe</t>
  </si>
  <si>
    <t>13-07-2026</t>
  </si>
  <si>
    <t>WITHDRAWAL Mareg Adisu</t>
  </si>
  <si>
    <t>27-07-2026</t>
  </si>
  <si>
    <t>30-07-2026</t>
  </si>
  <si>
    <t>Ashenafi Feyisa</t>
  </si>
  <si>
    <t xml:space="preserve">                          50,000.00</t>
  </si>
  <si>
    <t>Danawit Abebe</t>
  </si>
  <si>
    <t>Denbela</t>
  </si>
  <si>
    <t>Difference observed on ATM cash balance.(The physical cash count balance of ATM  have shown a difference of Birr …… compared with the general ledger balance .)</t>
  </si>
  <si>
    <t>199 ATM cards &amp; 201 PIN mailers were not delivered to the respective account holders/ customers for a long period of time as presented below.</t>
  </si>
  <si>
    <t>Dodola</t>
  </si>
  <si>
    <t>577 ATM cards &amp; 485 PIN mailers were not delivered to the respective account holders/ customers for a long period of time as presented below.</t>
  </si>
  <si>
    <t>Cash withdrawals were Made without Customer's Signature</t>
  </si>
  <si>
    <t>Dukem Ind</t>
  </si>
  <si>
    <t>Difference observed on ATM cash balance.(The physical cash count balance of ATM  have shown a difference of Birr …….... compared with the general ledger balance . )</t>
  </si>
  <si>
    <t>352 ATM cards &amp; 281 PIN mailers were not delivered to the respective account holders/ customers for a long period of time as presented below.</t>
  </si>
  <si>
    <t>Eteya</t>
  </si>
  <si>
    <t>636 ATM cards &amp; 644 PIN mailers were not delivered to the respective account holders/ customers for a long period of time as presented below.</t>
  </si>
  <si>
    <t>Geda</t>
  </si>
  <si>
    <t xml:space="preserve">Dormant/Inactive accounts Found at the branch  </t>
  </si>
  <si>
    <t>94 ATM cards &amp; 148 PIN mailers were not delivered to the respective account holders/ customers for a long period of time as presented below.</t>
  </si>
  <si>
    <t>Ginb Gebeya</t>
  </si>
  <si>
    <t>Huruta</t>
  </si>
  <si>
    <t xml:space="preserve">Difference observed on ATM cash balance.(The physical cash count balance of ATM  have shown a difference of Birr -49,221.69compared with the general ledger balance . </t>
  </si>
  <si>
    <t>Zero  (2) balance  Account Found at branch</t>
  </si>
  <si>
    <t>65 ATM cards &amp; 35 PIN mailers were not delivered to the respective account holders/ customers for a long period of time as presented below.</t>
  </si>
  <si>
    <t>3(three) staff  consumed  above their leave balance(use out of leave balance by negetive)</t>
  </si>
  <si>
    <t>(-21908.79)</t>
  </si>
  <si>
    <t>Halal Adama</t>
  </si>
  <si>
    <t>31/07/2031</t>
  </si>
  <si>
    <t>Fund Transfers were made without Customer's Signature
Difference date and customer .</t>
  </si>
  <si>
    <t>Mehal Arada</t>
  </si>
  <si>
    <t>we have also ubnormal balance of ecx pay-in account</t>
  </si>
  <si>
    <t>ATM cards &amp; PIN mailers were not delivered to the respective account holders/ customers for a long period of time as presented below.Mailes  1097, PIN 1141, D/F 44</t>
  </si>
  <si>
    <t xml:space="preserve">Fund Transfers were made without Customer's Signature </t>
  </si>
  <si>
    <t>Meki</t>
  </si>
  <si>
    <t>2106 ATM cards &amp; 1896 PIN mailers were not delivered to the respective account holders/ customers for a long period of time as presented below.</t>
  </si>
  <si>
    <t>Modjo</t>
  </si>
  <si>
    <t>Difference observed on ATM cash balance.(The physical cash count balance of ATM  have shown a difference of Birr ……….. compared with the general ledger balance . )as at Mar.31/2026.</t>
  </si>
  <si>
    <t>as at
31/07/2026</t>
  </si>
  <si>
    <t>690 ATM cards &amp; 690 PIN mailers were not delivered to the respective account holders/ customers for a long period of time as presented below.</t>
  </si>
  <si>
    <t>Modjo Derek</t>
  </si>
  <si>
    <t>383 ATM cards &amp; 372 PIN mailers were not delivered to the respective account holders/ customers for a long period of time as presented below.</t>
  </si>
  <si>
    <t>Olenchiti</t>
  </si>
  <si>
    <t>loan repayment of our branch borrowers Ato Mohammed Mama</t>
  </si>
  <si>
    <t>Sagure</t>
  </si>
  <si>
    <t xml:space="preserve">Difference observed on ATM cash balance.(The physical cash count balance of ATM  have shown a difference of Birr 2697.67 compared with the general ledger balance . </t>
  </si>
  <si>
    <t>475 ATM cards &amp; 553 PIN mailers were not delivered to the respective account holders/ customers for a long period of time as presented below.</t>
  </si>
  <si>
    <t>Tiyo Assela</t>
  </si>
  <si>
    <t>Difference observed on ATM cash balance.(The physical cash count balance of ATM  have shown a difference of Birr (5311.79) compared with the general ledger balance . )</t>
  </si>
  <si>
    <t xml:space="preserve">       (3611.78)</t>
  </si>
  <si>
    <t xml:space="preserve">Catch all asset and liability (System suspense AA) </t>
  </si>
  <si>
    <t>56 ATM cards &amp; 51 PIN mailers were not delivered to the respective account holders/ customers for a long period of time.</t>
  </si>
  <si>
    <t>Ziquala Bishof</t>
  </si>
  <si>
    <t>ATM cards &amp; PIN mailers were not delivered to the respective account holders/ customers for a long period of time as presented below.790 CARDS AND PIN</t>
  </si>
  <si>
    <t>lack of staff -No Lady searcher at the branch</t>
  </si>
  <si>
    <t>YES</t>
  </si>
  <si>
    <t>Agarfa</t>
  </si>
  <si>
    <t>Goro Bale</t>
  </si>
  <si>
    <t>Goba</t>
  </si>
  <si>
    <t>Jara</t>
  </si>
  <si>
    <t>Woleshe</t>
  </si>
  <si>
    <t>Woreka</t>
  </si>
  <si>
    <t>Nib international bank s.c</t>
  </si>
  <si>
    <t>Wolkite District</t>
  </si>
  <si>
    <t>Agena</t>
  </si>
  <si>
    <t>Wolkite</t>
  </si>
  <si>
    <t>Catch All unassigned PL</t>
  </si>
  <si>
    <t>Dormant account found in brfanch</t>
  </si>
  <si>
    <t xml:space="preserve">ATM cards &amp; PIN mailers were not delivered to the respective account holders/ customers for a long period of time as presented below.211 car and 219 pin  mailers </t>
  </si>
  <si>
    <t>Areket</t>
  </si>
  <si>
    <r>
      <rPr>
        <i/>
        <u/>
        <sz val="9"/>
        <color rgb="FF000000"/>
        <rFont val="Cambria"/>
        <family val="1"/>
        <scheme val="major"/>
      </rPr>
      <t>CLAIMS ON HEAD OFFICE/BRANCHES</t>
    </r>
    <r>
      <rPr>
        <i/>
        <sz val="9"/>
        <color rgb="FF000000"/>
        <rFont val="Cambria"/>
        <family val="1"/>
        <scheme val="major"/>
      </rPr>
      <t xml:space="preserve"> PERDAIM AND FUEL EXPENCE ESTMATION FEE AND COFFE CERMONY FOR COUSTOMER DAY</t>
    </r>
  </si>
  <si>
    <t>E-birr Float Recievable</t>
  </si>
  <si>
    <t>ATM cards &amp; PIN mailers were not delivered to the respective account holders/ customers for a long period of time as presented below.(288 CARD &amp;  PIN)</t>
  </si>
  <si>
    <t>Buie</t>
  </si>
  <si>
    <t xml:space="preserve">Absence of source document ;-Inter branch T-24  R10 </t>
  </si>
  <si>
    <t>Catch ALL-Unassigned -PL</t>
  </si>
  <si>
    <t>ATM cards &amp; PIN mailers were not delivered to the respective account holders/ customers for a long period of time as presented below.(576CARD &amp; 506 PIN)</t>
  </si>
  <si>
    <t>Butajira</t>
  </si>
  <si>
    <t>Difference observed on ATM cash balance.(The physical cash count balance of ATM  have shown a difference of Birr--compared with the general ledger balance .)</t>
  </si>
  <si>
    <t>Cheque books stock difference against GL Balance</t>
  </si>
  <si>
    <t>Sundry debtors (ex-staff mitike     regards  legal cost)</t>
  </si>
  <si>
    <t xml:space="preserve">Sundry Creditors ,Misellanous                     </t>
  </si>
  <si>
    <t>Zero(0.00) balance  Account Found at branch</t>
  </si>
  <si>
    <t>ATM cards &amp; PIN mailers were not delivered to the respective account holders/ customers for a long period of time as presented below.(1059 CARD &amp; 598 PIN)</t>
  </si>
  <si>
    <t>Dargee</t>
  </si>
  <si>
    <r>
      <t xml:space="preserve">Difference observed on ATM cash balance.(The physical cash count balance of ATM  have shown a difference of Birr </t>
    </r>
    <r>
      <rPr>
        <i/>
        <sz val="11"/>
        <color rgb="FF000000"/>
        <rFont val="Cambria"/>
        <family val="1"/>
        <scheme val="major"/>
      </rPr>
      <t>compared with the general ledger balance . )</t>
    </r>
  </si>
  <si>
    <t>Abnormal balance of ATM Balance</t>
  </si>
  <si>
    <t>Migration suspense a/c</t>
  </si>
  <si>
    <t>25/09/2021</t>
  </si>
  <si>
    <t>MTS/TTS Payable local LMTS</t>
  </si>
  <si>
    <t>ATM cards &amp; PIN mailers were not delivered to the respective account holders/ customers for a long period of time as presented below.(343CARD)</t>
  </si>
  <si>
    <t>Ensino</t>
  </si>
  <si>
    <t>Difference observed on ATM cash balance.(The physical cash count balance of ATM  have shown a difference of Birr ________compared with the general ledger balance . )</t>
  </si>
  <si>
    <t>ATM cards 998 &amp; PIN mailers 790 were not delivered to the respective account holders/ customers for a long period of time as presented below. 998ATM&amp;790 PIN</t>
  </si>
  <si>
    <t>Tcket vouching</t>
  </si>
  <si>
    <t>Withdrowal Payment and  transfer is made with out customer signature cash withdrawal with out signature:</t>
  </si>
  <si>
    <t>Jafer Shemsu   Withdrowal-7000010950878</t>
  </si>
  <si>
    <t>Muhdin Sirwana   FT   7000013897226</t>
  </si>
  <si>
    <t>Shemsu Sebre     Withdrowal 7000010950878</t>
  </si>
  <si>
    <t>Afrano Muste     Withdrowal  7000031078348</t>
  </si>
  <si>
    <t>Abdi Darunga      Withdrowal 7000024670657</t>
  </si>
  <si>
    <t>Emdebir</t>
  </si>
  <si>
    <t>Improper handling of cash book</t>
  </si>
  <si>
    <t>Absence of source documents. Catch all un assigned PL</t>
  </si>
  <si>
    <t>S/CREDITORS</t>
  </si>
  <si>
    <t>LMT's Payable</t>
  </si>
  <si>
    <t>Long Outstanding items cpo.</t>
  </si>
  <si>
    <t>Dormant Accountfound at the branch</t>
  </si>
  <si>
    <t>ATM cards &amp; PIN mailers were not delivered to the respective account holders/ customers for a long period of time as presented below.(794 ATM CARD &amp; 448 PIN)</t>
  </si>
  <si>
    <t>Endagegne</t>
  </si>
  <si>
    <t>Absence of Source Doucument:-</t>
  </si>
  <si>
    <t>Dormant account found</t>
  </si>
  <si>
    <t xml:space="preserve">ATM cards &amp; PIN mailers were not delivered to the respective account holders/ customers for a long period of time as presented below.( 331 ATM CARD </t>
  </si>
  <si>
    <t>Mismatch between ATM cards(340) &amp; PIN mailers(339)</t>
  </si>
  <si>
    <t>Gunchire</t>
  </si>
  <si>
    <r>
      <t xml:space="preserve">Sundry Creditors </t>
    </r>
    <r>
      <rPr>
        <sz val="11"/>
        <color rgb="FF000000"/>
        <rFont val="Courier New"/>
        <family val="3"/>
      </rPr>
      <t>:(MULTI SUPPLIER PAYABLE ACC CASE OF MIGRATION</t>
    </r>
  </si>
  <si>
    <t>ATM cards &amp; PIN mailers were not delivered to the respective account holders/ customers for a long period of time as presented below.(1451 ATM CARD &amp; 1530 PIN)</t>
  </si>
  <si>
    <t>VOLT ROOM DOOR KIY IS DAMGE(አንዱ ብቻ ነዉ የሚሰራዉ)</t>
  </si>
  <si>
    <t>Hawaryat</t>
  </si>
  <si>
    <t>ATM  134 cards &amp; PIN 128 mailers were not delivered to the respective account holders/ customers for a long period of time as presented below.</t>
  </si>
  <si>
    <t>LADY SEARCHER NOT ASSIGNED AT THE BRACH.</t>
  </si>
  <si>
    <t>TICKETS &amp;STATIONERY MATERIALS ARE KEPT IN THE THE VOULT AREA</t>
  </si>
  <si>
    <t>THE BRANCH IS NOT ATRACTIVE THE WALL AND THE PAINT IS CRACKED THER IS NO BRANDING .</t>
  </si>
  <si>
    <t>Kare</t>
  </si>
  <si>
    <t>Mismatch number of ATM and PIN</t>
  </si>
  <si>
    <t>kella</t>
  </si>
  <si>
    <t>Difference observed on ATM cash balance.(The physical cash count balance of ATM  have shown a difference of Birr 
compared with the general ledger balance . )</t>
  </si>
  <si>
    <t>1166 ATM cards &amp; 731 PIN mailers were not delivered to the respective account holders/ customers for a long period of time as presented below. 1166</t>
  </si>
  <si>
    <t>ticket Vouching</t>
  </si>
  <si>
    <t xml:space="preserve">WITHDRAW WITHOUT CUSTOMER SIGINTURE ATO DAMITEW TESFAYE </t>
  </si>
  <si>
    <t>THERE IS NO DUAL CONTROL OF  ATM  MACHINE</t>
  </si>
  <si>
    <t>Kosie</t>
  </si>
  <si>
    <r>
      <t xml:space="preserve">ATM CARDS were not dlivered to the respective account holders/customersfor a long period of tim.  </t>
    </r>
    <r>
      <rPr>
        <i/>
        <u/>
        <sz val="10"/>
        <color rgb="FF000000"/>
        <rFont val="Cambria"/>
        <family val="1"/>
      </rPr>
      <t>1381</t>
    </r>
  </si>
  <si>
    <t>Mismatch between ATM cards &amp; PIN mailers</t>
  </si>
  <si>
    <t>L.G.W BEREKA</t>
  </si>
  <si>
    <t xml:space="preserve">difference observed on ATM cash balance.(The physical cash count balance of ATM  have shown a difference of Birr ……….. compared with the general ledger balance . )        </t>
  </si>
  <si>
    <t xml:space="preserve">On the Sundry debtor Long outstanding Miscellaneous - LCY </t>
  </si>
  <si>
    <t>ACcount  PEROSESEING(pre opening)</t>
  </si>
  <si>
    <t>ATM cards 689&amp; PIN mailers 668 were not delivered to the respective account holders/ customers for a long period of time as presented below.(165  CARD RECTIFIED)</t>
  </si>
  <si>
    <t>Mareko koshe</t>
  </si>
  <si>
    <t>Catchall un assigned pl</t>
  </si>
  <si>
    <t>Long outstanding LMTS</t>
  </si>
  <si>
    <t>Nib Halal Bidara</t>
  </si>
  <si>
    <t xml:space="preserve">inactive account has been inside the branch </t>
  </si>
  <si>
    <t>ATM cards &amp; PIN mailers were not delivered to the respective account holders/ customers for a long period of time as presented below.499</t>
  </si>
  <si>
    <t>mismatch number of PIN with ATM CARD respective on hand  11</t>
  </si>
  <si>
    <t>Nib Halal Rebi</t>
  </si>
  <si>
    <t>ATM cards &amp; PIN mailers were not delivered to the respective account holders/ customers for a long period of time as presented below.(838 card &amp; pin)</t>
  </si>
  <si>
    <t>Tiya Bitweded</t>
  </si>
  <si>
    <t xml:space="preserve"> System Suspense DC</t>
  </si>
  <si>
    <t xml:space="preserve">Deposit account opening in proceses seated for long period </t>
  </si>
  <si>
    <t xml:space="preserve"> 564 ATM cards &amp; 360  PIN mailers were not delivered to the respective account holders/ customers for a long period of time as presented below.</t>
  </si>
  <si>
    <t>Tulu Bolo</t>
  </si>
  <si>
    <r>
      <t xml:space="preserve">ATM cards with PIN Mailer available </t>
    </r>
    <r>
      <rPr>
        <b/>
        <i/>
        <sz val="10"/>
        <color rgb="FF000000"/>
        <rFont val="Cambria"/>
        <family val="1"/>
        <scheme val="major"/>
      </rPr>
      <t>(99)</t>
    </r>
    <r>
      <rPr>
        <i/>
        <sz val="10"/>
        <color rgb="FF000000"/>
        <rFont val="Cambria"/>
        <family val="1"/>
        <scheme val="major"/>
      </rPr>
      <t xml:space="preserve"> &amp; ATM cards Not Available with PIN</t>
    </r>
    <r>
      <rPr>
        <b/>
        <i/>
        <sz val="10"/>
        <color rgb="FF000000"/>
        <rFont val="Cambria"/>
        <family val="1"/>
        <scheme val="major"/>
      </rPr>
      <t>(57)</t>
    </r>
    <r>
      <rPr>
        <i/>
        <sz val="10"/>
        <color rgb="FF000000"/>
        <rFont val="Cambria"/>
        <family val="1"/>
        <scheme val="major"/>
      </rPr>
      <t xml:space="preserve"> were not delivered to the respective account holders for more than six months at our branch.</t>
    </r>
  </si>
  <si>
    <t>Walga</t>
  </si>
  <si>
    <r>
      <t xml:space="preserve">ATM cards with PIN Mailer available </t>
    </r>
    <r>
      <rPr>
        <b/>
        <i/>
        <sz val="10"/>
        <color rgb="FF000000"/>
        <rFont val="Cambria"/>
        <family val="1"/>
        <scheme val="major"/>
      </rPr>
      <t>(85)</t>
    </r>
    <r>
      <rPr>
        <i/>
        <sz val="10"/>
        <color rgb="FF000000"/>
        <rFont val="Cambria"/>
        <family val="1"/>
        <scheme val="major"/>
      </rPr>
      <t xml:space="preserve"> &amp; ATM cards Not Available with PIN</t>
    </r>
    <r>
      <rPr>
        <b/>
        <i/>
        <sz val="10"/>
        <color rgb="FF000000"/>
        <rFont val="Cambria"/>
        <family val="1"/>
        <scheme val="major"/>
      </rPr>
      <t>(66)</t>
    </r>
    <r>
      <rPr>
        <i/>
        <sz val="10"/>
        <color rgb="FF000000"/>
        <rFont val="Cambria"/>
        <family val="1"/>
        <scheme val="major"/>
      </rPr>
      <t xml:space="preserve"> were not delivered to the respective account holders for more than six months at our branch.</t>
    </r>
    <r>
      <rPr>
        <sz val="11"/>
        <color theme="1"/>
        <rFont val="Calibri"/>
        <family val="2"/>
        <scheme val="minor"/>
      </rPr>
      <t/>
    </r>
  </si>
  <si>
    <t>Wolisso</t>
  </si>
  <si>
    <t xml:space="preserve"> Temp Loan Repayment Account  </t>
  </si>
  <si>
    <t>1844.95</t>
  </si>
  <si>
    <t>AA Loan Deposits (Uncaccount)</t>
  </si>
  <si>
    <t xml:space="preserve">ACCRUED INTEREST ACCOUNTS 
</t>
  </si>
  <si>
    <r>
      <rPr>
        <b/>
        <sz val="11"/>
        <color theme="1"/>
        <rFont val="Calibri"/>
        <family val="2"/>
        <scheme val="minor"/>
      </rPr>
      <t>Long</t>
    </r>
    <r>
      <rPr>
        <b/>
        <u/>
        <sz val="11"/>
        <color theme="1"/>
        <rFont val="Calibri"/>
        <family val="2"/>
        <scheme val="minor"/>
      </rPr>
      <t xml:space="preserve"> Outstanding Itgems -   </t>
    </r>
    <r>
      <rPr>
        <b/>
        <sz val="11"/>
        <color theme="1"/>
        <rFont val="Calibri"/>
        <family val="2"/>
        <scheme val="minor"/>
      </rPr>
      <t xml:space="preserve"> </t>
    </r>
    <r>
      <rPr>
        <b/>
        <u/>
        <sz val="11"/>
        <color theme="1"/>
        <rFont val="Calibri"/>
        <family val="2"/>
        <scheme val="minor"/>
      </rPr>
      <t>s/debtor</t>
    </r>
    <r>
      <rPr>
        <sz val="11"/>
        <color theme="1"/>
        <rFont val="Calibri"/>
        <family val="2"/>
        <scheme val="minor"/>
      </rPr>
      <t xml:space="preserve">                                                                                                       3300 birr is Pos machine unsettled 
15,891.85 birr ex-staff of ato getahun dinku benefit</t>
    </r>
  </si>
  <si>
    <r>
      <rPr>
        <b/>
        <u/>
        <sz val="10"/>
        <color rgb="FF000000"/>
        <rFont val="Trebuchet MS"/>
        <family val="2"/>
      </rPr>
      <t>Claim On H.O &amp; Brs.</t>
    </r>
    <r>
      <rPr>
        <sz val="10"/>
        <color rgb="FF000000"/>
        <rFont val="Trebuchet MS"/>
        <family val="2"/>
      </rPr>
      <t xml:space="preserve">                                                          Office rent Claimed but not settled 70,171.73 birr
Perdium expense not setteled 11,200.01 birr</t>
    </r>
  </si>
  <si>
    <r>
      <rPr>
        <b/>
        <i/>
        <u/>
        <sz val="10"/>
        <color theme="1"/>
        <rFont val="Cambria"/>
        <family val="1"/>
        <scheme val="major"/>
      </rPr>
      <t xml:space="preserve">S/creditors :  </t>
    </r>
    <r>
      <rPr>
        <i/>
        <sz val="10"/>
        <color theme="1"/>
        <rFont val="Cambria"/>
        <family val="1"/>
        <scheme val="major"/>
      </rPr>
      <t xml:space="preserve">    Account on proccess at branch on(EB17633)</t>
    </r>
  </si>
  <si>
    <t>CARD BANKING</t>
  </si>
  <si>
    <t xml:space="preserve"> 373 ATM cards &amp; PIN mailers were not delivered to the respective account holders/ customers for a long period of time as presented below</t>
  </si>
  <si>
    <t xml:space="preserve"> Cash voult  combination code has been not changed when managers are assigned </t>
  </si>
  <si>
    <t xml:space="preserve">There is no pending stump at branch
</t>
  </si>
  <si>
    <r>
      <t xml:space="preserve">Difference observed on ATM cash balance.(The physical cash count balance of ATM  have shown a difference of Birr </t>
    </r>
    <r>
      <rPr>
        <b/>
        <i/>
        <sz val="9"/>
        <color rgb="FF000000"/>
        <rFont val="Cambria"/>
        <family val="1"/>
        <scheme val="major"/>
      </rPr>
      <t xml:space="preserve"> </t>
    </r>
    <r>
      <rPr>
        <i/>
        <sz val="9"/>
        <color rgb="FF000000"/>
        <rFont val="Cambria"/>
        <family val="1"/>
        <scheme val="major"/>
      </rPr>
      <t>o</t>
    </r>
    <r>
      <rPr>
        <i/>
        <sz val="8"/>
        <color rgb="FF000000"/>
        <rFont val="Cambria"/>
        <family val="1"/>
        <scheme val="major"/>
      </rPr>
      <t>mpared with the general ledger balance . )</t>
    </r>
  </si>
  <si>
    <r>
      <rPr>
        <b/>
        <i/>
        <u/>
        <sz val="12"/>
        <color rgb="FF000000"/>
        <rFont val="Cambria"/>
        <family val="1"/>
        <scheme val="major"/>
      </rPr>
      <t>Long outstanding items.</t>
    </r>
    <r>
      <rPr>
        <i/>
        <sz val="8"/>
        <color rgb="FF000000"/>
        <rFont val="Cambria"/>
        <family val="1"/>
        <scheme val="major"/>
      </rPr>
      <t>TT Pay ment</t>
    </r>
  </si>
  <si>
    <r>
      <rPr>
        <b/>
        <i/>
        <u/>
        <sz val="12"/>
        <color rgb="FF000000"/>
        <rFont val="Cambria"/>
        <family val="1"/>
        <scheme val="major"/>
      </rPr>
      <t xml:space="preserve">Claims on Branchs &amp; HO </t>
    </r>
    <r>
      <rPr>
        <i/>
        <sz val="12"/>
        <color rgb="FF000000"/>
        <rFont val="Cambria"/>
        <family val="1"/>
        <scheme val="major"/>
      </rPr>
      <t xml:space="preserve"> </t>
    </r>
    <r>
      <rPr>
        <i/>
        <sz val="8"/>
        <color rgb="FF000000"/>
        <rFont val="Cambria"/>
        <family val="1"/>
        <scheme val="major"/>
      </rPr>
      <t xml:space="preserve">                                                                                                               </t>
    </r>
    <r>
      <rPr>
        <i/>
        <sz val="10"/>
        <color rgb="FF000000"/>
        <rFont val="Cambria"/>
        <family val="1"/>
        <scheme val="major"/>
      </rPr>
      <t>long outstandig  CPO</t>
    </r>
    <r>
      <rPr>
        <i/>
        <sz val="8"/>
        <color rgb="FF000000"/>
        <rFont val="Cambria"/>
        <family val="1"/>
        <scheme val="major"/>
      </rPr>
      <t xml:space="preserve">
</t>
    </r>
  </si>
  <si>
    <t>Dormant accounts Found at the branch  In No_</t>
  </si>
  <si>
    <t>card banking</t>
  </si>
  <si>
    <t xml:space="preserve"> 513 ATM cards &amp; PIN mailers were not delivered to the respective account holders/ customers for a long period of time as presented below</t>
  </si>
  <si>
    <t>Yejoka</t>
  </si>
  <si>
    <t>23 AND 29 /06/2026</t>
  </si>
  <si>
    <t>Deposit Acct in process opening /37,888.72 birr have sorce document</t>
  </si>
  <si>
    <t>20251202 &amp;                            17/03/2026</t>
  </si>
  <si>
    <t>UNCOLLECTED  RTGS  COMITION</t>
  </si>
  <si>
    <r>
      <t xml:space="preserve"> </t>
    </r>
    <r>
      <rPr>
        <b/>
        <i/>
        <u/>
        <sz val="10"/>
        <color rgb="FF000000"/>
        <rFont val="Cambria"/>
        <family val="1"/>
        <scheme val="major"/>
      </rPr>
      <t xml:space="preserve">Long  outstanding    claims on hed office account </t>
    </r>
    <r>
      <rPr>
        <i/>
        <sz val="10"/>
        <color rgb="FF000000"/>
        <rFont val="Cambria"/>
        <family val="1"/>
        <scheme val="major"/>
      </rPr>
      <t xml:space="preserve">                       4,700 paid to  Nib Bank wolkite bulding water pamp,2,800 paid  wage for water pamp mantinace,16,860.02 paid to Nib Bank wolkite bulding  tax  and perdime  to staff &amp; Branch Manager  for traning  time.</t>
    </r>
  </si>
  <si>
    <t>susp Int on NPL"S-Term  loans</t>
  </si>
  <si>
    <t>Cash withdrawal with out customer signature</t>
  </si>
  <si>
    <t>ACCOU=7000015138993 Hibre ledget edir</t>
  </si>
  <si>
    <t>ACC=7000044860077= JEMIL MOHAMMED</t>
  </si>
  <si>
    <t xml:space="preserve">ACC=7000010763008=Nesiru </t>
  </si>
  <si>
    <t xml:space="preserve">ACC=7000101186097 Herihun tulu </t>
  </si>
  <si>
    <t>ATM cards &amp; PIN mailers were not delivered to the respective account holders/ customers for a long period of time as presented below.(1587 card&amp; 1392 pin)</t>
  </si>
  <si>
    <t xml:space="preserve"> When dealing with fingerprint signatories, signed before me is not used.</t>
  </si>
  <si>
    <t>Zebider</t>
  </si>
  <si>
    <t>1790 ATM cards &amp; 1869PIN mailers were not delivered to the respective account holders/ customers for a long period of time as presented below. 1869</t>
  </si>
  <si>
    <t>MIsmached PIN mailers and ATM card     79</t>
  </si>
  <si>
    <t>Cash withdrawals were Made without Customer's Signature Tofik Sherefa</t>
  </si>
  <si>
    <t>23/05/2026</t>
  </si>
  <si>
    <t>Fund Transfers were made without Customer's Signature , Muhdin Hussien A/c no.103sav2954</t>
  </si>
  <si>
    <t>Newly assigned</t>
  </si>
  <si>
    <t>Halal Gubre</t>
  </si>
  <si>
    <t>Wolk Univ</t>
  </si>
  <si>
    <t>Quwante</t>
  </si>
  <si>
    <t>Name of Departments/ Dire Dawa District</t>
  </si>
  <si>
    <t>As of JUNE 30/ 2026 month report</t>
  </si>
  <si>
    <t>Bedessa</t>
  </si>
  <si>
    <t>Dire dawa</t>
  </si>
  <si>
    <t xml:space="preserve"> 43 Zero  balance  Account Found at branch</t>
  </si>
  <si>
    <t>Dormant accounts Found at the branch  number of customer .</t>
  </si>
  <si>
    <t>ATM cards &amp; PIN mailers were not delivered to the respective account holders/ customers for a long period of time as presented below. No.of ATMCard =555</t>
  </si>
  <si>
    <t>Harar Ras</t>
  </si>
  <si>
    <t>Difference observed on ATM cash balance.(The physical cash count balance of ATM  have shown a difference of Birr  10,469.44 compared with the general ledger balance . )</t>
  </si>
  <si>
    <t xml:space="preserve">ATM cards &amp; PIN mailers were not delivered to the respective account holders/ customers for a long period of time as presented below. </t>
  </si>
  <si>
    <t xml:space="preserve">missmatch of ATM&amp;PIN MAILER   </t>
  </si>
  <si>
    <t xml:space="preserve">Harar </t>
  </si>
  <si>
    <t>Difference observed on ATM cash balance.(The physical cash count balance of ATM  have shown a difference of Birr 455,972.98Compared with the general ledger balance . )</t>
  </si>
  <si>
    <t>Harar</t>
  </si>
  <si>
    <t xml:space="preserve">Blocking Outwards -Savings </t>
  </si>
  <si>
    <t xml:space="preserve">Uncleared Interbranch Pymts </t>
  </si>
  <si>
    <t>UnearnedProfit on IFBFinancing</t>
  </si>
  <si>
    <t>Claims On Head Office/Branches</t>
  </si>
  <si>
    <t>Longoutstanding TT RECIVED</t>
  </si>
  <si>
    <t>Dire Dawa</t>
  </si>
  <si>
    <t>Difference observed on ATM cash balance.(The physical cash count balance of ATM  have shown a difference of Birr   156,744.70 compared with the general ledger balance . )</t>
  </si>
  <si>
    <t>Migration suspense accountsabsence of source document</t>
  </si>
  <si>
    <t xml:space="preserve">long outstanding Sundry debtors </t>
  </si>
  <si>
    <t>uncleared inter branch</t>
  </si>
  <si>
    <t>long outstanding TT RECIVED</t>
  </si>
  <si>
    <t xml:space="preserve"> Inactive account (Dormant)</t>
  </si>
  <si>
    <t xml:space="preserve">ATM cards &amp; PIN mailers were not delivered to the respective account holders/ customers for a long period of time as presented. </t>
  </si>
  <si>
    <t xml:space="preserve">Missmatch of ATM&amp;PIN MAILER   </t>
  </si>
  <si>
    <t>Kezira Main</t>
  </si>
  <si>
    <t>Difference observed on ATM cash balance.(The physical cash count balance of ATM  have shown a difference of Birr 675,154.06 compared with the general ledger balance . )</t>
  </si>
  <si>
    <t>Sundry debtors Long outstandin item</t>
  </si>
  <si>
    <t xml:space="preserve"> ATM cards &amp;  PIN mailers were not delivered to the respective account holders/ customers for a long period of time .</t>
  </si>
  <si>
    <t xml:space="preserve">MISMATCH  ATM cards &amp;  PIN </t>
  </si>
  <si>
    <t>Midregenet</t>
  </si>
  <si>
    <t xml:space="preserve">Difference observed on ATM cash balance.(The physical cash count balance of ATM  have shown a difference of Birr  2,592.91 compared with the general ledger balance </t>
  </si>
  <si>
    <t>ATM cards &amp; PIN mailers were not delivered to the respective account holders/ customers for a long period of time as presented .</t>
  </si>
  <si>
    <t>Nib Halal Kezira</t>
  </si>
  <si>
    <t>Difference observed on ATM cash balance.(The physical cash count balance of ATM  have shown a difference of Birr 27,700.00 compared with the general ledger balance . )</t>
  </si>
  <si>
    <t>ATM cards &amp; PIN mailers were not delivered to the respective account holders/ customers for a long period of time as presented below. 1374</t>
  </si>
  <si>
    <t>Gelemso</t>
  </si>
  <si>
    <t>Difference observed on ATM cash balance.(The physical cash count balance of ATM  have shown a difference of Birr  4,000.00 compared with the general ledger balance . )</t>
  </si>
  <si>
    <t xml:space="preserve">missmatch of ATM&amp;PIN MAILER </t>
  </si>
  <si>
    <t>Total no</t>
  </si>
  <si>
    <t>Zero Balance Account</t>
  </si>
  <si>
    <t>Afatess</t>
  </si>
  <si>
    <t xml:space="preserve">Jijiga </t>
  </si>
  <si>
    <t>Jijiga Shebele</t>
  </si>
  <si>
    <t>Hirna</t>
  </si>
  <si>
    <t>Chiro</t>
  </si>
  <si>
    <t>Awebere</t>
  </si>
  <si>
    <t>Aweday</t>
  </si>
  <si>
    <t>Togochale Sub Branch</t>
  </si>
  <si>
    <t>Havana</t>
  </si>
  <si>
    <t>Gelmeshira</t>
  </si>
  <si>
    <t>Kefira</t>
  </si>
  <si>
    <t>Jimma District</t>
  </si>
  <si>
    <t>Abajifar</t>
  </si>
  <si>
    <t>Jimma</t>
  </si>
  <si>
    <t>Aman</t>
  </si>
  <si>
    <t>sundary creditors</t>
  </si>
  <si>
    <t>FT made without customer signature from asnakech tafesse to jemal ahmed</t>
  </si>
  <si>
    <t>cash withdrawl from pl without receipt</t>
  </si>
  <si>
    <t>FT made without customer signature from zinaw habte to habtamu baykeda</t>
  </si>
  <si>
    <t>ft made without customerfrom wubrist abebayehu to getnet worku</t>
  </si>
  <si>
    <t>Assosa</t>
  </si>
  <si>
    <t xml:space="preserve">Total fixed asset </t>
  </si>
  <si>
    <t>Sundary debitors</t>
  </si>
  <si>
    <t xml:space="preserve">Defective fixed asset found at the branch 3, cash counting machies and 2,passbook printers </t>
  </si>
  <si>
    <t>Bonga</t>
  </si>
  <si>
    <t>Long-term unconsolidated   POS cash advance(POS Cash advance of Birr  left over in the General Ledger for a long time without being deposited)</t>
  </si>
  <si>
    <t xml:space="preserve">                       -  </t>
  </si>
  <si>
    <t>Chora</t>
  </si>
  <si>
    <t>Difference of physical cash &amp; general leger due to cash fraud in february 08, 2025 at our branch -This matter has been charged by legal department and decision has been reached. Therefore legal department and management must be take  proper action how to resolve and provide the solution of this issue and to inform the branch .</t>
  </si>
  <si>
    <t>Total fixed asset:- there is no proper support documents which contains tag number and unit price of each fixed asset.</t>
  </si>
  <si>
    <t>Catch All - Unassigned PL (GL)</t>
  </si>
  <si>
    <t>S.D Cheque Books Stock Acct (Abnormal Balance)</t>
  </si>
  <si>
    <t>Sundry debtors (Holiday Advance on Salary /ETB12502 for ato MELKAMU ZELEKE/7000052092839 on january 01,2025) still outstanding.</t>
  </si>
  <si>
    <t>Loan with arrires of Ato OFGAHA ABERA DABA/7000035208227/ Staff Consumer loan status Expired(Loss)</t>
  </si>
  <si>
    <t>Loan with arrires of Ato OFGAHA ABERA DABA/7000041713367/ Staff Emergency loan status Expired(Loss)</t>
  </si>
  <si>
    <t>Zero Balannce Found at the Branch</t>
  </si>
  <si>
    <t>Fixed asset Absence of tag number :- Authomatic generator, Scanner, switch , UV light mini size-cable, 6 divider, 2 Three stears guest chair, 2 metal file cabinet, 4 plastic chair, desktop calculating CASIO.</t>
  </si>
  <si>
    <t xml:space="preserve"> Fire extingusher/NIB/CHORB/02/005 is not returned to the  branch.</t>
  </si>
  <si>
    <t>Security Condition of the branch-Front Branch Door and some front side  part  of the branch  is not covered by a glass panel(covered metal frame only without glass panel) and rainfalls inter inside of the branch.</t>
  </si>
  <si>
    <t>Security condition of the branch- the ceiling inside the branch is falling apart at enterance of the branch.</t>
  </si>
  <si>
    <t>ATM cards &amp; PIN mailers were not delivered to the respective account holders/ customers  for a long period of time but commission is collected 25</t>
  </si>
  <si>
    <t>Account tranfer without signaure from MELAK BIRU GOBEZE
 Account number ,7000038760462</t>
  </si>
  <si>
    <t>Cash withdrawal without signaure from MELAK BIRU GOBEZE
 Account number ,7000038760462</t>
  </si>
  <si>
    <t>There is no cash deliver book(blotter) as a branch for Junior banking officiers  &amp; Branch manager (only for Banking Business Manager is available at the branch).</t>
  </si>
  <si>
    <t>GHIMBI</t>
  </si>
  <si>
    <t xml:space="preserve">Defective fixed asset found at the branch 2, cash counting machies and 2,passbook printers </t>
  </si>
  <si>
    <t>JIMMA</t>
  </si>
  <si>
    <t>Long outstanding items.  CPO</t>
  </si>
  <si>
    <t>JIMMA MENHERIA</t>
  </si>
  <si>
    <t xml:space="preserve">Inter Branch Account - T24 </t>
  </si>
  <si>
    <t>TOTAL FIXED ASSETS</t>
  </si>
  <si>
    <t xml:space="preserve">System suspense account AC </t>
  </si>
  <si>
    <t>TOTAL UNCLEARED EFFECT - LOCAL</t>
  </si>
  <si>
    <t xml:space="preserve">Interest On NPLS </t>
  </si>
  <si>
    <t>TOTAL SUNDERY DEBTORS</t>
  </si>
  <si>
    <t xml:space="preserve">TOTAL SUNDRY CREDITORS </t>
  </si>
  <si>
    <t>Meti</t>
  </si>
  <si>
    <t>Defective/obsolete fixed assets found at the branch (Casio Calculator(1),HP-LASERJET PRINTER M404DN(1),COMPUTER WITH ACC(2))</t>
  </si>
  <si>
    <t>Claims On Head Office/Branches(1000=PETROL EXPENCE FOR SITE ENGNEER JUN 29,2023 &amp; 11.300=PERDIAM AND TRAVELING EXPENSE TO JIMMA TRAINING FOR W/T KOKOBE NEGESSE AND W/T ZINE MENGISTU  NOV 24,2023 &amp; 7,600=PERDIAM AND TRAVELING EXPENSE TO HEAD OFFICE TRAINING FOR ATO FIKSDU BIRBIRSA AUG 11,2023 &amp; 12,600=PERDIAM AND TRAVELING EXPENSE TO JIMMA TRAINING FOR W/T KOKOBE NEGESSE AND W/T ZINE MENGISTU AND HABTAMU YASAB  JUN 30/2025...)</t>
  </si>
  <si>
    <t xml:space="preserve">MIZAN </t>
  </si>
  <si>
    <t>Difference observed on ATM cash balance.(The physical cash count balance of ATM  have shown a difference of Birr  compared with the general ledger balance for along time . )</t>
  </si>
  <si>
    <t>Lady searcher was not assigned at our branch.</t>
  </si>
  <si>
    <t>Nib Halal Areboch Tera</t>
  </si>
  <si>
    <t>Absecence of foriegn currence putting table on voult</t>
  </si>
  <si>
    <t>S.D Cheque Books Stock Acct  (Abnormal Balance)</t>
  </si>
  <si>
    <t>absence  of gun</t>
  </si>
  <si>
    <t>different date</t>
  </si>
  <si>
    <t>ATM cards &amp; PIN mailers were not delivered to the respective account holders/ customers for a long period of time as presented below.209 Card 267 PIN</t>
  </si>
  <si>
    <t>Tepi</t>
  </si>
  <si>
    <t>03 JUL 226</t>
  </si>
  <si>
    <t xml:space="preserve">ABSENCE OF of convenctional and IFB deposit vouture </t>
  </si>
  <si>
    <t>Absence of conventional fund transfer tiket</t>
  </si>
  <si>
    <t>Absence of manual deposit recept</t>
  </si>
  <si>
    <t>There is unreturned cpo in the branch above one year</t>
  </si>
  <si>
    <t>24 JUL 202</t>
  </si>
  <si>
    <t>Fund transfer were Made without Customer's Signature/SHUMET TENAW</t>
  </si>
  <si>
    <t>6886 inactive accounts found at the branch</t>
  </si>
  <si>
    <t>22/07/2023</t>
  </si>
  <si>
    <t>OUR X-STAFF  TILL HAS -50000 WHEN HE CLOSE THE TILL AT AN OTHER BRANCH /WE DON’T KNOW THE REASEN TIL NO 2540</t>
  </si>
  <si>
    <t>DIFFERENT DAYS</t>
  </si>
  <si>
    <t>OUR CUSTOMER ACCOUNT BALANCE SHOW NEGATIVE  WHEN WE SEE AND INCREASE THE NEGATIVE BALANCE MONTHLY STARTED FROM 31 DEC 2024 UP TO TODAY  . WE DON’T KNOW THE REASON</t>
  </si>
  <si>
    <t>July20,2026</t>
  </si>
  <si>
    <t>Fund transfer were Made without Customer's Signature/KES TIBEBU BIYADGILIGN</t>
  </si>
  <si>
    <t>Wacha</t>
  </si>
  <si>
    <t xml:space="preserve"> ATM cards &amp; PIN mailers were not delivered to the respective account holders/ customers for a long period of time as presented below. </t>
  </si>
  <si>
    <t>No.of cases</t>
  </si>
  <si>
    <t>No.of Case</t>
  </si>
  <si>
    <t>Cheque Book Case</t>
  </si>
  <si>
    <t>Nekemte</t>
  </si>
  <si>
    <t>Maturnity Leave</t>
  </si>
  <si>
    <t>Mettu</t>
  </si>
  <si>
    <t>Annual Leave</t>
  </si>
  <si>
    <t>Gambella</t>
  </si>
  <si>
    <t>Controller not Assigned</t>
  </si>
  <si>
    <t>Agaro</t>
  </si>
  <si>
    <t xml:space="preserve">Bedele </t>
  </si>
  <si>
    <t>Bishishe</t>
  </si>
  <si>
    <t>Dimma</t>
  </si>
  <si>
    <t>Limu Genet</t>
  </si>
  <si>
    <t>Bambasi</t>
  </si>
  <si>
    <t>Tarcha</t>
  </si>
  <si>
    <t>Dembidolo</t>
  </si>
  <si>
    <t>Mendi</t>
  </si>
  <si>
    <t>Masha</t>
  </si>
  <si>
    <t>Bako</t>
  </si>
  <si>
    <t>Mekelle</t>
  </si>
  <si>
    <t xml:space="preserve">15/07/2025 </t>
  </si>
  <si>
    <t>Sundry debtors  Enginer ElimTesfay air ticket Date birr4146 to Recivable from customer Hagush g/medihn</t>
  </si>
  <si>
    <t>Mesobo</t>
  </si>
  <si>
    <t>22-07-2026</t>
  </si>
  <si>
    <t>20USD were   Returned   from 
Treasury.</t>
  </si>
  <si>
    <t>20USD</t>
  </si>
  <si>
    <t xml:space="preserve">Dormant accounts Found 
at the branch  </t>
  </si>
  <si>
    <t>513ATM cards &amp;628 PIN mailers were not delivered to the respective account holders/ customers for a long period of time as presented below.</t>
  </si>
  <si>
    <t>21-07-26</t>
  </si>
  <si>
    <t xml:space="preserve">Fund Transfer without signitur 
From  Ephrem Alem /7000107620767/
 TO Kassahun G/michael 7000013505328/
</t>
  </si>
  <si>
    <t>Adi Haki</t>
  </si>
  <si>
    <t>1/7/206</t>
  </si>
  <si>
    <t xml:space="preserve"> Fund transfer  With out  signatur of  account holde 
 GEBRESILASIE GEBREGZABHER (241IFW 394 )</t>
  </si>
  <si>
    <t>Hawlti</t>
  </si>
  <si>
    <t>The branch has to possess a gun /weapon/ to safe guard.</t>
  </si>
  <si>
    <t>Wukro</t>
  </si>
  <si>
    <t>Adigrat</t>
  </si>
  <si>
    <t>Total ATM cards  are 168  from those 108ATM cards with108PIN mailers  equal , 60 cards  are no need pin mailers   generates  pin the system it  self   were not delivered to the respective account holders/ customers for a long period of time as presented below.</t>
  </si>
  <si>
    <t>Axum</t>
  </si>
  <si>
    <t>Total ATM cards are 223 from those   198 ATM cards are no need  pin mailerds   generates  system it self   25 cars are  with pin mailers  s were not delivered to the respective account holders/ customers for a long period of time as presented below.</t>
  </si>
  <si>
    <t>Shire</t>
  </si>
  <si>
    <t>13 Standardize checks cost of check deducted but not deliverd to customers</t>
  </si>
  <si>
    <t>357 ATM cards 427 PIN  mailers were not delivered to the respective account holders/ customers for a long period of time as presented 3</t>
  </si>
  <si>
    <t>As of JUNE  31 2026 month report</t>
  </si>
  <si>
    <t xml:space="preserve">Dessie Branch </t>
  </si>
  <si>
    <t xml:space="preserve">Dessie </t>
  </si>
  <si>
    <t>Cash in teller</t>
  </si>
  <si>
    <t>Difference observed on ATM cash balance.(The physical cash count balance of ATM  have shown a difference of Birr 5887.25 compared with the general ledger balance . )</t>
  </si>
  <si>
    <t>Dessie   Fund transfer without signature</t>
  </si>
  <si>
    <t xml:space="preserve"> Sundry creditors:to be refund to pl account (ETB17568)</t>
  </si>
  <si>
    <t xml:space="preserve">Claims on Branchs &amp; HO-ETB
</t>
  </si>
  <si>
    <t xml:space="preserve">CPO payable </t>
  </si>
  <si>
    <t>Interst on NPLS</t>
  </si>
  <si>
    <t>sundary debtor micslaneous -Receiveable</t>
  </si>
  <si>
    <t>LMT transfer sundary debtors to dessie LMTS</t>
  </si>
  <si>
    <t>VARIOUS PAYABLE FOR MIGRATION</t>
  </si>
  <si>
    <t>CONFIRMATION COMMISION TO HO</t>
  </si>
  <si>
    <t>Exchange payable to NBE</t>
  </si>
  <si>
    <t>MTS/TTS/payable local LMTS</t>
  </si>
  <si>
    <t>s d cheque books</t>
  </si>
  <si>
    <t>TT"s recived</t>
  </si>
  <si>
    <t xml:space="preserve">ATM cards(670) &amp; PIN mailers(419) were differ </t>
  </si>
  <si>
    <t>Ayiteyef</t>
  </si>
  <si>
    <t>Sundery debtors miscellaneous-lcy</t>
  </si>
  <si>
    <t>Payable to disaster risk mgt</t>
  </si>
  <si>
    <t xml:space="preserve"> Temp Susp. Repymnt Amount</t>
  </si>
  <si>
    <t xml:space="preserve">Claims On Head Office/Branches  </t>
  </si>
  <si>
    <t xml:space="preserve"> RTGS Receivable</t>
  </si>
  <si>
    <t xml:space="preserve"> Income Tax on Sav Int. Paid </t>
  </si>
  <si>
    <t>Sundry creditor miscellaneous-lcy</t>
  </si>
  <si>
    <t>ATM cards(254) &amp; PIN mailers(159) were differ</t>
  </si>
  <si>
    <t xml:space="preserve"> Credit Information Charge Pay </t>
  </si>
  <si>
    <t>Damaged fixed asset hold  and Used  at a branch</t>
  </si>
  <si>
    <t>Lakomelza</t>
  </si>
  <si>
    <t>Dessie</t>
  </si>
  <si>
    <t xml:space="preserve">Fund transfer without signature </t>
  </si>
  <si>
    <t>ATM cards(314) &amp; PIN mailers(247) were differ.</t>
  </si>
  <si>
    <t>Catch all -Unassinegd</t>
  </si>
  <si>
    <t>Sundry debtors : kept under this ACCOUNT for a long period without any solution</t>
  </si>
  <si>
    <t xml:space="preserve">Woldia </t>
  </si>
  <si>
    <t>Difference observed on ATM cash balance.(The physical cash count balance of ATM  have shown a difference of Birr  ---- compared with the general ledger balance . )</t>
  </si>
  <si>
    <t>SUNDERY DEBTORS-Miscellaneous - LCY(amount which was stolen during the northen ethiopian war time).</t>
  </si>
  <si>
    <t xml:space="preserve">Poss cash advance </t>
  </si>
  <si>
    <t xml:space="preserve">Inter Branch Account -T24 </t>
  </si>
  <si>
    <t>Temp. susp. Repayment amount (ETB17557)</t>
  </si>
  <si>
    <t>Mersa</t>
  </si>
  <si>
    <t>ATM  cards(369) without pinmailers</t>
  </si>
  <si>
    <t>Defective/obsolete fixed assets found at the branch (Tellers chair)</t>
  </si>
  <si>
    <t xml:space="preserve">defective/obsolete fixed assets found at the branch telephone &amp; Counting Machine) </t>
  </si>
  <si>
    <t>Damaged fixed asset hold &amp; Used  at a branch (some tables &amp; drawers)</t>
  </si>
  <si>
    <r>
      <rPr>
        <sz val="10"/>
        <color rgb="FFFF0000"/>
        <rFont val="Times New Roman"/>
        <family val="1"/>
      </rPr>
      <t>Sundry debtors : kept under this ACCOUNT for a long period wout any solution (Miscellaneous-lcy</t>
    </r>
    <r>
      <rPr>
        <sz val="10"/>
        <color rgb="FF000000"/>
        <rFont val="Times New Roman"/>
        <family val="1"/>
      </rPr>
      <t xml:space="preserve">    </t>
    </r>
    <r>
      <rPr>
        <sz val="10"/>
        <color rgb="FFFF0000"/>
        <rFont val="Times New Roman"/>
        <family val="1"/>
      </rPr>
      <t>)(for what purpose)</t>
    </r>
  </si>
  <si>
    <t>Sundry creditors:kept under this ACCOUNT for a long period wout any solution i.e. stamp duty charge, sundry creditor-misc &amp; temp.susp.repayment amount</t>
  </si>
  <si>
    <t>Kobbo</t>
  </si>
  <si>
    <t xml:space="preserve">defective/obsolete fixed assets found at the branch9ups, Metal detecto &amp; Counting Machine) </t>
  </si>
  <si>
    <t>there is no foreign currency rate display at branch</t>
  </si>
  <si>
    <t>kombolcha</t>
  </si>
  <si>
    <t>Cash Lost during Northern War Kept Under Miscellaneous - LCY (ETB12548)</t>
  </si>
  <si>
    <t>Difference observed on ATM cash balance.(The physical cash count balance of ATM  have shown a difference of Birr 30818.4compared with the general ledger balance . )</t>
  </si>
  <si>
    <t>MIS Match 382 PIN=365 AND 17 ATM Card not have pin mailer and 3 other branch ATM cards and 94 card issue not delivered to customer</t>
  </si>
  <si>
    <t>Various Year End Accruals  Dispay on GL</t>
  </si>
  <si>
    <t xml:space="preserve">Income Tax on Sav Int. Paid </t>
  </si>
  <si>
    <t xml:space="preserve">Vat Payable </t>
  </si>
  <si>
    <t xml:space="preserve">Payable to Diasaster Risk Mgt </t>
  </si>
  <si>
    <t>Income Tax payable (ETB17210)</t>
  </si>
  <si>
    <t>Acct Payable - Pension Contr.(ETB17601)</t>
  </si>
  <si>
    <t>Logia</t>
  </si>
  <si>
    <t>Shewarobit</t>
  </si>
  <si>
    <t>Lalibela</t>
  </si>
  <si>
    <t>Sundry creditors:kept under this ACCOUNT for a long period wout any solution</t>
  </si>
  <si>
    <t>Miscellaneous LCY</t>
  </si>
  <si>
    <t>Sundry debtors -(e-birr float recievable)</t>
  </si>
  <si>
    <t>Haik</t>
  </si>
  <si>
    <t>Kemissie</t>
  </si>
  <si>
    <t xml:space="preserve">Sundry creditors: The mount kept without any source document </t>
  </si>
  <si>
    <t>Damaged fixed asset hold  and Used  at the branch</t>
  </si>
  <si>
    <t>Sundry creditors:kept under this ACCOUNT for a long period without any solution</t>
  </si>
  <si>
    <t>Bati</t>
  </si>
  <si>
    <t>Sundry debtors : Staff hollyday advance of Ato Seid Hassen for EID-Al Arefa 2026</t>
  </si>
  <si>
    <t>Sundry creditors: PF of some staffs it is until theire account open</t>
  </si>
  <si>
    <t>claim for wage expense when loading fire proof safe box from bati branch to Dessie Distric</t>
  </si>
  <si>
    <t>Hassasa</t>
  </si>
  <si>
    <t>ATM cards &amp; PIN mailers were not delivered to the respective account holders/ customers for a long period of time as presented below.448ATm&amp;446Pin</t>
  </si>
  <si>
    <t>Digelu</t>
  </si>
  <si>
    <t>UP TO JuLY,31/26</t>
  </si>
  <si>
    <t xml:space="preserve">   Abnormal balances of ATM cash </t>
  </si>
  <si>
    <t>Total No. of Branches</t>
  </si>
  <si>
    <t>No. of zero balance  account</t>
  </si>
  <si>
    <t>rectified percetage</t>
  </si>
  <si>
    <t>A</t>
  </si>
  <si>
    <t>B</t>
  </si>
  <si>
    <t>F</t>
  </si>
  <si>
    <t>G</t>
  </si>
  <si>
    <t>Bahi Dar</t>
  </si>
  <si>
    <t>DIREDAWA</t>
  </si>
  <si>
    <t>Current</t>
  </si>
  <si>
    <t>Previous</t>
  </si>
  <si>
    <t>Weekly rectification</t>
  </si>
  <si>
    <t xml:space="preserve">Others Case No </t>
  </si>
  <si>
    <t>No. of  Branches not dispatched</t>
  </si>
  <si>
    <t>No. of  Branches Dispatched reports</t>
  </si>
  <si>
    <t>Total No. of cases</t>
  </si>
  <si>
    <t>D</t>
  </si>
  <si>
    <t>E</t>
  </si>
  <si>
    <t>I</t>
  </si>
  <si>
    <t>Name of  Districts</t>
  </si>
  <si>
    <t>Monthly Controllers report as at July 2026</t>
  </si>
  <si>
    <t>Monthly Controllers report as at july 2026</t>
  </si>
  <si>
    <t>Mekelle District</t>
  </si>
  <si>
    <t xml:space="preserve">Sundry creditors-cost of Check until claim is deliverd  </t>
  </si>
  <si>
    <t xml:space="preserve">cost of Check until claim is deliverd    </t>
  </si>
  <si>
    <t>1 % DISASTER BIRR</t>
  </si>
  <si>
    <t>customer (M.E FLOUR Factory )  birr not paid loan fully because of court case.</t>
  </si>
  <si>
    <t xml:space="preserve"> customers are closed loan file but the leaft unpaid amount of birr is recorded on receivable Acc.</t>
  </si>
  <si>
    <t xml:space="preserve">Sundry debtors -Advance on  salary   to Arefa  holiday. </t>
  </si>
  <si>
    <t xml:space="preserve">Sundry debtors -paid to purpose of to buy gun for branch security. </t>
  </si>
  <si>
    <t xml:space="preserve">CLAIM HO AND BRANCH -10 DAYS  EMPLOYEE SALARY </t>
  </si>
  <si>
    <r>
      <t>Long-term unconsolidated   POS cash advance(POS Cash advance of Bir</t>
    </r>
    <r>
      <rPr>
        <i/>
        <sz val="10"/>
        <color rgb="FFFF0000"/>
        <rFont val="Cambria"/>
        <family val="1"/>
        <scheme val="major"/>
      </rPr>
      <t xml:space="preserve"> </t>
    </r>
    <r>
      <rPr>
        <i/>
        <sz val="10"/>
        <color rgb="FF000000"/>
        <rFont val="Cambria"/>
        <family val="1"/>
        <scheme val="major"/>
      </rPr>
      <t>left over in the General Ledger for a long time without being deposited)</t>
    </r>
  </si>
  <si>
    <t>Difference observed on ATM cash balance.(The physical cash count balance of ATM  have shown Cash shortage a difference of Birr 56,150.38compared with the general ledger balance and show cash Overage(Excess) a difference of Birr -----compared with ATM Cassette Type denomination  )</t>
  </si>
  <si>
    <t xml:space="preserve">Accr interest on Gov't bond &amp;Dep </t>
  </si>
  <si>
    <t>temp loan repayment acct</t>
  </si>
  <si>
    <t xml:space="preserve">Loan Balance correctionExpense </t>
  </si>
  <si>
    <t xml:space="preserve">60,304.35 2   </t>
  </si>
  <si>
    <t>Deposit act in process in opening</t>
  </si>
  <si>
    <t xml:space="preserve">Loan Balance Correction Income </t>
  </si>
  <si>
    <t xml:space="preserve">COURT CASE PYMT </t>
  </si>
  <si>
    <t xml:space="preserve">LMTS SettlemenPymt  </t>
  </si>
  <si>
    <t>MEKANISA KORE</t>
  </si>
  <si>
    <r>
      <t xml:space="preserve">Difference observed on ATM cash balance.(The physical cash count balance of ATM  have shown a difference of Birr </t>
    </r>
    <r>
      <rPr>
        <b/>
        <i/>
        <sz val="12"/>
        <color rgb="FF000000"/>
        <rFont val="Cambria"/>
        <family val="1"/>
        <scheme val="major"/>
      </rPr>
      <t xml:space="preserve">…35,693.77 </t>
    </r>
    <r>
      <rPr>
        <b/>
        <i/>
        <sz val="12"/>
        <color rgb="FFFF0000"/>
        <rFont val="Cambria"/>
        <family val="1"/>
        <scheme val="major"/>
      </rPr>
      <t xml:space="preserve"> Excess </t>
    </r>
    <r>
      <rPr>
        <i/>
        <sz val="12"/>
        <color rgb="FF000000"/>
        <rFont val="Cambria"/>
        <family val="1"/>
        <scheme val="major"/>
      </rPr>
      <t>compared with the general ledger balance . )</t>
    </r>
  </si>
  <si>
    <t>ACCOUNT MANAGEMENT</t>
  </si>
  <si>
    <t>Abnormal Balnce</t>
  </si>
  <si>
    <t>Catch All Unassigned PLC</t>
  </si>
  <si>
    <r>
      <t xml:space="preserve">ATM cards &amp; PIN mailers were not delivered to the respective account holders/ customers for a long period of time as presented below. </t>
    </r>
    <r>
      <rPr>
        <b/>
        <i/>
        <sz val="12"/>
        <color rgb="FFFF0000"/>
        <rFont val="Cambria"/>
        <family val="1"/>
        <scheme val="major"/>
      </rPr>
      <t>ATM Card = 269   PIN Mailers = 73</t>
    </r>
  </si>
  <si>
    <r>
      <t xml:space="preserve">Mismatch Between ATM Card &amp; Pin Mailers </t>
    </r>
    <r>
      <rPr>
        <b/>
        <i/>
        <sz val="12"/>
        <color rgb="FFFF0000"/>
        <rFont val="Cambria"/>
        <family val="1"/>
        <scheme val="major"/>
      </rPr>
      <t>ATM Card =269    PIN Mailers = 73</t>
    </r>
  </si>
  <si>
    <t>Sarbet</t>
  </si>
  <si>
    <r>
      <t xml:space="preserve">Difference observed on ATM cash balance.(The physical cash count balance of ATM  have shown a difference of Birr11,940.56. </t>
    </r>
    <r>
      <rPr>
        <i/>
        <sz val="10"/>
        <color rgb="FFFF0000"/>
        <rFont val="Cambria"/>
        <family val="1"/>
        <scheme val="major"/>
      </rPr>
      <t>EXCESS</t>
    </r>
    <r>
      <rPr>
        <i/>
        <sz val="10"/>
        <color rgb="FF000000"/>
        <rFont val="Cambria"/>
        <family val="1"/>
        <scheme val="major"/>
      </rPr>
      <t>compared with the general ledger balance . )</t>
    </r>
  </si>
  <si>
    <t>account management</t>
  </si>
  <si>
    <t>loan &amp; advance</t>
  </si>
  <si>
    <r>
      <t xml:space="preserve">ATM cards &amp; PIN mailers were not delivered to the respective account holders/ customers for a long period of time as presented below.   </t>
    </r>
    <r>
      <rPr>
        <i/>
        <sz val="10"/>
        <color rgb="FFFF0000"/>
        <rFont val="Cambria"/>
        <family val="1"/>
        <scheme val="major"/>
      </rPr>
      <t>ATM CARD =</t>
    </r>
    <r>
      <rPr>
        <i/>
        <sz val="10"/>
        <color rgb="FF000000"/>
        <rFont val="Cambria"/>
        <family val="1"/>
        <scheme val="major"/>
      </rPr>
      <t>817  &amp;</t>
    </r>
    <r>
      <rPr>
        <i/>
        <sz val="10"/>
        <color rgb="FFFF0000"/>
        <rFont val="Cambria"/>
        <family val="1"/>
        <scheme val="major"/>
      </rPr>
      <t>PIN</t>
    </r>
    <r>
      <rPr>
        <i/>
        <sz val="10"/>
        <color rgb="FF000000"/>
        <rFont val="Cambria"/>
        <family val="1"/>
        <scheme val="major"/>
      </rPr>
      <t xml:space="preserve">=473    </t>
    </r>
  </si>
  <si>
    <t>Sefere Selam</t>
  </si>
  <si>
    <t>difference observed on ATM cash balance104,600(The physical cash count balance of ATM  have shown a difference of Birr 600 compared with the general ledger balance 105,200)</t>
  </si>
  <si>
    <t xml:space="preserve">In Our Branch 262 physical standard checks that have not been delivered to the customer for a long period of time. </t>
  </si>
  <si>
    <t>Migration suspense accounts ( System Corapetd Loan)</t>
  </si>
  <si>
    <t>Catch all -Unassigned (Loan Account Corapted )</t>
  </si>
  <si>
    <t>Zero   balance  Account Found at branch</t>
  </si>
  <si>
    <t xml:space="preserve">ATM cards &amp; PIN mailers were not delivered to the respective account holders/ customers for a long period of time as presented below.ATM Card = 479   , Pin =496,  D/CE 17                                   
</t>
  </si>
  <si>
    <t>Shera Tera</t>
  </si>
  <si>
    <t>Cash in teller show some amount but the cash is not found in our valut Before 3 Years While  Staff  Transfer Till  Cash To Vault This  Error Happened</t>
  </si>
  <si>
    <t>Dormant Account found our  branch</t>
  </si>
  <si>
    <t>Mismatch of pin and card: Card No Hand (27) But Not Pin (And Pin On Hand (10) But Not Card(10)</t>
  </si>
  <si>
    <t xml:space="preserve">Account   Transfer  with out customer signature  account holder name  (Getauhun Dejene) </t>
  </si>
  <si>
    <t>Account   transfer  with out customer signature  account holder name  (Aseter nigusse)</t>
  </si>
  <si>
    <t>Account  transfer  with out customer signature  account holder name  (Aster Nigusise)</t>
  </si>
  <si>
    <t>Sidamo Tera</t>
  </si>
  <si>
    <t xml:space="preserve">(-27,238,174.83) </t>
  </si>
  <si>
    <t xml:space="preserve">Migration suspense accounts </t>
  </si>
  <si>
    <t>ATM cards &amp; PIN mailers were not delivered to the respective account holders/ customers for a long period of time . ATM 455 AND PIN 303</t>
  </si>
  <si>
    <t>T/Haymanot</t>
  </si>
  <si>
    <t>Difference observed on ATM cash balance.(The physical cash count balance of ATM =60,000.00have shown a diff(46,650) compared with the General Ledger balance = 13,350.00)</t>
  </si>
  <si>
    <r>
      <t xml:space="preserve"> Standared Cheque books prepared but not delivered to customers for a long period of time.</t>
    </r>
    <r>
      <rPr>
        <sz val="10"/>
        <color theme="1"/>
        <rFont val="Calibri"/>
        <family val="2"/>
        <scheme val="minor"/>
      </rPr>
      <t xml:space="preserve"> (533leaves),1. 50 BUSINESS 3RD BATCH </t>
    </r>
    <r>
      <rPr>
        <b/>
        <sz val="10"/>
        <color theme="1"/>
        <rFont val="Calibri"/>
        <family val="2"/>
        <scheme val="minor"/>
      </rPr>
      <t>1.</t>
    </r>
    <r>
      <rPr>
        <sz val="10"/>
        <color theme="1"/>
        <rFont val="Calibri"/>
        <family val="2"/>
        <scheme val="minor"/>
      </rPr>
      <t xml:space="preserve"> 271*42=11,382.00 </t>
    </r>
    <r>
      <rPr>
        <b/>
        <sz val="10"/>
        <color theme="1"/>
        <rFont val="Calibri"/>
        <family val="2"/>
        <scheme val="minor"/>
      </rPr>
      <t>2.</t>
    </r>
    <r>
      <rPr>
        <sz val="10"/>
        <color theme="1"/>
        <rFont val="Calibri"/>
        <family val="2"/>
        <scheme val="minor"/>
      </rPr>
      <t xml:space="preserve">100 BUSINESS 3RD BATCH 9*84=756.00 </t>
    </r>
    <r>
      <rPr>
        <b/>
        <sz val="10"/>
        <color theme="1"/>
        <rFont val="Calibri"/>
        <family val="2"/>
        <scheme val="minor"/>
      </rPr>
      <t>3.</t>
    </r>
    <r>
      <rPr>
        <sz val="10"/>
        <color theme="1"/>
        <rFont val="Calibri"/>
        <family val="2"/>
        <scheme val="minor"/>
      </rPr>
      <t xml:space="preserve"> 50 PERSONAL 2ND BATCH 53*38.50=2040.50, </t>
    </r>
    <r>
      <rPr>
        <b/>
        <sz val="10"/>
        <color theme="1"/>
        <rFont val="Calibri"/>
        <family val="2"/>
        <scheme val="minor"/>
      </rPr>
      <t xml:space="preserve">4. </t>
    </r>
    <r>
      <rPr>
        <sz val="10"/>
        <color theme="1"/>
        <rFont val="Calibri"/>
        <family val="2"/>
        <scheme val="minor"/>
      </rPr>
      <t xml:space="preserve">25 PERSONAL 3RD BATCH55*19.25=1058.75,  </t>
    </r>
    <r>
      <rPr>
        <b/>
        <sz val="10"/>
        <color theme="1"/>
        <rFont val="Calibri"/>
        <family val="2"/>
        <scheme val="minor"/>
      </rPr>
      <t xml:space="preserve">5. </t>
    </r>
    <r>
      <rPr>
        <sz val="10"/>
        <color theme="1"/>
        <rFont val="Calibri"/>
        <family val="2"/>
        <scheme val="minor"/>
      </rPr>
      <t>50 PERSONAL 3RD BATCH 146*55=5621.00</t>
    </r>
  </si>
  <si>
    <t>Total fixed asset(POS)</t>
  </si>
  <si>
    <r>
      <rPr>
        <b/>
        <i/>
        <sz val="10"/>
        <color rgb="FF000000"/>
        <rFont val="Cambria"/>
        <family val="1"/>
        <scheme val="major"/>
      </rPr>
      <t>sundry debtors</t>
    </r>
    <r>
      <rPr>
        <i/>
        <sz val="10"/>
        <color rgb="FF000000"/>
        <rFont val="Cambria"/>
        <family val="1"/>
        <scheme val="major"/>
      </rPr>
      <t xml:space="preserve"> Accrued interset on Gov't bond &amp;department=</t>
    </r>
    <r>
      <rPr>
        <b/>
        <i/>
        <sz val="10"/>
        <color rgb="FF000000"/>
        <rFont val="Cambria"/>
        <family val="1"/>
        <scheme val="major"/>
      </rPr>
      <t xml:space="preserve">18,477.52,. </t>
    </r>
    <r>
      <rPr>
        <i/>
        <sz val="10"/>
        <color rgb="FF000000"/>
        <rFont val="Cambria"/>
        <family val="1"/>
        <scheme val="major"/>
      </rPr>
      <t>Staff recivable salary penality &amp;Advance on salary of Ex-staff Esmael=</t>
    </r>
    <r>
      <rPr>
        <b/>
        <i/>
        <sz val="10"/>
        <color rgb="FF000000"/>
        <rFont val="Cambria"/>
        <family val="1"/>
        <scheme val="major"/>
      </rPr>
      <t>112.29,</t>
    </r>
    <r>
      <rPr>
        <i/>
        <sz val="10"/>
        <color rgb="FF000000"/>
        <rFont val="Cambria"/>
        <family val="1"/>
        <scheme val="major"/>
      </rPr>
      <t xml:space="preserve"> Staff recivable-arising from 11 days salary&amp;transportation of EX-staff Asmera Jotie=</t>
    </r>
    <r>
      <rPr>
        <b/>
        <i/>
        <sz val="10"/>
        <color rgb="FF000000"/>
        <rFont val="Cambria"/>
        <family val="1"/>
        <scheme val="major"/>
      </rPr>
      <t>837.84</t>
    </r>
    <r>
      <rPr>
        <i/>
        <sz val="10"/>
        <color rgb="FF000000"/>
        <rFont val="Cambria"/>
        <family val="1"/>
        <scheme val="major"/>
      </rPr>
      <t>,Staff recivable-arising from one month penality of EX-staff Asmera Jotie=</t>
    </r>
    <r>
      <rPr>
        <b/>
        <i/>
        <sz val="10"/>
        <color rgb="FF000000"/>
        <rFont val="Cambria"/>
        <family val="1"/>
        <scheme val="major"/>
      </rPr>
      <t>4,075.00</t>
    </r>
  </si>
  <si>
    <t>Inter branchpayment (Abinet Branch customer 005SAV14015 MULU KEBEDE</t>
  </si>
  <si>
    <t>Miscllaneus LCY :Rescedule loan of customer account but Accured  interst not collected</t>
  </si>
  <si>
    <t>Temporary overdrawn C/A</t>
  </si>
  <si>
    <t>ATM cards &amp; PIN mailers were not delivered to the respective account holders/ customers for a long period of time as presented below.CARDS 73 and PINS 92</t>
  </si>
  <si>
    <t>Tana</t>
  </si>
  <si>
    <t>Difference observed on ATM cash balance.(The physical cash count balance of ATM Birr 715,400.00 have shown a difference of Birr ... compared with the general ledger balance 1,396,660.40)</t>
  </si>
  <si>
    <t>A subsidiary ledger balance of the following account was found different from its respective general ledger balance as of 31/07/2026 ECX Pay in A/C.</t>
  </si>
  <si>
    <t>Amount transferred from TT's received account &amp; kept under ETB12548</t>
  </si>
  <si>
    <t>Amount transferred from margin held account &amp; kept under ETB12548</t>
  </si>
  <si>
    <t>ATM cards &amp; PIN mailers were not delivered to the respective account holders/ customers for a long period of time as presented below.PIN mailers 73 and ATM cards 518</t>
  </si>
  <si>
    <t>Tatari</t>
  </si>
  <si>
    <r>
      <t xml:space="preserve"> Standared Cheque books prepared but not delivered to customers for a long period of time.</t>
    </r>
    <r>
      <rPr>
        <sz val="10"/>
        <color theme="1"/>
        <rFont val="Calibri"/>
        <family val="2"/>
        <scheme val="minor"/>
      </rPr>
      <t xml:space="preserve"> </t>
    </r>
  </si>
  <si>
    <t xml:space="preserve">        System Suspense AA </t>
  </si>
  <si>
    <t xml:space="preserve">       Migration Suspense Accounts  </t>
  </si>
  <si>
    <t>Tiret</t>
  </si>
  <si>
    <t xml:space="preserve">Contingent Asset </t>
  </si>
  <si>
    <t>Account Transfer from 7000037799195  ofAriyasilase Tsega  Transfer to 7000001415773 TIZAZU ZEWGE</t>
  </si>
  <si>
    <t>Tor Hayloch</t>
  </si>
  <si>
    <t>Three ATMS that previously existed at our branch ,however when they were removed ,not balanced. Two ATM showed positive balances and one ATM showed negative balance.</t>
  </si>
  <si>
    <t>ATM1=90,137.99 ATM2=-14500   ATM3=6,900</t>
  </si>
  <si>
    <t>our branch does not have any typs of pos machin however the GL shows 29,923 birr posetive balances</t>
  </si>
  <si>
    <t xml:space="preserve">standared Cheque books have been stayed  for a long period of time In our branch. 107 standared cheqe    100 leaves=4         50leave=71          25leave= 32   prepared but not diliverd to customer </t>
  </si>
  <si>
    <t xml:space="preserve">       Amount of   3,752birr</t>
  </si>
  <si>
    <t>CAtch all UN ASSINED PL</t>
  </si>
  <si>
    <t xml:space="preserve">Sundry debtors : uncollected RTGS Commssion </t>
  </si>
  <si>
    <t>Sundry creditors: Adustement and refound for ATM 4</t>
  </si>
  <si>
    <t>In our branch total number of account were converted to inactive status during these month</t>
  </si>
  <si>
    <t>ATM cards &amp; PIN mailers were not delivered to the respective account holders/ customers for a long period of time as presented below.ATm=396 PIN=8</t>
  </si>
  <si>
    <t>Birhanu tesfay account no 7000006436884 transfer to hiba nuru account no  cbe 100712322768(with out signature)</t>
  </si>
  <si>
    <t>mekdes zewudu account no 7000104596016 withdrawal (with out signature)</t>
  </si>
  <si>
    <t xml:space="preserve">mekdes zewudu account 7000104596016 transfer to Fikadu Awaje to Awash bank account no 01320270035200 (with out signature) </t>
  </si>
  <si>
    <t>al elab trading plc account 7000101561602 transfer to al elab trading plc Dashn bank account no 7923987240711  (with out signature)</t>
  </si>
  <si>
    <t>mulugata abrido and desalegn tamirat iqube account 7000102347523 transfer to mulugeta abrdo(with out signature)</t>
  </si>
  <si>
    <t>dr shemise legeso account7000012665046 transfer to gentium concret industry plc accoun no 7000110175987(with out signature)</t>
  </si>
  <si>
    <t>illang ethiopian accoun no 7000103184598 transfer  to birhanu tesfay account no 7000006436884 with out cheque and signuture only cheque deposit slip</t>
  </si>
  <si>
    <t>seifu nida and girum meles and desalegn iqube account no 7000064650357 transfer to desalegn shiku account no 7000001457198(with out signature)</t>
  </si>
  <si>
    <t>Yekaki Wordwot</t>
  </si>
  <si>
    <t xml:space="preserve">Phyisical Cash count difference with GL because of data migration </t>
  </si>
  <si>
    <t>absence of customer signature on account transfer form by account no (7000105430812)Gaze Nida transfer account no Abduwli Shekdno(7000053081601 the date of 29/07/2026</t>
  </si>
  <si>
    <t>absence of customer signature on account transfer form by account no (7000041920632 Mekiya Shemsu to transfer accounHirut Mulugeta(7000010688146  the date of  18/07/2026</t>
  </si>
  <si>
    <t xml:space="preserve">20card   with pin &amp;
   90 pin only  198 </t>
  </si>
  <si>
    <t>3/7/206</t>
  </si>
  <si>
    <t xml:space="preserve">1. RTGS  Transfer With out  signatur of  account holde 
  BIZUNESH NEGASH  (241SAV4964) 
 </t>
  </si>
  <si>
    <t xml:space="preserve">  promis to signture </t>
  </si>
  <si>
    <t xml:space="preserve">If the customer refuse signe or 
pass away signe or pass away the concerned  saff will 
accoutabl by the amoun
</t>
  </si>
  <si>
    <t xml:space="preserve">Call  Again  To  Have  Her Come  Sign </t>
  </si>
  <si>
    <t xml:space="preserve"> From District  Controller ( Gofa Gebriel surprse audit)</t>
  </si>
  <si>
    <t xml:space="preserve">Unwrapped cash note found in vault </t>
  </si>
  <si>
    <t>Improperly use the Branch Cash room</t>
  </si>
  <si>
    <t>Account Managbment</t>
  </si>
  <si>
    <t>Difference observed on Cheque book Stock Balance</t>
  </si>
  <si>
    <t>Observed Long Outstanding Items;Temp.sus.a/c</t>
  </si>
  <si>
    <r>
      <t xml:space="preserve">Cash Withdrawal was Made with a discrepancy </t>
    </r>
    <r>
      <rPr>
        <b/>
        <sz val="10"/>
        <color theme="1"/>
        <rFont val="Maiandra GD"/>
        <family val="2"/>
      </rPr>
      <t>has no customer endorsement signature</t>
    </r>
  </si>
  <si>
    <t>Cash Withdrawal was Made with a discrepancy amount in word (Ac.No. 213SAV258).</t>
  </si>
  <si>
    <r>
      <t xml:space="preserve">Cash Withdrawal was Made with a discrepancy </t>
    </r>
    <r>
      <rPr>
        <b/>
        <sz val="10"/>
        <color theme="1"/>
        <rFont val="Maiandra GD"/>
        <family val="2"/>
      </rPr>
      <t>Without customer ID</t>
    </r>
    <r>
      <rPr>
        <sz val="10"/>
        <color theme="1"/>
        <rFont val="Maiandra GD"/>
        <family val="2"/>
      </rPr>
      <t xml:space="preserve"> </t>
    </r>
    <r>
      <rPr>
        <b/>
        <sz val="10"/>
        <color theme="1"/>
        <rFont val="Maiandra GD"/>
        <family val="2"/>
      </rPr>
      <t>(Acc.No. 7000114200625)</t>
    </r>
  </si>
  <si>
    <r>
      <t xml:space="preserve">Cash Withdrawal was Made with a discrepancy </t>
    </r>
    <r>
      <rPr>
        <b/>
        <sz val="10"/>
        <color theme="1"/>
        <rFont val="Maiandra GD"/>
        <family val="2"/>
      </rPr>
      <t xml:space="preserve">not signed righit hand tang </t>
    </r>
    <r>
      <rPr>
        <sz val="10"/>
        <color theme="1"/>
        <rFont val="Maiandra GD"/>
        <family val="2"/>
      </rPr>
      <t xml:space="preserve"> (Acc.No. 7000007165388</t>
    </r>
  </si>
  <si>
    <t>During the inspection in the three month ticket sample we looked all fund transefer,cash withdrawal above 30,000 birr cash withdrawal with cheque there is no attached customer National ID.</t>
  </si>
  <si>
    <t>Deposit Account Opening</t>
  </si>
  <si>
    <t xml:space="preserve"> Irregularities in connection with deposit account openings</t>
  </si>
  <si>
    <t>account opining accounts were opened without customer photo instead they use copy of customer photo in paper.</t>
  </si>
  <si>
    <t>It was observed that the Customer id not attached with application</t>
  </si>
  <si>
    <t>Digital Banking Operation</t>
  </si>
  <si>
    <t>During the preparation &amp; Issuance of ATM Cards to Customers, the required application forms were not found &amp; processed only by marking a tick box on Account opening form</t>
  </si>
  <si>
    <t xml:space="preserve">During mobile banking Service linked with customer account, the required data were not properly complete, verified Id were not Attached &amp; Approved by were not signed. </t>
  </si>
  <si>
    <t xml:space="preserve">During the inspection there are a lot of storage ATM Card and PIN for long period of time. </t>
  </si>
  <si>
    <t xml:space="preserve">There is no designated storage area at the branch for storing various stationary items &amp; other files. </t>
  </si>
  <si>
    <t>During our surprise inspection, it was observed that, due to the absence of an appropriate file box, account opening &amp; digital banking documents were not filed &amp; maintained in chronological order.</t>
  </si>
  <si>
    <t>During the inspection Fixed Asset Found Without Tag number.</t>
  </si>
  <si>
    <t>During The Inspection Absence of Organized file for E-birr Agent and Merchant.</t>
  </si>
  <si>
    <t xml:space="preserve"> Other Observation</t>
  </si>
  <si>
    <t>During The inspection the location of branch manager is not convenient for customers because the office is so crowded that the bath room is right next to it.</t>
  </si>
  <si>
    <t xml:space="preserve">Dukem  </t>
  </si>
  <si>
    <t>Difference observed on ATM cash balance.(The physical cash count balance of ATM  have shown a difference of Birr  (2800) and (899,200) compared with the general ledger balance .</t>
  </si>
  <si>
    <t>ATM cards 1,276 &amp; PIN 1,167 mailers were not delivered to the respective account holders/ customers for a long period of time as presented below.</t>
  </si>
  <si>
    <r>
      <t>ATM cards &amp;</t>
    </r>
    <r>
      <rPr>
        <sz val="10"/>
        <color rgb="FFFF0000"/>
        <rFont val="Cambria"/>
        <family val="1"/>
      </rPr>
      <t xml:space="preserve"> PIN</t>
    </r>
    <r>
      <rPr>
        <sz val="10"/>
        <color rgb="FF000000"/>
        <rFont val="Cambria"/>
        <family val="1"/>
      </rPr>
      <t xml:space="preserve"> mailers were not delivered to the respective account holders/ customers for a long period of time as presented below.</t>
    </r>
  </si>
  <si>
    <r>
      <t xml:space="preserve">Cash  </t>
    </r>
    <r>
      <rPr>
        <i/>
        <sz val="10"/>
        <color rgb="FFFF0000"/>
        <rFont val="Cambria"/>
        <family val="1"/>
      </rPr>
      <t xml:space="preserve">Shortage </t>
    </r>
    <r>
      <rPr>
        <i/>
        <sz val="10"/>
        <color rgb="FF000000"/>
        <rFont val="Cambria"/>
        <family val="1"/>
      </rPr>
      <t>Report</t>
    </r>
  </si>
  <si>
    <t>S .Debtor : Loan balance correction ETB12536</t>
  </si>
  <si>
    <t>Absence of Separated IFB Cash Register Book</t>
  </si>
  <si>
    <t xml:space="preserve">Lack of Ascertaining the Genuineness of foreign currencies prchased </t>
  </si>
  <si>
    <t>Daily Transaction Tickets &amp; Stationary Items were kept in cash room</t>
  </si>
  <si>
    <t>it was observed that the cash room was not maintained in a clean and orderly condition, appearing untidy and poorly organized</t>
  </si>
  <si>
    <t>Absence of Cash Discrepancy register Book</t>
  </si>
  <si>
    <t>Difference obsreved on GL and Tracer balance of S.D Cheque Books Stock Account</t>
  </si>
  <si>
    <t>Difference obsreved on GL and Tracer balance of Claim on H.o &amp; Branches Account</t>
  </si>
  <si>
    <t>Amount Kept Under Claim on H.O &amp; branches Account for long Period of Time  From 15/11/23 to 31/10/2025</t>
  </si>
  <si>
    <t>CPO Payble- Absence of Source Document</t>
  </si>
  <si>
    <t>AdJustment &amp; refund _ Absence of Source Doc</t>
  </si>
  <si>
    <t>Stamp Duty Charges-Absence of Source doc</t>
  </si>
  <si>
    <t>Difference observed between GL &amp; Subsidiary ledger balance of CPO Payable</t>
  </si>
  <si>
    <t>Long outstanding CPO found at the Branch for more than two Years</t>
  </si>
  <si>
    <t>Difference observed on Dc Suspense</t>
  </si>
  <si>
    <t>Difference observed on Daily Difference in DC</t>
  </si>
  <si>
    <t xml:space="preserve"> the branch was paid disturbance allowance and transfer allowance for Branch Managers MR. wondowosen Tadesse, birr 5,000.00 out of approved kilometers. He was transferred from Yirgalem to Aleta chuko due to promotion. The distance between yirgalem to aleta chuko around 27KM. However, according to the approved Revised Benefit scheme manuals the minimum eligible distance is 45KM</t>
  </si>
  <si>
    <t xml:space="preserve">Birr 5,750.00 was paid to Banking Busines manager Mr. Dawit Yaekob Instead of the approved amount of Birr 4,500.00 </t>
  </si>
  <si>
    <t xml:space="preserve">Birr 19,970.00 was kept Under Various year End Accruals without any supporting document &amp; discrpition </t>
  </si>
  <si>
    <t>Failure to colletct proper tax amount from Hardship, Transportation, Representation &amp; housing allwance  payment</t>
  </si>
  <si>
    <t xml:space="preserve">Failure to insert customer Tax Identification Number (TIN) in CBS During Special Account opening </t>
  </si>
  <si>
    <t xml:space="preserve">Customer accounts were blocked without adequate supporting /source document </t>
  </si>
  <si>
    <t>Fund Transfer &amp; Cas Withdawal Transaction Were made without Cutomer Signature</t>
  </si>
  <si>
    <r>
      <t>Cheque books prepared but not delivered to customers for a long period of time.</t>
    </r>
    <r>
      <rPr>
        <sz val="9"/>
        <color rgb="FF000000"/>
        <rFont val="Calibri"/>
        <family val="2"/>
      </rPr>
      <t xml:space="preserve"> </t>
    </r>
  </si>
  <si>
    <r>
      <t>F</t>
    </r>
    <r>
      <rPr>
        <sz val="9"/>
        <color rgb="FF000000"/>
        <rFont val="Arial"/>
        <family val="2"/>
      </rPr>
      <t>und Transfers were made 
without Customer's company stamp</t>
    </r>
  </si>
  <si>
    <t>Stadium</t>
  </si>
  <si>
    <r>
      <t>Cheque books prepared but not delivered to customers for a long period of time.</t>
    </r>
    <r>
      <rPr>
        <sz val="9"/>
        <color rgb="FF000000"/>
        <rFont val="Calibri"/>
        <family val="2"/>
      </rPr>
      <t xml:space="preserve">                                                                                                                                                                                                                                                                                                                                                                                                                                                     </t>
    </r>
  </si>
  <si>
    <t>Sundry debtors-</t>
  </si>
  <si>
    <t xml:space="preserve">Cash Withdrawal WITHOUT SIGNED BEFORE ME  </t>
  </si>
  <si>
    <t>non.</t>
  </si>
  <si>
    <t>fixed asset management</t>
  </si>
  <si>
    <t xml:space="preserve">The branch has no foreign currency detecting machine to detect counterfeit notes.    </t>
  </si>
  <si>
    <t>There was no cash discrepancy register book to kept records and make follow up on cash discrepancies committed by the branch cashier and tellers.</t>
  </si>
  <si>
    <t>Branch has not local currency count machine is not functional.</t>
  </si>
  <si>
    <t>In some cases, the branch failed to properly identify and verify the signature of customers on the cheque delivery book</t>
  </si>
  <si>
    <t>branch have no cheque book stock register book</t>
  </si>
  <si>
    <t xml:space="preserve">Branch have not NSF register book to keep records on insufficient fund (NSF) cheques.       </t>
  </si>
  <si>
    <t>Cheque book delivery register book was prepared by the branch other than the formal banks formal register book.</t>
  </si>
  <si>
    <t>Ticket vouching</t>
  </si>
  <si>
    <t>11/12/2025 &amp;17/06/2026</t>
  </si>
  <si>
    <t>Account to Account Transfer without Customer signature</t>
  </si>
  <si>
    <t xml:space="preserve">13/06/2026 &amp; 08/03/2026 </t>
  </si>
  <si>
    <t xml:space="preserve">cash withdrawal tickets which have not customer signatures </t>
  </si>
  <si>
    <t>All Cases print out not attached account to account transfer made without senior staff or B/manager Authorization Signature</t>
  </si>
  <si>
    <t>All Cases Absence of cash denominations on daily Tickets of deposit and some withdrawal Voucher.</t>
  </si>
  <si>
    <t>Some daily tickets are not write date on voucher</t>
  </si>
  <si>
    <t xml:space="preserve">Tracers were not maintained for Accuer leav pay,Income Tax on sav int.paid &amp; Vat payable  as of 13/07/2026 </t>
  </si>
  <si>
    <t>The metal detector of the branch was not functional and has been simply kept without being repaired.</t>
  </si>
  <si>
    <t>Fixed asset not register under their assigned branch staff member</t>
  </si>
  <si>
    <t>Job description is not attached with in some personal ledger file</t>
  </si>
  <si>
    <t>Branch has not suggestion box.</t>
  </si>
  <si>
    <t>In some cases, the branch failed to properly identify and verify the signature of staff on the register book before delivery of ATM cards and Pin mailers to the account holder or customers.</t>
  </si>
  <si>
    <t>There was no cash discrepancy register book to keep records and make follow up on cash discrepancies committed by the branch tellers.</t>
  </si>
  <si>
    <t>Branch has not Foreign currency purchase license.</t>
  </si>
  <si>
    <t>security condition of the branch</t>
  </si>
  <si>
    <t>Absence of cash office Boy or Girl in the branch</t>
  </si>
  <si>
    <t>The branch has not insufficient fund (NSF) register book.</t>
  </si>
  <si>
    <t>Cheaqe book stock account difference observed by 5,261.25 with GL balance</t>
  </si>
  <si>
    <t>Cheque book printed but not deliver to customer</t>
  </si>
  <si>
    <t>24/2/2026,25/03/2026,30/03/2026,21/05/2026 &amp; 26/05/2026</t>
  </si>
  <si>
    <t>Account to Account  Transfer without Customer signature</t>
  </si>
  <si>
    <t>19/05/2026,16/05/2029,15/05/2026,13/03/2026 &amp; 30/12/2026</t>
  </si>
  <si>
    <t xml:space="preserve">Cash withdrawal without customer signature      </t>
  </si>
  <si>
    <t>All Cases Account to Account made without BBM and  B/Manager Authorization ticket have not signatory and print out ticket is not attached and three doors stamp have not signatory. And All Cases Absence of cash denominations on daily Tickets of deposit and some withdrawal  Voucher</t>
  </si>
  <si>
    <t>All expense transaction has absence of source document and memo latter and BBM and B/Manager authority signatory.</t>
  </si>
  <si>
    <t>All Personal ledgers of fixed assets are not established in the name of each staff for items under</t>
  </si>
  <si>
    <t>All fixed asset in the branch does not have Tag number.</t>
  </si>
  <si>
    <t>There are no suggestion box in the branch</t>
  </si>
  <si>
    <t xml:space="preserve">The metal detector machine is not functional </t>
  </si>
  <si>
    <t>Tracer  difference with GL Balance (Revenue Stamp,Accrued Leave pay   &amp; Cheque book stock )</t>
  </si>
  <si>
    <t>Reported Case</t>
  </si>
  <si>
    <t>Total Reported Case</t>
  </si>
  <si>
    <t>Outstanding Case</t>
  </si>
  <si>
    <t>ReportedCase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</si>
</sst>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_(* \(#,##0\);_(* &quot;-&quot;_);_(@_)"/>
    <numFmt numFmtId="44" formatCode="_(&quot;$&quot;* #,##0.00_);_(&quot;$&quot;* \(#,##0.00\);_(&quot;$&quot;* &quot;-&quot;??_);_(@_)"/>
    <numFmt numFmtId="43" formatCode="_(* #,##0.00_);_(* \(#,##0.00\);_(* &quot;-&quot;??_);_(@_)"/>
    <numFmt numFmtId="164" formatCode="_(* #,##0_);_(* \(#,##0\);_(* &quot;-&quot;??_);_(@_)"/>
    <numFmt numFmtId="165" formatCode="mm/dd/yy;@"/>
    <numFmt numFmtId="166" formatCode="m/d/yy;@"/>
    <numFmt numFmtId="167" formatCode="dd/mm/yyyy;@"/>
    <numFmt numFmtId="168" formatCode="_-* #,##0.00_-;\-* #,##0.00_-;_-* &quot;-&quot;??_-;_-@_-"/>
    <numFmt numFmtId="169" formatCode="0.0"/>
    <numFmt numFmtId="170" formatCode="_-* #,##0_-;\-* #,##0_-;_-* &quot;-&quot;??_-;_-@_-"/>
    <numFmt numFmtId="171" formatCode="_-* #,##0_-;\-* #,##0_-;_-* &quot;-&quot;_-;_-@_-"/>
    <numFmt numFmtId="172" formatCode="[$-409]mmmm\ d\,\ yyyy;@"/>
  </numFmts>
  <fonts count="384">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Times New Roman"/>
      <family val="1"/>
    </font>
    <font>
      <u/>
      <sz val="11"/>
      <name val="Times New Roman"/>
      <family val="1"/>
    </font>
    <font>
      <b/>
      <i/>
      <sz val="11"/>
      <color rgb="FF002060"/>
      <name val="Cambria"/>
      <family val="1"/>
      <scheme val="major"/>
    </font>
    <font>
      <b/>
      <sz val="11"/>
      <color rgb="FF002060"/>
      <name val="Cambria"/>
      <family val="1"/>
      <scheme val="major"/>
    </font>
    <font>
      <b/>
      <i/>
      <sz val="11"/>
      <color rgb="FF002060"/>
      <name val="Calibri"/>
      <family val="2"/>
      <scheme val="minor"/>
    </font>
    <font>
      <b/>
      <i/>
      <sz val="11"/>
      <color rgb="FF002060"/>
      <name val="Times New Roman"/>
      <family val="1"/>
    </font>
    <font>
      <sz val="11"/>
      <color rgb="FF002060"/>
      <name val="Calibri"/>
      <family val="2"/>
      <scheme val="minor"/>
    </font>
    <font>
      <b/>
      <i/>
      <sz val="11"/>
      <color theme="1"/>
      <name val="Calibri"/>
      <family val="2"/>
      <scheme val="minor"/>
    </font>
    <font>
      <sz val="11"/>
      <name val="Calibri"/>
      <family val="2"/>
      <scheme val="minor"/>
    </font>
    <font>
      <b/>
      <i/>
      <sz val="11"/>
      <name val="Calibri"/>
      <family val="2"/>
      <scheme val="minor"/>
    </font>
    <font>
      <b/>
      <i/>
      <sz val="11"/>
      <color rgb="FFFF0000"/>
      <name val="Calibri"/>
      <family val="2"/>
      <scheme val="minor"/>
    </font>
    <font>
      <b/>
      <sz val="12"/>
      <color theme="1"/>
      <name val="Calibri"/>
      <family val="2"/>
      <scheme val="minor"/>
    </font>
    <font>
      <b/>
      <sz val="12"/>
      <color theme="1"/>
      <name val="Times New Roman"/>
      <family val="1"/>
    </font>
    <font>
      <b/>
      <sz val="12"/>
      <color rgb="FF002060"/>
      <name val="Times New Roman"/>
      <family val="1"/>
    </font>
    <font>
      <b/>
      <sz val="12"/>
      <color rgb="FF002060"/>
      <name val="Calibri"/>
      <family val="2"/>
      <scheme val="minor"/>
    </font>
    <font>
      <b/>
      <sz val="11"/>
      <name val="Calibri"/>
      <family val="2"/>
      <scheme val="minor"/>
    </font>
    <font>
      <b/>
      <i/>
      <sz val="12"/>
      <color rgb="FF002060"/>
      <name val="Cambria"/>
      <family val="1"/>
      <scheme val="major"/>
    </font>
    <font>
      <b/>
      <i/>
      <sz val="12"/>
      <color rgb="FF7030A0"/>
      <name val="Cambria"/>
      <family val="1"/>
      <scheme val="major"/>
    </font>
    <font>
      <b/>
      <i/>
      <sz val="11"/>
      <name val="Cambria"/>
      <family val="1"/>
      <scheme val="major"/>
    </font>
    <font>
      <sz val="11"/>
      <name val="Cambria"/>
      <family val="1"/>
      <scheme val="major"/>
    </font>
    <font>
      <sz val="10"/>
      <name val="Cambria"/>
      <family val="1"/>
      <scheme val="major"/>
    </font>
    <font>
      <b/>
      <i/>
      <sz val="11"/>
      <color theme="1"/>
      <name val="Cambria"/>
      <family val="1"/>
      <scheme val="major"/>
    </font>
    <font>
      <i/>
      <sz val="12"/>
      <name val="Cambria"/>
      <family val="1"/>
      <scheme val="major"/>
    </font>
    <font>
      <b/>
      <i/>
      <sz val="10"/>
      <color theme="4" tint="-0.499984740745262"/>
      <name val="Cambria"/>
      <family val="1"/>
      <scheme val="major"/>
    </font>
    <font>
      <i/>
      <sz val="11"/>
      <name val="Cambria"/>
      <family val="1"/>
      <scheme val="major"/>
    </font>
    <font>
      <sz val="9"/>
      <color rgb="FF000000"/>
      <name val="Cambria"/>
      <family val="1"/>
      <scheme val="major"/>
    </font>
    <font>
      <i/>
      <sz val="11"/>
      <color rgb="FF000000"/>
      <name val="Cambria"/>
      <family val="1"/>
      <scheme val="major"/>
    </font>
    <font>
      <sz val="11"/>
      <color theme="1"/>
      <name val="Cambria"/>
      <family val="1"/>
      <scheme val="major"/>
    </font>
    <font>
      <sz val="9"/>
      <color theme="1"/>
      <name val="Calibri"/>
      <family val="2"/>
      <scheme val="minor"/>
    </font>
    <font>
      <b/>
      <sz val="10"/>
      <color rgb="FF000000"/>
      <name val="Courier New"/>
      <family val="3"/>
    </font>
    <font>
      <sz val="9"/>
      <color theme="1"/>
      <name val="Cambria"/>
      <family val="1"/>
      <scheme val="major"/>
    </font>
    <font>
      <b/>
      <i/>
      <sz val="10"/>
      <name val="Cambria"/>
      <family val="1"/>
      <scheme val="major"/>
    </font>
    <font>
      <sz val="9"/>
      <name val="Cambria"/>
      <family val="1"/>
      <scheme val="major"/>
    </font>
    <font>
      <sz val="10"/>
      <color rgb="FF000000"/>
      <name val="Courier New"/>
      <family val="3"/>
    </font>
    <font>
      <sz val="11"/>
      <color rgb="FF000000"/>
      <name val="Courier New"/>
      <family val="3"/>
    </font>
    <font>
      <i/>
      <sz val="9"/>
      <name val="Cambria"/>
      <family val="1"/>
      <scheme val="major"/>
    </font>
    <font>
      <i/>
      <sz val="10"/>
      <name val="Cambria"/>
      <family val="1"/>
      <scheme val="major"/>
    </font>
    <font>
      <b/>
      <sz val="11"/>
      <name val="Cambria"/>
      <family val="1"/>
      <scheme val="major"/>
    </font>
    <font>
      <b/>
      <i/>
      <sz val="12"/>
      <color theme="4" tint="-0.499984740745262"/>
      <name val="Cambria"/>
      <family val="1"/>
      <scheme val="major"/>
    </font>
    <font>
      <i/>
      <sz val="12"/>
      <color rgb="FF000000"/>
      <name val="Cambria"/>
      <family val="1"/>
      <scheme val="major"/>
    </font>
    <font>
      <sz val="12"/>
      <color theme="1"/>
      <name val="Cambria"/>
      <family val="1"/>
      <scheme val="major"/>
    </font>
    <font>
      <sz val="12"/>
      <color rgb="FF000000"/>
      <name val="Trebuchet MS"/>
      <family val="2"/>
    </font>
    <font>
      <b/>
      <i/>
      <sz val="11"/>
      <color theme="4" tint="-0.499984740745262"/>
      <name val="Cambria"/>
      <family val="1"/>
      <scheme val="major"/>
    </font>
    <font>
      <b/>
      <sz val="11"/>
      <color theme="1"/>
      <name val="Cambria"/>
      <family val="1"/>
      <scheme val="major"/>
    </font>
    <font>
      <b/>
      <i/>
      <sz val="11"/>
      <color rgb="FF000000"/>
      <name val="Cambria"/>
      <family val="1"/>
      <scheme val="major"/>
    </font>
    <font>
      <sz val="10"/>
      <color theme="1"/>
      <name val="Cambria"/>
      <family val="1"/>
      <scheme val="major"/>
    </font>
    <font>
      <i/>
      <sz val="10"/>
      <color rgb="FF000000"/>
      <name val="Cambria"/>
      <family val="1"/>
      <scheme val="major"/>
    </font>
    <font>
      <sz val="10"/>
      <color theme="1"/>
      <name val="Calibri"/>
      <family val="2"/>
      <scheme val="minor"/>
    </font>
    <font>
      <sz val="9"/>
      <name val="Arial"/>
      <family val="2"/>
    </font>
    <font>
      <i/>
      <sz val="11"/>
      <name val="Times New Roman"/>
      <family val="1"/>
    </font>
    <font>
      <sz val="11"/>
      <color rgb="FF000000"/>
      <name val="Cambria"/>
      <family val="1"/>
      <scheme val="major"/>
    </font>
    <font>
      <b/>
      <i/>
      <sz val="10"/>
      <color theme="1"/>
      <name val="Cambria"/>
      <family val="1"/>
      <scheme val="major"/>
    </font>
    <font>
      <b/>
      <i/>
      <sz val="9"/>
      <name val="Cambria"/>
      <family val="1"/>
      <scheme val="major"/>
    </font>
    <font>
      <i/>
      <sz val="9"/>
      <color rgb="FF000000"/>
      <name val="Cambria"/>
      <family val="1"/>
      <scheme val="major"/>
    </font>
    <font>
      <sz val="9"/>
      <color rgb="FF000000"/>
      <name val="Cambria"/>
      <family val="1"/>
    </font>
    <font>
      <i/>
      <sz val="11"/>
      <color theme="1"/>
      <name val="Cambria"/>
      <family val="1"/>
      <scheme val="major"/>
    </font>
    <font>
      <sz val="10"/>
      <color rgb="FF000000"/>
      <name val="Trebuchet MS"/>
      <family val="2"/>
    </font>
    <font>
      <b/>
      <sz val="10"/>
      <color rgb="FF000000"/>
      <name val="Cambria"/>
      <family val="1"/>
      <scheme val="major"/>
    </font>
    <font>
      <b/>
      <sz val="10"/>
      <color theme="1"/>
      <name val="Calibri"/>
      <family val="2"/>
      <scheme val="minor"/>
    </font>
    <font>
      <sz val="10"/>
      <color theme="1"/>
      <name val="Trebuchet MS"/>
      <family val="2"/>
    </font>
    <font>
      <sz val="11"/>
      <color rgb="FF9C0006"/>
      <name val="Calibri"/>
      <family val="2"/>
      <scheme val="minor"/>
    </font>
    <font>
      <sz val="11"/>
      <color theme="0"/>
      <name val="Calibri"/>
      <family val="2"/>
      <scheme val="minor"/>
    </font>
    <font>
      <b/>
      <sz val="11"/>
      <name val="Times New Roman"/>
      <family val="1"/>
    </font>
    <font>
      <b/>
      <i/>
      <sz val="12"/>
      <color theme="3" tint="-0.249977111117893"/>
      <name val="Cambria"/>
      <family val="1"/>
      <scheme val="major"/>
    </font>
    <font>
      <b/>
      <i/>
      <sz val="10"/>
      <color rgb="FF002060"/>
      <name val="Cambria"/>
      <family val="1"/>
      <scheme val="major"/>
    </font>
    <font>
      <b/>
      <i/>
      <sz val="10"/>
      <color rgb="FF000000"/>
      <name val="Cambria"/>
      <family val="1"/>
      <scheme val="major"/>
    </font>
    <font>
      <i/>
      <sz val="10"/>
      <color theme="1"/>
      <name val="Cambria"/>
      <family val="1"/>
      <scheme val="major"/>
    </font>
    <font>
      <sz val="10"/>
      <color rgb="FF000000"/>
      <name val="Calibri"/>
      <family val="2"/>
      <scheme val="minor"/>
    </font>
    <font>
      <i/>
      <sz val="12"/>
      <color theme="1"/>
      <name val="Cambria"/>
      <family val="1"/>
      <scheme val="major"/>
    </font>
    <font>
      <b/>
      <i/>
      <sz val="12"/>
      <color theme="1"/>
      <name val="Cambria"/>
      <family val="1"/>
      <scheme val="major"/>
    </font>
    <font>
      <sz val="12"/>
      <color theme="1"/>
      <name val="Calibri"/>
      <family val="2"/>
      <scheme val="minor"/>
    </font>
    <font>
      <i/>
      <sz val="11"/>
      <color rgb="FFFF0000"/>
      <name val="Cambria"/>
      <family val="1"/>
      <scheme val="major"/>
    </font>
    <font>
      <i/>
      <sz val="11"/>
      <color rgb="FF002060"/>
      <name val="Cambria"/>
      <family val="1"/>
      <scheme val="major"/>
    </font>
    <font>
      <b/>
      <i/>
      <sz val="12"/>
      <color rgb="FF000000"/>
      <name val="Cambria"/>
      <family val="1"/>
      <scheme val="major"/>
    </font>
    <font>
      <b/>
      <i/>
      <sz val="12"/>
      <name val="Cambria"/>
      <family val="1"/>
      <scheme val="major"/>
    </font>
    <font>
      <sz val="8"/>
      <color rgb="FF002060"/>
      <name val="Arial"/>
      <family val="2"/>
    </font>
    <font>
      <i/>
      <sz val="12"/>
      <color rgb="FFFF0000"/>
      <name val="Cambria"/>
      <family val="1"/>
      <scheme val="major"/>
    </font>
    <font>
      <b/>
      <sz val="11"/>
      <color rgb="FF002060"/>
      <name val="Calibri"/>
      <family val="2"/>
      <scheme val="minor"/>
    </font>
    <font>
      <b/>
      <i/>
      <sz val="12"/>
      <color rgb="FFFF0000"/>
      <name val="Cambria"/>
      <family val="1"/>
      <scheme val="major"/>
    </font>
    <font>
      <i/>
      <sz val="12"/>
      <color theme="1"/>
      <name val="Cambria"/>
      <family val="1"/>
    </font>
    <font>
      <i/>
      <sz val="12"/>
      <color rgb="FF002060"/>
      <name val="Cambria"/>
      <family val="1"/>
      <scheme val="major"/>
    </font>
    <font>
      <i/>
      <sz val="12"/>
      <color rgb="FFC00000"/>
      <name val="Cambria"/>
      <family val="1"/>
      <scheme val="major"/>
    </font>
    <font>
      <i/>
      <sz val="10"/>
      <color rgb="FFFF0000"/>
      <name val="Cambria"/>
      <family val="1"/>
      <scheme val="major"/>
    </font>
    <font>
      <b/>
      <i/>
      <sz val="10"/>
      <color rgb="FFFF0000"/>
      <name val="Cambria"/>
      <family val="1"/>
      <scheme val="major"/>
    </font>
    <font>
      <sz val="11"/>
      <name val="Cambria"/>
      <family val="1"/>
    </font>
    <font>
      <i/>
      <sz val="11"/>
      <color rgb="FF000000"/>
      <name val="Cambria"/>
      <family val="1"/>
    </font>
    <font>
      <sz val="10"/>
      <color rgb="FF000000"/>
      <name val="Cambria"/>
      <family val="1"/>
    </font>
    <font>
      <b/>
      <i/>
      <sz val="12"/>
      <color theme="1"/>
      <name val="Cambria"/>
      <family val="1"/>
    </font>
    <font>
      <b/>
      <sz val="12"/>
      <name val="Cambria"/>
      <family val="1"/>
      <scheme val="major"/>
    </font>
    <font>
      <sz val="12"/>
      <color rgb="FF000000"/>
      <name val="Cambria"/>
      <family val="1"/>
      <scheme val="major"/>
    </font>
    <font>
      <sz val="12"/>
      <name val="Cambria"/>
      <family val="1"/>
      <scheme val="major"/>
    </font>
    <font>
      <sz val="12"/>
      <name val="CourierNewPSMT"/>
    </font>
    <font>
      <sz val="12"/>
      <name val="Calibri"/>
      <family val="2"/>
      <scheme val="minor"/>
    </font>
    <font>
      <b/>
      <sz val="11"/>
      <color rgb="FF000000"/>
      <name val="Cambria"/>
      <family val="1"/>
    </font>
    <font>
      <b/>
      <sz val="11"/>
      <color rgb="FF000000"/>
      <name val="Trebuchet MS"/>
      <family val="2"/>
    </font>
    <font>
      <sz val="10"/>
      <color theme="1"/>
      <name val="Calibri"/>
      <family val="2"/>
    </font>
    <font>
      <b/>
      <i/>
      <sz val="9"/>
      <color rgb="FFFF0000"/>
      <name val="Cambria"/>
      <family val="1"/>
      <scheme val="major"/>
    </font>
    <font>
      <i/>
      <sz val="10"/>
      <color rgb="FF002060"/>
      <name val="Cambria"/>
      <family val="1"/>
      <scheme val="major"/>
    </font>
    <font>
      <i/>
      <sz val="11"/>
      <color theme="1" tint="0.34998626667073579"/>
      <name val="Cambria"/>
      <family val="1"/>
      <scheme val="major"/>
    </font>
    <font>
      <i/>
      <sz val="10"/>
      <color theme="1" tint="0.34998626667073579"/>
      <name val="Cambria"/>
      <family val="1"/>
      <scheme val="major"/>
    </font>
    <font>
      <b/>
      <sz val="12"/>
      <color rgb="FFFF0000"/>
      <name val="Calibri"/>
      <family val="2"/>
      <scheme val="minor"/>
    </font>
    <font>
      <i/>
      <sz val="12"/>
      <color theme="1"/>
      <name val="Calibri"/>
      <family val="2"/>
      <scheme val="minor"/>
    </font>
    <font>
      <sz val="12"/>
      <color rgb="FF000000"/>
      <name val="Times New Roman"/>
      <family val="1"/>
    </font>
    <font>
      <sz val="12"/>
      <color rgb="FF000000"/>
      <name val="Courier New"/>
      <family val="3"/>
    </font>
    <font>
      <i/>
      <sz val="10"/>
      <color theme="1"/>
      <name val="Cambria"/>
      <family val="1"/>
    </font>
    <font>
      <sz val="11"/>
      <color rgb="FF000000"/>
      <name val="Trebuchet MS"/>
      <family val="2"/>
    </font>
    <font>
      <i/>
      <u/>
      <sz val="10"/>
      <color rgb="FF000000"/>
      <name val="Cambria"/>
      <family val="1"/>
      <scheme val="major"/>
    </font>
    <font>
      <b/>
      <i/>
      <u/>
      <sz val="10"/>
      <name val="Cambria"/>
      <family val="1"/>
      <scheme val="major"/>
    </font>
    <font>
      <i/>
      <sz val="11"/>
      <color theme="4"/>
      <name val="Cambria"/>
      <family val="1"/>
      <scheme val="major"/>
    </font>
    <font>
      <b/>
      <i/>
      <sz val="9"/>
      <color rgb="FF002060"/>
      <name val="Cambria"/>
      <family val="1"/>
      <scheme val="major"/>
    </font>
    <font>
      <b/>
      <i/>
      <sz val="12"/>
      <color theme="5"/>
      <name val="Cambria"/>
      <family val="1"/>
      <scheme val="major"/>
    </font>
    <font>
      <b/>
      <i/>
      <sz val="12"/>
      <color theme="0"/>
      <name val="Cambria"/>
      <family val="1"/>
      <scheme val="major"/>
    </font>
    <font>
      <i/>
      <sz val="10"/>
      <color rgb="FFC00000"/>
      <name val="Cambria"/>
      <family val="1"/>
      <scheme val="major"/>
    </font>
    <font>
      <i/>
      <u/>
      <sz val="12"/>
      <color rgb="FF000000"/>
      <name val="Cambria"/>
      <family val="1"/>
      <scheme val="major"/>
    </font>
    <font>
      <sz val="10"/>
      <color rgb="FF000000"/>
      <name val="Times New Roman"/>
      <family val="1"/>
    </font>
    <font>
      <i/>
      <sz val="12"/>
      <color theme="2"/>
      <name val="Cambria"/>
      <family val="1"/>
      <scheme val="major"/>
    </font>
    <font>
      <b/>
      <i/>
      <sz val="11"/>
      <color rgb="FFFF0000"/>
      <name val="Cambria"/>
      <family val="1"/>
      <scheme val="major"/>
    </font>
    <font>
      <b/>
      <i/>
      <u/>
      <sz val="11"/>
      <color rgb="FFFF0000"/>
      <name val="Cambria"/>
      <family val="1"/>
      <scheme val="major"/>
    </font>
    <font>
      <b/>
      <sz val="11"/>
      <color rgb="FFFF0000"/>
      <name val="Calibri"/>
      <family val="2"/>
      <scheme val="minor"/>
    </font>
    <font>
      <sz val="11"/>
      <color theme="1"/>
      <name val="Calibri"/>
      <family val="2"/>
    </font>
    <font>
      <b/>
      <i/>
      <sz val="9"/>
      <color theme="5"/>
      <name val="Cambria"/>
      <family val="1"/>
      <scheme val="major"/>
    </font>
    <font>
      <b/>
      <i/>
      <sz val="9"/>
      <color rgb="FF000000"/>
      <name val="Cambria"/>
      <family val="1"/>
      <scheme val="major"/>
    </font>
    <font>
      <b/>
      <i/>
      <sz val="9"/>
      <color theme="1"/>
      <name val="Cambria"/>
      <family val="1"/>
      <scheme val="major"/>
    </font>
    <font>
      <i/>
      <sz val="9"/>
      <color rgb="FFFF0000"/>
      <name val="Cambria"/>
      <family val="1"/>
      <scheme val="major"/>
    </font>
    <font>
      <b/>
      <sz val="10"/>
      <color theme="1"/>
      <name val="Trebuchet MS"/>
      <family val="2"/>
    </font>
    <font>
      <b/>
      <i/>
      <u/>
      <sz val="10"/>
      <color rgb="FF000000"/>
      <name val="Cambria"/>
      <family val="1"/>
      <scheme val="major"/>
    </font>
    <font>
      <sz val="10"/>
      <color rgb="FF000000"/>
      <name val="Cambria"/>
      <family val="1"/>
      <scheme val="major"/>
    </font>
    <font>
      <b/>
      <i/>
      <sz val="14"/>
      <name val="Cambria"/>
      <family val="1"/>
      <scheme val="major"/>
    </font>
    <font>
      <b/>
      <sz val="12"/>
      <color rgb="FF002060"/>
      <name val="Cambria"/>
      <family val="1"/>
      <scheme val="major"/>
    </font>
    <font>
      <b/>
      <sz val="10"/>
      <color rgb="FF002060"/>
      <name val="Calibri"/>
      <family val="2"/>
      <scheme val="minor"/>
    </font>
    <font>
      <i/>
      <sz val="8"/>
      <color rgb="FF000000"/>
      <name val="Cambria"/>
      <family val="1"/>
      <scheme val="major"/>
    </font>
    <font>
      <i/>
      <sz val="8"/>
      <name val="Cambria"/>
      <family val="1"/>
      <scheme val="major"/>
    </font>
    <font>
      <i/>
      <sz val="9"/>
      <color theme="1"/>
      <name val="Cambria"/>
      <family val="1"/>
      <scheme val="major"/>
    </font>
    <font>
      <i/>
      <sz val="10"/>
      <color theme="1"/>
      <name val="Calibri"/>
      <family val="2"/>
      <scheme val="minor"/>
    </font>
    <font>
      <b/>
      <sz val="11"/>
      <color theme="4" tint="-0.499984740745262"/>
      <name val="Cambria"/>
      <family val="1"/>
      <scheme val="major"/>
    </font>
    <font>
      <sz val="8"/>
      <name val="Cambria"/>
      <family val="1"/>
      <scheme val="major"/>
    </font>
    <font>
      <i/>
      <sz val="8"/>
      <color theme="1"/>
      <name val="Cambria"/>
      <family val="1"/>
      <scheme val="major"/>
    </font>
    <font>
      <b/>
      <i/>
      <sz val="8"/>
      <color rgb="FF000000"/>
      <name val="Cambria"/>
      <family val="1"/>
      <scheme val="major"/>
    </font>
    <font>
      <sz val="8"/>
      <color rgb="FF000000"/>
      <name val="Cambria"/>
      <family val="1"/>
    </font>
    <font>
      <i/>
      <sz val="8"/>
      <color rgb="FF000000"/>
      <name val="Cambria"/>
      <family val="1"/>
    </font>
    <font>
      <b/>
      <i/>
      <sz val="8"/>
      <color theme="1"/>
      <name val="Cambria"/>
      <family val="1"/>
      <scheme val="major"/>
    </font>
    <font>
      <sz val="8"/>
      <color theme="1"/>
      <name val="Cambria"/>
      <family val="1"/>
      <scheme val="major"/>
    </font>
    <font>
      <i/>
      <sz val="8"/>
      <color theme="1"/>
      <name val="Cambria"/>
      <family val="1"/>
    </font>
    <font>
      <sz val="8"/>
      <color theme="1"/>
      <name val="Calibri"/>
      <family val="2"/>
      <scheme val="minor"/>
    </font>
    <font>
      <i/>
      <sz val="8"/>
      <color theme="1"/>
      <name val="Courier New"/>
      <family val="3"/>
    </font>
    <font>
      <b/>
      <i/>
      <sz val="8"/>
      <color theme="1"/>
      <name val="Courier New"/>
      <family val="3"/>
    </font>
    <font>
      <i/>
      <sz val="8"/>
      <name val="Times New Roman"/>
      <family val="1"/>
    </font>
    <font>
      <sz val="10"/>
      <name val="Calibri"/>
      <family val="2"/>
      <scheme val="minor"/>
    </font>
    <font>
      <sz val="10"/>
      <name val="Times New Roman"/>
      <family val="1"/>
    </font>
    <font>
      <i/>
      <sz val="10"/>
      <color theme="4" tint="-0.499984740745262"/>
      <name val="Cambria"/>
      <family val="1"/>
      <scheme val="major"/>
    </font>
    <font>
      <i/>
      <sz val="11"/>
      <name val="Cambria"/>
      <family val="1"/>
    </font>
    <font>
      <sz val="11"/>
      <color rgb="FF000000"/>
      <name val="Times New Roman"/>
      <family val="1"/>
    </font>
    <font>
      <i/>
      <sz val="11"/>
      <color theme="4" tint="-0.499984740745262"/>
      <name val="Cambria"/>
      <family val="1"/>
      <scheme val="major"/>
    </font>
    <font>
      <i/>
      <sz val="11"/>
      <color theme="1"/>
      <name val="Calibri"/>
      <family val="2"/>
      <scheme val="minor"/>
    </font>
    <font>
      <i/>
      <sz val="11"/>
      <color theme="1"/>
      <name val="Cambria"/>
      <family val="1"/>
    </font>
    <font>
      <b/>
      <i/>
      <sz val="9"/>
      <color theme="4" tint="-0.499984740745262"/>
      <name val="Cambria"/>
      <family val="1"/>
      <scheme val="major"/>
    </font>
    <font>
      <i/>
      <sz val="9"/>
      <color theme="1"/>
      <name val="Cambria"/>
      <family val="1"/>
    </font>
    <font>
      <sz val="8"/>
      <color rgb="FF000000"/>
      <name val="Courier New"/>
      <family val="3"/>
    </font>
    <font>
      <i/>
      <sz val="9"/>
      <color theme="1"/>
      <name val="Calibri"/>
      <family val="2"/>
      <scheme val="minor"/>
    </font>
    <font>
      <sz val="10"/>
      <color theme="1"/>
      <name val="Bookman Old Style"/>
      <family val="1"/>
    </font>
    <font>
      <sz val="10"/>
      <name val="Californian FB"/>
      <family val="1"/>
    </font>
    <font>
      <sz val="10"/>
      <name val="Rockwell"/>
      <family val="1"/>
    </font>
    <font>
      <sz val="11"/>
      <color theme="1"/>
      <name val="Bookman Old Style"/>
      <family val="1"/>
    </font>
    <font>
      <sz val="10"/>
      <color rgb="FFFF0000"/>
      <name val="Californian FB"/>
      <family val="1"/>
    </font>
    <font>
      <sz val="10"/>
      <color theme="1"/>
      <name val="Californian FB"/>
      <family val="1"/>
    </font>
    <font>
      <sz val="10"/>
      <color rgb="FF000000"/>
      <name val="Californian FB"/>
      <family val="1"/>
    </font>
    <font>
      <i/>
      <sz val="10"/>
      <name val="Californian FB"/>
      <family val="1"/>
    </font>
    <font>
      <i/>
      <sz val="10"/>
      <color rgb="FF000000"/>
      <name val="Californian FB"/>
      <family val="1"/>
    </font>
    <font>
      <sz val="8"/>
      <color theme="1"/>
      <name val="Cambria"/>
      <family val="1"/>
    </font>
    <font>
      <sz val="8"/>
      <color rgb="FFFF0000"/>
      <name val="Cambria"/>
      <family val="1"/>
    </font>
    <font>
      <sz val="8"/>
      <name val="Cambria"/>
      <family val="1"/>
    </font>
    <font>
      <sz val="8"/>
      <color rgb="FF000000"/>
      <name val="Rockwell"/>
      <family val="1"/>
    </font>
    <font>
      <sz val="8"/>
      <name val="Rockwell"/>
      <family val="1"/>
    </font>
    <font>
      <i/>
      <sz val="8"/>
      <color rgb="FF000000"/>
      <name val="Calibri"/>
      <family val="2"/>
    </font>
    <font>
      <i/>
      <sz val="8"/>
      <name val="Calibri"/>
      <family val="2"/>
    </font>
    <font>
      <i/>
      <sz val="8"/>
      <name val="Rockwell"/>
      <family val="1"/>
    </font>
    <font>
      <b/>
      <sz val="9"/>
      <color rgb="FFFF0000"/>
      <name val="Trebuchet MS"/>
      <family val="2"/>
    </font>
    <font>
      <b/>
      <sz val="8"/>
      <color rgb="FFFF0000"/>
      <name val="Trebuchet MS"/>
      <family val="2"/>
    </font>
    <font>
      <i/>
      <sz val="8"/>
      <color rgb="FFFF0000"/>
      <name val="Cambria"/>
      <family val="1"/>
      <scheme val="major"/>
    </font>
    <font>
      <i/>
      <sz val="8"/>
      <color rgb="FFFF0000"/>
      <name val="Calibri"/>
      <family val="2"/>
    </font>
    <font>
      <b/>
      <i/>
      <sz val="8"/>
      <name val="Cambria"/>
      <family val="1"/>
      <scheme val="major"/>
    </font>
    <font>
      <b/>
      <sz val="8"/>
      <color theme="1"/>
      <name val="Calibri"/>
      <family val="2"/>
      <scheme val="minor"/>
    </font>
    <font>
      <b/>
      <i/>
      <sz val="8"/>
      <color rgb="FFFF0000"/>
      <name val="Cambria"/>
      <family val="1"/>
      <scheme val="major"/>
    </font>
    <font>
      <i/>
      <sz val="8"/>
      <color rgb="FF000000"/>
      <name val="Rockwell"/>
      <family val="1"/>
    </font>
    <font>
      <b/>
      <i/>
      <sz val="8"/>
      <name val="Rockwell"/>
      <family val="1"/>
    </font>
    <font>
      <b/>
      <i/>
      <sz val="8"/>
      <color rgb="FF000000"/>
      <name val="Rockwell"/>
      <family val="1"/>
    </font>
    <font>
      <sz val="9"/>
      <name val="Calibri"/>
      <family val="2"/>
      <scheme val="minor"/>
    </font>
    <font>
      <b/>
      <i/>
      <sz val="8"/>
      <color rgb="FFFF0000"/>
      <name val="Rockwell"/>
      <family val="1"/>
    </font>
    <font>
      <sz val="8"/>
      <color theme="1"/>
      <name val="Bookman Old Style"/>
      <family val="1"/>
    </font>
    <font>
      <sz val="8"/>
      <name val="Calibri"/>
      <family val="2"/>
      <scheme val="minor"/>
    </font>
    <font>
      <sz val="8"/>
      <color rgb="FFFF0000"/>
      <name val="Cambria"/>
      <family val="1"/>
      <scheme val="major"/>
    </font>
    <font>
      <sz val="8"/>
      <color rgb="FF000000"/>
      <name val="Cambria"/>
      <family val="1"/>
      <scheme val="major"/>
    </font>
    <font>
      <u val="singleAccounting"/>
      <sz val="8"/>
      <color rgb="FF000000"/>
      <name val="Cambria"/>
      <family val="1"/>
      <scheme val="major"/>
    </font>
    <font>
      <b/>
      <i/>
      <sz val="8"/>
      <color theme="1"/>
      <name val="Rockwell"/>
      <family val="1"/>
    </font>
    <font>
      <b/>
      <sz val="8"/>
      <color theme="1"/>
      <name val="Trebuchet MS"/>
      <family val="2"/>
    </font>
    <font>
      <i/>
      <sz val="10"/>
      <color rgb="FFFF0000"/>
      <name val="Rockwell"/>
      <family val="1"/>
    </font>
    <font>
      <sz val="8"/>
      <color theme="1"/>
      <name val="Rockwell"/>
      <family val="1"/>
    </font>
    <font>
      <sz val="10"/>
      <color rgb="FFFF0000"/>
      <name val="Rockwell"/>
      <family val="1"/>
    </font>
    <font>
      <sz val="10"/>
      <color rgb="FF000000"/>
      <name val="Rockwell"/>
      <family val="1"/>
    </font>
    <font>
      <i/>
      <sz val="8"/>
      <color theme="1"/>
      <name val="Calibri"/>
      <family val="2"/>
      <scheme val="minor"/>
    </font>
    <font>
      <i/>
      <sz val="9"/>
      <color rgb="FF000000"/>
      <name val="Rockwell"/>
      <family val="1"/>
    </font>
    <font>
      <i/>
      <sz val="9"/>
      <name val="Rockwell"/>
      <family val="1"/>
    </font>
    <font>
      <sz val="9"/>
      <color rgb="FFFF0000"/>
      <name val="Calibri"/>
      <family val="2"/>
      <scheme val="minor"/>
    </font>
    <font>
      <i/>
      <sz val="9"/>
      <color rgb="FFFF0000"/>
      <name val="Rockwell"/>
      <family val="1"/>
    </font>
    <font>
      <sz val="9"/>
      <color theme="1"/>
      <name val="Bookman Old Style"/>
      <family val="1"/>
    </font>
    <font>
      <sz val="9"/>
      <name val="Rockwell"/>
      <family val="1"/>
    </font>
    <font>
      <sz val="9"/>
      <name val="Courier New"/>
      <family val="3"/>
    </font>
    <font>
      <sz val="10"/>
      <color rgb="FFFF0000"/>
      <name val="Trebuchet MS"/>
      <family val="2"/>
    </font>
    <font>
      <b/>
      <i/>
      <sz val="9"/>
      <name val="Rockwell"/>
      <family val="1"/>
    </font>
    <font>
      <i/>
      <sz val="10"/>
      <color rgb="FF000000"/>
      <name val="Rockwell"/>
      <family val="1"/>
    </font>
    <font>
      <sz val="10"/>
      <name val="Courier New"/>
      <family val="3"/>
    </font>
    <font>
      <b/>
      <i/>
      <sz val="10"/>
      <color theme="1"/>
      <name val="Rockwell"/>
      <family val="1"/>
    </font>
    <font>
      <sz val="9"/>
      <color rgb="FFFF0000"/>
      <name val="Cambria"/>
      <family val="1"/>
      <scheme val="major"/>
    </font>
    <font>
      <sz val="9"/>
      <color rgb="FFFF0000"/>
      <name val="Trebuchet MS"/>
      <family val="2"/>
    </font>
    <font>
      <sz val="9"/>
      <color rgb="FF000000"/>
      <name val="Trebuchet MS"/>
      <family val="2"/>
    </font>
    <font>
      <sz val="10"/>
      <color theme="1" tint="0.14999847407452621"/>
      <name val="Cambria"/>
      <family val="1"/>
      <scheme val="major"/>
    </font>
    <font>
      <sz val="10"/>
      <color theme="1" tint="0.14999847407452621"/>
      <name val="Bookman Old Style"/>
      <family val="1"/>
    </font>
    <font>
      <sz val="10"/>
      <color theme="1" tint="0.14999847407452621"/>
      <name val="Rockwell"/>
      <family val="1"/>
    </font>
    <font>
      <sz val="10"/>
      <color theme="1" tint="0.249977111117893"/>
      <name val="Cambria"/>
      <family val="1"/>
      <scheme val="major"/>
    </font>
    <font>
      <b/>
      <sz val="10"/>
      <color theme="1" tint="0.14999847407452621"/>
      <name val="Trebuchet MS"/>
      <family val="2"/>
    </font>
    <font>
      <sz val="10"/>
      <color theme="1" tint="0.249977111117893"/>
      <name val="Calibri"/>
      <family val="2"/>
      <scheme val="minor"/>
    </font>
    <font>
      <b/>
      <sz val="9"/>
      <color indexed="81"/>
      <name val="Tahoma"/>
      <family val="2"/>
    </font>
    <font>
      <sz val="10.5"/>
      <name val="Cambria"/>
      <family val="1"/>
      <scheme val="major"/>
    </font>
    <font>
      <i/>
      <sz val="11"/>
      <name val="Rockwell"/>
      <family val="1"/>
    </font>
    <font>
      <sz val="10"/>
      <color theme="1"/>
      <name val="Cambria"/>
      <family val="1"/>
    </font>
    <font>
      <sz val="10"/>
      <name val="Cambria"/>
      <family val="1"/>
    </font>
    <font>
      <sz val="10"/>
      <color theme="1" tint="4.9989318521683403E-2"/>
      <name val="Times New Roman"/>
      <family val="1"/>
    </font>
    <font>
      <sz val="9"/>
      <color theme="1"/>
      <name val="Book Antiqua"/>
      <family val="1"/>
    </font>
    <font>
      <sz val="10"/>
      <color rgb="FFFF0000"/>
      <name val="Times New Roman"/>
      <family val="1"/>
    </font>
    <font>
      <sz val="9"/>
      <color rgb="FF000000"/>
      <name val="Times New Roman"/>
      <family val="1"/>
    </font>
    <font>
      <sz val="9"/>
      <color theme="1"/>
      <name val="Times New Roman"/>
      <family val="1"/>
    </font>
    <font>
      <b/>
      <sz val="10"/>
      <color rgb="FF000000"/>
      <name val="Times New Roman"/>
      <family val="1"/>
    </font>
    <font>
      <b/>
      <sz val="9"/>
      <color theme="4" tint="-0.499984740745262"/>
      <name val="Times New Roman"/>
      <family val="1"/>
    </font>
    <font>
      <sz val="9"/>
      <name val="Times New Roman"/>
      <family val="1"/>
    </font>
    <font>
      <b/>
      <sz val="10"/>
      <color theme="4" tint="-0.499984740745262"/>
      <name val="Times New Roman"/>
      <family val="1"/>
    </font>
    <font>
      <sz val="14"/>
      <color theme="1"/>
      <name val="Times New Roman"/>
      <family val="1"/>
    </font>
    <font>
      <sz val="10"/>
      <color theme="1"/>
      <name val="Times New Roman"/>
      <family val="1"/>
    </font>
    <font>
      <i/>
      <sz val="10"/>
      <color rgb="FF000000"/>
      <name val="Times New Roman"/>
      <family val="1"/>
    </font>
    <font>
      <sz val="14"/>
      <name val="Times New Roman"/>
      <family val="1"/>
    </font>
    <font>
      <b/>
      <i/>
      <sz val="10"/>
      <color rgb="FFC00000"/>
      <name val="Cambria"/>
      <family val="1"/>
      <scheme val="major"/>
    </font>
    <font>
      <i/>
      <sz val="10"/>
      <color theme="2" tint="-0.749992370372631"/>
      <name val="Cambria"/>
      <family val="1"/>
      <scheme val="major"/>
    </font>
    <font>
      <i/>
      <sz val="10"/>
      <color theme="1" tint="4.9989318521683403E-2"/>
      <name val="Cambria"/>
      <family val="1"/>
      <scheme val="major"/>
    </font>
    <font>
      <i/>
      <sz val="10"/>
      <color theme="2" tint="-0.89999084444715716"/>
      <name val="Cambria"/>
      <family val="1"/>
      <scheme val="major"/>
    </font>
    <font>
      <b/>
      <i/>
      <sz val="10"/>
      <color theme="1" tint="0.34998626667073579"/>
      <name val="Cambria"/>
      <family val="1"/>
      <scheme val="major"/>
    </font>
    <font>
      <i/>
      <u/>
      <sz val="9"/>
      <color rgb="FF000000"/>
      <name val="Cambria"/>
      <family val="1"/>
      <scheme val="major"/>
    </font>
    <font>
      <i/>
      <sz val="11"/>
      <color rgb="FF000000"/>
      <name val="Times New Roman"/>
      <family val="1"/>
    </font>
    <font>
      <i/>
      <sz val="11"/>
      <color theme="1"/>
      <name val="Times New Roman"/>
      <family val="1"/>
    </font>
    <font>
      <i/>
      <sz val="10"/>
      <name val="Calibri"/>
      <family val="2"/>
      <scheme val="minor"/>
    </font>
    <font>
      <i/>
      <sz val="10"/>
      <color rgb="FF000000"/>
      <name val="Calibri"/>
      <family val="2"/>
      <scheme val="minor"/>
    </font>
    <font>
      <sz val="12"/>
      <color theme="1"/>
      <name val="Book Antiqua"/>
      <family val="1"/>
    </font>
    <font>
      <b/>
      <sz val="11"/>
      <color rgb="FF000000"/>
      <name val="Courier New"/>
      <family val="3"/>
    </font>
    <font>
      <b/>
      <sz val="11"/>
      <color rgb="FF000000"/>
      <name val="Calibri"/>
      <family val="2"/>
    </font>
    <font>
      <b/>
      <sz val="11"/>
      <color theme="1"/>
      <name val="Calibri"/>
      <family val="2"/>
    </font>
    <font>
      <b/>
      <i/>
      <sz val="12"/>
      <color rgb="FF000000"/>
      <name val="Cambria"/>
      <family val="1"/>
    </font>
    <font>
      <sz val="11"/>
      <color rgb="FF000000"/>
      <name val="Calibri"/>
      <family val="2"/>
    </font>
    <font>
      <i/>
      <sz val="10"/>
      <color rgb="FF000000"/>
      <name val="Cambria"/>
      <family val="1"/>
    </font>
    <font>
      <i/>
      <u/>
      <sz val="10"/>
      <color rgb="FF000000"/>
      <name val="Cambria"/>
      <family val="1"/>
    </font>
    <font>
      <b/>
      <sz val="12"/>
      <color rgb="FF000000"/>
      <name val="Courier New"/>
      <family val="3"/>
    </font>
    <font>
      <i/>
      <sz val="12"/>
      <color rgb="FF000000"/>
      <name val="Calibri"/>
      <family val="2"/>
    </font>
    <font>
      <i/>
      <sz val="10"/>
      <color rgb="FF000000"/>
      <name val="Calibri"/>
      <family val="2"/>
    </font>
    <font>
      <i/>
      <sz val="10"/>
      <name val="Calibri"/>
      <family val="2"/>
    </font>
    <font>
      <sz val="10"/>
      <color rgb="FF000000"/>
      <name val="Calibri"/>
      <family val="2"/>
    </font>
    <font>
      <b/>
      <i/>
      <sz val="10"/>
      <color rgb="FF000000"/>
      <name val="Calibri"/>
      <family val="2"/>
    </font>
    <font>
      <i/>
      <sz val="11"/>
      <color rgb="FF000000"/>
      <name val="Calibri"/>
      <family val="2"/>
    </font>
    <font>
      <i/>
      <sz val="11"/>
      <name val="Calibri"/>
      <family val="2"/>
    </font>
    <font>
      <b/>
      <u/>
      <sz val="11"/>
      <color theme="1"/>
      <name val="Calibri"/>
      <family val="2"/>
      <scheme val="minor"/>
    </font>
    <font>
      <b/>
      <u/>
      <sz val="10"/>
      <color rgb="FF000000"/>
      <name val="Trebuchet MS"/>
      <family val="2"/>
    </font>
    <font>
      <b/>
      <i/>
      <u/>
      <sz val="10"/>
      <color theme="1"/>
      <name val="Cambria"/>
      <family val="1"/>
      <scheme val="major"/>
    </font>
    <font>
      <b/>
      <i/>
      <u/>
      <sz val="12"/>
      <color rgb="FF000000"/>
      <name val="Cambria"/>
      <family val="1"/>
      <scheme val="major"/>
    </font>
    <font>
      <sz val="10"/>
      <color theme="1"/>
      <name val="Courier New"/>
      <family val="3"/>
    </font>
    <font>
      <b/>
      <i/>
      <sz val="12"/>
      <color rgb="FF002060"/>
      <name val="Times New Roman"/>
      <family val="1"/>
    </font>
    <font>
      <b/>
      <sz val="12"/>
      <name val="Times New Roman"/>
      <family val="1"/>
    </font>
    <font>
      <sz val="12"/>
      <name val="Times New Roman"/>
      <family val="1"/>
    </font>
    <font>
      <sz val="11"/>
      <color rgb="FF7030A0"/>
      <name val="Times New Roman"/>
      <family val="1"/>
    </font>
    <font>
      <b/>
      <sz val="11"/>
      <color rgb="FF7030A0"/>
      <name val="Calibri"/>
      <family val="2"/>
      <scheme val="minor"/>
    </font>
    <font>
      <b/>
      <sz val="14"/>
      <name val="Calibri"/>
      <family val="2"/>
      <scheme val="minor"/>
    </font>
    <font>
      <b/>
      <i/>
      <sz val="11"/>
      <color theme="3"/>
      <name val="Calibri"/>
      <family val="2"/>
      <scheme val="minor"/>
    </font>
    <font>
      <b/>
      <i/>
      <sz val="10"/>
      <color theme="3"/>
      <name val="Calibri"/>
      <family val="2"/>
      <scheme val="minor"/>
    </font>
    <font>
      <i/>
      <sz val="11"/>
      <name val="Calibri"/>
      <family val="2"/>
      <scheme val="minor"/>
    </font>
    <font>
      <b/>
      <sz val="10"/>
      <color theme="3"/>
      <name val="Calibri"/>
      <family val="2"/>
      <scheme val="minor"/>
    </font>
    <font>
      <sz val="11"/>
      <color rgb="FF002060"/>
      <name val="Times New Roman"/>
      <family val="1"/>
    </font>
    <font>
      <b/>
      <sz val="11"/>
      <color rgb="FF002060"/>
      <name val="Times New Roman"/>
      <family val="1"/>
    </font>
    <font>
      <i/>
      <sz val="9"/>
      <color theme="1"/>
      <name val="Rockwell"/>
      <family val="1"/>
    </font>
    <font>
      <b/>
      <i/>
      <sz val="9"/>
      <color theme="1"/>
      <name val="Rockwell"/>
      <family val="1"/>
    </font>
    <font>
      <sz val="9"/>
      <color theme="4" tint="-0.499984740745262"/>
      <name val="Cambria"/>
      <family val="1"/>
      <scheme val="major"/>
    </font>
    <font>
      <sz val="9"/>
      <color rgb="FF000000"/>
      <name val="Rockwell"/>
      <family val="1"/>
    </font>
    <font>
      <b/>
      <i/>
      <sz val="9"/>
      <color theme="4" tint="-0.499984740745262"/>
      <name val="Times New Roman"/>
      <family val="1"/>
    </font>
    <font>
      <i/>
      <sz val="9"/>
      <name val="Times New Roman"/>
      <family val="1"/>
    </font>
    <font>
      <b/>
      <i/>
      <sz val="9"/>
      <color rgb="FF000000"/>
      <name val="Times New Roman"/>
      <family val="1"/>
    </font>
    <font>
      <b/>
      <i/>
      <sz val="9"/>
      <color theme="4" tint="-0.499984740745262"/>
      <name val="Rockwell"/>
      <family val="1"/>
    </font>
    <font>
      <b/>
      <sz val="10"/>
      <name val="Times New Roman"/>
      <family val="1"/>
    </font>
    <font>
      <sz val="11"/>
      <color theme="1"/>
      <name val="Times New Roman"/>
      <family val="1"/>
    </font>
    <font>
      <b/>
      <sz val="10"/>
      <color theme="1"/>
      <name val="Times New Roman"/>
      <family val="1"/>
    </font>
    <font>
      <sz val="10"/>
      <name val="Trebuchet MS"/>
      <family val="2"/>
    </font>
    <font>
      <b/>
      <i/>
      <sz val="10"/>
      <color rgb="FF254061"/>
      <name val="Cambria"/>
      <family val="1"/>
    </font>
    <font>
      <i/>
      <sz val="11"/>
      <color rgb="FFFF0000"/>
      <name val="Cambria"/>
      <family val="1"/>
    </font>
    <font>
      <i/>
      <sz val="11"/>
      <color theme="1" tint="4.9989318521683403E-2"/>
      <name val="Cambria"/>
      <family val="1"/>
      <scheme val="major"/>
    </font>
    <font>
      <i/>
      <sz val="11"/>
      <color theme="2" tint="-0.89999084444715716"/>
      <name val="Cambria"/>
      <family val="1"/>
      <scheme val="major"/>
    </font>
    <font>
      <b/>
      <i/>
      <sz val="11"/>
      <color theme="1" tint="0.34998626667073579"/>
      <name val="Cambria"/>
      <family val="1"/>
      <scheme val="major"/>
    </font>
    <font>
      <b/>
      <sz val="11"/>
      <color rgb="FF000000"/>
      <name val="Times New Roman"/>
      <family val="1"/>
    </font>
    <font>
      <sz val="11"/>
      <name val="Courier New"/>
      <family val="3"/>
    </font>
    <font>
      <i/>
      <sz val="11"/>
      <color theme="1" tint="0.14999847407452621"/>
      <name val="Cambria"/>
      <family val="1"/>
      <scheme val="major"/>
    </font>
    <font>
      <sz val="11"/>
      <name val="Cambria"/>
      <family val="2"/>
      <scheme val="major"/>
    </font>
    <font>
      <i/>
      <sz val="16"/>
      <name val="Cambria"/>
      <family val="1"/>
      <scheme val="major"/>
    </font>
    <font>
      <b/>
      <sz val="12"/>
      <color theme="4" tint="-0.499984740745262"/>
      <name val="Cambria"/>
      <family val="1"/>
      <scheme val="major"/>
    </font>
    <font>
      <sz val="10"/>
      <color rgb="FF000000"/>
      <name val="Maiandra GD"/>
      <family val="2"/>
    </font>
    <font>
      <sz val="10"/>
      <color theme="1"/>
      <name val="Maiandra GD"/>
      <family val="2"/>
    </font>
    <font>
      <b/>
      <sz val="10"/>
      <color theme="1"/>
      <name val="Maiandra GD"/>
      <family val="2"/>
    </font>
    <font>
      <b/>
      <u/>
      <sz val="11"/>
      <color theme="1"/>
      <name val="Maiandra GD"/>
      <family val="2"/>
    </font>
    <font>
      <sz val="11"/>
      <color theme="1"/>
      <name val="Maiandra GD"/>
      <family val="2"/>
    </font>
    <font>
      <sz val="9"/>
      <color rgb="FF000000"/>
      <name val="Bookman Old Style"/>
      <family val="1"/>
    </font>
    <font>
      <i/>
      <sz val="10"/>
      <name val="Cambria"/>
      <family val="1"/>
    </font>
    <font>
      <sz val="10"/>
      <color rgb="FFFF0000"/>
      <name val="Cambria"/>
      <family val="1"/>
    </font>
    <font>
      <i/>
      <sz val="10"/>
      <color rgb="FFFF0000"/>
      <name val="Cambria"/>
      <family val="1"/>
    </font>
    <font>
      <i/>
      <sz val="10"/>
      <color rgb="FF00B050"/>
      <name val="Cambria"/>
      <family val="1"/>
    </font>
    <font>
      <sz val="11"/>
      <color rgb="FF000000"/>
      <name val="Cambria"/>
      <family val="1"/>
    </font>
    <font>
      <sz val="10"/>
      <color rgb="FF213A7D"/>
      <name val="Cambria"/>
      <family val="1"/>
    </font>
    <font>
      <i/>
      <sz val="12"/>
      <name val="Cambria"/>
      <family val="1"/>
    </font>
    <font>
      <b/>
      <i/>
      <sz val="10"/>
      <color rgb="FF244062"/>
      <name val="Cambria"/>
      <family val="1"/>
    </font>
    <font>
      <i/>
      <sz val="11"/>
      <name val="Cambria"/>
      <family val="1"/>
    </font>
    <font>
      <sz val="9"/>
      <color rgb="FF000000"/>
      <name val="Cambria"/>
      <family val="1"/>
    </font>
    <font>
      <sz val="11"/>
      <color rgb="FF000000"/>
      <name val="Calibri"/>
      <family val="2"/>
    </font>
    <font>
      <i/>
      <sz val="11"/>
      <color rgb="FF000000"/>
      <name val="Cambria"/>
      <family val="1"/>
    </font>
    <font>
      <sz val="11"/>
      <color rgb="FF000000"/>
      <name val="Cambria"/>
      <family val="1"/>
    </font>
    <font>
      <i/>
      <sz val="11"/>
      <color rgb="FF000000"/>
      <name val="Cambria"/>
      <family val="1"/>
    </font>
    <font>
      <sz val="11"/>
      <color rgb="FF000000"/>
      <name val="Calibri"/>
      <family val="2"/>
    </font>
    <font>
      <sz val="9"/>
      <color rgb="FF000000"/>
      <name val="Calibri"/>
      <family val="2"/>
    </font>
    <font>
      <b/>
      <sz val="10"/>
      <color rgb="FF000000"/>
      <name val="Courier New"/>
      <family val="3"/>
    </font>
    <font>
      <sz val="11"/>
      <name val="Cambria"/>
      <family val="1"/>
    </font>
    <font>
      <b/>
      <i/>
      <sz val="10"/>
      <name val="Cambria"/>
      <family val="1"/>
    </font>
    <font>
      <sz val="9"/>
      <name val="Cambria"/>
      <family val="1"/>
    </font>
    <font>
      <sz val="10"/>
      <color rgb="FF000000"/>
      <name val="Courier New"/>
      <family val="3"/>
    </font>
    <font>
      <sz val="11"/>
      <color rgb="FF000000"/>
      <name val="Courier New"/>
      <family val="3"/>
    </font>
    <font>
      <i/>
      <sz val="9"/>
      <name val="Cambria"/>
      <family val="1"/>
    </font>
    <font>
      <i/>
      <sz val="10"/>
      <name val="Cambria"/>
      <family val="1"/>
    </font>
    <font>
      <sz val="10"/>
      <name val="Cambria"/>
      <family val="1"/>
    </font>
    <font>
      <sz val="9"/>
      <name val="Trebuchet MS"/>
      <family val="2"/>
    </font>
    <font>
      <b/>
      <sz val="11"/>
      <name val="Cambria"/>
      <family val="1"/>
    </font>
    <font>
      <sz val="11"/>
      <name val="Calibri"/>
      <family val="2"/>
    </font>
    <font>
      <b/>
      <i/>
      <sz val="12"/>
      <color rgb="FF244062"/>
      <name val="Cambria"/>
      <family val="1"/>
    </font>
    <font>
      <i/>
      <sz val="12"/>
      <color rgb="FF000000"/>
      <name val="Cambria"/>
      <family val="1"/>
    </font>
    <font>
      <sz val="12"/>
      <color rgb="FF000000"/>
      <name val="Cambria"/>
      <family val="1"/>
    </font>
    <font>
      <sz val="12"/>
      <color rgb="FF000000"/>
      <name val="Trebuchet MS"/>
      <family val="2"/>
    </font>
    <font>
      <b/>
      <i/>
      <sz val="11"/>
      <color rgb="FF244062"/>
      <name val="Cambria"/>
      <family val="1"/>
    </font>
    <font>
      <b/>
      <sz val="11"/>
      <color rgb="FF000000"/>
      <name val="Cambria"/>
      <family val="1"/>
    </font>
    <font>
      <b/>
      <i/>
      <sz val="11"/>
      <name val="Cambria"/>
      <family val="1"/>
    </font>
    <font>
      <b/>
      <i/>
      <sz val="11"/>
      <color rgb="FF000000"/>
      <name val="Cambria"/>
      <family val="1"/>
    </font>
    <font>
      <b/>
      <sz val="12"/>
      <color rgb="FF000000"/>
      <name val="Calibri"/>
      <family val="2"/>
    </font>
    <font>
      <sz val="10"/>
      <color rgb="FF000000"/>
      <name val="Cambria"/>
      <family val="1"/>
    </font>
    <font>
      <i/>
      <sz val="10"/>
      <color rgb="FF000000"/>
      <name val="Cambria"/>
      <family val="1"/>
    </font>
    <font>
      <sz val="10"/>
      <color rgb="FF000000"/>
      <name val="Calibri"/>
      <family val="2"/>
    </font>
    <font>
      <i/>
      <sz val="10"/>
      <color rgb="FF000000"/>
      <name val="Arial"/>
      <family val="2"/>
    </font>
    <font>
      <sz val="9"/>
      <color rgb="FF000000"/>
      <name val="Arial"/>
      <family val="2"/>
    </font>
    <font>
      <sz val="10"/>
      <color rgb="FF000000"/>
      <name val="Arial"/>
      <family val="2"/>
    </font>
    <font>
      <i/>
      <sz val="10"/>
      <name val="Arial"/>
      <family val="2"/>
    </font>
    <font>
      <sz val="10"/>
      <name val="Arial"/>
      <family val="2"/>
    </font>
    <font>
      <b/>
      <i/>
      <sz val="10"/>
      <color rgb="FF000000"/>
      <name val="Arial"/>
      <family val="2"/>
    </font>
    <font>
      <b/>
      <i/>
      <sz val="10"/>
      <color rgb="FF244062"/>
      <name val="Arial"/>
      <family val="2"/>
    </font>
    <font>
      <sz val="9"/>
      <name val="Arial"/>
      <family val="2"/>
    </font>
    <font>
      <i/>
      <sz val="11"/>
      <name val="Times New Roman"/>
      <family val="1"/>
    </font>
    <font>
      <sz val="9"/>
      <color rgb="FF000000"/>
      <name val="Courier New"/>
      <family val="3"/>
    </font>
    <font>
      <b/>
      <i/>
      <sz val="10"/>
      <color rgb="FF000000"/>
      <name val="Cambria"/>
      <family val="1"/>
    </font>
    <font>
      <b/>
      <i/>
      <sz val="9"/>
      <name val="Cambria"/>
      <family val="1"/>
    </font>
    <font>
      <i/>
      <sz val="9"/>
      <color rgb="FF000000"/>
      <name val="Cambria"/>
      <family val="1"/>
    </font>
    <font>
      <b/>
      <sz val="10"/>
      <name val="Cambria"/>
      <family val="1"/>
    </font>
    <font>
      <b/>
      <sz val="9"/>
      <color rgb="FF000000"/>
      <name val="Cambria"/>
      <family val="1"/>
    </font>
    <font>
      <u/>
      <sz val="9"/>
      <color rgb="FF000000"/>
      <name val="Cambria"/>
      <family val="1"/>
    </font>
    <font>
      <sz val="11"/>
      <color rgb="FFFF0000"/>
      <name val="Calibri"/>
      <family val="2"/>
    </font>
    <font>
      <sz val="10"/>
      <color rgb="FF000000"/>
      <name val="Trebuchet MS"/>
      <family val="2"/>
    </font>
    <font>
      <b/>
      <sz val="10"/>
      <color rgb="FF000000"/>
      <name val="Cambria"/>
      <family val="1"/>
    </font>
    <font>
      <b/>
      <sz val="10"/>
      <name val="Calibri"/>
      <family val="2"/>
    </font>
    <font>
      <b/>
      <sz val="10"/>
      <color rgb="FF000000"/>
      <name val="Calibri"/>
      <family val="2"/>
    </font>
    <font>
      <b/>
      <sz val="10"/>
      <color rgb="FF244062"/>
      <name val="Cambria"/>
      <family val="1"/>
    </font>
    <font>
      <b/>
      <sz val="11"/>
      <color rgb="FF000000"/>
      <name val="Calibri"/>
      <family val="2"/>
    </font>
    <font>
      <i/>
      <sz val="8"/>
      <color rgb="FF000000"/>
      <name val="Cambria"/>
      <family val="1"/>
    </font>
    <font>
      <b/>
      <i/>
      <sz val="11"/>
      <color rgb="FFFF0000"/>
      <name val="Times New Roman"/>
      <family val="1"/>
    </font>
    <font>
      <sz val="11"/>
      <color rgb="FFFF0000"/>
      <name val="Cambria"/>
      <family val="1"/>
      <scheme val="major"/>
    </font>
    <font>
      <sz val="12"/>
      <color rgb="FFFF0000"/>
      <name val="Times New Roman"/>
      <family val="1"/>
    </font>
    <font>
      <b/>
      <sz val="12"/>
      <color rgb="FFFF0000"/>
      <name val="Times New Roman"/>
      <family val="1"/>
    </font>
    <font>
      <b/>
      <sz val="8"/>
      <color theme="1"/>
      <name val="Bookman Old Style"/>
      <family val="1"/>
    </font>
  </fonts>
  <fills count="22">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7CE"/>
      </patternFill>
    </fill>
    <fill>
      <patternFill patternType="solid">
        <fgColor theme="6"/>
      </patternFill>
    </fill>
    <fill>
      <patternFill patternType="solid">
        <fgColor theme="8" tint="0.79998168889431442"/>
        <bgColor indexed="65"/>
      </patternFill>
    </fill>
    <fill>
      <patternFill patternType="solid">
        <fgColor theme="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rgb="FFDA9694"/>
        <bgColor indexed="64"/>
      </patternFill>
    </fill>
    <fill>
      <patternFill patternType="solid">
        <fgColor rgb="FFBFBFBF"/>
        <bgColor indexed="64"/>
      </patternFill>
    </fill>
    <fill>
      <patternFill patternType="solid">
        <fgColor rgb="FFD9D9D9"/>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auto="1"/>
      </left>
      <right/>
      <top style="thin">
        <color auto="1"/>
      </top>
      <bottom/>
      <diagonal/>
    </border>
    <border>
      <left style="thin">
        <color auto="1"/>
      </left>
      <right style="thin">
        <color auto="1"/>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auto="1"/>
      </top>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8"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0" fontId="64" fillId="8" borderId="0" applyNumberFormat="0" applyBorder="0" applyAlignment="0" applyProtection="0"/>
    <xf numFmtId="0" fontId="65" fillId="9" borderId="0" applyNumberFormat="0" applyBorder="0" applyAlignment="0" applyProtection="0"/>
    <xf numFmtId="0" fontId="118" fillId="0" borderId="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8" fillId="0" borderId="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0" fontId="1" fillId="10" borderId="0" applyNumberFormat="0" applyBorder="0" applyAlignment="0" applyProtection="0"/>
    <xf numFmtId="43" fontId="1" fillId="0" borderId="0" applyFont="0" applyFill="0" applyBorder="0" applyAlignment="0" applyProtection="0"/>
  </cellStyleXfs>
  <cellXfs count="3615">
    <xf numFmtId="0" fontId="0" fillId="0" borderId="0" xfId="0"/>
    <xf numFmtId="0" fontId="4" fillId="0" borderId="0" xfId="0" applyFont="1" applyAlignment="1">
      <alignment horizontal="center"/>
    </xf>
    <xf numFmtId="0" fontId="7" fillId="2" borderId="3" xfId="0" applyFont="1" applyFill="1" applyBorder="1" applyAlignment="1">
      <alignment horizontal="center" wrapText="1"/>
    </xf>
    <xf numFmtId="1" fontId="7" fillId="2" borderId="3" xfId="0" applyNumberFormat="1" applyFont="1" applyFill="1" applyBorder="1" applyAlignment="1">
      <alignment horizontal="center" wrapText="1"/>
    </xf>
    <xf numFmtId="0" fontId="8" fillId="0" borderId="3" xfId="0" applyFont="1" applyBorder="1" applyAlignment="1"/>
    <xf numFmtId="1" fontId="9" fillId="3" borderId="5" xfId="0" applyNumberFormat="1" applyFont="1" applyFill="1" applyBorder="1" applyAlignment="1">
      <alignment wrapText="1"/>
    </xf>
    <xf numFmtId="0" fontId="9" fillId="3" borderId="3" xfId="0" applyFont="1" applyFill="1" applyBorder="1" applyAlignment="1">
      <alignment wrapText="1"/>
    </xf>
    <xf numFmtId="0" fontId="9" fillId="3" borderId="3" xfId="0" applyFont="1" applyFill="1" applyBorder="1" applyAlignment="1"/>
    <xf numFmtId="1" fontId="9" fillId="3" borderId="3" xfId="0" applyNumberFormat="1" applyFont="1" applyFill="1" applyBorder="1" applyAlignment="1">
      <alignment horizontal="center"/>
    </xf>
    <xf numFmtId="1" fontId="9" fillId="3" borderId="3" xfId="0" applyNumberFormat="1" applyFont="1" applyFill="1" applyBorder="1" applyAlignment="1">
      <alignment horizontal="center" wrapText="1"/>
    </xf>
    <xf numFmtId="43" fontId="9" fillId="3" borderId="4" xfId="1" applyFont="1" applyFill="1" applyBorder="1" applyAlignment="1"/>
    <xf numFmtId="0" fontId="8" fillId="0" borderId="3" xfId="0" applyFont="1" applyBorder="1" applyAlignment="1">
      <alignment horizontal="center"/>
    </xf>
    <xf numFmtId="0" fontId="10" fillId="0" borderId="3" xfId="0" applyFont="1" applyBorder="1"/>
    <xf numFmtId="0" fontId="9" fillId="3" borderId="4" xfId="0" applyFont="1" applyFill="1" applyBorder="1" applyAlignment="1"/>
    <xf numFmtId="0" fontId="11" fillId="0" borderId="3" xfId="0" applyFont="1" applyBorder="1"/>
    <xf numFmtId="4" fontId="9" fillId="3" borderId="0" xfId="0" applyNumberFormat="1" applyFont="1" applyFill="1" applyAlignment="1"/>
    <xf numFmtId="43" fontId="9" fillId="3" borderId="4" xfId="1" applyFont="1" applyFill="1" applyBorder="1" applyAlignment="1">
      <alignment wrapText="1"/>
    </xf>
    <xf numFmtId="0" fontId="11" fillId="0" borderId="0" xfId="0" applyFont="1"/>
    <xf numFmtId="43" fontId="9" fillId="3" borderId="7" xfId="1" applyFont="1" applyFill="1" applyBorder="1" applyAlignment="1"/>
    <xf numFmtId="43" fontId="9" fillId="3" borderId="0" xfId="1" applyFont="1" applyFill="1" applyAlignment="1"/>
    <xf numFmtId="0" fontId="9" fillId="3" borderId="5" xfId="0" applyFont="1" applyFill="1" applyBorder="1" applyAlignment="1">
      <alignment wrapText="1"/>
    </xf>
    <xf numFmtId="0" fontId="9" fillId="3" borderId="3" xfId="0" applyFont="1" applyFill="1" applyBorder="1" applyAlignment="1">
      <alignment horizontal="center" wrapText="1"/>
    </xf>
    <xf numFmtId="14" fontId="9" fillId="3" borderId="3" xfId="0" applyNumberFormat="1" applyFont="1" applyFill="1" applyBorder="1" applyAlignment="1">
      <alignment horizontal="center"/>
    </xf>
    <xf numFmtId="0" fontId="2" fillId="0" borderId="0" xfId="0" applyFont="1"/>
    <xf numFmtId="164" fontId="9" fillId="3" borderId="4" xfId="1" applyNumberFormat="1" applyFont="1" applyFill="1" applyBorder="1" applyAlignment="1"/>
    <xf numFmtId="0" fontId="9" fillId="3" borderId="3" xfId="0" applyFont="1" applyFill="1" applyBorder="1" applyAlignment="1">
      <alignment horizontal="center"/>
    </xf>
    <xf numFmtId="1" fontId="9" fillId="3" borderId="3" xfId="0" applyNumberFormat="1" applyFont="1" applyFill="1" applyBorder="1" applyAlignment="1"/>
    <xf numFmtId="1" fontId="9" fillId="3" borderId="3" xfId="0" applyNumberFormat="1" applyFont="1" applyFill="1" applyBorder="1" applyAlignment="1">
      <alignment wrapText="1"/>
    </xf>
    <xf numFmtId="0" fontId="12" fillId="0" borderId="0" xfId="0" applyFont="1"/>
    <xf numFmtId="0" fontId="13" fillId="0" borderId="3" xfId="0" applyFont="1" applyBorder="1"/>
    <xf numFmtId="0" fontId="13" fillId="0" borderId="0" xfId="0" applyFont="1"/>
    <xf numFmtId="0" fontId="9" fillId="3" borderId="0" xfId="0" applyFont="1" applyFill="1" applyAlignment="1"/>
    <xf numFmtId="0" fontId="9" fillId="3" borderId="2" xfId="0" applyFont="1" applyFill="1" applyBorder="1" applyAlignment="1"/>
    <xf numFmtId="1" fontId="9" fillId="3" borderId="4" xfId="0" applyNumberFormat="1" applyFont="1" applyFill="1" applyBorder="1" applyAlignment="1"/>
    <xf numFmtId="1" fontId="9" fillId="3" borderId="2" xfId="0" applyNumberFormat="1" applyFont="1" applyFill="1" applyBorder="1" applyAlignment="1">
      <alignment wrapText="1"/>
    </xf>
    <xf numFmtId="0" fontId="8" fillId="3" borderId="3" xfId="0" applyFont="1" applyFill="1" applyBorder="1" applyAlignment="1">
      <alignment horizontal="center"/>
    </xf>
    <xf numFmtId="0" fontId="10" fillId="3" borderId="3" xfId="0" applyFont="1" applyFill="1" applyBorder="1"/>
    <xf numFmtId="0" fontId="0" fillId="3" borderId="0" xfId="0" applyFill="1"/>
    <xf numFmtId="43" fontId="9" fillId="3" borderId="8" xfId="1" applyFont="1" applyFill="1" applyBorder="1" applyAlignment="1"/>
    <xf numFmtId="1" fontId="9" fillId="3" borderId="4" xfId="1" applyNumberFormat="1" applyFont="1" applyFill="1" applyBorder="1" applyAlignment="1">
      <alignment horizontal="center" wrapText="1"/>
    </xf>
    <xf numFmtId="1" fontId="9" fillId="3" borderId="3" xfId="1" applyNumberFormat="1" applyFont="1" applyFill="1" applyBorder="1" applyAlignment="1">
      <alignment horizontal="center" wrapText="1"/>
    </xf>
    <xf numFmtId="4" fontId="9" fillId="3" borderId="4" xfId="0" applyNumberFormat="1" applyFont="1" applyFill="1" applyBorder="1" applyAlignment="1">
      <alignment wrapText="1"/>
    </xf>
    <xf numFmtId="0" fontId="9" fillId="3" borderId="0" xfId="0" applyFont="1" applyFill="1" applyAlignment="1">
      <alignment wrapText="1"/>
    </xf>
    <xf numFmtId="1" fontId="9" fillId="3" borderId="4" xfId="0" applyNumberFormat="1" applyFont="1" applyFill="1" applyBorder="1" applyAlignment="1">
      <alignment horizontal="center"/>
    </xf>
    <xf numFmtId="2" fontId="9" fillId="3" borderId="3" xfId="0" applyNumberFormat="1" applyFont="1" applyFill="1" applyBorder="1" applyAlignment="1">
      <alignment wrapText="1"/>
    </xf>
    <xf numFmtId="14" fontId="9" fillId="3" borderId="3" xfId="0" applyNumberFormat="1" applyFont="1" applyFill="1" applyBorder="1" applyAlignment="1">
      <alignment horizontal="center" wrapText="1"/>
    </xf>
    <xf numFmtId="4" fontId="9" fillId="3" borderId="3" xfId="0" applyNumberFormat="1" applyFont="1" applyFill="1" applyBorder="1" applyAlignment="1">
      <alignment wrapText="1"/>
    </xf>
    <xf numFmtId="0" fontId="14" fillId="0" borderId="3" xfId="0" applyFont="1" applyBorder="1"/>
    <xf numFmtId="1" fontId="9" fillId="3" borderId="3" xfId="1" applyNumberFormat="1" applyFont="1" applyFill="1" applyBorder="1" applyAlignment="1">
      <alignment horizontal="center"/>
    </xf>
    <xf numFmtId="14" fontId="9" fillId="3" borderId="0" xfId="0" applyNumberFormat="1" applyFont="1" applyFill="1" applyAlignment="1">
      <alignment horizontal="center"/>
    </xf>
    <xf numFmtId="43" fontId="9" fillId="3" borderId="3" xfId="1" applyFont="1" applyFill="1" applyBorder="1" applyAlignment="1">
      <alignment wrapText="1"/>
    </xf>
    <xf numFmtId="49" fontId="9" fillId="3" borderId="3" xfId="0" applyNumberFormat="1" applyFont="1" applyFill="1" applyBorder="1" applyAlignment="1">
      <alignment horizontal="center"/>
    </xf>
    <xf numFmtId="0" fontId="9" fillId="3" borderId="0" xfId="0" applyFont="1" applyFill="1" applyAlignment="1">
      <alignment horizontal="center"/>
    </xf>
    <xf numFmtId="43" fontId="9" fillId="3" borderId="7" xfId="1" applyFont="1" applyFill="1" applyBorder="1" applyAlignment="1">
      <alignment wrapText="1"/>
    </xf>
    <xf numFmtId="3" fontId="8" fillId="0" borderId="3" xfId="0" applyNumberFormat="1" applyFont="1" applyBorder="1" applyAlignment="1">
      <alignment horizontal="center"/>
    </xf>
    <xf numFmtId="4" fontId="9" fillId="3" borderId="4" xfId="0" applyNumberFormat="1" applyFont="1" applyFill="1" applyBorder="1" applyAlignment="1"/>
    <xf numFmtId="0" fontId="9" fillId="3" borderId="2" xfId="0" applyFont="1" applyFill="1" applyBorder="1" applyAlignment="1">
      <alignment wrapText="1"/>
    </xf>
    <xf numFmtId="14" fontId="9" fillId="3" borderId="3" xfId="0" quotePrefix="1" applyNumberFormat="1" applyFont="1" applyFill="1" applyBorder="1" applyAlignment="1">
      <alignment horizontal="center"/>
    </xf>
    <xf numFmtId="1" fontId="9" fillId="3" borderId="3" xfId="0" quotePrefix="1" applyNumberFormat="1" applyFont="1" applyFill="1" applyBorder="1" applyAlignment="1">
      <alignment horizontal="center"/>
    </xf>
    <xf numFmtId="2" fontId="9" fillId="3" borderId="4" xfId="1" applyNumberFormat="1" applyFont="1" applyFill="1" applyBorder="1" applyAlignment="1"/>
    <xf numFmtId="0" fontId="9" fillId="3" borderId="4" xfId="0" applyFont="1" applyFill="1" applyBorder="1" applyAlignment="1">
      <alignment wrapText="1"/>
    </xf>
    <xf numFmtId="1" fontId="9" fillId="3" borderId="3" xfId="3" applyNumberFormat="1" applyFont="1" applyFill="1" applyBorder="1" applyAlignment="1">
      <alignment wrapText="1"/>
    </xf>
    <xf numFmtId="43" fontId="9" fillId="3" borderId="4" xfId="4" applyFont="1" applyFill="1" applyBorder="1" applyAlignment="1"/>
    <xf numFmtId="0" fontId="9" fillId="3" borderId="2" xfId="0" applyFont="1" applyFill="1" applyBorder="1" applyAlignment="1">
      <alignment horizontal="center"/>
    </xf>
    <xf numFmtId="0" fontId="9" fillId="3" borderId="8" xfId="0" applyFont="1" applyFill="1" applyBorder="1" applyAlignment="1"/>
    <xf numFmtId="0" fontId="9" fillId="0" borderId="3" xfId="0" applyFont="1" applyFill="1" applyBorder="1" applyAlignment="1">
      <alignment horizontal="left" wrapText="1"/>
    </xf>
    <xf numFmtId="0" fontId="8" fillId="3" borderId="3" xfId="0" applyFont="1" applyFill="1" applyBorder="1" applyAlignment="1"/>
    <xf numFmtId="0" fontId="9" fillId="3" borderId="3" xfId="0" applyFont="1" applyFill="1" applyBorder="1" applyAlignment="1">
      <alignment horizontal="left" wrapText="1"/>
    </xf>
    <xf numFmtId="0" fontId="15" fillId="0" borderId="3" xfId="0" applyFont="1" applyBorder="1"/>
    <xf numFmtId="0" fontId="16" fillId="0" borderId="3" xfId="0" applyFont="1" applyBorder="1"/>
    <xf numFmtId="0" fontId="17" fillId="0" borderId="3" xfId="0" applyFont="1" applyBorder="1" applyAlignment="1">
      <alignment horizontal="center"/>
    </xf>
    <xf numFmtId="0" fontId="18" fillId="0" borderId="3" xfId="0" applyFont="1" applyBorder="1" applyAlignment="1">
      <alignment horizontal="center"/>
    </xf>
    <xf numFmtId="0" fontId="15" fillId="0" borderId="0" xfId="0" applyFont="1"/>
    <xf numFmtId="0" fontId="0" fillId="0" borderId="0" xfId="0" applyAlignment="1">
      <alignment horizontal="center"/>
    </xf>
    <xf numFmtId="0" fontId="4" fillId="2" borderId="3" xfId="0" applyFont="1" applyFill="1" applyBorder="1" applyAlignment="1">
      <alignment horizontal="left"/>
    </xf>
    <xf numFmtId="0" fontId="4" fillId="2" borderId="3" xfId="0" applyFont="1" applyFill="1" applyBorder="1" applyAlignment="1"/>
    <xf numFmtId="1" fontId="19" fillId="2" borderId="3" xfId="0" applyNumberFormat="1" applyFont="1" applyFill="1" applyBorder="1" applyAlignment="1">
      <alignment horizontal="center"/>
    </xf>
    <xf numFmtId="0" fontId="3" fillId="2" borderId="3" xfId="0" applyFont="1" applyFill="1" applyBorder="1" applyAlignment="1">
      <alignment horizontal="center" wrapText="1"/>
    </xf>
    <xf numFmtId="0" fontId="3" fillId="2" borderId="3" xfId="0" applyFont="1" applyFill="1" applyBorder="1" applyAlignment="1">
      <alignment horizontal="center"/>
    </xf>
    <xf numFmtId="0" fontId="20" fillId="4" borderId="3" xfId="0" applyFont="1" applyFill="1" applyBorder="1" applyAlignment="1"/>
    <xf numFmtId="37" fontId="20" fillId="4" borderId="3" xfId="0" applyNumberFormat="1" applyFont="1" applyFill="1" applyBorder="1" applyAlignment="1">
      <alignment horizontal="center"/>
    </xf>
    <xf numFmtId="0" fontId="20" fillId="4" borderId="3" xfId="0" applyFont="1" applyFill="1" applyBorder="1" applyAlignment="1">
      <alignment wrapText="1"/>
    </xf>
    <xf numFmtId="164" fontId="20" fillId="4" borderId="3" xfId="0" applyNumberFormat="1" applyFont="1" applyFill="1" applyBorder="1" applyAlignment="1">
      <alignment horizontal="center" wrapText="1"/>
    </xf>
    <xf numFmtId="0" fontId="20" fillId="4" borderId="3" xfId="0" applyFont="1" applyFill="1" applyBorder="1" applyAlignment="1">
      <alignment horizontal="left"/>
    </xf>
    <xf numFmtId="0" fontId="10" fillId="4" borderId="3" xfId="0" applyFont="1" applyFill="1" applyBorder="1" applyAlignment="1"/>
    <xf numFmtId="0" fontId="6" fillId="4" borderId="3" xfId="0" applyFont="1" applyFill="1" applyBorder="1" applyAlignment="1">
      <alignment horizontal="left" wrapText="1"/>
    </xf>
    <xf numFmtId="0" fontId="20" fillId="4" borderId="3" xfId="0" applyFont="1" applyFill="1" applyBorder="1" applyAlignment="1">
      <alignment horizontal="left" wrapText="1"/>
    </xf>
    <xf numFmtId="164" fontId="20" fillId="4" borderId="3" xfId="0" applyNumberFormat="1" applyFont="1" applyFill="1" applyBorder="1" applyAlignment="1">
      <alignment horizontal="left" wrapText="1"/>
    </xf>
    <xf numFmtId="164" fontId="20" fillId="3" borderId="3" xfId="0" applyNumberFormat="1" applyFont="1" applyFill="1" applyBorder="1" applyAlignment="1">
      <alignment horizontal="left" wrapText="1"/>
    </xf>
    <xf numFmtId="164" fontId="20" fillId="3" borderId="3" xfId="0" applyNumberFormat="1" applyFont="1" applyFill="1" applyBorder="1" applyAlignment="1">
      <alignment wrapText="1"/>
    </xf>
    <xf numFmtId="164" fontId="21" fillId="0" borderId="3" xfId="0" applyNumberFormat="1" applyFont="1" applyFill="1" applyBorder="1" applyAlignment="1">
      <alignment horizontal="center" wrapText="1"/>
    </xf>
    <xf numFmtId="37" fontId="21" fillId="3" borderId="3" xfId="0" applyNumberFormat="1" applyFont="1" applyFill="1" applyBorder="1" applyAlignment="1">
      <alignment horizontal="center"/>
    </xf>
    <xf numFmtId="0" fontId="0" fillId="0" borderId="3" xfId="0" applyBorder="1"/>
    <xf numFmtId="0" fontId="22" fillId="5" borderId="3" xfId="0" applyFont="1" applyFill="1" applyBorder="1" applyAlignment="1">
      <alignment horizontal="left" wrapText="1"/>
    </xf>
    <xf numFmtId="164" fontId="25" fillId="5" borderId="3" xfId="5" applyNumberFormat="1" applyFont="1" applyFill="1" applyBorder="1" applyAlignment="1">
      <alignment horizontal="center"/>
    </xf>
    <xf numFmtId="164" fontId="25" fillId="5" borderId="3" xfId="5" applyNumberFormat="1" applyFont="1" applyFill="1" applyBorder="1" applyAlignment="1">
      <alignment horizontal="center" wrapText="1"/>
    </xf>
    <xf numFmtId="43" fontId="25" fillId="5" borderId="3" xfId="1" applyFont="1" applyFill="1" applyBorder="1" applyAlignment="1">
      <alignment horizontal="center" wrapText="1"/>
    </xf>
    <xf numFmtId="164" fontId="25" fillId="5" borderId="3" xfId="1" applyNumberFormat="1" applyFont="1" applyFill="1" applyBorder="1" applyAlignment="1">
      <alignment horizontal="center" wrapText="1"/>
    </xf>
    <xf numFmtId="43" fontId="25" fillId="5" borderId="3" xfId="1" applyFont="1" applyFill="1" applyBorder="1" applyAlignment="1">
      <alignment horizontal="center"/>
    </xf>
    <xf numFmtId="164" fontId="25" fillId="5" borderId="3" xfId="5" applyNumberFormat="1" applyFont="1" applyFill="1" applyBorder="1" applyAlignment="1">
      <alignment horizontal="center" vertical="center"/>
    </xf>
    <xf numFmtId="1" fontId="28" fillId="0" borderId="3" xfId="0" applyNumberFormat="1" applyFont="1" applyFill="1" applyBorder="1" applyAlignment="1"/>
    <xf numFmtId="43" fontId="28" fillId="0" borderId="3" xfId="1" applyFont="1" applyFill="1" applyBorder="1" applyAlignment="1">
      <alignment horizontal="center"/>
    </xf>
    <xf numFmtId="43" fontId="28" fillId="0" borderId="3" xfId="1" applyFont="1" applyFill="1" applyBorder="1" applyAlignment="1"/>
    <xf numFmtId="0" fontId="28" fillId="0" borderId="3" xfId="0" applyFont="1" applyFill="1" applyBorder="1" applyAlignment="1">
      <alignment vertical="center" wrapText="1"/>
    </xf>
    <xf numFmtId="43" fontId="28" fillId="0" borderId="3" xfId="1" applyFont="1" applyFill="1" applyBorder="1" applyAlignment="1">
      <alignment vertical="center" wrapText="1"/>
    </xf>
    <xf numFmtId="43" fontId="28" fillId="0" borderId="3" xfId="1" applyFont="1" applyFill="1" applyBorder="1" applyAlignment="1">
      <alignment horizontal="right" vertical="center" wrapText="1"/>
    </xf>
    <xf numFmtId="0" fontId="0" fillId="0" borderId="3" xfId="0" applyFill="1" applyBorder="1"/>
    <xf numFmtId="43" fontId="40" fillId="0" borderId="3" xfId="1" applyFont="1" applyFill="1" applyBorder="1" applyAlignment="1"/>
    <xf numFmtId="43" fontId="26" fillId="0" borderId="3" xfId="1" applyFont="1" applyFill="1" applyBorder="1" applyAlignment="1"/>
    <xf numFmtId="0" fontId="50" fillId="0" borderId="3" xfId="0" applyFont="1" applyFill="1" applyBorder="1" applyAlignment="1">
      <alignment horizontal="left" wrapText="1"/>
    </xf>
    <xf numFmtId="1" fontId="28" fillId="0" borderId="3" xfId="0" applyNumberFormat="1" applyFont="1" applyFill="1" applyBorder="1" applyAlignment="1">
      <alignment horizontal="center"/>
    </xf>
    <xf numFmtId="0" fontId="40" fillId="0" borderId="3" xfId="0" applyFont="1" applyFill="1" applyBorder="1" applyAlignment="1">
      <alignment vertical="center" wrapText="1"/>
    </xf>
    <xf numFmtId="0" fontId="27" fillId="0" borderId="3" xfId="0" applyFont="1" applyFill="1" applyBorder="1" applyAlignment="1">
      <alignment vertical="center"/>
    </xf>
    <xf numFmtId="14" fontId="28" fillId="0" borderId="3" xfId="0" applyNumberFormat="1" applyFont="1" applyFill="1" applyBorder="1" applyAlignment="1">
      <alignment horizontal="center"/>
    </xf>
    <xf numFmtId="0" fontId="28" fillId="0" borderId="3" xfId="0" applyFont="1" applyFill="1" applyBorder="1" applyAlignment="1">
      <alignment horizontal="center" vertical="center" wrapText="1"/>
    </xf>
    <xf numFmtId="43" fontId="59" fillId="0" borderId="3" xfId="1" applyFont="1" applyFill="1" applyBorder="1" applyAlignment="1">
      <alignment vertical="center" wrapText="1"/>
    </xf>
    <xf numFmtId="43" fontId="59" fillId="0" borderId="3" xfId="1" applyFont="1" applyFill="1" applyBorder="1" applyAlignment="1"/>
    <xf numFmtId="0" fontId="0" fillId="6" borderId="3" xfId="0" applyFill="1" applyBorder="1"/>
    <xf numFmtId="0" fontId="3" fillId="6" borderId="3" xfId="0" applyFont="1" applyFill="1" applyBorder="1" applyAlignment="1">
      <alignment horizontal="center"/>
    </xf>
    <xf numFmtId="0" fontId="0" fillId="6" borderId="3" xfId="0" applyFill="1" applyBorder="1" applyAlignment="1">
      <alignment horizontal="left"/>
    </xf>
    <xf numFmtId="164" fontId="3" fillId="6" borderId="3" xfId="0" applyNumberFormat="1" applyFont="1" applyFill="1" applyBorder="1"/>
    <xf numFmtId="164" fontId="28" fillId="6" borderId="3" xfId="1" applyNumberFormat="1" applyFont="1" applyFill="1" applyBorder="1" applyAlignment="1">
      <alignment horizontal="center"/>
    </xf>
    <xf numFmtId="0" fontId="0" fillId="6" borderId="0" xfId="0" applyFill="1" applyBorder="1"/>
    <xf numFmtId="0" fontId="3" fillId="6" borderId="6" xfId="0" applyFont="1" applyFill="1" applyBorder="1" applyAlignment="1">
      <alignment horizontal="center"/>
    </xf>
    <xf numFmtId="0" fontId="0" fillId="6" borderId="6" xfId="0" applyFill="1" applyBorder="1" applyAlignment="1">
      <alignment horizontal="left"/>
    </xf>
    <xf numFmtId="164" fontId="3" fillId="6" borderId="6" xfId="0" applyNumberFormat="1" applyFont="1" applyFill="1" applyBorder="1"/>
    <xf numFmtId="0" fontId="3" fillId="6" borderId="6" xfId="0" applyFont="1" applyFill="1" applyBorder="1"/>
    <xf numFmtId="43" fontId="3" fillId="6" borderId="6" xfId="1" applyFont="1" applyFill="1" applyBorder="1"/>
    <xf numFmtId="0" fontId="0" fillId="0" borderId="0" xfId="0" applyAlignment="1">
      <alignment horizontal="left"/>
    </xf>
    <xf numFmtId="164" fontId="0" fillId="0" borderId="0" xfId="0" applyNumberFormat="1"/>
    <xf numFmtId="43" fontId="0" fillId="0" borderId="0" xfId="1" applyFont="1"/>
    <xf numFmtId="164" fontId="3" fillId="5" borderId="3" xfId="0" applyNumberFormat="1" applyFont="1" applyFill="1" applyBorder="1" applyAlignment="1">
      <alignment horizontal="center"/>
    </xf>
    <xf numFmtId="164" fontId="3" fillId="5" borderId="3" xfId="0" applyNumberFormat="1" applyFont="1" applyFill="1" applyBorder="1"/>
    <xf numFmtId="164" fontId="0" fillId="0" borderId="3" xfId="0" applyNumberFormat="1" applyBorder="1"/>
    <xf numFmtId="164" fontId="1" fillId="0" borderId="3" xfId="0" applyNumberFormat="1" applyFont="1" applyBorder="1"/>
    <xf numFmtId="9" fontId="15" fillId="7" borderId="0" xfId="2" applyFont="1" applyFill="1"/>
    <xf numFmtId="0" fontId="3" fillId="0" borderId="0" xfId="0" applyFont="1" applyAlignment="1">
      <alignment horizontal="center"/>
    </xf>
    <xf numFmtId="0" fontId="7" fillId="5" borderId="3" xfId="0" applyNumberFormat="1" applyFont="1" applyFill="1" applyBorder="1" applyAlignment="1">
      <alignment horizontal="center"/>
    </xf>
    <xf numFmtId="0" fontId="7" fillId="5" borderId="3" xfId="0" applyNumberFormat="1" applyFont="1" applyFill="1" applyBorder="1" applyAlignment="1">
      <alignment horizontal="center" wrapText="1"/>
    </xf>
    <xf numFmtId="1" fontId="7" fillId="5" borderId="3" xfId="0" applyNumberFormat="1" applyFont="1" applyFill="1" applyBorder="1" applyAlignment="1">
      <alignment horizontal="center" wrapText="1"/>
    </xf>
    <xf numFmtId="0" fontId="7" fillId="5" borderId="3" xfId="0" applyFont="1" applyFill="1" applyBorder="1" applyAlignment="1">
      <alignment horizontal="center"/>
    </xf>
    <xf numFmtId="0" fontId="67" fillId="0" borderId="3" xfId="0" applyFont="1" applyFill="1" applyBorder="1" applyAlignment="1">
      <alignment horizontal="center" wrapText="1"/>
    </xf>
    <xf numFmtId="0" fontId="67" fillId="0" borderId="3" xfId="0" applyNumberFormat="1" applyFont="1" applyFill="1" applyBorder="1" applyAlignment="1">
      <alignment horizontal="left"/>
    </xf>
    <xf numFmtId="0" fontId="67" fillId="0" borderId="3" xfId="0" applyNumberFormat="1" applyFont="1" applyFill="1" applyBorder="1" applyAlignment="1">
      <alignment horizontal="left" wrapText="1"/>
    </xf>
    <xf numFmtId="0" fontId="68" fillId="0" borderId="3" xfId="0" applyNumberFormat="1" applyFont="1" applyBorder="1" applyAlignment="1">
      <alignment horizontal="center"/>
    </xf>
    <xf numFmtId="0" fontId="68" fillId="0" borderId="3" xfId="0" applyNumberFormat="1" applyFont="1" applyBorder="1" applyAlignment="1"/>
    <xf numFmtId="0" fontId="28" fillId="0" borderId="4" xfId="0" applyNumberFormat="1" applyFont="1" applyBorder="1" applyAlignment="1">
      <alignment horizontal="center" vertical="center"/>
    </xf>
    <xf numFmtId="14" fontId="28" fillId="0" borderId="3" xfId="0" applyNumberFormat="1" applyFont="1" applyBorder="1" applyAlignment="1">
      <alignment horizontal="center" vertical="center"/>
    </xf>
    <xf numFmtId="0" fontId="40" fillId="0" borderId="5" xfId="0" applyNumberFormat="1" applyFont="1" applyBorder="1" applyAlignment="1">
      <alignment horizontal="left" vertical="center" wrapText="1"/>
    </xf>
    <xf numFmtId="43" fontId="28" fillId="0" borderId="5" xfId="1" applyFont="1" applyBorder="1" applyAlignment="1">
      <alignment vertical="center"/>
    </xf>
    <xf numFmtId="0" fontId="6" fillId="0" borderId="3" xfId="0" applyFont="1" applyFill="1" applyBorder="1" applyAlignment="1">
      <alignment horizontal="center"/>
    </xf>
    <xf numFmtId="0" fontId="28" fillId="0" borderId="3" xfId="0" applyFont="1" applyFill="1" applyBorder="1" applyAlignment="1">
      <alignment horizontal="center"/>
    </xf>
    <xf numFmtId="0" fontId="28" fillId="0" borderId="4" xfId="0" applyNumberFormat="1" applyFont="1" applyBorder="1" applyAlignment="1">
      <alignment horizontal="center"/>
    </xf>
    <xf numFmtId="14" fontId="28" fillId="0" borderId="3" xfId="0" applyNumberFormat="1" applyFont="1" applyBorder="1" applyAlignment="1">
      <alignment horizontal="center"/>
    </xf>
    <xf numFmtId="0" fontId="28" fillId="0" borderId="5" xfId="0" applyNumberFormat="1" applyFont="1" applyBorder="1" applyAlignment="1">
      <alignment horizontal="left" vertical="center" wrapText="1"/>
    </xf>
    <xf numFmtId="43" fontId="28" fillId="0" borderId="3" xfId="1" applyFont="1" applyBorder="1" applyAlignment="1"/>
    <xf numFmtId="0" fontId="28" fillId="5" borderId="4" xfId="0" applyNumberFormat="1" applyFont="1" applyFill="1" applyBorder="1" applyAlignment="1">
      <alignment horizontal="center"/>
    </xf>
    <xf numFmtId="14" fontId="28" fillId="5" borderId="3" xfId="0" applyNumberFormat="1" applyFont="1" applyFill="1" applyBorder="1" applyAlignment="1">
      <alignment horizontal="center"/>
    </xf>
    <xf numFmtId="0" fontId="69" fillId="5" borderId="11" xfId="0" applyNumberFormat="1" applyFont="1" applyFill="1" applyBorder="1" applyAlignment="1">
      <alignment horizontal="left" vertical="center"/>
    </xf>
    <xf numFmtId="43" fontId="28" fillId="5" borderId="3" xfId="1" applyFont="1" applyFill="1" applyBorder="1" applyAlignment="1"/>
    <xf numFmtId="0" fontId="6" fillId="0" borderId="3" xfId="0" applyNumberFormat="1" applyFont="1" applyFill="1" applyBorder="1" applyAlignment="1">
      <alignment horizontal="center"/>
    </xf>
    <xf numFmtId="0" fontId="50" fillId="0" borderId="5" xfId="0" applyNumberFormat="1" applyFont="1" applyBorder="1" applyAlignment="1">
      <alignment horizontal="left" vertical="center" wrapText="1"/>
    </xf>
    <xf numFmtId="43" fontId="28" fillId="0" borderId="3" xfId="1" applyFont="1" applyBorder="1" applyAlignment="1">
      <alignment wrapText="1"/>
    </xf>
    <xf numFmtId="0" fontId="28" fillId="0" borderId="4" xfId="0" applyNumberFormat="1" applyFont="1" applyFill="1" applyBorder="1" applyAlignment="1">
      <alignment horizontal="center" vertical="center" wrapText="1"/>
    </xf>
    <xf numFmtId="14" fontId="28" fillId="0" borderId="3" xfId="0" applyNumberFormat="1" applyFont="1" applyFill="1" applyBorder="1" applyAlignment="1">
      <alignment horizontal="center" vertical="center" wrapText="1"/>
    </xf>
    <xf numFmtId="0" fontId="50" fillId="0" borderId="5" xfId="0" applyNumberFormat="1" applyFont="1" applyFill="1" applyBorder="1" applyAlignment="1">
      <alignment horizontal="left" vertical="center" wrapText="1"/>
    </xf>
    <xf numFmtId="0" fontId="28" fillId="5" borderId="4" xfId="0" applyNumberFormat="1" applyFont="1" applyFill="1" applyBorder="1" applyAlignment="1">
      <alignment horizontal="center" vertical="center" wrapText="1"/>
    </xf>
    <xf numFmtId="14" fontId="28" fillId="5" borderId="3" xfId="0" applyNumberFormat="1" applyFont="1" applyFill="1" applyBorder="1" applyAlignment="1">
      <alignment horizontal="center" vertical="center" wrapText="1"/>
    </xf>
    <xf numFmtId="0" fontId="55" fillId="5" borderId="5" xfId="0" applyNumberFormat="1" applyFont="1" applyFill="1" applyBorder="1" applyAlignment="1">
      <alignment horizontal="left" vertical="center"/>
    </xf>
    <xf numFmtId="43" fontId="40" fillId="5" borderId="3" xfId="1" applyFont="1" applyFill="1" applyBorder="1" applyAlignment="1">
      <alignment vertical="center"/>
    </xf>
    <xf numFmtId="0" fontId="68" fillId="3" borderId="3" xfId="0" applyNumberFormat="1" applyFont="1" applyFill="1" applyBorder="1" applyAlignment="1">
      <alignment horizontal="center"/>
    </xf>
    <xf numFmtId="0" fontId="68" fillId="3" borderId="3" xfId="0" applyNumberFormat="1" applyFont="1" applyFill="1" applyBorder="1" applyAlignment="1"/>
    <xf numFmtId="0" fontId="28" fillId="3" borderId="4" xfId="0" applyNumberFormat="1" applyFont="1" applyFill="1" applyBorder="1" applyAlignment="1">
      <alignment horizontal="center" vertical="center" wrapText="1"/>
    </xf>
    <xf numFmtId="14" fontId="28" fillId="3" borderId="3" xfId="0" applyNumberFormat="1" applyFont="1" applyFill="1" applyBorder="1" applyAlignment="1">
      <alignment horizontal="center" vertical="center" wrapText="1"/>
    </xf>
    <xf numFmtId="0" fontId="70" fillId="3" borderId="5" xfId="0" applyNumberFormat="1" applyFont="1" applyFill="1" applyBorder="1" applyAlignment="1">
      <alignment horizontal="justify" vertical="center" wrapText="1"/>
    </xf>
    <xf numFmtId="43" fontId="28" fillId="3" borderId="3" xfId="1" applyFont="1" applyFill="1" applyBorder="1" applyAlignment="1"/>
    <xf numFmtId="0" fontId="69" fillId="5" borderId="5" xfId="0" applyNumberFormat="1" applyFont="1" applyFill="1" applyBorder="1" applyAlignment="1">
      <alignment vertical="center"/>
    </xf>
    <xf numFmtId="43" fontId="50" fillId="5" borderId="3" xfId="1" applyFont="1" applyFill="1" applyBorder="1" applyAlignment="1">
      <alignment vertical="center"/>
    </xf>
    <xf numFmtId="0" fontId="28" fillId="0" borderId="4" xfId="0" applyNumberFormat="1" applyFont="1" applyBorder="1" applyAlignment="1">
      <alignment horizontal="center" vertical="center" wrapText="1"/>
    </xf>
    <xf numFmtId="14" fontId="28" fillId="0" borderId="3" xfId="0" applyNumberFormat="1" applyFont="1" applyBorder="1" applyAlignment="1">
      <alignment horizontal="center" vertical="center" wrapText="1"/>
    </xf>
    <xf numFmtId="0" fontId="57" fillId="0" borderId="5" xfId="0" applyNumberFormat="1" applyFont="1" applyBorder="1" applyAlignment="1">
      <alignment vertical="center" wrapText="1"/>
    </xf>
    <xf numFmtId="43" fontId="28" fillId="0" borderId="3" xfId="1" applyFont="1" applyBorder="1" applyAlignment="1">
      <alignment vertical="center"/>
    </xf>
    <xf numFmtId="0" fontId="67" fillId="0" borderId="3" xfId="0" applyNumberFormat="1" applyFont="1" applyFill="1" applyBorder="1" applyAlignment="1">
      <alignment horizontal="left" vertical="center"/>
    </xf>
    <xf numFmtId="14" fontId="59" fillId="3" borderId="3" xfId="0" applyNumberFormat="1" applyFont="1" applyFill="1" applyBorder="1" applyAlignment="1">
      <alignment horizontal="center" vertical="center" wrapText="1"/>
    </xf>
    <xf numFmtId="0" fontId="39" fillId="3" borderId="5" xfId="0" applyNumberFormat="1" applyFont="1" applyFill="1" applyBorder="1" applyAlignment="1">
      <alignment vertical="center" wrapText="1"/>
    </xf>
    <xf numFmtId="0" fontId="39" fillId="0" borderId="5" xfId="0" applyNumberFormat="1" applyFont="1" applyBorder="1" applyAlignment="1">
      <alignment horizontal="left" vertical="center" wrapText="1"/>
    </xf>
    <xf numFmtId="43" fontId="28" fillId="0" borderId="3" xfId="1" applyFont="1" applyBorder="1" applyAlignment="1">
      <alignment vertical="center" wrapText="1"/>
    </xf>
    <xf numFmtId="0" fontId="59" fillId="3" borderId="4" xfId="0" applyNumberFormat="1" applyFont="1" applyFill="1" applyBorder="1" applyAlignment="1">
      <alignment horizontal="center"/>
    </xf>
    <xf numFmtId="43" fontId="0" fillId="0" borderId="3" xfId="1" applyFont="1" applyBorder="1" applyAlignment="1"/>
    <xf numFmtId="0" fontId="28" fillId="3" borderId="5" xfId="0" applyNumberFormat="1" applyFont="1" applyFill="1" applyBorder="1" applyAlignment="1">
      <alignment horizontal="left" wrapText="1"/>
    </xf>
    <xf numFmtId="0" fontId="28" fillId="3" borderId="4" xfId="0" applyNumberFormat="1" applyFont="1" applyFill="1" applyBorder="1" applyAlignment="1">
      <alignment horizontal="center" vertical="center"/>
    </xf>
    <xf numFmtId="0" fontId="70" fillId="0" borderId="5" xfId="0" applyNumberFormat="1" applyFont="1" applyBorder="1" applyAlignment="1">
      <alignment horizontal="left" vertical="center" wrapText="1"/>
    </xf>
    <xf numFmtId="0" fontId="28" fillId="3" borderId="5" xfId="0" applyNumberFormat="1" applyFont="1" applyFill="1" applyBorder="1" applyAlignment="1">
      <alignment vertical="top" wrapText="1"/>
    </xf>
    <xf numFmtId="43" fontId="28" fillId="3" borderId="3" xfId="1" applyFont="1" applyFill="1" applyBorder="1" applyAlignment="1">
      <alignment vertical="center"/>
    </xf>
    <xf numFmtId="0" fontId="6" fillId="3" borderId="3" xfId="0" applyNumberFormat="1" applyFont="1" applyFill="1" applyBorder="1" applyAlignment="1">
      <alignment horizontal="center" wrapText="1"/>
    </xf>
    <xf numFmtId="0" fontId="6" fillId="3" borderId="3" xfId="0" applyNumberFormat="1" applyFont="1" applyFill="1" applyBorder="1" applyAlignment="1">
      <alignment wrapText="1"/>
    </xf>
    <xf numFmtId="0" fontId="59" fillId="0" borderId="3" xfId="0" applyFont="1" applyFill="1" applyBorder="1" applyAlignment="1">
      <alignment horizontal="center" wrapText="1"/>
    </xf>
    <xf numFmtId="43" fontId="71" fillId="3" borderId="3" xfId="1" applyFont="1" applyFill="1" applyBorder="1" applyAlignment="1">
      <alignment vertical="center" wrapText="1"/>
    </xf>
    <xf numFmtId="0" fontId="6" fillId="0" borderId="3" xfId="0" applyNumberFormat="1" applyFont="1" applyBorder="1" applyAlignment="1">
      <alignment horizontal="center" wrapText="1"/>
    </xf>
    <xf numFmtId="0" fontId="6" fillId="0" borderId="3" xfId="0" applyNumberFormat="1" applyFont="1" applyBorder="1" applyAlignment="1">
      <alignment wrapText="1"/>
    </xf>
    <xf numFmtId="43" fontId="71" fillId="0" borderId="3" xfId="1" applyFont="1" applyBorder="1" applyAlignment="1"/>
    <xf numFmtId="0" fontId="72" fillId="3" borderId="4" xfId="0" applyNumberFormat="1" applyFont="1" applyFill="1" applyBorder="1" applyAlignment="1">
      <alignment horizontal="center" wrapText="1"/>
    </xf>
    <xf numFmtId="14" fontId="72" fillId="3" borderId="3" xfId="0" applyNumberFormat="1" applyFont="1" applyFill="1" applyBorder="1" applyAlignment="1">
      <alignment horizontal="center" wrapText="1"/>
    </xf>
    <xf numFmtId="0" fontId="72" fillId="3" borderId="5" xfId="0" applyNumberFormat="1" applyFont="1" applyFill="1" applyBorder="1" applyAlignment="1">
      <alignment vertical="center" wrapText="1"/>
    </xf>
    <xf numFmtId="43" fontId="74" fillId="0" borderId="3" xfId="1" applyFont="1" applyBorder="1" applyAlignment="1"/>
    <xf numFmtId="0" fontId="73" fillId="5" borderId="8" xfId="0" applyNumberFormat="1" applyFont="1" applyFill="1" applyBorder="1" applyAlignment="1">
      <alignment horizontal="center" vertical="center" wrapText="1"/>
    </xf>
    <xf numFmtId="14" fontId="73" fillId="5" borderId="3" xfId="0" applyNumberFormat="1" applyFont="1" applyFill="1" applyBorder="1" applyAlignment="1">
      <alignment horizontal="center" vertical="center" wrapText="1"/>
    </xf>
    <xf numFmtId="0" fontId="73" fillId="5" borderId="11" xfId="0" applyNumberFormat="1" applyFont="1" applyFill="1" applyBorder="1" applyAlignment="1">
      <alignment horizontal="left" vertical="center" wrapText="1"/>
    </xf>
    <xf numFmtId="43" fontId="72" fillId="3" borderId="3" xfId="1" applyFont="1" applyFill="1" applyBorder="1" applyAlignment="1">
      <alignment wrapText="1"/>
    </xf>
    <xf numFmtId="0" fontId="72" fillId="3" borderId="5" xfId="0" applyNumberFormat="1" applyFont="1" applyFill="1" applyBorder="1" applyAlignment="1">
      <alignment horizontal="left" vertical="center" wrapText="1"/>
    </xf>
    <xf numFmtId="0" fontId="72" fillId="3" borderId="4" xfId="0" applyNumberFormat="1" applyFont="1" applyFill="1" applyBorder="1" applyAlignment="1">
      <alignment horizontal="center" vertical="center" wrapText="1"/>
    </xf>
    <xf numFmtId="14" fontId="72" fillId="3" borderId="3" xfId="0" applyNumberFormat="1" applyFont="1" applyFill="1" applyBorder="1" applyAlignment="1">
      <alignment horizontal="center" vertical="center" wrapText="1"/>
    </xf>
    <xf numFmtId="43" fontId="72" fillId="3" borderId="3" xfId="1" applyFont="1" applyFill="1" applyBorder="1" applyAlignment="1">
      <alignment vertical="center" wrapText="1"/>
    </xf>
    <xf numFmtId="0" fontId="75" fillId="0" borderId="3" xfId="0" applyFont="1" applyFill="1" applyBorder="1" applyAlignment="1">
      <alignment horizontal="center" wrapText="1"/>
    </xf>
    <xf numFmtId="0" fontId="73" fillId="5" borderId="5" xfId="0" applyNumberFormat="1" applyFont="1" applyFill="1" applyBorder="1" applyAlignment="1">
      <alignment horizontal="left" vertical="center" wrapText="1"/>
    </xf>
    <xf numFmtId="0" fontId="72" fillId="3" borderId="5" xfId="0" applyNumberFormat="1" applyFont="1" applyFill="1" applyBorder="1" applyAlignment="1">
      <alignment horizontal="left" wrapText="1"/>
    </xf>
    <xf numFmtId="0" fontId="72" fillId="3" borderId="8" xfId="0" applyNumberFormat="1" applyFont="1" applyFill="1" applyBorder="1" applyAlignment="1">
      <alignment horizontal="center" vertical="center" wrapText="1"/>
    </xf>
    <xf numFmtId="0" fontId="73" fillId="5" borderId="5" xfId="0" applyNumberFormat="1" applyFont="1" applyFill="1" applyBorder="1" applyAlignment="1">
      <alignment vertical="center" wrapText="1"/>
    </xf>
    <xf numFmtId="0" fontId="28" fillId="0" borderId="3" xfId="0" applyFont="1" applyFill="1" applyBorder="1" applyAlignment="1">
      <alignment horizontal="center" wrapText="1"/>
    </xf>
    <xf numFmtId="0" fontId="26" fillId="3" borderId="4" xfId="0" applyNumberFormat="1" applyFont="1" applyFill="1" applyBorder="1" applyAlignment="1">
      <alignment horizontal="center" vertical="center" wrapText="1"/>
    </xf>
    <xf numFmtId="14" fontId="26" fillId="3" borderId="3" xfId="0" applyNumberFormat="1" applyFont="1" applyFill="1" applyBorder="1" applyAlignment="1">
      <alignment horizontal="center" vertical="center" wrapText="1"/>
    </xf>
    <xf numFmtId="0" fontId="26" fillId="3" borderId="5" xfId="0" applyNumberFormat="1" applyFont="1" applyFill="1" applyBorder="1" applyAlignment="1">
      <alignment horizontal="left" vertical="center" wrapText="1"/>
    </xf>
    <xf numFmtId="43" fontId="26" fillId="3" borderId="3" xfId="1" applyFont="1" applyFill="1" applyBorder="1" applyAlignment="1">
      <alignment vertical="center" wrapText="1"/>
    </xf>
    <xf numFmtId="0" fontId="26" fillId="0" borderId="4" xfId="0" applyNumberFormat="1" applyFont="1" applyFill="1" applyBorder="1" applyAlignment="1">
      <alignment horizontal="center"/>
    </xf>
    <xf numFmtId="14" fontId="76" fillId="0" borderId="3" xfId="0" applyNumberFormat="1" applyFont="1" applyFill="1" applyBorder="1" applyAlignment="1">
      <alignment horizontal="center"/>
    </xf>
    <xf numFmtId="0" fontId="43" fillId="0" borderId="5" xfId="0" applyNumberFormat="1" applyFont="1" applyFill="1" applyBorder="1" applyAlignment="1">
      <alignment horizontal="left" wrapText="1"/>
    </xf>
    <xf numFmtId="0" fontId="43" fillId="0" borderId="5" xfId="0" applyNumberFormat="1" applyFont="1" applyBorder="1" applyAlignment="1">
      <alignment vertical="center" wrapText="1"/>
    </xf>
    <xf numFmtId="0" fontId="26" fillId="2" borderId="4" xfId="0" applyNumberFormat="1" applyFont="1" applyFill="1" applyBorder="1" applyAlignment="1">
      <alignment horizontal="center"/>
    </xf>
    <xf numFmtId="14" fontId="76" fillId="0" borderId="3" xfId="0" applyNumberFormat="1" applyFont="1" applyFill="1" applyBorder="1" applyAlignment="1">
      <alignment horizontal="center" wrapText="1"/>
    </xf>
    <xf numFmtId="0" fontId="77" fillId="2" borderId="11" xfId="0" applyNumberFormat="1" applyFont="1" applyFill="1" applyBorder="1" applyAlignment="1">
      <alignment horizontal="left"/>
    </xf>
    <xf numFmtId="43" fontId="26" fillId="2" borderId="3" xfId="1" applyFont="1" applyFill="1" applyBorder="1" applyAlignment="1"/>
    <xf numFmtId="0" fontId="43" fillId="0" borderId="5" xfId="0" applyNumberFormat="1" applyFont="1" applyBorder="1" applyAlignment="1">
      <alignment horizontal="left" wrapText="1"/>
    </xf>
    <xf numFmtId="0" fontId="26" fillId="0" borderId="4" xfId="0" applyNumberFormat="1" applyFont="1" applyFill="1" applyBorder="1" applyAlignment="1">
      <alignment horizontal="center" vertical="center" wrapText="1"/>
    </xf>
    <xf numFmtId="43" fontId="78" fillId="0" borderId="3" xfId="1" applyFont="1" applyFill="1" applyBorder="1" applyAlignment="1">
      <alignment vertical="center" wrapText="1"/>
    </xf>
    <xf numFmtId="0" fontId="26" fillId="2" borderId="4" xfId="0" applyNumberFormat="1" applyFont="1" applyFill="1" applyBorder="1" applyAlignment="1">
      <alignment horizontal="center" vertical="center" wrapText="1"/>
    </xf>
    <xf numFmtId="0" fontId="43" fillId="2" borderId="5" xfId="0" applyNumberFormat="1" applyFont="1" applyFill="1" applyBorder="1" applyAlignment="1">
      <alignment horizontal="left" wrapText="1"/>
    </xf>
    <xf numFmtId="43" fontId="26" fillId="2" borderId="3" xfId="1" applyFont="1" applyFill="1" applyBorder="1" applyAlignment="1">
      <alignment vertical="center" wrapText="1"/>
    </xf>
    <xf numFmtId="0" fontId="43" fillId="3" borderId="5" xfId="0" applyNumberFormat="1" applyFont="1" applyFill="1" applyBorder="1" applyAlignment="1">
      <alignment horizontal="left" wrapText="1"/>
    </xf>
    <xf numFmtId="14" fontId="6" fillId="0" borderId="3" xfId="0" applyNumberFormat="1" applyFont="1" applyFill="1" applyBorder="1" applyAlignment="1">
      <alignment horizontal="center" wrapText="1"/>
    </xf>
    <xf numFmtId="43" fontId="26" fillId="0" borderId="3" xfId="1" applyFont="1" applyFill="1" applyBorder="1" applyAlignment="1">
      <alignment vertical="center" wrapText="1"/>
    </xf>
    <xf numFmtId="14" fontId="79" fillId="0" borderId="3" xfId="0" applyNumberFormat="1" applyFont="1" applyFill="1" applyBorder="1" applyAlignment="1">
      <alignment horizontal="center"/>
    </xf>
    <xf numFmtId="0" fontId="78" fillId="2" borderId="4" xfId="0" applyNumberFormat="1" applyFont="1" applyFill="1" applyBorder="1" applyAlignment="1">
      <alignment horizontal="center" vertical="center" wrapText="1"/>
    </xf>
    <xf numFmtId="0" fontId="77" fillId="2" borderId="5" xfId="0" applyNumberFormat="1" applyFont="1" applyFill="1" applyBorder="1" applyAlignment="1">
      <alignment horizontal="left" wrapText="1"/>
    </xf>
    <xf numFmtId="43" fontId="78" fillId="2" borderId="3" xfId="1" applyFont="1" applyFill="1" applyBorder="1" applyAlignment="1">
      <alignment vertical="center" wrapText="1"/>
    </xf>
    <xf numFmtId="43" fontId="78" fillId="0" borderId="5" xfId="1" applyFont="1" applyFill="1" applyBorder="1" applyAlignment="1"/>
    <xf numFmtId="0" fontId="67" fillId="0" borderId="3" xfId="0" applyNumberFormat="1" applyFont="1" applyFill="1" applyBorder="1" applyAlignment="1">
      <alignment horizontal="center" vertical="center"/>
    </xf>
    <xf numFmtId="0" fontId="43" fillId="0" borderId="5" xfId="0" applyNumberFormat="1" applyFont="1" applyBorder="1" applyAlignment="1">
      <alignment horizontal="left" vertical="center" wrapText="1"/>
    </xf>
    <xf numFmtId="0" fontId="28" fillId="0" borderId="3" xfId="0" applyNumberFormat="1" applyFont="1" applyBorder="1" applyAlignment="1"/>
    <xf numFmtId="0" fontId="26" fillId="0" borderId="7" xfId="0" applyNumberFormat="1" applyFont="1" applyBorder="1" applyAlignment="1">
      <alignment horizontal="center"/>
    </xf>
    <xf numFmtId="43" fontId="26" fillId="0" borderId="5" xfId="1" applyFont="1" applyBorder="1" applyAlignment="1"/>
    <xf numFmtId="43" fontId="26" fillId="0" borderId="3" xfId="1" applyFont="1" applyBorder="1" applyAlignment="1"/>
    <xf numFmtId="0" fontId="26" fillId="5" borderId="7" xfId="0" applyNumberFormat="1" applyFont="1" applyFill="1" applyBorder="1" applyAlignment="1">
      <alignment horizontal="center"/>
    </xf>
    <xf numFmtId="0" fontId="77" fillId="5" borderId="11" xfId="0" applyNumberFormat="1" applyFont="1" applyFill="1" applyBorder="1" applyAlignment="1">
      <alignment horizontal="left" vertical="center"/>
    </xf>
    <xf numFmtId="43" fontId="26" fillId="5" borderId="3" xfId="1" applyFont="1" applyFill="1" applyBorder="1" applyAlignment="1"/>
    <xf numFmtId="0" fontId="26" fillId="3" borderId="7" xfId="0" applyNumberFormat="1" applyFont="1" applyFill="1" applyBorder="1" applyAlignment="1">
      <alignment horizontal="center"/>
    </xf>
    <xf numFmtId="43" fontId="26" fillId="0" borderId="3" xfId="1" applyFont="1" applyBorder="1" applyAlignment="1">
      <alignment wrapText="1"/>
    </xf>
    <xf numFmtId="0" fontId="0" fillId="0" borderId="3" xfId="0" applyFill="1" applyBorder="1" applyAlignment="1">
      <alignment horizontal="center"/>
    </xf>
    <xf numFmtId="0" fontId="43" fillId="3" borderId="5" xfId="0" applyNumberFormat="1" applyFont="1" applyFill="1" applyBorder="1" applyAlignment="1">
      <alignment horizontal="left" vertical="center" wrapText="1"/>
    </xf>
    <xf numFmtId="0" fontId="78" fillId="2" borderId="7" xfId="1" applyNumberFormat="1" applyFont="1" applyFill="1" applyBorder="1" applyAlignment="1">
      <alignment horizontal="center"/>
    </xf>
    <xf numFmtId="0" fontId="77" fillId="2" borderId="5" xfId="0" applyNumberFormat="1" applyFont="1" applyFill="1" applyBorder="1" applyAlignment="1">
      <alignment horizontal="left" vertical="center" wrapText="1"/>
    </xf>
    <xf numFmtId="0" fontId="26" fillId="0" borderId="7" xfId="0" applyNumberFormat="1" applyFont="1" applyFill="1" applyBorder="1" applyAlignment="1">
      <alignment horizontal="center"/>
    </xf>
    <xf numFmtId="0" fontId="43" fillId="0" borderId="5" xfId="0" applyNumberFormat="1" applyFont="1" applyFill="1" applyBorder="1" applyAlignment="1">
      <alignment horizontal="left" vertical="center" wrapText="1"/>
    </xf>
    <xf numFmtId="0" fontId="26" fillId="5" borderId="7" xfId="0" applyNumberFormat="1" applyFont="1" applyFill="1" applyBorder="1" applyAlignment="1">
      <alignment horizontal="center" vertical="center" wrapText="1"/>
    </xf>
    <xf numFmtId="0" fontId="77" fillId="5" borderId="5" xfId="0" applyNumberFormat="1" applyFont="1" applyFill="1" applyBorder="1" applyAlignment="1">
      <alignment vertical="center"/>
    </xf>
    <xf numFmtId="43" fontId="43" fillId="5" borderId="3" xfId="1" applyFont="1" applyFill="1" applyBorder="1" applyAlignment="1">
      <alignment vertical="center"/>
    </xf>
    <xf numFmtId="0" fontId="0" fillId="3" borderId="3" xfId="0" applyNumberFormat="1" applyFill="1" applyBorder="1" applyAlignment="1"/>
    <xf numFmtId="0" fontId="43" fillId="0" borderId="5" xfId="0" applyNumberFormat="1" applyFont="1" applyFill="1" applyBorder="1" applyAlignment="1"/>
    <xf numFmtId="43" fontId="26" fillId="0" borderId="3" xfId="1" applyFont="1" applyBorder="1" applyAlignment="1">
      <alignment vertical="center" wrapText="1"/>
    </xf>
    <xf numFmtId="0" fontId="26" fillId="0" borderId="7" xfId="1" applyNumberFormat="1" applyFont="1" applyBorder="1" applyAlignment="1">
      <alignment horizontal="center"/>
    </xf>
    <xf numFmtId="0" fontId="81" fillId="3" borderId="3" xfId="0" applyNumberFormat="1" applyFont="1" applyFill="1" applyBorder="1" applyAlignment="1">
      <alignment horizontal="center"/>
    </xf>
    <xf numFmtId="0" fontId="26" fillId="0" borderId="7" xfId="0" applyNumberFormat="1" applyFont="1" applyBorder="1" applyAlignment="1">
      <alignment horizontal="center" vertical="center"/>
    </xf>
    <xf numFmtId="43" fontId="26" fillId="0" borderId="3" xfId="1" applyFont="1" applyBorder="1" applyAlignment="1">
      <alignment vertical="center"/>
    </xf>
    <xf numFmtId="0" fontId="78" fillId="0" borderId="4" xfId="0" applyNumberFormat="1" applyFont="1" applyBorder="1" applyAlignment="1">
      <alignment horizontal="center"/>
    </xf>
    <xf numFmtId="43" fontId="78" fillId="0" borderId="5" xfId="1" applyFont="1" applyBorder="1" applyAlignment="1"/>
    <xf numFmtId="43" fontId="78" fillId="0" borderId="3" xfId="1" applyFont="1" applyBorder="1" applyAlignment="1"/>
    <xf numFmtId="0" fontId="78" fillId="0" borderId="4" xfId="0" applyNumberFormat="1" applyFont="1" applyFill="1" applyBorder="1" applyAlignment="1">
      <alignment horizontal="center"/>
    </xf>
    <xf numFmtId="0" fontId="43" fillId="0" borderId="5" xfId="0" applyNumberFormat="1" applyFont="1" applyFill="1" applyBorder="1" applyAlignment="1">
      <alignment vertical="center" wrapText="1"/>
    </xf>
    <xf numFmtId="43" fontId="78" fillId="0" borderId="3" xfId="1" applyFont="1" applyFill="1" applyBorder="1" applyAlignment="1"/>
    <xf numFmtId="43" fontId="78" fillId="3" borderId="3" xfId="1" applyFont="1" applyFill="1" applyBorder="1" applyAlignment="1"/>
    <xf numFmtId="0" fontId="78" fillId="5" borderId="4" xfId="0" applyNumberFormat="1" applyFont="1" applyFill="1" applyBorder="1" applyAlignment="1">
      <alignment horizontal="center"/>
    </xf>
    <xf numFmtId="43" fontId="78" fillId="5" borderId="3" xfId="1" applyFont="1" applyFill="1" applyBorder="1" applyAlignment="1"/>
    <xf numFmtId="0" fontId="0" fillId="0" borderId="3" xfId="0" applyNumberFormat="1" applyBorder="1" applyAlignment="1">
      <alignment horizontal="center"/>
    </xf>
    <xf numFmtId="0" fontId="6" fillId="0" borderId="3" xfId="0" applyNumberFormat="1" applyFont="1" applyFill="1" applyBorder="1" applyAlignment="1"/>
    <xf numFmtId="43" fontId="78" fillId="0" borderId="3" xfId="1" applyFont="1" applyBorder="1" applyAlignment="1">
      <alignment vertical="center" wrapText="1"/>
    </xf>
    <xf numFmtId="0" fontId="73" fillId="0" borderId="4" xfId="0" applyNumberFormat="1" applyFont="1" applyFill="1" applyBorder="1" applyAlignment="1">
      <alignment horizontal="center" vertical="center" wrapText="1"/>
    </xf>
    <xf numFmtId="0" fontId="72" fillId="0" borderId="5" xfId="0" applyNumberFormat="1" applyFont="1" applyFill="1" applyBorder="1" applyAlignment="1">
      <alignment horizontal="left" vertical="center" wrapText="1"/>
    </xf>
    <xf numFmtId="43" fontId="73" fillId="0" borderId="3" xfId="1" applyFont="1" applyFill="1" applyBorder="1" applyAlignment="1">
      <alignment vertical="center" wrapText="1"/>
    </xf>
    <xf numFmtId="0" fontId="78" fillId="0" borderId="4" xfId="0" applyNumberFormat="1" applyFont="1" applyBorder="1" applyAlignment="1">
      <alignment horizontal="center" vertical="center" wrapText="1"/>
    </xf>
    <xf numFmtId="0" fontId="78" fillId="5" borderId="4" xfId="0" applyNumberFormat="1" applyFont="1" applyFill="1" applyBorder="1" applyAlignment="1">
      <alignment horizontal="center" vertical="center" wrapText="1"/>
    </xf>
    <xf numFmtId="0" fontId="73" fillId="5" borderId="5" xfId="0" applyNumberFormat="1" applyFont="1" applyFill="1" applyBorder="1" applyAlignment="1">
      <alignment horizontal="left" vertical="center"/>
    </xf>
    <xf numFmtId="43" fontId="73" fillId="5" borderId="3" xfId="1" applyFont="1" applyFill="1" applyBorder="1" applyAlignment="1">
      <alignment vertical="center"/>
    </xf>
    <xf numFmtId="0" fontId="78" fillId="0" borderId="4" xfId="0" applyNumberFormat="1" applyFont="1" applyFill="1" applyBorder="1" applyAlignment="1">
      <alignment horizontal="center" vertical="center" wrapText="1"/>
    </xf>
    <xf numFmtId="0" fontId="72" fillId="0" borderId="5" xfId="0" applyNumberFormat="1" applyFont="1" applyFill="1" applyBorder="1" applyAlignment="1">
      <alignment horizontal="justify" vertical="center" wrapText="1"/>
    </xf>
    <xf numFmtId="0" fontId="77" fillId="2" borderId="5" xfId="0" applyNumberFormat="1" applyFont="1" applyFill="1" applyBorder="1" applyAlignment="1">
      <alignment vertical="center"/>
    </xf>
    <xf numFmtId="43" fontId="77" fillId="2" borderId="3" xfId="1" applyFont="1" applyFill="1" applyBorder="1" applyAlignment="1">
      <alignment vertical="center"/>
    </xf>
    <xf numFmtId="0" fontId="84" fillId="0" borderId="5" xfId="0" applyNumberFormat="1" applyFont="1" applyFill="1" applyBorder="1" applyAlignment="1">
      <alignment horizontal="left" vertical="center" wrapText="1"/>
    </xf>
    <xf numFmtId="43" fontId="26" fillId="0" borderId="3" xfId="1" applyFont="1" applyFill="1" applyBorder="1" applyAlignment="1">
      <alignment wrapText="1"/>
    </xf>
    <xf numFmtId="0" fontId="78" fillId="0" borderId="4" xfId="0" applyNumberFormat="1" applyFont="1" applyFill="1" applyBorder="1" applyAlignment="1">
      <alignment horizontal="center" wrapText="1"/>
    </xf>
    <xf numFmtId="43" fontId="78" fillId="0" borderId="3" xfId="1" applyFont="1" applyFill="1" applyBorder="1" applyAlignment="1">
      <alignment vertical="center"/>
    </xf>
    <xf numFmtId="0" fontId="81" fillId="0" borderId="4" xfId="0" applyNumberFormat="1" applyFont="1" applyBorder="1" applyAlignment="1">
      <alignment horizontal="center"/>
    </xf>
    <xf numFmtId="43" fontId="78" fillId="0" borderId="12" xfId="1" applyFont="1" applyBorder="1" applyAlignment="1">
      <alignment vertical="center" wrapText="1"/>
    </xf>
    <xf numFmtId="0" fontId="78" fillId="0" borderId="10" xfId="0" applyNumberFormat="1" applyFont="1" applyBorder="1" applyAlignment="1">
      <alignment horizontal="center" vertical="center" wrapText="1"/>
    </xf>
    <xf numFmtId="43" fontId="26" fillId="3" borderId="5" xfId="1" applyFont="1" applyFill="1" applyBorder="1" applyAlignment="1"/>
    <xf numFmtId="0" fontId="26" fillId="3" borderId="4" xfId="0" applyNumberFormat="1" applyFont="1" applyFill="1" applyBorder="1" applyAlignment="1">
      <alignment horizontal="center"/>
    </xf>
    <xf numFmtId="0" fontId="43" fillId="3" borderId="5" xfId="0" applyNumberFormat="1" applyFont="1" applyFill="1" applyBorder="1" applyAlignment="1">
      <alignment vertical="center" wrapText="1"/>
    </xf>
    <xf numFmtId="43" fontId="26" fillId="3" borderId="3" xfId="1" applyFont="1" applyFill="1" applyBorder="1" applyAlignment="1"/>
    <xf numFmtId="0" fontId="26" fillId="5" borderId="4" xfId="0" applyNumberFormat="1" applyFont="1" applyFill="1" applyBorder="1" applyAlignment="1">
      <alignment horizontal="center"/>
    </xf>
    <xf numFmtId="0" fontId="26" fillId="0" borderId="4" xfId="0" applyNumberFormat="1" applyFont="1" applyBorder="1" applyAlignment="1">
      <alignment horizontal="center"/>
    </xf>
    <xf numFmtId="0" fontId="26" fillId="5" borderId="4" xfId="0" applyNumberFormat="1" applyFont="1" applyFill="1" applyBorder="1" applyAlignment="1">
      <alignment horizontal="center" vertical="center" wrapText="1"/>
    </xf>
    <xf numFmtId="43" fontId="72" fillId="5" borderId="3" xfId="1" applyFont="1" applyFill="1" applyBorder="1" applyAlignment="1">
      <alignment vertical="center"/>
    </xf>
    <xf numFmtId="0" fontId="28" fillId="0" borderId="0" xfId="0" applyNumberFormat="1" applyFont="1" applyAlignment="1">
      <alignment horizontal="center"/>
    </xf>
    <xf numFmtId="0" fontId="72" fillId="3" borderId="5" xfId="0" applyNumberFormat="1" applyFont="1" applyFill="1" applyBorder="1" applyAlignment="1">
      <alignment horizontal="justify" vertical="center" wrapText="1"/>
    </xf>
    <xf numFmtId="0" fontId="26" fillId="0" borderId="4" xfId="0" applyNumberFormat="1" applyFont="1" applyBorder="1" applyAlignment="1">
      <alignment horizontal="center" vertical="center" wrapText="1"/>
    </xf>
    <xf numFmtId="0" fontId="80" fillId="3" borderId="5" xfId="0" applyNumberFormat="1" applyFont="1" applyFill="1" applyBorder="1" applyAlignment="1">
      <alignment horizontal="left" vertical="center" wrapText="1"/>
    </xf>
    <xf numFmtId="0" fontId="43" fillId="0" borderId="5" xfId="0" applyNumberFormat="1" applyFont="1" applyBorder="1" applyAlignment="1">
      <alignment horizontal="justify" vertical="center" wrapText="1"/>
    </xf>
    <xf numFmtId="0" fontId="28" fillId="0" borderId="0" xfId="0" applyNumberFormat="1" applyFont="1" applyAlignment="1">
      <alignment horizontal="left" vertical="center"/>
    </xf>
    <xf numFmtId="0" fontId="26" fillId="0" borderId="4" xfId="1" applyNumberFormat="1" applyFont="1" applyFill="1" applyBorder="1" applyAlignment="1">
      <alignment horizontal="center"/>
    </xf>
    <xf numFmtId="43" fontId="43" fillId="0" borderId="3" xfId="1" applyFont="1" applyFill="1" applyBorder="1" applyAlignment="1">
      <alignment vertical="center" wrapText="1"/>
    </xf>
    <xf numFmtId="43" fontId="26" fillId="0" borderId="5" xfId="1" applyFont="1" applyFill="1" applyBorder="1" applyAlignment="1"/>
    <xf numFmtId="0" fontId="26" fillId="0" borderId="4" xfId="0" applyNumberFormat="1" applyFont="1" applyFill="1" applyBorder="1" applyAlignment="1">
      <alignment horizontal="center" vertical="center"/>
    </xf>
    <xf numFmtId="43" fontId="26" fillId="0" borderId="3" xfId="1" applyFont="1" applyFill="1" applyBorder="1" applyAlignment="1">
      <alignment vertical="center"/>
    </xf>
    <xf numFmtId="0" fontId="50" fillId="0" borderId="5" xfId="0" applyNumberFormat="1" applyFont="1" applyBorder="1" applyAlignment="1">
      <alignment vertical="center" wrapText="1"/>
    </xf>
    <xf numFmtId="43" fontId="88" fillId="0" borderId="3" xfId="1" applyFont="1" applyBorder="1" applyAlignment="1"/>
    <xf numFmtId="0" fontId="30" fillId="3" borderId="5" xfId="0" applyNumberFormat="1" applyFont="1" applyFill="1" applyBorder="1" applyAlignment="1">
      <alignment horizontal="left" vertical="center" wrapText="1"/>
    </xf>
    <xf numFmtId="43" fontId="89" fillId="0" borderId="0" xfId="1" applyFont="1" applyAlignment="1"/>
    <xf numFmtId="43" fontId="28" fillId="2" borderId="3" xfId="1" applyFont="1" applyFill="1" applyBorder="1" applyAlignment="1">
      <alignment vertical="center" wrapText="1"/>
    </xf>
    <xf numFmtId="0" fontId="28" fillId="3" borderId="4" xfId="0" applyNumberFormat="1" applyFont="1" applyFill="1" applyBorder="1" applyAlignment="1">
      <alignment horizontal="center"/>
    </xf>
    <xf numFmtId="0" fontId="90" fillId="3" borderId="5" xfId="0" applyNumberFormat="1" applyFont="1" applyFill="1" applyBorder="1"/>
    <xf numFmtId="43" fontId="54" fillId="3" borderId="3" xfId="1" applyFont="1" applyFill="1" applyBorder="1" applyAlignment="1"/>
    <xf numFmtId="43" fontId="59" fillId="5" borderId="3" xfId="1" applyFont="1" applyFill="1" applyBorder="1" applyAlignment="1">
      <alignment vertical="center"/>
    </xf>
    <xf numFmtId="0" fontId="50" fillId="3" borderId="5" xfId="0" applyNumberFormat="1" applyFont="1" applyFill="1" applyBorder="1" applyAlignment="1">
      <alignment vertical="center" wrapText="1"/>
    </xf>
    <xf numFmtId="43" fontId="30" fillId="3" borderId="3" xfId="1" applyFont="1" applyFill="1" applyBorder="1" applyAlignment="1">
      <alignment vertical="center" wrapText="1"/>
    </xf>
    <xf numFmtId="43" fontId="28" fillId="3" borderId="5" xfId="1" applyFont="1" applyFill="1" applyBorder="1" applyAlignment="1"/>
    <xf numFmtId="0" fontId="50" fillId="3" borderId="5" xfId="0" applyNumberFormat="1" applyFont="1" applyFill="1" applyBorder="1" applyAlignment="1">
      <alignment horizontal="left" vertical="center" wrapText="1"/>
    </xf>
    <xf numFmtId="0" fontId="26" fillId="0" borderId="4" xfId="1" applyNumberFormat="1" applyFont="1" applyBorder="1" applyAlignment="1">
      <alignment horizontal="center"/>
    </xf>
    <xf numFmtId="0" fontId="26" fillId="5" borderId="4" xfId="1" applyNumberFormat="1" applyFont="1" applyFill="1" applyBorder="1" applyAlignment="1">
      <alignment horizontal="center"/>
    </xf>
    <xf numFmtId="0" fontId="26" fillId="0" borderId="4" xfId="1" applyNumberFormat="1" applyFont="1" applyBorder="1" applyAlignment="1">
      <alignment horizontal="center" vertical="center" wrapText="1"/>
    </xf>
    <xf numFmtId="0" fontId="26" fillId="5" borderId="4" xfId="1" applyNumberFormat="1" applyFont="1" applyFill="1" applyBorder="1" applyAlignment="1">
      <alignment horizontal="center" vertical="center" wrapText="1"/>
    </xf>
    <xf numFmtId="0" fontId="26" fillId="3" borderId="4" xfId="1" applyNumberFormat="1" applyFont="1" applyFill="1" applyBorder="1" applyAlignment="1">
      <alignment horizontal="center" vertical="center" wrapText="1"/>
    </xf>
    <xf numFmtId="0" fontId="26" fillId="3" borderId="7" xfId="1" applyNumberFormat="1" applyFont="1" applyFill="1" applyBorder="1" applyAlignment="1">
      <alignment horizontal="center"/>
    </xf>
    <xf numFmtId="43" fontId="26" fillId="3" borderId="3" xfId="1" applyFont="1" applyFill="1" applyBorder="1" applyAlignment="1">
      <alignment vertical="center"/>
    </xf>
    <xf numFmtId="0" fontId="26" fillId="3" borderId="4" xfId="1" applyNumberFormat="1" applyFont="1" applyFill="1" applyBorder="1" applyAlignment="1">
      <alignment horizontal="center"/>
    </xf>
    <xf numFmtId="43" fontId="74" fillId="3" borderId="3" xfId="1" applyFont="1" applyFill="1" applyBorder="1" applyAlignment="1"/>
    <xf numFmtId="0" fontId="26" fillId="3" borderId="4" xfId="0" applyNumberFormat="1" applyFont="1" applyFill="1" applyBorder="1" applyAlignment="1">
      <alignment horizontal="center" vertical="center"/>
    </xf>
    <xf numFmtId="0" fontId="78" fillId="2" borderId="4" xfId="0" applyNumberFormat="1" applyFont="1" applyFill="1" applyBorder="1" applyAlignment="1">
      <alignment horizontal="center"/>
    </xf>
    <xf numFmtId="0" fontId="91" fillId="2" borderId="0" xfId="0" applyNumberFormat="1" applyFont="1" applyFill="1" applyAlignment="1">
      <alignment vertical="center" wrapText="1"/>
    </xf>
    <xf numFmtId="43" fontId="92" fillId="2" borderId="3" xfId="1" applyFont="1" applyFill="1" applyBorder="1" applyAlignment="1"/>
    <xf numFmtId="43" fontId="93" fillId="3" borderId="3" xfId="1" applyFont="1" applyFill="1" applyBorder="1" applyAlignment="1">
      <alignment vertical="center" wrapText="1"/>
    </xf>
    <xf numFmtId="0" fontId="28" fillId="0" borderId="3" xfId="0" applyNumberFormat="1" applyFont="1" applyBorder="1" applyAlignment="1">
      <alignment horizontal="center"/>
    </xf>
    <xf numFmtId="14" fontId="6" fillId="0" borderId="3" xfId="0" applyNumberFormat="1" applyFont="1" applyFill="1" applyBorder="1" applyAlignment="1">
      <alignment horizontal="center"/>
    </xf>
    <xf numFmtId="0" fontId="78" fillId="3" borderId="4" xfId="0" applyNumberFormat="1" applyFont="1" applyFill="1" applyBorder="1" applyAlignment="1">
      <alignment horizontal="center" vertical="center" wrapText="1"/>
    </xf>
    <xf numFmtId="43" fontId="94" fillId="3" borderId="3" xfId="1" applyFont="1" applyFill="1" applyBorder="1" applyAlignment="1">
      <alignment vertical="center" wrapText="1"/>
    </xf>
    <xf numFmtId="43" fontId="95" fillId="3" borderId="0" xfId="1" applyFont="1" applyFill="1" applyAlignment="1"/>
    <xf numFmtId="43" fontId="44" fillId="3" borderId="3" xfId="1" applyFont="1" applyFill="1" applyBorder="1" applyAlignment="1">
      <alignment vertical="center" wrapText="1"/>
    </xf>
    <xf numFmtId="43" fontId="96" fillId="3" borderId="0" xfId="1" applyFont="1" applyFill="1" applyAlignment="1"/>
    <xf numFmtId="43" fontId="94" fillId="3" borderId="5" xfId="1" applyFont="1" applyFill="1" applyBorder="1" applyAlignment="1"/>
    <xf numFmtId="43" fontId="94" fillId="3" borderId="3" xfId="1" applyFont="1" applyFill="1" applyBorder="1" applyAlignment="1">
      <alignment vertical="center"/>
    </xf>
    <xf numFmtId="43" fontId="94" fillId="3" borderId="3" xfId="1" applyFont="1" applyFill="1" applyBorder="1" applyAlignment="1"/>
    <xf numFmtId="0" fontId="26" fillId="0" borderId="4" xfId="0" applyNumberFormat="1" applyFont="1" applyBorder="1" applyAlignment="1">
      <alignment horizontal="center" vertical="center"/>
    </xf>
    <xf numFmtId="0" fontId="6" fillId="0" borderId="3" xfId="0" applyNumberFormat="1" applyFont="1" applyBorder="1" applyAlignment="1"/>
    <xf numFmtId="43" fontId="72" fillId="2" borderId="3" xfId="1" applyFont="1" applyFill="1" applyBorder="1" applyAlignment="1">
      <alignment vertical="center" wrapText="1"/>
    </xf>
    <xf numFmtId="0" fontId="80" fillId="0" borderId="5" xfId="0" applyNumberFormat="1" applyFont="1" applyFill="1" applyBorder="1" applyAlignment="1">
      <alignment horizontal="left" vertical="center" wrapText="1"/>
    </xf>
    <xf numFmtId="43" fontId="22" fillId="0" borderId="3" xfId="1" applyFont="1" applyBorder="1" applyAlignment="1"/>
    <xf numFmtId="43" fontId="97" fillId="0" borderId="0" xfId="1" applyFont="1" applyAlignment="1"/>
    <xf numFmtId="0" fontId="22" fillId="0" borderId="4" xfId="0" applyNumberFormat="1" applyFont="1" applyBorder="1" applyAlignment="1">
      <alignment horizontal="center"/>
    </xf>
    <xf numFmtId="43" fontId="22" fillId="0" borderId="3" xfId="1" applyFont="1" applyBorder="1" applyAlignment="1">
      <alignment wrapText="1"/>
    </xf>
    <xf numFmtId="0" fontId="22" fillId="0" borderId="4" xfId="0" applyNumberFormat="1" applyFont="1" applyBorder="1" applyAlignment="1">
      <alignment horizontal="center" vertical="center" wrapText="1"/>
    </xf>
    <xf numFmtId="43" fontId="22" fillId="0" borderId="3" xfId="1" applyFont="1" applyBorder="1" applyAlignment="1">
      <alignment vertical="center" wrapText="1"/>
    </xf>
    <xf numFmtId="0" fontId="22" fillId="3" borderId="4" xfId="0" applyNumberFormat="1" applyFont="1" applyFill="1" applyBorder="1" applyAlignment="1">
      <alignment horizontal="center" vertical="center" wrapText="1"/>
    </xf>
    <xf numFmtId="43" fontId="22" fillId="3" borderId="3" xfId="1" applyFont="1" applyFill="1" applyBorder="1" applyAlignment="1">
      <alignment vertical="center" wrapText="1"/>
    </xf>
    <xf numFmtId="0" fontId="22" fillId="2" borderId="4" xfId="0" applyNumberFormat="1" applyFont="1" applyFill="1" applyBorder="1" applyAlignment="1">
      <alignment horizontal="center" vertical="center" wrapText="1"/>
    </xf>
    <xf numFmtId="43" fontId="70" fillId="5" borderId="3" xfId="1" applyFont="1" applyFill="1" applyBorder="1" applyAlignment="1">
      <alignment vertical="center"/>
    </xf>
    <xf numFmtId="43" fontId="25" fillId="3" borderId="3" xfId="1" applyFont="1" applyFill="1" applyBorder="1" applyAlignment="1">
      <alignment vertical="center"/>
    </xf>
    <xf numFmtId="43" fontId="25" fillId="0" borderId="3" xfId="1" applyFont="1" applyBorder="1" applyAlignment="1">
      <alignment vertical="center" wrapText="1"/>
    </xf>
    <xf numFmtId="43" fontId="48" fillId="0" borderId="3" xfId="1" applyFont="1" applyBorder="1" applyAlignment="1">
      <alignment vertical="center" wrapText="1"/>
    </xf>
    <xf numFmtId="0" fontId="75" fillId="3" borderId="5" xfId="0" applyNumberFormat="1" applyFont="1" applyFill="1" applyBorder="1" applyAlignment="1">
      <alignment horizontal="left" vertical="center" wrapText="1"/>
    </xf>
    <xf numFmtId="43" fontId="98" fillId="0" borderId="0" xfId="1" applyFont="1" applyAlignment="1"/>
    <xf numFmtId="0" fontId="57" fillId="0" borderId="5" xfId="0" applyNumberFormat="1" applyFont="1" applyBorder="1" applyAlignment="1">
      <alignment horizontal="left" vertical="center" wrapText="1"/>
    </xf>
    <xf numFmtId="43" fontId="22" fillId="0" borderId="5" xfId="1" applyFont="1" applyBorder="1" applyAlignment="1"/>
    <xf numFmtId="0" fontId="64" fillId="8" borderId="4" xfId="11" applyNumberFormat="1" applyBorder="1" applyAlignment="1">
      <alignment horizontal="center"/>
    </xf>
    <xf numFmtId="0" fontId="41" fillId="0" borderId="4" xfId="0" applyNumberFormat="1" applyFont="1" applyBorder="1" applyAlignment="1">
      <alignment horizontal="center"/>
    </xf>
    <xf numFmtId="0" fontId="99" fillId="3" borderId="5" xfId="0" applyNumberFormat="1" applyFont="1" applyFill="1" applyBorder="1" applyAlignment="1">
      <alignment wrapText="1"/>
    </xf>
    <xf numFmtId="43" fontId="23" fillId="0" borderId="3" xfId="1" applyFont="1" applyBorder="1" applyAlignment="1"/>
    <xf numFmtId="0" fontId="49" fillId="3" borderId="5" xfId="0" applyNumberFormat="1" applyFont="1" applyFill="1" applyBorder="1" applyAlignment="1">
      <alignment wrapText="1"/>
    </xf>
    <xf numFmtId="0" fontId="24" fillId="0" borderId="5" xfId="0" applyNumberFormat="1" applyFont="1" applyBorder="1" applyAlignment="1">
      <alignment wrapText="1"/>
    </xf>
    <xf numFmtId="0" fontId="28" fillId="3" borderId="3" xfId="0" applyFont="1" applyFill="1" applyBorder="1" applyAlignment="1">
      <alignment horizontal="center"/>
    </xf>
    <xf numFmtId="0" fontId="20" fillId="0" borderId="3" xfId="0" applyNumberFormat="1" applyFont="1" applyBorder="1" applyAlignment="1">
      <alignment horizontal="center"/>
    </xf>
    <xf numFmtId="0" fontId="43" fillId="0" borderId="4" xfId="0" applyNumberFormat="1" applyFont="1" applyFill="1" applyBorder="1" applyAlignment="1">
      <alignment horizontal="center" vertical="center" wrapText="1"/>
    </xf>
    <xf numFmtId="43" fontId="73" fillId="0" borderId="3" xfId="1" applyFont="1" applyBorder="1" applyAlignment="1"/>
    <xf numFmtId="0" fontId="73" fillId="2" borderId="11" xfId="0" applyNumberFormat="1" applyFont="1" applyFill="1" applyBorder="1" applyAlignment="1">
      <alignment horizontal="left" vertical="center"/>
    </xf>
    <xf numFmtId="43" fontId="73" fillId="2" borderId="3" xfId="1" applyFont="1" applyFill="1" applyBorder="1" applyAlignment="1"/>
    <xf numFmtId="0" fontId="73" fillId="0" borderId="5" xfId="0" applyNumberFormat="1" applyFont="1" applyBorder="1" applyAlignment="1">
      <alignment horizontal="left" vertical="center" wrapText="1"/>
    </xf>
    <xf numFmtId="43" fontId="73" fillId="0" borderId="3" xfId="1" applyFont="1" applyBorder="1" applyAlignment="1">
      <alignment vertical="center" wrapText="1"/>
    </xf>
    <xf numFmtId="14" fontId="26" fillId="0" borderId="3" xfId="0" applyNumberFormat="1" applyFont="1" applyBorder="1" applyAlignment="1">
      <alignment horizontal="center"/>
    </xf>
    <xf numFmtId="0" fontId="26" fillId="0" borderId="3" xfId="0" applyFont="1" applyFill="1" applyBorder="1" applyAlignment="1">
      <alignment horizontal="center"/>
    </xf>
    <xf numFmtId="0" fontId="73" fillId="3" borderId="5" xfId="0" applyNumberFormat="1" applyFont="1" applyFill="1" applyBorder="1" applyAlignment="1">
      <alignment horizontal="left" vertical="center" wrapText="1"/>
    </xf>
    <xf numFmtId="0" fontId="20" fillId="0" borderId="3" xfId="0" applyNumberFormat="1" applyFont="1" applyBorder="1" applyAlignment="1"/>
    <xf numFmtId="0" fontId="73" fillId="0" borderId="5" xfId="0" applyNumberFormat="1" applyFont="1" applyFill="1" applyBorder="1" applyAlignment="1">
      <alignment horizontal="left" vertical="center" wrapText="1"/>
    </xf>
    <xf numFmtId="43" fontId="73" fillId="0" borderId="5" xfId="1" applyFont="1" applyFill="1" applyBorder="1" applyAlignment="1"/>
    <xf numFmtId="0" fontId="78" fillId="3" borderId="4" xfId="0" applyNumberFormat="1" applyFont="1" applyFill="1" applyBorder="1" applyAlignment="1">
      <alignment horizontal="center"/>
    </xf>
    <xf numFmtId="0" fontId="16" fillId="0" borderId="13" xfId="0" applyNumberFormat="1" applyFont="1" applyBorder="1" applyAlignment="1">
      <alignment horizontal="justify" vertical="center" wrapText="1"/>
    </xf>
    <xf numFmtId="43" fontId="28" fillId="0" borderId="5" xfId="1" applyFont="1" applyBorder="1" applyAlignment="1"/>
    <xf numFmtId="0" fontId="57" fillId="0" borderId="5" xfId="0" applyNumberFormat="1" applyFont="1" applyFill="1" applyBorder="1" applyAlignment="1">
      <alignment vertical="center" wrapText="1"/>
    </xf>
    <xf numFmtId="0" fontId="28" fillId="0" borderId="4" xfId="0" applyNumberFormat="1" applyFont="1" applyFill="1" applyBorder="1" applyAlignment="1">
      <alignment horizontal="center"/>
    </xf>
    <xf numFmtId="0" fontId="50" fillId="0" borderId="5" xfId="0" applyNumberFormat="1" applyFont="1" applyBorder="1" applyAlignment="1">
      <alignment horizontal="justify" vertical="center" wrapText="1"/>
    </xf>
    <xf numFmtId="0" fontId="6" fillId="0" borderId="3" xfId="0" applyNumberFormat="1" applyFont="1" applyBorder="1" applyAlignment="1">
      <alignment vertical="center"/>
    </xf>
    <xf numFmtId="0" fontId="28" fillId="0" borderId="4" xfId="0" applyNumberFormat="1" applyFont="1" applyFill="1" applyBorder="1" applyAlignment="1">
      <alignment horizontal="center" vertical="center"/>
    </xf>
    <xf numFmtId="14" fontId="28" fillId="3" borderId="3" xfId="0" applyNumberFormat="1" applyFont="1" applyFill="1" applyBorder="1" applyAlignment="1">
      <alignment horizontal="center"/>
    </xf>
    <xf numFmtId="0" fontId="59" fillId="3" borderId="5" xfId="0" applyNumberFormat="1" applyFont="1" applyFill="1" applyBorder="1" applyAlignment="1">
      <alignment wrapText="1"/>
    </xf>
    <xf numFmtId="14" fontId="26" fillId="0" borderId="3" xfId="0" applyNumberFormat="1" applyFont="1" applyBorder="1" applyAlignment="1">
      <alignment horizontal="center" wrapText="1"/>
    </xf>
    <xf numFmtId="0" fontId="73" fillId="5" borderId="4" xfId="0" applyNumberFormat="1" applyFont="1" applyFill="1" applyBorder="1" applyAlignment="1">
      <alignment horizontal="center"/>
    </xf>
    <xf numFmtId="14" fontId="73" fillId="5" borderId="3" xfId="0" applyNumberFormat="1" applyFont="1" applyFill="1" applyBorder="1" applyAlignment="1">
      <alignment horizontal="center"/>
    </xf>
    <xf numFmtId="0" fontId="73" fillId="5" borderId="5" xfId="0" applyNumberFormat="1" applyFont="1" applyFill="1" applyBorder="1" applyAlignment="1">
      <alignment horizontal="left"/>
    </xf>
    <xf numFmtId="43" fontId="73" fillId="5" borderId="3" xfId="1" applyFont="1" applyFill="1" applyBorder="1" applyAlignment="1"/>
    <xf numFmtId="14" fontId="26" fillId="0" borderId="3" xfId="0" applyNumberFormat="1" applyFont="1" applyFill="1" applyBorder="1" applyAlignment="1">
      <alignment horizontal="center"/>
    </xf>
    <xf numFmtId="0" fontId="26" fillId="0" borderId="4" xfId="0" applyNumberFormat="1" applyFont="1" applyBorder="1" applyAlignment="1">
      <alignment horizontal="center" wrapText="1"/>
    </xf>
    <xf numFmtId="14" fontId="26" fillId="0" borderId="3" xfId="0" applyNumberFormat="1" applyFont="1" applyBorder="1" applyAlignment="1">
      <alignment horizontal="center" vertical="center" wrapText="1"/>
    </xf>
    <xf numFmtId="0" fontId="26" fillId="0" borderId="4" xfId="0" applyNumberFormat="1" applyFont="1" applyFill="1" applyBorder="1" applyAlignment="1">
      <alignment horizontal="center" wrapText="1"/>
    </xf>
    <xf numFmtId="14" fontId="26" fillId="0" borderId="3" xfId="0" applyNumberFormat="1" applyFont="1" applyFill="1" applyBorder="1" applyAlignment="1">
      <alignment horizontal="center" vertical="center" wrapText="1"/>
    </xf>
    <xf numFmtId="14" fontId="26" fillId="0" borderId="3" xfId="0" applyNumberFormat="1" applyFont="1" applyFill="1" applyBorder="1" applyAlignment="1">
      <alignment horizontal="center" wrapText="1"/>
    </xf>
    <xf numFmtId="0" fontId="80" fillId="0" borderId="5" xfId="0" applyNumberFormat="1" applyFont="1" applyFill="1" applyBorder="1" applyAlignment="1">
      <alignment horizontal="left" wrapText="1"/>
    </xf>
    <xf numFmtId="0" fontId="26" fillId="3" borderId="4" xfId="0" applyNumberFormat="1" applyFont="1" applyFill="1" applyBorder="1" applyAlignment="1">
      <alignment horizontal="center" wrapText="1"/>
    </xf>
    <xf numFmtId="0" fontId="45" fillId="3" borderId="0" xfId="0" applyNumberFormat="1" applyFont="1" applyFill="1" applyAlignment="1">
      <alignment horizontal="center"/>
    </xf>
    <xf numFmtId="43" fontId="45" fillId="0" borderId="3" xfId="1" applyFont="1" applyBorder="1" applyAlignment="1"/>
    <xf numFmtId="0" fontId="40" fillId="0" borderId="4" xfId="0" applyNumberFormat="1" applyFont="1" applyFill="1" applyBorder="1" applyAlignment="1">
      <alignment horizontal="center"/>
    </xf>
    <xf numFmtId="14" fontId="40" fillId="0" borderId="3" xfId="0" applyNumberFormat="1" applyFont="1" applyFill="1" applyBorder="1" applyAlignment="1">
      <alignment horizontal="center"/>
    </xf>
    <xf numFmtId="0" fontId="50" fillId="0" borderId="5" xfId="0" applyNumberFormat="1" applyFont="1" applyFill="1" applyBorder="1" applyAlignment="1">
      <alignment vertical="center" wrapText="1"/>
    </xf>
    <xf numFmtId="0" fontId="35" fillId="5" borderId="4" xfId="0" applyNumberFormat="1" applyFont="1" applyFill="1" applyBorder="1" applyAlignment="1">
      <alignment horizontal="center"/>
    </xf>
    <xf numFmtId="14" fontId="35" fillId="5" borderId="3" xfId="0" applyNumberFormat="1" applyFont="1" applyFill="1" applyBorder="1" applyAlignment="1">
      <alignment horizontal="center"/>
    </xf>
    <xf numFmtId="0" fontId="69" fillId="5" borderId="11" xfId="0" applyNumberFormat="1" applyFont="1" applyFill="1" applyBorder="1" applyAlignment="1"/>
    <xf numFmtId="43" fontId="35" fillId="5" borderId="5" xfId="1" applyFont="1" applyFill="1" applyBorder="1" applyAlignment="1"/>
    <xf numFmtId="0" fontId="40" fillId="0" borderId="4" xfId="0" applyNumberFormat="1" applyFont="1" applyBorder="1" applyAlignment="1">
      <alignment horizontal="center"/>
    </xf>
    <xf numFmtId="14" fontId="40" fillId="0" borderId="3" xfId="0" applyNumberFormat="1" applyFont="1" applyBorder="1" applyAlignment="1">
      <alignment horizontal="center"/>
    </xf>
    <xf numFmtId="43" fontId="40" fillId="0" borderId="5" xfId="1" applyFont="1" applyBorder="1" applyAlignment="1"/>
    <xf numFmtId="43" fontId="40" fillId="0" borderId="3" xfId="1" applyFont="1" applyBorder="1" applyAlignment="1"/>
    <xf numFmtId="0" fontId="40" fillId="0" borderId="4" xfId="0" applyNumberFormat="1" applyFont="1" applyBorder="1" applyAlignment="1">
      <alignment horizontal="center" vertical="center" wrapText="1"/>
    </xf>
    <xf numFmtId="14" fontId="40" fillId="0" borderId="3" xfId="0" applyNumberFormat="1" applyFont="1" applyBorder="1" applyAlignment="1">
      <alignment horizontal="center" vertical="center" wrapText="1"/>
    </xf>
    <xf numFmtId="43" fontId="40" fillId="0" borderId="3" xfId="1" applyFont="1" applyBorder="1" applyAlignment="1">
      <alignment vertical="center" wrapText="1"/>
    </xf>
    <xf numFmtId="0" fontId="67" fillId="0" borderId="3" xfId="0" applyNumberFormat="1" applyFont="1" applyBorder="1" applyAlignment="1">
      <alignment horizontal="center"/>
    </xf>
    <xf numFmtId="0" fontId="40" fillId="0" borderId="4" xfId="0" applyNumberFormat="1" applyFont="1" applyFill="1" applyBorder="1" applyAlignment="1">
      <alignment horizontal="center" vertical="center" wrapText="1"/>
    </xf>
    <xf numFmtId="14" fontId="40" fillId="0" borderId="3" xfId="0" applyNumberFormat="1" applyFont="1" applyFill="1" applyBorder="1" applyAlignment="1">
      <alignment horizontal="center" vertical="center" wrapText="1"/>
    </xf>
    <xf numFmtId="0" fontId="50" fillId="0" borderId="11" xfId="0" applyNumberFormat="1" applyFont="1" applyFill="1" applyBorder="1" applyAlignment="1">
      <alignment vertical="center" wrapText="1"/>
    </xf>
    <xf numFmtId="43" fontId="40" fillId="0" borderId="5" xfId="1" applyFont="1" applyFill="1" applyBorder="1" applyAlignment="1">
      <alignment vertical="center" wrapText="1"/>
    </xf>
    <xf numFmtId="0" fontId="70" fillId="0" borderId="11" xfId="0" applyNumberFormat="1" applyFont="1" applyFill="1" applyBorder="1" applyAlignment="1">
      <alignment vertical="center" wrapText="1"/>
    </xf>
    <xf numFmtId="0" fontId="50" fillId="0" borderId="5" xfId="0" applyNumberFormat="1" applyFont="1" applyFill="1" applyBorder="1" applyAlignment="1">
      <alignment wrapText="1"/>
    </xf>
    <xf numFmtId="0" fontId="40" fillId="3" borderId="4" xfId="0" applyNumberFormat="1" applyFont="1" applyFill="1" applyBorder="1" applyAlignment="1">
      <alignment horizontal="center" vertical="center" wrapText="1"/>
    </xf>
    <xf numFmtId="0" fontId="50" fillId="0" borderId="5" xfId="0" applyNumberFormat="1" applyFont="1" applyBorder="1" applyAlignment="1">
      <alignment wrapText="1"/>
    </xf>
    <xf numFmtId="43" fontId="40" fillId="3" borderId="3" xfId="1" applyFont="1" applyFill="1" applyBorder="1" applyAlignment="1">
      <alignment wrapText="1"/>
    </xf>
    <xf numFmtId="43" fontId="40" fillId="0" borderId="3" xfId="1" applyFont="1" applyFill="1" applyBorder="1" applyAlignment="1">
      <alignment vertical="center" wrapText="1"/>
    </xf>
    <xf numFmtId="43" fontId="40" fillId="0" borderId="5" xfId="1" applyFont="1" applyFill="1" applyBorder="1" applyAlignment="1"/>
    <xf numFmtId="0" fontId="40" fillId="3" borderId="4" xfId="0" applyNumberFormat="1" applyFont="1" applyFill="1" applyBorder="1" applyAlignment="1">
      <alignment horizontal="center"/>
    </xf>
    <xf numFmtId="14" fontId="40" fillId="3" borderId="3" xfId="0" applyNumberFormat="1" applyFont="1" applyFill="1" applyBorder="1" applyAlignment="1">
      <alignment horizontal="center"/>
    </xf>
    <xf numFmtId="43" fontId="40" fillId="3" borderId="3" xfId="1" applyFont="1" applyFill="1" applyBorder="1" applyAlignment="1"/>
    <xf numFmtId="0" fontId="28" fillId="2" borderId="4" xfId="0" applyNumberFormat="1" applyFont="1" applyFill="1" applyBorder="1" applyAlignment="1">
      <alignment horizontal="center"/>
    </xf>
    <xf numFmtId="14" fontId="28" fillId="2" borderId="3" xfId="0" applyNumberFormat="1" applyFont="1" applyFill="1" applyBorder="1" applyAlignment="1">
      <alignment horizontal="center"/>
    </xf>
    <xf numFmtId="0" fontId="69" fillId="2" borderId="11" xfId="0" applyNumberFormat="1" applyFont="1" applyFill="1" applyBorder="1" applyAlignment="1">
      <alignment horizontal="left" vertical="center"/>
    </xf>
    <xf numFmtId="43" fontId="28" fillId="2" borderId="3" xfId="1" applyFont="1" applyFill="1" applyBorder="1" applyAlignment="1"/>
    <xf numFmtId="43" fontId="28" fillId="3" borderId="3" xfId="1" applyFont="1" applyFill="1" applyBorder="1" applyAlignment="1">
      <alignment vertical="center" wrapText="1"/>
    </xf>
    <xf numFmtId="0" fontId="28" fillId="2" borderId="4" xfId="0" applyNumberFormat="1" applyFont="1" applyFill="1" applyBorder="1" applyAlignment="1">
      <alignment horizontal="center" vertical="center" wrapText="1"/>
    </xf>
    <xf numFmtId="14" fontId="28" fillId="2" borderId="3" xfId="0" applyNumberFormat="1" applyFont="1" applyFill="1" applyBorder="1" applyAlignment="1">
      <alignment horizontal="center" vertical="center" wrapText="1"/>
    </xf>
    <xf numFmtId="0" fontId="69" fillId="2" borderId="5" xfId="0" applyNumberFormat="1" applyFont="1" applyFill="1" applyBorder="1" applyAlignment="1">
      <alignment vertical="center"/>
    </xf>
    <xf numFmtId="43" fontId="50" fillId="2" borderId="3" xfId="1" applyFont="1" applyFill="1" applyBorder="1" applyAlignment="1">
      <alignment vertical="center"/>
    </xf>
    <xf numFmtId="0" fontId="30" fillId="0" borderId="5" xfId="0" applyNumberFormat="1" applyFont="1" applyBorder="1" applyAlignment="1">
      <alignment vertical="center" wrapText="1"/>
    </xf>
    <xf numFmtId="43" fontId="30" fillId="0" borderId="3" xfId="1" applyFont="1" applyBorder="1" applyAlignment="1">
      <alignment vertical="center" wrapText="1"/>
    </xf>
    <xf numFmtId="0" fontId="28" fillId="2" borderId="4" xfId="1" applyNumberFormat="1" applyFont="1" applyFill="1" applyBorder="1" applyAlignment="1">
      <alignment horizontal="center" vertical="center" wrapText="1"/>
    </xf>
    <xf numFmtId="0" fontId="69" fillId="2" borderId="5" xfId="0" applyNumberFormat="1" applyFont="1" applyFill="1" applyBorder="1" applyAlignment="1">
      <alignment horizontal="left" vertical="center" wrapText="1"/>
    </xf>
    <xf numFmtId="43" fontId="0" fillId="0" borderId="0" xfId="1" applyFont="1" applyAlignment="1"/>
    <xf numFmtId="0" fontId="30" fillId="3" borderId="5" xfId="0" applyNumberFormat="1" applyFont="1" applyFill="1" applyBorder="1" applyAlignment="1">
      <alignment horizontal="left" wrapText="1"/>
    </xf>
    <xf numFmtId="0" fontId="28" fillId="0" borderId="4" xfId="1" applyNumberFormat="1" applyFont="1" applyBorder="1" applyAlignment="1">
      <alignment horizontal="center"/>
    </xf>
    <xf numFmtId="14" fontId="28" fillId="0" borderId="3" xfId="1" applyNumberFormat="1" applyFont="1" applyBorder="1" applyAlignment="1">
      <alignment horizontal="center"/>
    </xf>
    <xf numFmtId="0" fontId="101" fillId="0" borderId="5" xfId="1" applyNumberFormat="1" applyFont="1" applyBorder="1" applyAlignment="1">
      <alignment vertical="center" wrapText="1"/>
    </xf>
    <xf numFmtId="0" fontId="28" fillId="5" borderId="4" xfId="1" applyNumberFormat="1" applyFont="1" applyFill="1" applyBorder="1" applyAlignment="1">
      <alignment horizontal="center"/>
    </xf>
    <xf numFmtId="14" fontId="28" fillId="5" borderId="3" xfId="1" applyNumberFormat="1" applyFont="1" applyFill="1" applyBorder="1" applyAlignment="1">
      <alignment horizontal="center"/>
    </xf>
    <xf numFmtId="0" fontId="69" fillId="5" borderId="11" xfId="1" applyNumberFormat="1" applyFont="1" applyFill="1" applyBorder="1" applyAlignment="1">
      <alignment horizontal="left" vertical="center"/>
    </xf>
    <xf numFmtId="0" fontId="50" fillId="0" borderId="5" xfId="1" applyNumberFormat="1" applyFont="1" applyBorder="1" applyAlignment="1">
      <alignment horizontal="left" vertical="center" wrapText="1"/>
    </xf>
    <xf numFmtId="0" fontId="59" fillId="3" borderId="4" xfId="1" applyNumberFormat="1" applyFont="1" applyFill="1" applyBorder="1" applyAlignment="1">
      <alignment horizontal="center" vertical="center" wrapText="1"/>
    </xf>
    <xf numFmtId="14" fontId="59" fillId="3" borderId="3" xfId="1" applyNumberFormat="1" applyFont="1" applyFill="1" applyBorder="1" applyAlignment="1">
      <alignment horizontal="center" vertical="center" wrapText="1"/>
    </xf>
    <xf numFmtId="0" fontId="70" fillId="3" borderId="5" xfId="1" applyNumberFormat="1" applyFont="1" applyFill="1" applyBorder="1" applyAlignment="1">
      <alignment horizontal="left" vertical="center" wrapText="1"/>
    </xf>
    <xf numFmtId="43" fontId="0" fillId="3" borderId="0" xfId="1" applyFont="1" applyFill="1" applyAlignment="1"/>
    <xf numFmtId="0" fontId="28" fillId="0" borderId="4" xfId="1" applyNumberFormat="1" applyFont="1" applyBorder="1" applyAlignment="1">
      <alignment horizontal="center" vertical="center" wrapText="1"/>
    </xf>
    <xf numFmtId="14" fontId="28" fillId="0" borderId="3" xfId="1" applyNumberFormat="1" applyFont="1" applyBorder="1" applyAlignment="1">
      <alignment horizontal="center" vertical="center" wrapText="1"/>
    </xf>
    <xf numFmtId="0" fontId="28" fillId="5" borderId="4" xfId="1" applyNumberFormat="1" applyFont="1" applyFill="1" applyBorder="1" applyAlignment="1">
      <alignment horizontal="center" vertical="center" wrapText="1"/>
    </xf>
    <xf numFmtId="14" fontId="28" fillId="5" borderId="3" xfId="1" applyNumberFormat="1" applyFont="1" applyFill="1" applyBorder="1" applyAlignment="1">
      <alignment horizontal="center" vertical="center" wrapText="1"/>
    </xf>
    <xf numFmtId="0" fontId="55" fillId="5" borderId="5" xfId="1" applyNumberFormat="1" applyFont="1" applyFill="1" applyBorder="1" applyAlignment="1">
      <alignment horizontal="left" vertical="center"/>
    </xf>
    <xf numFmtId="0" fontId="1" fillId="0" borderId="0" xfId="1" applyNumberFormat="1" applyFont="1" applyFill="1" applyAlignment="1">
      <alignment horizontal="center"/>
    </xf>
    <xf numFmtId="14" fontId="1" fillId="0" borderId="3" xfId="1" applyNumberFormat="1" applyFont="1" applyFill="1" applyBorder="1" applyAlignment="1">
      <alignment horizontal="center"/>
    </xf>
    <xf numFmtId="0" fontId="1" fillId="0" borderId="5" xfId="1" applyNumberFormat="1" applyFont="1" applyFill="1" applyBorder="1" applyAlignment="1">
      <alignment wrapText="1"/>
    </xf>
    <xf numFmtId="43" fontId="1" fillId="3" borderId="3" xfId="1" applyFont="1" applyFill="1" applyBorder="1" applyAlignment="1"/>
    <xf numFmtId="0" fontId="28" fillId="0" borderId="4" xfId="1" applyNumberFormat="1" applyFont="1" applyFill="1" applyBorder="1" applyAlignment="1">
      <alignment horizontal="center" vertical="center" wrapText="1"/>
    </xf>
    <xf numFmtId="14" fontId="28" fillId="0" borderId="3" xfId="1" applyNumberFormat="1" applyFont="1" applyFill="1" applyBorder="1" applyAlignment="1">
      <alignment horizontal="center" vertical="center" wrapText="1"/>
    </xf>
    <xf numFmtId="0" fontId="70" fillId="0" borderId="5" xfId="1" applyNumberFormat="1" applyFont="1" applyFill="1" applyBorder="1" applyAlignment="1">
      <alignment horizontal="justify" vertical="center" wrapText="1"/>
    </xf>
    <xf numFmtId="43" fontId="0" fillId="0" borderId="3" xfId="1" applyFont="1" applyFill="1" applyBorder="1" applyAlignment="1"/>
    <xf numFmtId="0" fontId="28" fillId="3" borderId="4" xfId="1" applyNumberFormat="1" applyFont="1" applyFill="1" applyBorder="1" applyAlignment="1">
      <alignment horizontal="center" vertical="center" wrapText="1"/>
    </xf>
    <xf numFmtId="14" fontId="28" fillId="3" borderId="3" xfId="1" applyNumberFormat="1" applyFont="1" applyFill="1" applyBorder="1" applyAlignment="1">
      <alignment horizontal="center" vertical="center" wrapText="1"/>
    </xf>
    <xf numFmtId="0" fontId="70" fillId="3" borderId="11" xfId="1" applyNumberFormat="1" applyFont="1" applyFill="1" applyBorder="1" applyAlignment="1">
      <alignment horizontal="justify" vertical="center" wrapText="1"/>
    </xf>
    <xf numFmtId="43" fontId="0" fillId="3" borderId="3" xfId="1" applyFont="1" applyFill="1" applyBorder="1" applyAlignment="1"/>
    <xf numFmtId="0" fontId="102" fillId="5" borderId="4" xfId="1" applyNumberFormat="1" applyFont="1" applyFill="1" applyBorder="1" applyAlignment="1">
      <alignment horizontal="center" vertical="center" wrapText="1"/>
    </xf>
    <xf numFmtId="14" fontId="102" fillId="5" borderId="3" xfId="1" applyNumberFormat="1" applyFont="1" applyFill="1" applyBorder="1" applyAlignment="1">
      <alignment horizontal="center" vertical="center" wrapText="1"/>
    </xf>
    <xf numFmtId="43" fontId="103" fillId="5" borderId="3" xfId="1" applyFont="1" applyFill="1" applyBorder="1" applyAlignment="1">
      <alignment vertical="center"/>
    </xf>
    <xf numFmtId="0" fontId="28" fillId="3" borderId="4" xfId="1" applyNumberFormat="1" applyFont="1" applyFill="1" applyBorder="1" applyAlignment="1">
      <alignment horizontal="center"/>
    </xf>
    <xf numFmtId="14" fontId="28" fillId="3" borderId="3" xfId="1" applyNumberFormat="1" applyFont="1" applyFill="1" applyBorder="1" applyAlignment="1">
      <alignment horizontal="center"/>
    </xf>
    <xf numFmtId="0" fontId="50" fillId="3" borderId="5" xfId="1" applyNumberFormat="1" applyFont="1" applyFill="1" applyBorder="1" applyAlignment="1">
      <alignment horizontal="left" vertical="center" wrapText="1"/>
    </xf>
    <xf numFmtId="43" fontId="28" fillId="3" borderId="3" xfId="1" applyFont="1" applyFill="1" applyBorder="1" applyAlignment="1">
      <alignment wrapText="1"/>
    </xf>
    <xf numFmtId="0" fontId="57" fillId="0" borderId="5" xfId="1" applyNumberFormat="1" applyFont="1" applyBorder="1" applyAlignment="1">
      <alignment vertical="center" wrapText="1"/>
    </xf>
    <xf numFmtId="0" fontId="57" fillId="0" borderId="5" xfId="1" applyNumberFormat="1" applyFont="1" applyBorder="1" applyAlignment="1">
      <alignment horizontal="left" vertical="center" wrapText="1"/>
    </xf>
    <xf numFmtId="0" fontId="0" fillId="0" borderId="4" xfId="1" applyNumberFormat="1" applyFont="1" applyBorder="1" applyAlignment="1">
      <alignment horizontal="center"/>
    </xf>
    <xf numFmtId="0" fontId="68" fillId="0" borderId="3" xfId="0" applyNumberFormat="1" applyFont="1" applyFill="1" applyBorder="1" applyAlignment="1">
      <alignment horizontal="center"/>
    </xf>
    <xf numFmtId="0" fontId="68" fillId="0" borderId="3" xfId="0" applyNumberFormat="1" applyFont="1" applyFill="1" applyBorder="1" applyAlignment="1"/>
    <xf numFmtId="0" fontId="50" fillId="11" borderId="5" xfId="1" applyNumberFormat="1" applyFont="1" applyFill="1" applyBorder="1" applyAlignment="1">
      <alignment horizontal="left" vertical="center" wrapText="1"/>
    </xf>
    <xf numFmtId="0" fontId="28" fillId="0" borderId="3" xfId="0" applyNumberFormat="1" applyFont="1" applyBorder="1" applyAlignment="1">
      <alignment horizontal="center" vertical="center"/>
    </xf>
    <xf numFmtId="14" fontId="26" fillId="0" borderId="3" xfId="0" applyNumberFormat="1" applyFont="1" applyFill="1" applyBorder="1" applyAlignment="1">
      <alignment horizontal="center" vertical="center"/>
    </xf>
    <xf numFmtId="14" fontId="26" fillId="2" borderId="3" xfId="0" applyNumberFormat="1" applyFont="1" applyFill="1" applyBorder="1" applyAlignment="1">
      <alignment horizontal="center"/>
    </xf>
    <xf numFmtId="0" fontId="77" fillId="2" borderId="11" xfId="0" applyNumberFormat="1" applyFont="1" applyFill="1" applyBorder="1" applyAlignment="1">
      <alignment horizontal="left" vertical="center"/>
    </xf>
    <xf numFmtId="14" fontId="26" fillId="2" borderId="3" xfId="0" applyNumberFormat="1" applyFont="1" applyFill="1" applyBorder="1" applyAlignment="1">
      <alignment horizontal="center" vertical="center" wrapText="1"/>
    </xf>
    <xf numFmtId="43" fontId="26" fillId="2" borderId="3" xfId="1" applyFont="1" applyFill="1" applyBorder="1" applyAlignment="1">
      <alignment wrapText="1"/>
    </xf>
    <xf numFmtId="0" fontId="73" fillId="2" borderId="5" xfId="0" applyNumberFormat="1" applyFont="1" applyFill="1" applyBorder="1" applyAlignment="1">
      <alignment horizontal="left" vertical="center"/>
    </xf>
    <xf numFmtId="43" fontId="72" fillId="2" borderId="3" xfId="1" applyFont="1" applyFill="1" applyBorder="1" applyAlignment="1">
      <alignment vertical="center"/>
    </xf>
    <xf numFmtId="0" fontId="26" fillId="0" borderId="8" xfId="0" applyNumberFormat="1" applyFont="1" applyFill="1" applyBorder="1" applyAlignment="1">
      <alignment horizontal="center" vertical="center" wrapText="1"/>
    </xf>
    <xf numFmtId="43" fontId="72" fillId="0" borderId="3" xfId="1" applyFont="1" applyFill="1" applyBorder="1" applyAlignment="1">
      <alignment vertical="center" wrapText="1"/>
    </xf>
    <xf numFmtId="43" fontId="43" fillId="2" borderId="3" xfId="1" applyFont="1" applyFill="1" applyBorder="1" applyAlignment="1">
      <alignment vertical="center"/>
    </xf>
    <xf numFmtId="0" fontId="43" fillId="0" borderId="5" xfId="0" applyNumberFormat="1" applyFont="1" applyFill="1" applyBorder="1" applyAlignment="1">
      <alignment vertical="center"/>
    </xf>
    <xf numFmtId="43" fontId="43" fillId="0" borderId="3" xfId="1" applyFont="1" applyFill="1" applyBorder="1" applyAlignment="1">
      <alignment vertical="center"/>
    </xf>
    <xf numFmtId="0" fontId="43" fillId="3" borderId="5" xfId="0" applyNumberFormat="1" applyFont="1" applyFill="1" applyBorder="1" applyAlignment="1">
      <alignment vertical="center"/>
    </xf>
    <xf numFmtId="43" fontId="43" fillId="3" borderId="3" xfId="1" applyFont="1" applyFill="1" applyBorder="1" applyAlignment="1">
      <alignment vertical="center" wrapText="1"/>
    </xf>
    <xf numFmtId="14" fontId="78" fillId="5" borderId="3" xfId="0" applyNumberFormat="1" applyFont="1" applyFill="1" applyBorder="1" applyAlignment="1">
      <alignment horizontal="center" vertical="center" wrapText="1"/>
    </xf>
    <xf numFmtId="0" fontId="77" fillId="5" borderId="5" xfId="0" applyNumberFormat="1" applyFont="1" applyFill="1" applyBorder="1" applyAlignment="1">
      <alignment horizontal="left" vertical="center" wrapText="1"/>
    </xf>
    <xf numFmtId="43" fontId="78" fillId="5" borderId="3" xfId="1" applyFont="1" applyFill="1" applyBorder="1" applyAlignment="1">
      <alignment vertical="center" wrapText="1"/>
    </xf>
    <xf numFmtId="14" fontId="44" fillId="0" borderId="3" xfId="0" applyNumberFormat="1" applyFont="1" applyFill="1" applyBorder="1" applyAlignment="1">
      <alignment horizontal="center"/>
    </xf>
    <xf numFmtId="0" fontId="44" fillId="0" borderId="5" xfId="0" applyNumberFormat="1" applyFont="1" applyFill="1" applyBorder="1" applyAlignment="1">
      <alignment wrapText="1"/>
    </xf>
    <xf numFmtId="43" fontId="44" fillId="0" borderId="3" xfId="1" applyFont="1" applyFill="1" applyBorder="1" applyAlignment="1"/>
    <xf numFmtId="0" fontId="78" fillId="0" borderId="10" xfId="0" applyNumberFormat="1" applyFont="1" applyFill="1" applyBorder="1" applyAlignment="1">
      <alignment horizontal="center" vertical="center" wrapText="1"/>
    </xf>
    <xf numFmtId="14" fontId="78" fillId="0" borderId="3" xfId="0" applyNumberFormat="1" applyFont="1" applyFill="1" applyBorder="1" applyAlignment="1">
      <alignment horizontal="center" vertical="center" wrapText="1"/>
    </xf>
    <xf numFmtId="14" fontId="26" fillId="0" borderId="3" xfId="0" quotePrefix="1" applyNumberFormat="1" applyFont="1" applyFill="1" applyBorder="1" applyAlignment="1">
      <alignment horizontal="center" vertical="center" wrapText="1"/>
    </xf>
    <xf numFmtId="14" fontId="26" fillId="0" borderId="3" xfId="0" quotePrefix="1" applyNumberFormat="1" applyFont="1" applyFill="1" applyBorder="1" applyAlignment="1">
      <alignment horizontal="center"/>
    </xf>
    <xf numFmtId="0" fontId="83" fillId="0" borderId="5" xfId="0" applyNumberFormat="1" applyFont="1" applyFill="1" applyBorder="1" applyAlignment="1">
      <alignment vertical="center" wrapText="1"/>
    </xf>
    <xf numFmtId="14" fontId="26" fillId="5" borderId="3" xfId="0" applyNumberFormat="1" applyFont="1" applyFill="1" applyBorder="1" applyAlignment="1">
      <alignment horizontal="center"/>
    </xf>
    <xf numFmtId="14" fontId="26" fillId="3" borderId="3" xfId="0" quotePrefix="1" applyNumberFormat="1" applyFont="1" applyFill="1" applyBorder="1" applyAlignment="1">
      <alignment horizontal="center" vertical="center" wrapText="1"/>
    </xf>
    <xf numFmtId="43" fontId="26" fillId="3" borderId="3" xfId="1" applyFont="1" applyFill="1" applyBorder="1" applyAlignment="1">
      <alignment wrapText="1"/>
    </xf>
    <xf numFmtId="14" fontId="26" fillId="2" borderId="3" xfId="0" quotePrefix="1" applyNumberFormat="1" applyFont="1" applyFill="1" applyBorder="1" applyAlignment="1">
      <alignment horizontal="center"/>
    </xf>
    <xf numFmtId="14" fontId="26" fillId="5" borderId="3" xfId="0" applyNumberFormat="1" applyFont="1" applyFill="1" applyBorder="1" applyAlignment="1">
      <alignment horizontal="center" vertical="center" wrapText="1"/>
    </xf>
    <xf numFmtId="43" fontId="105" fillId="0" borderId="3" xfId="1" applyFont="1" applyFill="1" applyBorder="1" applyAlignment="1">
      <alignment vertical="center"/>
    </xf>
    <xf numFmtId="43" fontId="43" fillId="3" borderId="3" xfId="1" applyFont="1" applyFill="1" applyBorder="1" applyAlignment="1">
      <alignment vertical="center"/>
    </xf>
    <xf numFmtId="0" fontId="106" fillId="0" borderId="0" xfId="0" applyNumberFormat="1" applyFont="1" applyAlignment="1">
      <alignment horizontal="center"/>
    </xf>
    <xf numFmtId="0" fontId="43" fillId="0" borderId="5" xfId="0" applyNumberFormat="1" applyFont="1" applyBorder="1" applyAlignment="1">
      <alignment horizontal="left" vertical="top" wrapText="1"/>
    </xf>
    <xf numFmtId="14" fontId="26" fillId="0" borderId="3" xfId="0" applyNumberFormat="1" applyFont="1" applyBorder="1" applyAlignment="1">
      <alignment horizontal="center" vertical="center"/>
    </xf>
    <xf numFmtId="14" fontId="26" fillId="0" borderId="3" xfId="0" applyNumberFormat="1" applyFont="1" applyBorder="1" applyAlignment="1">
      <alignment horizontal="center" vertical="top" wrapText="1"/>
    </xf>
    <xf numFmtId="0" fontId="75" fillId="0" borderId="3" xfId="0" applyFont="1" applyFill="1" applyBorder="1" applyAlignment="1">
      <alignment horizontal="center"/>
    </xf>
    <xf numFmtId="14" fontId="43" fillId="0" borderId="3" xfId="0" applyNumberFormat="1" applyFont="1" applyBorder="1" applyAlignment="1">
      <alignment horizontal="center" vertical="center" wrapText="1"/>
    </xf>
    <xf numFmtId="43" fontId="107" fillId="0" borderId="0" xfId="1" applyFont="1" applyAlignment="1"/>
    <xf numFmtId="0" fontId="78" fillId="5" borderId="5" xfId="0" applyNumberFormat="1" applyFont="1" applyFill="1" applyBorder="1" applyAlignment="1">
      <alignment vertical="center" wrapText="1"/>
    </xf>
    <xf numFmtId="14" fontId="80" fillId="0" borderId="3" xfId="0" applyNumberFormat="1" applyFont="1" applyBorder="1" applyAlignment="1">
      <alignment horizontal="center" vertical="center" wrapText="1"/>
    </xf>
    <xf numFmtId="14" fontId="72" fillId="0" borderId="3" xfId="0" applyNumberFormat="1" applyFont="1" applyBorder="1" applyAlignment="1">
      <alignment horizontal="center" vertical="center" wrapText="1"/>
    </xf>
    <xf numFmtId="14" fontId="43" fillId="0" borderId="3" xfId="0" applyNumberFormat="1" applyFont="1" applyBorder="1" applyAlignment="1">
      <alignment horizontal="center" vertical="top" wrapText="1"/>
    </xf>
    <xf numFmtId="0" fontId="108" fillId="0" borderId="0" xfId="0" applyNumberFormat="1" applyFont="1" applyAlignment="1">
      <alignment vertical="center" wrapText="1"/>
    </xf>
    <xf numFmtId="43" fontId="37" fillId="0" borderId="0" xfId="1" applyFont="1" applyAlignment="1"/>
    <xf numFmtId="14" fontId="22" fillId="2" borderId="3" xfId="0" applyNumberFormat="1" applyFont="1" applyFill="1" applyBorder="1" applyAlignment="1">
      <alignment horizontal="center" vertical="center" wrapText="1"/>
    </xf>
    <xf numFmtId="43" fontId="22" fillId="2" borderId="0" xfId="1" applyFont="1" applyFill="1" applyBorder="1" applyAlignment="1">
      <alignment vertical="center" wrapText="1"/>
    </xf>
    <xf numFmtId="14" fontId="22" fillId="0" borderId="3" xfId="0" applyNumberFormat="1" applyFont="1" applyFill="1" applyBorder="1" applyAlignment="1">
      <alignment horizontal="center" vertical="center" wrapText="1"/>
    </xf>
    <xf numFmtId="43" fontId="109" fillId="3" borderId="0" xfId="1" applyFont="1" applyFill="1" applyAlignment="1"/>
    <xf numFmtId="0" fontId="57" fillId="0" borderId="5" xfId="0" applyNumberFormat="1" applyFont="1" applyFill="1" applyBorder="1" applyAlignment="1">
      <alignment horizontal="left" vertical="center" wrapText="1"/>
    </xf>
    <xf numFmtId="43" fontId="28" fillId="3" borderId="5" xfId="1" applyFont="1" applyFill="1" applyBorder="1" applyAlignment="1">
      <alignment vertical="center"/>
    </xf>
    <xf numFmtId="0" fontId="28" fillId="2" borderId="4" xfId="0" applyNumberFormat="1" applyFont="1" applyFill="1" applyBorder="1" applyAlignment="1">
      <alignment horizontal="center" vertical="center"/>
    </xf>
    <xf numFmtId="43" fontId="28" fillId="2" borderId="3" xfId="1" applyFont="1" applyFill="1" applyBorder="1" applyAlignment="1">
      <alignment vertical="center"/>
    </xf>
    <xf numFmtId="0" fontId="28" fillId="2" borderId="4" xfId="1" applyNumberFormat="1" applyFont="1" applyFill="1" applyBorder="1" applyAlignment="1">
      <alignment horizontal="center" vertical="center"/>
    </xf>
    <xf numFmtId="0" fontId="55" fillId="2" borderId="5" xfId="0" applyNumberFormat="1" applyFont="1" applyFill="1" applyBorder="1" applyAlignment="1">
      <alignment horizontal="left" vertical="center"/>
    </xf>
    <xf numFmtId="0" fontId="40" fillId="0" borderId="3" xfId="0" applyFont="1" applyFill="1" applyBorder="1" applyAlignment="1">
      <alignment horizontal="center"/>
    </xf>
    <xf numFmtId="14" fontId="40" fillId="3" borderId="3" xfId="0" applyNumberFormat="1" applyFont="1" applyFill="1" applyBorder="1" applyAlignment="1">
      <alignment horizontal="center" vertical="center" wrapText="1"/>
    </xf>
    <xf numFmtId="43" fontId="40" fillId="3" borderId="3" xfId="1" applyFont="1" applyFill="1" applyBorder="1" applyAlignment="1">
      <alignment vertical="center" wrapText="1"/>
    </xf>
    <xf numFmtId="0" fontId="28" fillId="3" borderId="4" xfId="1" applyNumberFormat="1" applyFont="1" applyFill="1" applyBorder="1" applyAlignment="1">
      <alignment horizontal="center" vertical="center"/>
    </xf>
    <xf numFmtId="0" fontId="57" fillId="3" borderId="5" xfId="0" applyNumberFormat="1" applyFont="1" applyFill="1" applyBorder="1" applyAlignment="1">
      <alignment vertical="center" wrapText="1"/>
    </xf>
    <xf numFmtId="0" fontId="57" fillId="3" borderId="5" xfId="0" applyNumberFormat="1" applyFont="1" applyFill="1" applyBorder="1" applyAlignment="1">
      <alignment horizontal="left" vertical="center" wrapText="1"/>
    </xf>
    <xf numFmtId="0" fontId="28" fillId="3" borderId="14" xfId="0" applyNumberFormat="1" applyFont="1" applyFill="1" applyBorder="1" applyAlignment="1">
      <alignment horizontal="center" vertical="center" wrapText="1"/>
    </xf>
    <xf numFmtId="0" fontId="50" fillId="3" borderId="12" xfId="0" applyNumberFormat="1" applyFont="1" applyFill="1" applyBorder="1" applyAlignment="1">
      <alignment horizontal="left" vertical="center" wrapText="1"/>
    </xf>
    <xf numFmtId="43" fontId="28" fillId="3" borderId="6" xfId="1" applyFont="1" applyFill="1" applyBorder="1" applyAlignment="1">
      <alignment vertical="center"/>
    </xf>
    <xf numFmtId="43" fontId="40" fillId="5" borderId="3" xfId="1" applyFont="1" applyFill="1" applyBorder="1" applyAlignment="1"/>
    <xf numFmtId="43" fontId="40" fillId="0" borderId="3" xfId="1" applyFont="1" applyBorder="1" applyAlignment="1">
      <alignment wrapText="1"/>
    </xf>
    <xf numFmtId="0" fontId="69" fillId="0" borderId="5" xfId="0" applyNumberFormat="1" applyFont="1" applyFill="1" applyBorder="1" applyAlignment="1">
      <alignment horizontal="left" vertical="center" wrapText="1"/>
    </xf>
    <xf numFmtId="0" fontId="28" fillId="3" borderId="8" xfId="0" applyNumberFormat="1" applyFont="1" applyFill="1" applyBorder="1" applyAlignment="1">
      <alignment horizontal="center" vertical="center" wrapText="1"/>
    </xf>
    <xf numFmtId="0" fontId="50" fillId="3" borderId="11" xfId="0" applyNumberFormat="1" applyFont="1" applyFill="1" applyBorder="1" applyAlignment="1">
      <alignment vertical="center" wrapText="1"/>
    </xf>
    <xf numFmtId="43" fontId="50" fillId="3" borderId="2" xfId="1" applyFont="1" applyFill="1" applyBorder="1" applyAlignment="1">
      <alignment vertical="center"/>
    </xf>
    <xf numFmtId="0" fontId="28" fillId="0" borderId="8" xfId="0" applyNumberFormat="1" applyFont="1" applyBorder="1" applyAlignment="1">
      <alignment horizontal="center" vertical="center" wrapText="1"/>
    </xf>
    <xf numFmtId="0" fontId="57" fillId="0" borderId="11" xfId="0" applyNumberFormat="1" applyFont="1" applyBorder="1" applyAlignment="1">
      <alignment vertical="center" wrapText="1"/>
    </xf>
    <xf numFmtId="43" fontId="50" fillId="0" borderId="2" xfId="1" applyFont="1" applyBorder="1" applyAlignment="1">
      <alignment vertical="center" wrapText="1"/>
    </xf>
    <xf numFmtId="14" fontId="28" fillId="3" borderId="3" xfId="0" quotePrefix="1" applyNumberFormat="1" applyFont="1" applyFill="1" applyBorder="1" applyAlignment="1">
      <alignment horizontal="center" vertical="center" wrapText="1"/>
    </xf>
    <xf numFmtId="43" fontId="50" fillId="3" borderId="3" xfId="1" applyFont="1" applyFill="1" applyBorder="1" applyAlignment="1">
      <alignment vertical="center" wrapText="1"/>
    </xf>
    <xf numFmtId="43" fontId="70" fillId="3" borderId="3" xfId="1" applyFont="1" applyFill="1" applyBorder="1" applyAlignment="1">
      <alignment vertical="center"/>
    </xf>
    <xf numFmtId="0" fontId="59" fillId="3" borderId="5" xfId="0" applyNumberFormat="1" applyFont="1" applyFill="1" applyBorder="1" applyAlignment="1">
      <alignment vertical="center"/>
    </xf>
    <xf numFmtId="0" fontId="68" fillId="0" borderId="3" xfId="0" applyNumberFormat="1" applyFont="1" applyBorder="1" applyAlignment="1">
      <alignment horizontal="center" wrapText="1"/>
    </xf>
    <xf numFmtId="0" fontId="68" fillId="0" borderId="3" xfId="0" applyNumberFormat="1" applyFont="1" applyBorder="1" applyAlignment="1">
      <alignment wrapText="1"/>
    </xf>
    <xf numFmtId="0" fontId="70" fillId="3" borderId="11" xfId="0" applyNumberFormat="1" applyFont="1" applyFill="1" applyBorder="1" applyAlignment="1">
      <alignment vertical="center"/>
    </xf>
    <xf numFmtId="43" fontId="90" fillId="3" borderId="0" xfId="1" applyFont="1" applyFill="1" applyAlignment="1"/>
    <xf numFmtId="0" fontId="68" fillId="3" borderId="3" xfId="0" applyNumberFormat="1" applyFont="1" applyFill="1" applyBorder="1" applyAlignment="1">
      <alignment horizontal="center" wrapText="1"/>
    </xf>
    <xf numFmtId="0" fontId="68" fillId="3" borderId="3" xfId="0" applyNumberFormat="1" applyFont="1" applyFill="1" applyBorder="1" applyAlignment="1">
      <alignment wrapText="1"/>
    </xf>
    <xf numFmtId="43" fontId="70" fillId="3" borderId="3" xfId="1" applyFont="1" applyFill="1" applyBorder="1" applyAlignment="1">
      <alignment vertical="center" wrapText="1"/>
    </xf>
    <xf numFmtId="0" fontId="70" fillId="3" borderId="4" xfId="0" applyNumberFormat="1" applyFont="1" applyFill="1" applyBorder="1" applyAlignment="1">
      <alignment horizontal="center" wrapText="1"/>
    </xf>
    <xf numFmtId="14" fontId="70" fillId="3" borderId="3" xfId="0" applyNumberFormat="1" applyFont="1" applyFill="1" applyBorder="1" applyAlignment="1">
      <alignment horizontal="center" wrapText="1"/>
    </xf>
    <xf numFmtId="0" fontId="70" fillId="3" borderId="5" xfId="0" applyNumberFormat="1" applyFont="1" applyFill="1" applyBorder="1" applyAlignment="1">
      <alignment horizontal="left" vertical="center" wrapText="1"/>
    </xf>
    <xf numFmtId="43" fontId="55" fillId="3" borderId="3" xfId="1" applyFont="1" applyFill="1" applyBorder="1" applyAlignment="1">
      <alignment wrapText="1"/>
    </xf>
    <xf numFmtId="0" fontId="70" fillId="3" borderId="5" xfId="0" applyNumberFormat="1" applyFont="1" applyFill="1" applyBorder="1" applyAlignment="1">
      <alignment vertical="center" wrapText="1"/>
    </xf>
    <xf numFmtId="43" fontId="3" fillId="0" borderId="0" xfId="1" applyFont="1" applyAlignment="1"/>
    <xf numFmtId="0" fontId="55" fillId="5" borderId="8" xfId="0" applyNumberFormat="1" applyFont="1" applyFill="1" applyBorder="1" applyAlignment="1">
      <alignment horizontal="center" vertical="center" wrapText="1"/>
    </xf>
    <xf numFmtId="14" fontId="55" fillId="5" borderId="3" xfId="0" applyNumberFormat="1" applyFont="1" applyFill="1" applyBorder="1" applyAlignment="1">
      <alignment horizontal="center" vertical="center" wrapText="1"/>
    </xf>
    <xf numFmtId="0" fontId="55" fillId="5" borderId="11" xfId="0" applyNumberFormat="1" applyFont="1" applyFill="1" applyBorder="1" applyAlignment="1">
      <alignment horizontal="left" vertical="center" wrapText="1"/>
    </xf>
    <xf numFmtId="43" fontId="70" fillId="3" borderId="3" xfId="1" applyFont="1" applyFill="1" applyBorder="1" applyAlignment="1">
      <alignment wrapText="1"/>
    </xf>
    <xf numFmtId="0" fontId="70" fillId="3" borderId="4" xfId="0" applyNumberFormat="1" applyFont="1" applyFill="1" applyBorder="1" applyAlignment="1">
      <alignment horizontal="center" vertical="center" wrapText="1"/>
    </xf>
    <xf numFmtId="14" fontId="70" fillId="3" borderId="3" xfId="0" applyNumberFormat="1" applyFont="1" applyFill="1" applyBorder="1" applyAlignment="1">
      <alignment horizontal="center" vertical="center" wrapText="1"/>
    </xf>
    <xf numFmtId="43" fontId="33" fillId="0" borderId="0" xfId="1" applyFont="1" applyAlignment="1"/>
    <xf numFmtId="43" fontId="55" fillId="3" borderId="3" xfId="1" applyFont="1" applyFill="1" applyBorder="1" applyAlignment="1">
      <alignment vertical="center" wrapText="1"/>
    </xf>
    <xf numFmtId="0" fontId="70" fillId="2" borderId="4" xfId="0" applyNumberFormat="1" applyFont="1" applyFill="1" applyBorder="1" applyAlignment="1">
      <alignment horizontal="center" vertical="center" wrapText="1"/>
    </xf>
    <xf numFmtId="14" fontId="70" fillId="2" borderId="3" xfId="0" applyNumberFormat="1" applyFont="1" applyFill="1" applyBorder="1" applyAlignment="1">
      <alignment horizontal="center" vertical="center" wrapText="1"/>
    </xf>
    <xf numFmtId="0" fontId="55" fillId="5" borderId="5" xfId="0" applyNumberFormat="1" applyFont="1" applyFill="1" applyBorder="1" applyAlignment="1">
      <alignment horizontal="left" vertical="center" wrapText="1"/>
    </xf>
    <xf numFmtId="0" fontId="70" fillId="3" borderId="5" xfId="0" applyNumberFormat="1" applyFont="1" applyFill="1" applyBorder="1" applyAlignment="1">
      <alignment horizontal="left" wrapText="1"/>
    </xf>
    <xf numFmtId="0" fontId="55" fillId="5" borderId="5" xfId="0" applyNumberFormat="1" applyFont="1" applyFill="1" applyBorder="1" applyAlignment="1">
      <alignment vertical="center" wrapText="1"/>
    </xf>
    <xf numFmtId="0" fontId="70" fillId="0" borderId="4" xfId="0" applyNumberFormat="1" applyFont="1" applyFill="1" applyBorder="1" applyAlignment="1">
      <alignment horizontal="center" vertical="center" wrapText="1"/>
    </xf>
    <xf numFmtId="43" fontId="55" fillId="3" borderId="2" xfId="1" applyFont="1" applyFill="1" applyBorder="1" applyAlignment="1">
      <alignment vertical="center" wrapText="1"/>
    </xf>
    <xf numFmtId="0" fontId="70" fillId="3" borderId="10" xfId="0" applyNumberFormat="1" applyFont="1" applyFill="1" applyBorder="1" applyAlignment="1">
      <alignment horizontal="center" vertical="center" wrapText="1"/>
    </xf>
    <xf numFmtId="0" fontId="70" fillId="3" borderId="12" xfId="0" applyNumberFormat="1" applyFont="1" applyFill="1" applyBorder="1" applyAlignment="1">
      <alignment horizontal="left" vertical="center" wrapText="1"/>
    </xf>
    <xf numFmtId="43" fontId="63" fillId="3" borderId="3" xfId="1" applyFont="1" applyFill="1" applyBorder="1" applyAlignment="1">
      <alignment vertical="center"/>
    </xf>
    <xf numFmtId="0" fontId="40" fillId="3" borderId="5" xfId="0" applyNumberFormat="1" applyFont="1" applyFill="1" applyBorder="1" applyAlignment="1">
      <alignment horizontal="left" vertical="center" wrapText="1"/>
    </xf>
    <xf numFmtId="43" fontId="35" fillId="3" borderId="3" xfId="1" applyFont="1" applyFill="1" applyBorder="1" applyAlignment="1">
      <alignment vertical="center" wrapText="1"/>
    </xf>
    <xf numFmtId="0" fontId="28" fillId="6" borderId="4" xfId="0" applyNumberFormat="1" applyFont="1" applyFill="1" applyBorder="1" applyAlignment="1">
      <alignment horizontal="center"/>
    </xf>
    <xf numFmtId="14" fontId="28" fillId="6" borderId="3" xfId="0" applyNumberFormat="1" applyFont="1" applyFill="1" applyBorder="1" applyAlignment="1">
      <alignment horizontal="center"/>
    </xf>
    <xf numFmtId="0" fontId="69" fillId="6" borderId="11" xfId="0" applyNumberFormat="1" applyFont="1" applyFill="1" applyBorder="1" applyAlignment="1">
      <alignment horizontal="left" vertical="center"/>
    </xf>
    <xf numFmtId="43" fontId="28" fillId="6" borderId="3" xfId="1" applyFont="1" applyFill="1" applyBorder="1" applyAlignment="1"/>
    <xf numFmtId="43" fontId="28" fillId="0" borderId="3" xfId="1" applyFont="1" applyFill="1" applyBorder="1" applyAlignment="1">
      <alignment wrapText="1"/>
    </xf>
    <xf numFmtId="14" fontId="112" fillId="3" borderId="3" xfId="0" applyNumberFormat="1" applyFont="1" applyFill="1" applyBorder="1" applyAlignment="1">
      <alignment horizontal="center" vertical="center" wrapText="1"/>
    </xf>
    <xf numFmtId="0" fontId="78" fillId="6" borderId="4" xfId="0" applyNumberFormat="1" applyFont="1" applyFill="1" applyBorder="1" applyAlignment="1">
      <alignment horizontal="center" vertical="center" wrapText="1"/>
    </xf>
    <xf numFmtId="14" fontId="78" fillId="6" borderId="3" xfId="0" applyNumberFormat="1" applyFont="1" applyFill="1" applyBorder="1" applyAlignment="1">
      <alignment horizontal="center" vertical="center" wrapText="1"/>
    </xf>
    <xf numFmtId="0" fontId="55" fillId="6" borderId="5" xfId="0" applyNumberFormat="1" applyFont="1" applyFill="1" applyBorder="1" applyAlignment="1">
      <alignment horizontal="left" vertical="center"/>
    </xf>
    <xf numFmtId="43" fontId="78" fillId="6" borderId="3" xfId="1" applyFont="1" applyFill="1" applyBorder="1" applyAlignment="1">
      <alignment vertical="center" wrapText="1"/>
    </xf>
    <xf numFmtId="0" fontId="28" fillId="6" borderId="4" xfId="0" applyNumberFormat="1" applyFont="1" applyFill="1" applyBorder="1" applyAlignment="1">
      <alignment horizontal="center" vertical="center" wrapText="1"/>
    </xf>
    <xf numFmtId="14" fontId="28" fillId="6" borderId="3" xfId="0" applyNumberFormat="1" applyFont="1" applyFill="1" applyBorder="1" applyAlignment="1">
      <alignment horizontal="center" vertical="center" wrapText="1"/>
    </xf>
    <xf numFmtId="43" fontId="70" fillId="6" borderId="3" xfId="1" applyFont="1" applyFill="1" applyBorder="1" applyAlignment="1">
      <alignment vertical="center"/>
    </xf>
    <xf numFmtId="0" fontId="69" fillId="6" borderId="5" xfId="0" applyNumberFormat="1" applyFont="1" applyFill="1" applyBorder="1" applyAlignment="1">
      <alignment vertical="center"/>
    </xf>
    <xf numFmtId="43" fontId="50" fillId="6" borderId="3" xfId="1" applyFont="1" applyFill="1" applyBorder="1" applyAlignment="1">
      <alignment vertical="center"/>
    </xf>
    <xf numFmtId="43" fontId="57" fillId="0" borderId="3" xfId="1" applyFont="1" applyFill="1" applyBorder="1" applyAlignment="1">
      <alignment vertical="center" wrapText="1"/>
    </xf>
    <xf numFmtId="0" fontId="59" fillId="3" borderId="4" xfId="0" applyNumberFormat="1" applyFont="1" applyFill="1" applyBorder="1" applyAlignment="1">
      <alignment horizontal="center" vertical="center" wrapText="1"/>
    </xf>
    <xf numFmtId="43" fontId="28" fillId="0" borderId="5" xfId="1" applyFont="1" applyFill="1" applyBorder="1" applyAlignment="1"/>
    <xf numFmtId="0" fontId="26" fillId="5" borderId="4" xfId="10" applyNumberFormat="1" applyFont="1" applyFill="1" applyBorder="1" applyAlignment="1">
      <alignment horizontal="center"/>
    </xf>
    <xf numFmtId="14" fontId="26" fillId="5" borderId="3" xfId="10" applyNumberFormat="1" applyFont="1" applyFill="1" applyBorder="1" applyAlignment="1">
      <alignment horizontal="center"/>
    </xf>
    <xf numFmtId="0" fontId="77" fillId="5" borderId="11" xfId="10" applyNumberFormat="1" applyFont="1" applyFill="1" applyBorder="1" applyAlignment="1">
      <alignment horizontal="left" vertical="center"/>
    </xf>
    <xf numFmtId="0" fontId="26" fillId="0" borderId="4" xfId="10" applyNumberFormat="1" applyFont="1" applyBorder="1" applyAlignment="1">
      <alignment horizontal="center" vertical="center"/>
    </xf>
    <xf numFmtId="14" fontId="26" fillId="0" borderId="3" xfId="10" applyNumberFormat="1" applyFont="1" applyBorder="1" applyAlignment="1">
      <alignment horizontal="center"/>
    </xf>
    <xf numFmtId="0" fontId="43" fillId="0" borderId="5" xfId="10" applyNumberFormat="1" applyFont="1" applyBorder="1" applyAlignment="1">
      <alignment horizontal="left" vertical="center" wrapText="1"/>
    </xf>
    <xf numFmtId="0" fontId="26" fillId="0" borderId="4" xfId="10" applyNumberFormat="1" applyFont="1" applyBorder="1" applyAlignment="1">
      <alignment horizontal="center"/>
    </xf>
    <xf numFmtId="0" fontId="26" fillId="0" borderId="4" xfId="10" applyNumberFormat="1" applyFont="1" applyBorder="1" applyAlignment="1">
      <alignment horizontal="center" vertical="center" wrapText="1"/>
    </xf>
    <xf numFmtId="14" fontId="26" fillId="0" borderId="3" xfId="10" applyNumberFormat="1" applyFont="1" applyBorder="1" applyAlignment="1">
      <alignment horizontal="center" vertical="center" wrapText="1"/>
    </xf>
    <xf numFmtId="0" fontId="26" fillId="5" borderId="4" xfId="10" applyNumberFormat="1" applyFont="1" applyFill="1" applyBorder="1" applyAlignment="1">
      <alignment horizontal="center" vertical="center" wrapText="1"/>
    </xf>
    <xf numFmtId="14" fontId="26" fillId="5" borderId="3" xfId="10" applyNumberFormat="1" applyFont="1" applyFill="1" applyBorder="1" applyAlignment="1">
      <alignment horizontal="center" vertical="center" wrapText="1"/>
    </xf>
    <xf numFmtId="0" fontId="77" fillId="5" borderId="5" xfId="10" applyNumberFormat="1" applyFont="1" applyFill="1" applyBorder="1" applyAlignment="1">
      <alignment vertical="center"/>
    </xf>
    <xf numFmtId="0" fontId="43" fillId="0" borderId="5" xfId="10" applyNumberFormat="1" applyFont="1" applyBorder="1" applyAlignment="1">
      <alignment vertical="center" wrapText="1"/>
    </xf>
    <xf numFmtId="0" fontId="26" fillId="3" borderId="0" xfId="10" applyNumberFormat="1" applyFont="1" applyFill="1" applyAlignment="1">
      <alignment horizontal="center"/>
    </xf>
    <xf numFmtId="14" fontId="26" fillId="3" borderId="3" xfId="10" applyNumberFormat="1" applyFont="1" applyFill="1" applyBorder="1" applyAlignment="1">
      <alignment horizontal="center" vertical="center" wrapText="1"/>
    </xf>
    <xf numFmtId="0" fontId="43" fillId="3" borderId="5" xfId="10" applyNumberFormat="1" applyFont="1" applyFill="1" applyBorder="1" applyAlignment="1">
      <alignment vertical="center" wrapText="1"/>
    </xf>
    <xf numFmtId="0" fontId="26" fillId="0" borderId="4" xfId="10" applyNumberFormat="1" applyFont="1" applyFill="1" applyBorder="1" applyAlignment="1">
      <alignment horizontal="center" vertical="center" wrapText="1"/>
    </xf>
    <xf numFmtId="0" fontId="43" fillId="3" borderId="5" xfId="10" applyNumberFormat="1" applyFont="1" applyFill="1" applyBorder="1" applyAlignment="1">
      <alignment horizontal="left" wrapText="1"/>
    </xf>
    <xf numFmtId="0" fontId="72" fillId="3" borderId="5" xfId="10" applyNumberFormat="1" applyFont="1" applyFill="1" applyBorder="1" applyAlignment="1">
      <alignment wrapText="1"/>
    </xf>
    <xf numFmtId="0" fontId="72" fillId="3" borderId="5" xfId="10" applyNumberFormat="1" applyFont="1" applyFill="1" applyBorder="1" applyAlignment="1">
      <alignment vertical="top" wrapText="1"/>
    </xf>
    <xf numFmtId="1" fontId="26" fillId="0" borderId="4" xfId="0" applyNumberFormat="1" applyFont="1" applyBorder="1" applyAlignment="1">
      <alignment horizontal="center"/>
    </xf>
    <xf numFmtId="0" fontId="43" fillId="0" borderId="5" xfId="0" applyFont="1" applyBorder="1" applyAlignment="1">
      <alignment vertical="center" wrapText="1"/>
    </xf>
    <xf numFmtId="43" fontId="26" fillId="12" borderId="3" xfId="1" applyFont="1" applyFill="1" applyBorder="1" applyAlignment="1"/>
    <xf numFmtId="0" fontId="113" fillId="0" borderId="3" xfId="0" applyNumberFormat="1" applyFont="1" applyBorder="1" applyAlignment="1">
      <alignment horizontal="center"/>
    </xf>
    <xf numFmtId="0" fontId="113" fillId="0" borderId="3" xfId="0" applyNumberFormat="1" applyFont="1" applyBorder="1" applyAlignment="1"/>
    <xf numFmtId="0" fontId="77" fillId="2" borderId="4" xfId="0" applyFont="1" applyFill="1" applyBorder="1" applyAlignment="1">
      <alignment horizontal="center" vertical="center"/>
    </xf>
    <xf numFmtId="14" fontId="77" fillId="2" borderId="3" xfId="0" applyNumberFormat="1" applyFont="1" applyFill="1" applyBorder="1" applyAlignment="1">
      <alignment horizontal="center" vertical="center"/>
    </xf>
    <xf numFmtId="0" fontId="77" fillId="2" borderId="5" xfId="0" applyFont="1" applyFill="1" applyBorder="1" applyAlignment="1">
      <alignment vertical="center"/>
    </xf>
    <xf numFmtId="0" fontId="43" fillId="0" borderId="5" xfId="0" applyFont="1" applyBorder="1" applyAlignment="1">
      <alignment horizontal="left" vertical="center" wrapText="1"/>
    </xf>
    <xf numFmtId="0" fontId="43" fillId="0" borderId="5" xfId="0" applyFont="1" applyFill="1" applyBorder="1" applyAlignment="1">
      <alignment horizontal="left" vertical="center" wrapText="1"/>
    </xf>
    <xf numFmtId="43" fontId="26" fillId="12" borderId="9" xfId="1" applyFont="1" applyFill="1" applyBorder="1" applyAlignment="1"/>
    <xf numFmtId="0" fontId="26" fillId="3" borderId="4" xfId="0" applyFont="1" applyFill="1" applyBorder="1" applyAlignment="1">
      <alignment horizontal="center" vertical="center" wrapText="1"/>
    </xf>
    <xf numFmtId="0" fontId="43" fillId="3" borderId="5" xfId="0" applyFont="1" applyFill="1" applyBorder="1" applyAlignment="1">
      <alignment horizontal="left" vertical="center" wrapText="1"/>
    </xf>
    <xf numFmtId="43" fontId="26" fillId="12" borderId="3" xfId="1" applyFont="1" applyFill="1" applyBorder="1" applyAlignment="1">
      <alignment vertical="center" wrapText="1"/>
    </xf>
    <xf numFmtId="14" fontId="26" fillId="12" borderId="3" xfId="0" applyNumberFormat="1" applyFont="1" applyFill="1" applyBorder="1" applyAlignment="1">
      <alignment horizontal="center" vertical="center" wrapText="1"/>
    </xf>
    <xf numFmtId="0" fontId="43" fillId="12" borderId="5" xfId="0" applyFont="1" applyFill="1" applyBorder="1" applyAlignment="1">
      <alignment horizontal="left" vertical="center" wrapText="1"/>
    </xf>
    <xf numFmtId="0" fontId="26" fillId="2" borderId="4" xfId="0" applyFont="1" applyFill="1" applyBorder="1" applyAlignment="1">
      <alignment horizontal="center" vertical="center" wrapText="1"/>
    </xf>
    <xf numFmtId="0" fontId="43" fillId="12" borderId="5" xfId="0" applyFont="1" applyFill="1" applyBorder="1" applyAlignment="1">
      <alignment vertical="center" wrapText="1"/>
    </xf>
    <xf numFmtId="43" fontId="43" fillId="12" borderId="3" xfId="1" applyFont="1" applyFill="1" applyBorder="1" applyAlignment="1">
      <alignment vertical="center" wrapText="1"/>
    </xf>
    <xf numFmtId="0" fontId="26" fillId="12" borderId="5" xfId="0" applyFont="1" applyFill="1" applyBorder="1" applyAlignment="1">
      <alignment horizontal="left" vertical="center" wrapText="1"/>
    </xf>
    <xf numFmtId="43" fontId="74" fillId="12" borderId="3" xfId="1" applyFont="1" applyFill="1" applyBorder="1" applyAlignment="1"/>
    <xf numFmtId="0" fontId="26" fillId="12" borderId="4" xfId="0" applyFont="1" applyFill="1" applyBorder="1" applyAlignment="1">
      <alignment horizontal="center" vertical="center" wrapText="1"/>
    </xf>
    <xf numFmtId="1" fontId="26" fillId="12" borderId="4" xfId="0" applyNumberFormat="1" applyFont="1" applyFill="1" applyBorder="1" applyAlignment="1">
      <alignment horizontal="center"/>
    </xf>
    <xf numFmtId="14" fontId="26" fillId="3" borderId="3" xfId="0" applyNumberFormat="1" applyFont="1" applyFill="1" applyBorder="1" applyAlignment="1">
      <alignment horizontal="center"/>
    </xf>
    <xf numFmtId="1" fontId="26" fillId="3" borderId="4" xfId="0" applyNumberFormat="1" applyFont="1" applyFill="1" applyBorder="1" applyAlignment="1">
      <alignment horizontal="center"/>
    </xf>
    <xf numFmtId="1" fontId="26" fillId="0" borderId="4" xfId="0" applyNumberFormat="1" applyFont="1" applyFill="1" applyBorder="1" applyAlignment="1">
      <alignment horizontal="center"/>
    </xf>
    <xf numFmtId="0" fontId="74" fillId="3" borderId="1" xfId="0" applyFont="1" applyFill="1" applyBorder="1" applyAlignment="1">
      <alignment horizontal="center"/>
    </xf>
    <xf numFmtId="14" fontId="74" fillId="0" borderId="3" xfId="0" applyNumberFormat="1" applyFont="1" applyFill="1" applyBorder="1" applyAlignment="1">
      <alignment horizontal="center"/>
    </xf>
    <xf numFmtId="0" fontId="26" fillId="3" borderId="5" xfId="0" applyFont="1" applyFill="1" applyBorder="1" applyAlignment="1">
      <alignment wrapText="1"/>
    </xf>
    <xf numFmtId="43" fontId="74" fillId="0" borderId="3" xfId="1" applyFont="1" applyFill="1" applyBorder="1" applyAlignment="1"/>
    <xf numFmtId="0" fontId="74" fillId="0" borderId="1" xfId="0" applyFont="1" applyFill="1" applyBorder="1" applyAlignment="1">
      <alignment horizontal="center"/>
    </xf>
    <xf numFmtId="0" fontId="26" fillId="0" borderId="5" xfId="0" applyFont="1" applyFill="1" applyBorder="1"/>
    <xf numFmtId="0" fontId="72" fillId="3" borderId="5" xfId="0" applyFont="1" applyFill="1" applyBorder="1" applyAlignment="1">
      <alignment wrapText="1"/>
    </xf>
    <xf numFmtId="1" fontId="26" fillId="0" borderId="4" xfId="0" applyNumberFormat="1" applyFont="1" applyBorder="1" applyAlignment="1">
      <alignment horizontal="center" vertical="center"/>
    </xf>
    <xf numFmtId="1" fontId="26" fillId="2" borderId="4" xfId="0" applyNumberFormat="1" applyFont="1" applyFill="1" applyBorder="1" applyAlignment="1">
      <alignment horizontal="center"/>
    </xf>
    <xf numFmtId="0" fontId="77" fillId="5" borderId="11" xfId="0" applyFont="1" applyFill="1" applyBorder="1" applyAlignment="1">
      <alignment horizontal="left"/>
    </xf>
    <xf numFmtId="0" fontId="26" fillId="0" borderId="4" xfId="0" applyFont="1" applyBorder="1" applyAlignment="1">
      <alignment horizontal="center" vertical="center" wrapText="1"/>
    </xf>
    <xf numFmtId="0" fontId="73" fillId="2" borderId="5" xfId="0" applyFont="1" applyFill="1" applyBorder="1" applyAlignment="1">
      <alignment horizontal="justify" vertical="center" wrapText="1"/>
    </xf>
    <xf numFmtId="0" fontId="73" fillId="3" borderId="5" xfId="0" applyFont="1" applyFill="1" applyBorder="1" applyAlignment="1">
      <alignment horizontal="justify" vertical="center" wrapText="1"/>
    </xf>
    <xf numFmtId="0" fontId="77" fillId="5" borderId="5" xfId="0" applyFont="1" applyFill="1" applyBorder="1" applyAlignment="1"/>
    <xf numFmtId="0" fontId="43" fillId="3" borderId="5" xfId="0" applyFont="1" applyFill="1" applyBorder="1" applyAlignment="1">
      <alignment wrapText="1"/>
    </xf>
    <xf numFmtId="0" fontId="43" fillId="0" borderId="5" xfId="0" applyFont="1" applyBorder="1" applyAlignment="1">
      <alignment wrapText="1"/>
    </xf>
    <xf numFmtId="0" fontId="72" fillId="3" borderId="5" xfId="0" applyFont="1" applyFill="1" applyBorder="1" applyAlignment="1">
      <alignment horizontal="left" vertical="center" wrapText="1"/>
    </xf>
    <xf numFmtId="0" fontId="77" fillId="5" borderId="5" xfId="0" applyFont="1" applyFill="1" applyBorder="1" applyAlignment="1">
      <alignment horizontal="left" wrapText="1"/>
    </xf>
    <xf numFmtId="0" fontId="43" fillId="0" borderId="5" xfId="0" applyFont="1" applyBorder="1" applyAlignment="1">
      <alignment horizontal="left" wrapText="1"/>
    </xf>
    <xf numFmtId="14" fontId="26" fillId="0" borderId="3" xfId="1" applyNumberFormat="1" applyFont="1" applyBorder="1" applyAlignment="1">
      <alignment horizontal="center"/>
    </xf>
    <xf numFmtId="1" fontId="26" fillId="3" borderId="4" xfId="0" applyNumberFormat="1" applyFont="1" applyFill="1" applyBorder="1" applyAlignment="1">
      <alignment horizontal="center" vertical="center"/>
    </xf>
    <xf numFmtId="14" fontId="26" fillId="3" borderId="3" xfId="0" applyNumberFormat="1" applyFont="1" applyFill="1" applyBorder="1" applyAlignment="1">
      <alignment horizontal="center" vertical="center"/>
    </xf>
    <xf numFmtId="0" fontId="26" fillId="3" borderId="5" xfId="0" applyFont="1" applyFill="1" applyBorder="1" applyAlignment="1">
      <alignment horizontal="left" wrapText="1"/>
    </xf>
    <xf numFmtId="0" fontId="72" fillId="0" borderId="5" xfId="0" applyFont="1" applyBorder="1" applyAlignment="1">
      <alignment horizontal="left" vertical="center" wrapText="1"/>
    </xf>
    <xf numFmtId="0" fontId="72" fillId="0" borderId="5" xfId="0" applyFont="1" applyBorder="1" applyAlignment="1">
      <alignment wrapText="1"/>
    </xf>
    <xf numFmtId="1" fontId="26" fillId="5" borderId="4" xfId="0" applyNumberFormat="1" applyFont="1" applyFill="1" applyBorder="1" applyAlignment="1">
      <alignment horizontal="center"/>
    </xf>
    <xf numFmtId="0" fontId="77" fillId="5" borderId="11" xfId="0" applyFont="1" applyFill="1" applyBorder="1" applyAlignment="1">
      <alignment horizontal="left" vertical="center"/>
    </xf>
    <xf numFmtId="0" fontId="77" fillId="2" borderId="5" xfId="0" applyFont="1" applyFill="1" applyBorder="1" applyAlignment="1">
      <alignment horizontal="left" vertical="center" wrapText="1"/>
    </xf>
    <xf numFmtId="0" fontId="26" fillId="0" borderId="4" xfId="0" applyFont="1" applyFill="1" applyBorder="1" applyAlignment="1">
      <alignment horizontal="center" vertical="center" wrapText="1"/>
    </xf>
    <xf numFmtId="0" fontId="80" fillId="0" borderId="5" xfId="0" applyFont="1" applyFill="1" applyBorder="1" applyAlignment="1">
      <alignment horizontal="left" vertical="center" wrapText="1"/>
    </xf>
    <xf numFmtId="164" fontId="26" fillId="0" borderId="4" xfId="1" applyNumberFormat="1" applyFont="1" applyBorder="1" applyAlignment="1">
      <alignment horizontal="center" vertical="center" wrapText="1"/>
    </xf>
    <xf numFmtId="164" fontId="26" fillId="3" borderId="4" xfId="1" applyNumberFormat="1" applyFont="1" applyFill="1" applyBorder="1" applyAlignment="1">
      <alignment horizontal="center" vertical="center" wrapText="1"/>
    </xf>
    <xf numFmtId="0" fontId="26" fillId="5" borderId="4" xfId="0" applyFont="1" applyFill="1" applyBorder="1" applyAlignment="1">
      <alignment horizontal="center" vertical="center" wrapText="1"/>
    </xf>
    <xf numFmtId="0" fontId="77" fillId="5" borderId="5" xfId="0" applyFont="1" applyFill="1" applyBorder="1" applyAlignment="1">
      <alignment vertical="center"/>
    </xf>
    <xf numFmtId="0" fontId="43" fillId="3" borderId="5" xfId="0" applyFont="1" applyFill="1" applyBorder="1" applyAlignment="1">
      <alignment vertical="center" wrapText="1"/>
    </xf>
    <xf numFmtId="43" fontId="26" fillId="2" borderId="4" xfId="1" applyFont="1" applyFill="1" applyBorder="1" applyAlignment="1">
      <alignment horizontal="center" vertical="center" wrapText="1"/>
    </xf>
    <xf numFmtId="0" fontId="77" fillId="2" borderId="5" xfId="0" applyFont="1" applyFill="1" applyBorder="1" applyAlignment="1">
      <alignment vertical="center" wrapText="1"/>
    </xf>
    <xf numFmtId="43" fontId="43" fillId="2" borderId="3" xfId="1" applyFont="1" applyFill="1" applyBorder="1" applyAlignment="1">
      <alignment vertical="center" wrapText="1"/>
    </xf>
    <xf numFmtId="0" fontId="80" fillId="3" borderId="5" xfId="0" applyFont="1" applyFill="1" applyBorder="1" applyAlignment="1">
      <alignment horizontal="left" vertical="center" wrapText="1"/>
    </xf>
    <xf numFmtId="43" fontId="74" fillId="3" borderId="0" xfId="1" applyFont="1" applyFill="1" applyAlignment="1"/>
    <xf numFmtId="1" fontId="78" fillId="0" borderId="4" xfId="0" applyNumberFormat="1" applyFont="1" applyBorder="1" applyAlignment="1">
      <alignment horizontal="center"/>
    </xf>
    <xf numFmtId="14" fontId="78" fillId="0" borderId="3" xfId="0" applyNumberFormat="1" applyFont="1" applyBorder="1" applyAlignment="1">
      <alignment horizontal="center"/>
    </xf>
    <xf numFmtId="0" fontId="77" fillId="0" borderId="5" xfId="0" applyFont="1" applyFill="1" applyBorder="1" applyAlignment="1">
      <alignment vertical="center" wrapText="1"/>
    </xf>
    <xf numFmtId="1" fontId="78" fillId="5" borderId="4" xfId="0" applyNumberFormat="1" applyFont="1" applyFill="1" applyBorder="1" applyAlignment="1">
      <alignment horizontal="center"/>
    </xf>
    <xf numFmtId="14" fontId="78" fillId="5" borderId="3" xfId="0" applyNumberFormat="1" applyFont="1" applyFill="1" applyBorder="1" applyAlignment="1">
      <alignment horizontal="center"/>
    </xf>
    <xf numFmtId="0" fontId="77" fillId="0" borderId="7" xfId="0" applyFont="1" applyBorder="1" applyAlignment="1">
      <alignment horizontal="left" vertical="center" wrapText="1"/>
    </xf>
    <xf numFmtId="43" fontId="92" fillId="0" borderId="3" xfId="1" applyFont="1" applyFill="1" applyBorder="1" applyAlignment="1"/>
    <xf numFmtId="0" fontId="78" fillId="0" borderId="4" xfId="0" applyFont="1" applyBorder="1" applyAlignment="1">
      <alignment horizontal="center" vertical="center" wrapText="1"/>
    </xf>
    <xf numFmtId="14" fontId="78" fillId="0" borderId="3" xfId="0" applyNumberFormat="1" applyFont="1" applyBorder="1" applyAlignment="1">
      <alignment horizontal="center" vertical="center" wrapText="1"/>
    </xf>
    <xf numFmtId="0" fontId="77" fillId="0" borderId="7" xfId="0" applyFont="1" applyFill="1" applyBorder="1" applyAlignment="1">
      <alignment horizontal="left" vertical="center" wrapText="1"/>
    </xf>
    <xf numFmtId="0" fontId="78" fillId="5" borderId="4" xfId="0" applyFont="1" applyFill="1" applyBorder="1" applyAlignment="1">
      <alignment horizontal="center" vertical="center" wrapText="1"/>
    </xf>
    <xf numFmtId="0" fontId="77" fillId="5" borderId="5" xfId="0" applyFont="1" applyFill="1" applyBorder="1" applyAlignment="1">
      <alignment horizontal="left" vertical="center" wrapText="1"/>
    </xf>
    <xf numFmtId="0" fontId="78" fillId="3" borderId="4" xfId="0" applyFont="1" applyFill="1" applyBorder="1" applyAlignment="1">
      <alignment horizontal="center" vertical="center" wrapText="1"/>
    </xf>
    <xf numFmtId="14" fontId="78" fillId="3" borderId="3" xfId="0" applyNumberFormat="1" applyFont="1" applyFill="1" applyBorder="1" applyAlignment="1">
      <alignment horizontal="center" vertical="center" wrapText="1"/>
    </xf>
    <xf numFmtId="0" fontId="77" fillId="3" borderId="5" xfId="0" applyFont="1" applyFill="1" applyBorder="1" applyAlignment="1">
      <alignment horizontal="left" vertical="center" wrapText="1"/>
    </xf>
    <xf numFmtId="43" fontId="78" fillId="3" borderId="3" xfId="1" applyFont="1" applyFill="1" applyBorder="1" applyAlignment="1">
      <alignment vertical="center" wrapText="1"/>
    </xf>
    <xf numFmtId="0" fontId="78" fillId="0" borderId="4" xfId="0" applyFont="1" applyFill="1" applyBorder="1" applyAlignment="1">
      <alignment horizontal="center" vertical="center" wrapText="1"/>
    </xf>
    <xf numFmtId="0" fontId="77" fillId="0" borderId="5" xfId="0" applyFont="1" applyFill="1" applyBorder="1" applyAlignment="1">
      <alignment horizontal="left" vertical="center" wrapText="1"/>
    </xf>
    <xf numFmtId="0" fontId="73" fillId="0" borderId="5" xfId="0" applyFont="1" applyBorder="1" applyAlignment="1">
      <alignment horizontal="justify" vertical="top" wrapText="1"/>
    </xf>
    <xf numFmtId="43" fontId="77" fillId="5" borderId="3" xfId="1" applyFont="1" applyFill="1" applyBorder="1" applyAlignment="1">
      <alignment vertical="center"/>
    </xf>
    <xf numFmtId="0" fontId="77" fillId="0" borderId="5" xfId="0" applyFont="1" applyFill="1" applyBorder="1" applyAlignment="1">
      <alignment vertical="center"/>
    </xf>
    <xf numFmtId="0" fontId="115" fillId="3" borderId="4" xfId="0" applyFont="1" applyFill="1" applyBorder="1" applyAlignment="1">
      <alignment horizontal="center" vertical="center" wrapText="1"/>
    </xf>
    <xf numFmtId="0" fontId="77" fillId="0" borderId="5" xfId="0" applyFont="1" applyBorder="1" applyAlignment="1">
      <alignment vertical="center" wrapText="1"/>
    </xf>
    <xf numFmtId="0" fontId="77" fillId="3" borderId="5" xfId="0" applyFont="1" applyFill="1" applyBorder="1" applyAlignment="1">
      <alignment vertical="center" wrapText="1"/>
    </xf>
    <xf numFmtId="0" fontId="82" fillId="3" borderId="5" xfId="0" applyFont="1" applyFill="1" applyBorder="1" applyAlignment="1">
      <alignment horizontal="left" vertical="center" wrapText="1"/>
    </xf>
    <xf numFmtId="0" fontId="77" fillId="0" borderId="5" xfId="0" applyFont="1" applyBorder="1" applyAlignment="1">
      <alignment horizontal="left" vertical="center" wrapText="1"/>
    </xf>
    <xf numFmtId="43" fontId="78" fillId="0" borderId="2" xfId="1" applyFont="1" applyFill="1" applyBorder="1" applyAlignment="1">
      <alignment vertical="center" wrapText="1"/>
    </xf>
    <xf numFmtId="1" fontId="78" fillId="3" borderId="4" xfId="0" applyNumberFormat="1" applyFont="1" applyFill="1" applyBorder="1" applyAlignment="1">
      <alignment horizontal="center"/>
    </xf>
    <xf numFmtId="14" fontId="78" fillId="0" borderId="3" xfId="0" applyNumberFormat="1" applyFont="1" applyFill="1" applyBorder="1" applyAlignment="1">
      <alignment horizontal="center"/>
    </xf>
    <xf numFmtId="0" fontId="77" fillId="3" borderId="7" xfId="0" applyFont="1" applyFill="1" applyBorder="1" applyAlignment="1">
      <alignment horizontal="left" vertical="center" wrapText="1"/>
    </xf>
    <xf numFmtId="1" fontId="78" fillId="0" borderId="4" xfId="0" applyNumberFormat="1" applyFont="1" applyFill="1" applyBorder="1" applyAlignment="1">
      <alignment horizontal="center"/>
    </xf>
    <xf numFmtId="43" fontId="78" fillId="0" borderId="3" xfId="1" applyFont="1" applyFill="1" applyBorder="1" applyAlignment="1">
      <alignment wrapText="1"/>
    </xf>
    <xf numFmtId="0" fontId="74" fillId="0" borderId="4" xfId="0" applyFont="1" applyBorder="1" applyAlignment="1">
      <alignment horizontal="center"/>
    </xf>
    <xf numFmtId="0" fontId="106" fillId="0" borderId="4" xfId="13" applyFont="1" applyBorder="1" applyAlignment="1">
      <alignment horizontal="center"/>
    </xf>
    <xf numFmtId="14" fontId="106" fillId="0" borderId="3" xfId="13" applyNumberFormat="1" applyFont="1" applyBorder="1" applyAlignment="1">
      <alignment horizontal="center"/>
    </xf>
    <xf numFmtId="0" fontId="106" fillId="0" borderId="5" xfId="13" applyFont="1" applyBorder="1"/>
    <xf numFmtId="43" fontId="106" fillId="0" borderId="0" xfId="1" applyFont="1" applyAlignment="1"/>
    <xf numFmtId="0" fontId="74" fillId="0" borderId="0" xfId="0" applyFont="1" applyAlignment="1">
      <alignment horizontal="center"/>
    </xf>
    <xf numFmtId="14" fontId="74" fillId="0" borderId="3" xfId="0" applyNumberFormat="1" applyFont="1" applyBorder="1" applyAlignment="1">
      <alignment horizontal="center"/>
    </xf>
    <xf numFmtId="0" fontId="74" fillId="0" borderId="0" xfId="0" applyFont="1"/>
    <xf numFmtId="43" fontId="74" fillId="0" borderId="0" xfId="1" applyFont="1" applyAlignment="1"/>
    <xf numFmtId="43" fontId="26" fillId="5" borderId="3" xfId="1" applyFont="1" applyFill="1" applyBorder="1" applyAlignment="1">
      <alignment vertical="center" wrapText="1"/>
    </xf>
    <xf numFmtId="1" fontId="26" fillId="0" borderId="5" xfId="0" applyNumberFormat="1" applyFont="1" applyBorder="1" applyAlignment="1">
      <alignment wrapText="1"/>
    </xf>
    <xf numFmtId="43" fontId="43" fillId="0" borderId="3" xfId="1" applyFont="1" applyBorder="1" applyAlignment="1">
      <alignment vertical="center" wrapText="1"/>
    </xf>
    <xf numFmtId="0" fontId="78" fillId="5" borderId="5" xfId="0" applyFont="1" applyFill="1" applyBorder="1" applyAlignment="1">
      <alignment vertical="center" wrapText="1"/>
    </xf>
    <xf numFmtId="43" fontId="77" fillId="5" borderId="3" xfId="1" applyFont="1" applyFill="1" applyBorder="1" applyAlignment="1">
      <alignment vertical="center" wrapText="1"/>
    </xf>
    <xf numFmtId="164" fontId="26" fillId="0" borderId="4" xfId="1" applyNumberFormat="1" applyFont="1" applyFill="1" applyBorder="1" applyAlignment="1">
      <alignment horizontal="center" vertical="center" wrapText="1"/>
    </xf>
    <xf numFmtId="14" fontId="26" fillId="0" borderId="3" xfId="1" applyNumberFormat="1" applyFont="1" applyFill="1" applyBorder="1" applyAlignment="1">
      <alignment horizontal="center" vertical="center" wrapText="1"/>
    </xf>
    <xf numFmtId="43" fontId="43" fillId="0" borderId="5" xfId="1" applyFont="1" applyFill="1" applyBorder="1" applyAlignment="1">
      <alignment vertical="center" wrapText="1"/>
    </xf>
    <xf numFmtId="0" fontId="42" fillId="0" borderId="8" xfId="0" applyFont="1" applyBorder="1" applyAlignment="1">
      <alignment horizontal="center" vertical="center"/>
    </xf>
    <xf numFmtId="14" fontId="119" fillId="3" borderId="3" xfId="0" applyNumberFormat="1" applyFont="1" applyFill="1" applyBorder="1" applyAlignment="1">
      <alignment horizontal="center" vertical="center" wrapText="1"/>
    </xf>
    <xf numFmtId="0" fontId="26" fillId="0" borderId="5" xfId="0" applyFont="1" applyBorder="1" applyAlignment="1">
      <alignment vertical="center" wrapText="1"/>
    </xf>
    <xf numFmtId="164" fontId="28" fillId="0" borderId="4" xfId="1" applyNumberFormat="1" applyFont="1" applyBorder="1" applyAlignment="1">
      <alignment horizontal="center" vertical="center"/>
    </xf>
    <xf numFmtId="0" fontId="50" fillId="0" borderId="5" xfId="0" applyFont="1" applyBorder="1" applyAlignment="1">
      <alignment vertical="center" wrapText="1"/>
    </xf>
    <xf numFmtId="164" fontId="28" fillId="5" borderId="4" xfId="1" applyNumberFormat="1" applyFont="1" applyFill="1" applyBorder="1" applyAlignment="1">
      <alignment horizontal="center"/>
    </xf>
    <xf numFmtId="0" fontId="69" fillId="5" borderId="5" xfId="0" applyFont="1" applyFill="1" applyBorder="1" applyAlignment="1">
      <alignment horizontal="left" vertical="center"/>
    </xf>
    <xf numFmtId="164" fontId="28" fillId="0" borderId="4" xfId="1" applyNumberFormat="1" applyFont="1" applyBorder="1" applyAlignment="1">
      <alignment horizontal="center"/>
    </xf>
    <xf numFmtId="0" fontId="50" fillId="0" borderId="5" xfId="0" applyFont="1" applyBorder="1" applyAlignment="1">
      <alignment horizontal="left" vertical="center" wrapText="1"/>
    </xf>
    <xf numFmtId="0" fontId="50" fillId="0" borderId="5" xfId="0" applyFont="1" applyFill="1" applyBorder="1" applyAlignment="1">
      <alignment horizontal="left" vertical="center" wrapText="1"/>
    </xf>
    <xf numFmtId="164" fontId="28" fillId="3" borderId="4" xfId="1" applyNumberFormat="1" applyFont="1" applyFill="1" applyBorder="1" applyAlignment="1">
      <alignment horizontal="center"/>
    </xf>
    <xf numFmtId="0" fontId="70" fillId="3" borderId="5" xfId="0" applyFont="1" applyFill="1" applyBorder="1" applyAlignment="1">
      <alignment horizontal="justify" vertical="center" wrapText="1"/>
    </xf>
    <xf numFmtId="0" fontId="40" fillId="3" borderId="5" xfId="0" applyFont="1" applyFill="1" applyBorder="1" applyAlignment="1">
      <alignment horizontal="left" vertical="center" wrapText="1"/>
    </xf>
    <xf numFmtId="164" fontId="28" fillId="3" borderId="4" xfId="1" applyNumberFormat="1" applyFont="1" applyFill="1" applyBorder="1" applyAlignment="1">
      <alignment horizontal="center" vertical="center" wrapText="1"/>
    </xf>
    <xf numFmtId="0" fontId="69" fillId="3" borderId="5" xfId="0" applyFont="1" applyFill="1" applyBorder="1" applyAlignment="1">
      <alignment vertical="center"/>
    </xf>
    <xf numFmtId="43" fontId="50" fillId="3" borderId="3" xfId="1" applyFont="1" applyFill="1" applyBorder="1" applyAlignment="1">
      <alignment vertical="center"/>
    </xf>
    <xf numFmtId="0" fontId="50" fillId="3" borderId="5" xfId="0" applyFont="1" applyFill="1" applyBorder="1" applyAlignment="1">
      <alignment vertical="center" wrapText="1"/>
    </xf>
    <xf numFmtId="43" fontId="57" fillId="3" borderId="3" xfId="1" applyFont="1" applyFill="1" applyBorder="1" applyAlignment="1">
      <alignment vertical="center" wrapText="1"/>
    </xf>
    <xf numFmtId="0" fontId="75" fillId="3" borderId="5" xfId="0" applyFont="1" applyFill="1" applyBorder="1" applyAlignment="1">
      <alignment horizontal="left" vertical="center" wrapText="1"/>
    </xf>
    <xf numFmtId="0" fontId="50" fillId="3" borderId="5" xfId="0" applyFont="1" applyFill="1" applyBorder="1" applyAlignment="1">
      <alignment horizontal="left" vertical="center" wrapText="1"/>
    </xf>
    <xf numFmtId="14" fontId="28" fillId="3" borderId="3" xfId="0" applyNumberFormat="1" applyFont="1" applyFill="1" applyBorder="1" applyAlignment="1">
      <alignment horizontal="center" vertical="center"/>
    </xf>
    <xf numFmtId="164" fontId="28" fillId="3" borderId="4" xfId="1" applyNumberFormat="1" applyFont="1" applyFill="1" applyBorder="1" applyAlignment="1">
      <alignment horizontal="center" vertical="center"/>
    </xf>
    <xf numFmtId="164" fontId="26" fillId="0" borderId="4" xfId="1" applyNumberFormat="1" applyFont="1" applyBorder="1" applyAlignment="1">
      <alignment horizontal="center" vertical="center"/>
    </xf>
    <xf numFmtId="43" fontId="26" fillId="0" borderId="5" xfId="1" applyFont="1" applyBorder="1" applyAlignment="1">
      <alignment vertical="center"/>
    </xf>
    <xf numFmtId="164" fontId="26" fillId="0" borderId="4" xfId="1" applyNumberFormat="1" applyFont="1" applyFill="1" applyBorder="1" applyAlignment="1">
      <alignment horizontal="center" vertical="center"/>
    </xf>
    <xf numFmtId="0" fontId="43" fillId="0" borderId="5" xfId="0" applyFont="1" applyFill="1" applyBorder="1" applyAlignment="1">
      <alignment vertical="center" wrapText="1"/>
    </xf>
    <xf numFmtId="43" fontId="44" fillId="0" borderId="3" xfId="1" applyFont="1" applyBorder="1" applyAlignment="1">
      <alignment vertical="center"/>
    </xf>
    <xf numFmtId="164" fontId="26" fillId="5" borderId="4" xfId="1" applyNumberFormat="1" applyFont="1" applyFill="1" applyBorder="1" applyAlignment="1">
      <alignment horizontal="center"/>
    </xf>
    <xf numFmtId="164" fontId="26" fillId="0" borderId="4" xfId="1" applyNumberFormat="1" applyFont="1" applyFill="1" applyBorder="1" applyAlignment="1">
      <alignment horizontal="center"/>
    </xf>
    <xf numFmtId="164" fontId="26" fillId="0" borderId="4" xfId="1" applyNumberFormat="1" applyFont="1" applyBorder="1" applyAlignment="1">
      <alignment horizontal="center"/>
    </xf>
    <xf numFmtId="164" fontId="26" fillId="0" borderId="4" xfId="1" applyNumberFormat="1" applyFont="1" applyBorder="1" applyAlignment="1">
      <alignment horizontal="center" wrapText="1"/>
    </xf>
    <xf numFmtId="164" fontId="26" fillId="2" borderId="4" xfId="1" applyNumberFormat="1" applyFont="1" applyFill="1" applyBorder="1" applyAlignment="1">
      <alignment horizontal="center" vertical="center" wrapText="1"/>
    </xf>
    <xf numFmtId="43" fontId="26" fillId="2" borderId="5" xfId="1" applyFont="1" applyFill="1" applyBorder="1" applyAlignment="1">
      <alignment vertical="center"/>
    </xf>
    <xf numFmtId="0" fontId="72" fillId="3" borderId="5" xfId="0" applyFont="1" applyFill="1" applyBorder="1" applyAlignment="1">
      <alignment horizontal="justify" vertical="center" wrapText="1"/>
    </xf>
    <xf numFmtId="43" fontId="26" fillId="3" borderId="5" xfId="1" applyFont="1" applyFill="1" applyBorder="1" applyAlignment="1">
      <alignment vertical="center"/>
    </xf>
    <xf numFmtId="43" fontId="26" fillId="3" borderId="5" xfId="1" applyFont="1" applyFill="1" applyBorder="1" applyAlignment="1">
      <alignment vertical="center" wrapText="1"/>
    </xf>
    <xf numFmtId="14" fontId="26" fillId="3" borderId="3" xfId="0" applyNumberFormat="1" applyFont="1" applyFill="1" applyBorder="1" applyAlignment="1">
      <alignment horizontal="center" wrapText="1"/>
    </xf>
    <xf numFmtId="164" fontId="26" fillId="3" borderId="4" xfId="1" applyNumberFormat="1" applyFont="1" applyFill="1" applyBorder="1" applyAlignment="1">
      <alignment horizontal="center"/>
    </xf>
    <xf numFmtId="0" fontId="77" fillId="5" borderId="5" xfId="0" applyFont="1" applyFill="1" applyBorder="1" applyAlignment="1">
      <alignment horizontal="left" vertical="center"/>
    </xf>
    <xf numFmtId="164" fontId="26" fillId="5" borderId="4" xfId="1" applyNumberFormat="1" applyFont="1" applyFill="1" applyBorder="1" applyAlignment="1">
      <alignment horizontal="center" vertical="center" wrapText="1"/>
    </xf>
    <xf numFmtId="0" fontId="73" fillId="5" borderId="5" xfId="0" applyFont="1" applyFill="1" applyBorder="1" applyAlignment="1">
      <alignment horizontal="justify" vertical="center" wrapText="1"/>
    </xf>
    <xf numFmtId="43" fontId="72" fillId="5" borderId="3" xfId="1" applyFont="1" applyFill="1" applyBorder="1" applyAlignment="1">
      <alignment vertical="center" wrapText="1"/>
    </xf>
    <xf numFmtId="0" fontId="72" fillId="0" borderId="5" xfId="0" applyFont="1" applyFill="1" applyBorder="1" applyAlignment="1">
      <alignment horizontal="justify" vertical="center" wrapText="1"/>
    </xf>
    <xf numFmtId="0" fontId="72" fillId="0" borderId="5" xfId="0" applyFont="1" applyBorder="1" applyAlignment="1">
      <alignment horizontal="justify" vertical="center" wrapText="1"/>
    </xf>
    <xf numFmtId="43" fontId="72" fillId="0" borderId="3" xfId="1" applyFont="1" applyBorder="1" applyAlignment="1">
      <alignment vertical="center" wrapText="1"/>
    </xf>
    <xf numFmtId="0" fontId="43" fillId="0" borderId="5" xfId="0" applyFont="1" applyFill="1" applyBorder="1" applyAlignment="1">
      <alignment vertical="center"/>
    </xf>
    <xf numFmtId="0" fontId="72" fillId="0" borderId="5" xfId="0" applyFont="1" applyFill="1" applyBorder="1" applyAlignment="1">
      <alignment vertical="center" wrapText="1"/>
    </xf>
    <xf numFmtId="164" fontId="26" fillId="3" borderId="4" xfId="1" applyNumberFormat="1" applyFont="1" applyFill="1" applyBorder="1" applyAlignment="1">
      <alignment horizontal="center" vertical="center"/>
    </xf>
    <xf numFmtId="0" fontId="83" fillId="3" borderId="5" xfId="0" applyFont="1" applyFill="1" applyBorder="1" applyAlignment="1">
      <alignment vertical="center" wrapText="1"/>
    </xf>
    <xf numFmtId="0" fontId="83" fillId="0" borderId="5" xfId="0" applyFont="1" applyBorder="1" applyAlignment="1">
      <alignment vertical="center" wrapText="1"/>
    </xf>
    <xf numFmtId="43" fontId="73" fillId="5" borderId="3" xfId="1" applyFont="1" applyFill="1" applyBorder="1" applyAlignment="1">
      <alignment vertical="center" wrapText="1"/>
    </xf>
    <xf numFmtId="0" fontId="6" fillId="0" borderId="3" xfId="0" applyNumberFormat="1" applyFont="1" applyBorder="1" applyAlignment="1">
      <alignment horizontal="center" vertical="center"/>
    </xf>
    <xf numFmtId="0" fontId="26" fillId="3" borderId="5" xfId="0" applyFont="1" applyFill="1" applyBorder="1" applyAlignment="1">
      <alignment horizontal="left" vertical="center" wrapText="1"/>
    </xf>
    <xf numFmtId="43" fontId="80" fillId="3" borderId="3" xfId="1" applyFont="1" applyFill="1" applyBorder="1" applyAlignment="1">
      <alignment vertical="center" wrapText="1"/>
    </xf>
    <xf numFmtId="43" fontId="74" fillId="0" borderId="3" xfId="1" applyFont="1" applyBorder="1" applyAlignment="1">
      <alignment vertical="center"/>
    </xf>
    <xf numFmtId="43" fontId="72" fillId="0" borderId="3" xfId="1" applyFont="1" applyBorder="1" applyAlignment="1"/>
    <xf numFmtId="0" fontId="69" fillId="5" borderId="11" xfId="0" applyFont="1" applyFill="1" applyBorder="1" applyAlignment="1">
      <alignment horizontal="left" vertical="center"/>
    </xf>
    <xf numFmtId="43" fontId="28" fillId="0" borderId="3" xfId="1" quotePrefix="1" applyFont="1" applyBorder="1" applyAlignment="1"/>
    <xf numFmtId="164" fontId="28" fillId="0" borderId="4" xfId="1" applyNumberFormat="1" applyFont="1" applyBorder="1" applyAlignment="1">
      <alignment horizontal="center" vertical="center" wrapText="1"/>
    </xf>
    <xf numFmtId="43" fontId="71" fillId="0" borderId="0" xfId="1" applyFont="1" applyAlignment="1"/>
    <xf numFmtId="0" fontId="68" fillId="13" borderId="3" xfId="0" applyNumberFormat="1" applyFont="1" applyFill="1" applyBorder="1" applyAlignment="1">
      <alignment horizontal="center"/>
    </xf>
    <xf numFmtId="43" fontId="28" fillId="0" borderId="3" xfId="1" quotePrefix="1" applyFont="1" applyBorder="1" applyAlignment="1">
      <alignment vertical="center"/>
    </xf>
    <xf numFmtId="164" fontId="28" fillId="5" borderId="4" xfId="1" applyNumberFormat="1" applyFont="1" applyFill="1" applyBorder="1" applyAlignment="1">
      <alignment horizontal="center" vertical="center" wrapText="1"/>
    </xf>
    <xf numFmtId="0" fontId="69" fillId="5" borderId="5" xfId="0" applyFont="1" applyFill="1" applyBorder="1" applyAlignment="1">
      <alignment vertical="center"/>
    </xf>
    <xf numFmtId="0" fontId="57" fillId="0" borderId="5" xfId="0" applyFont="1" applyBorder="1" applyAlignment="1">
      <alignment vertical="center" wrapText="1"/>
    </xf>
    <xf numFmtId="43" fontId="57" fillId="0" borderId="3" xfId="1" applyFont="1" applyBorder="1" applyAlignment="1">
      <alignment vertical="center" wrapText="1"/>
    </xf>
    <xf numFmtId="164" fontId="28" fillId="2" borderId="4" xfId="1" applyNumberFormat="1" applyFont="1" applyFill="1" applyBorder="1" applyAlignment="1">
      <alignment horizontal="center" vertical="center" wrapText="1"/>
    </xf>
    <xf numFmtId="0" fontId="48" fillId="2" borderId="5" xfId="0" applyFont="1" applyFill="1" applyBorder="1" applyAlignment="1">
      <alignment vertical="center" wrapText="1"/>
    </xf>
    <xf numFmtId="0" fontId="57" fillId="0" borderId="5" xfId="0" applyFont="1" applyBorder="1" applyAlignment="1">
      <alignment horizontal="left" vertical="center" wrapText="1"/>
    </xf>
    <xf numFmtId="0" fontId="30" fillId="3" borderId="5" xfId="0" applyFont="1" applyFill="1" applyBorder="1" applyAlignment="1">
      <alignment horizontal="left" wrapText="1"/>
    </xf>
    <xf numFmtId="0" fontId="30" fillId="0" borderId="5" xfId="0" applyFont="1" applyBorder="1" applyAlignment="1">
      <alignment horizontal="left" vertical="center" wrapText="1"/>
    </xf>
    <xf numFmtId="164" fontId="30" fillId="0" borderId="4" xfId="1" applyNumberFormat="1" applyFont="1" applyBorder="1" applyAlignment="1">
      <alignment horizontal="center" vertical="center" wrapText="1"/>
    </xf>
    <xf numFmtId="14" fontId="50" fillId="0" borderId="3" xfId="0" applyNumberFormat="1" applyFont="1" applyBorder="1" applyAlignment="1">
      <alignment horizontal="center" vertical="center" wrapText="1"/>
    </xf>
    <xf numFmtId="0" fontId="30" fillId="0" borderId="5" xfId="0" applyFont="1" applyBorder="1" applyAlignment="1">
      <alignment vertical="center" wrapText="1"/>
    </xf>
    <xf numFmtId="164" fontId="30" fillId="3" borderId="4" xfId="1" applyNumberFormat="1" applyFont="1" applyFill="1" applyBorder="1" applyAlignment="1">
      <alignment horizontal="center" vertical="center" wrapText="1"/>
    </xf>
    <xf numFmtId="14" fontId="50" fillId="3" borderId="3" xfId="0" applyNumberFormat="1" applyFont="1" applyFill="1" applyBorder="1" applyAlignment="1">
      <alignment horizontal="center" vertical="center" wrapText="1"/>
    </xf>
    <xf numFmtId="0" fontId="30" fillId="3" borderId="5" xfId="0" applyFont="1" applyFill="1" applyBorder="1" applyAlignment="1">
      <alignment vertical="center" wrapText="1"/>
    </xf>
    <xf numFmtId="164" fontId="30" fillId="5" borderId="4" xfId="1" applyNumberFormat="1" applyFont="1" applyFill="1" applyBorder="1" applyAlignment="1">
      <alignment horizontal="center" vertical="center" wrapText="1"/>
    </xf>
    <xf numFmtId="14" fontId="50" fillId="5" borderId="3" xfId="0" applyNumberFormat="1" applyFont="1" applyFill="1" applyBorder="1" applyAlignment="1">
      <alignment horizontal="center" vertical="center" wrapText="1"/>
    </xf>
    <xf numFmtId="0" fontId="48" fillId="5" borderId="5" xfId="0" applyFont="1" applyFill="1" applyBorder="1" applyAlignment="1">
      <alignment vertical="center" wrapText="1"/>
    </xf>
    <xf numFmtId="43" fontId="30" fillId="5" borderId="3" xfId="1" applyFont="1" applyFill="1" applyBorder="1" applyAlignment="1">
      <alignment vertical="center" wrapText="1"/>
    </xf>
    <xf numFmtId="164" fontId="30" fillId="0" borderId="4" xfId="1" applyNumberFormat="1" applyFont="1" applyFill="1" applyBorder="1" applyAlignment="1">
      <alignment horizontal="center" vertical="center" wrapText="1"/>
    </xf>
    <xf numFmtId="14" fontId="50" fillId="0" borderId="3" xfId="0" applyNumberFormat="1" applyFont="1" applyFill="1" applyBorder="1" applyAlignment="1">
      <alignment horizontal="center" vertical="center" wrapText="1"/>
    </xf>
    <xf numFmtId="0" fontId="30" fillId="0" borderId="5" xfId="0" applyFont="1" applyFill="1" applyBorder="1" applyAlignment="1">
      <alignment vertical="center" wrapText="1"/>
    </xf>
    <xf numFmtId="43" fontId="30" fillId="0" borderId="3" xfId="1" applyFont="1" applyFill="1" applyBorder="1" applyAlignment="1">
      <alignment vertical="center" wrapText="1"/>
    </xf>
    <xf numFmtId="164" fontId="30" fillId="2" borderId="4" xfId="1" applyNumberFormat="1" applyFont="1" applyFill="1" applyBorder="1" applyAlignment="1">
      <alignment horizontal="center" vertical="center" wrapText="1"/>
    </xf>
    <xf numFmtId="14" fontId="50" fillId="2" borderId="3" xfId="0" applyNumberFormat="1" applyFont="1" applyFill="1" applyBorder="1" applyAlignment="1">
      <alignment horizontal="center" vertical="center" wrapText="1"/>
    </xf>
    <xf numFmtId="43" fontId="30" fillId="2" borderId="3" xfId="1" applyFont="1" applyFill="1" applyBorder="1" applyAlignment="1">
      <alignment vertical="center" wrapText="1"/>
    </xf>
    <xf numFmtId="0" fontId="50" fillId="0" borderId="5" xfId="0" applyFont="1" applyFill="1" applyBorder="1" applyAlignment="1">
      <alignment vertical="center" wrapText="1"/>
    </xf>
    <xf numFmtId="164" fontId="28" fillId="3" borderId="10" xfId="1" applyNumberFormat="1" applyFont="1" applyFill="1" applyBorder="1" applyAlignment="1">
      <alignment horizontal="center" vertical="center" wrapText="1"/>
    </xf>
    <xf numFmtId="0" fontId="28" fillId="3" borderId="12" xfId="0" applyFont="1" applyFill="1" applyBorder="1" applyAlignment="1">
      <alignment vertical="center" wrapText="1"/>
    </xf>
    <xf numFmtId="0" fontId="28" fillId="0" borderId="5" xfId="0" applyFont="1" applyBorder="1" applyAlignment="1">
      <alignment vertical="center" wrapText="1"/>
    </xf>
    <xf numFmtId="0" fontId="28" fillId="3" borderId="5" xfId="0" applyFont="1" applyFill="1" applyBorder="1" applyAlignment="1">
      <alignment vertical="center" wrapText="1"/>
    </xf>
    <xf numFmtId="164" fontId="28" fillId="0" borderId="4" xfId="1" applyNumberFormat="1" applyFont="1" applyFill="1" applyBorder="1" applyAlignment="1">
      <alignment horizontal="center" vertical="center"/>
    </xf>
    <xf numFmtId="43" fontId="28" fillId="0" borderId="3" xfId="1" applyFont="1" applyFill="1" applyBorder="1" applyAlignment="1">
      <alignment vertical="center"/>
    </xf>
    <xf numFmtId="0" fontId="48" fillId="5" borderId="11" xfId="0" applyFont="1" applyFill="1" applyBorder="1" applyAlignment="1">
      <alignment horizontal="left" vertical="center"/>
    </xf>
    <xf numFmtId="0" fontId="30" fillId="0" borderId="5" xfId="0" applyFont="1" applyBorder="1" applyAlignment="1">
      <alignment horizontal="left" wrapText="1"/>
    </xf>
    <xf numFmtId="43" fontId="70" fillId="0" borderId="3" xfId="1" applyFont="1" applyBorder="1" applyAlignment="1">
      <alignment vertical="center" wrapText="1"/>
    </xf>
    <xf numFmtId="0" fontId="59" fillId="0" borderId="3" xfId="0" applyFont="1" applyFill="1" applyBorder="1" applyAlignment="1">
      <alignment horizontal="center"/>
    </xf>
    <xf numFmtId="0" fontId="48" fillId="5" borderId="5" xfId="0" applyFont="1" applyFill="1" applyBorder="1" applyAlignment="1">
      <alignment vertical="center"/>
    </xf>
    <xf numFmtId="0" fontId="28" fillId="0" borderId="5" xfId="0" applyFont="1" applyBorder="1" applyAlignment="1">
      <alignment horizontal="left" vertical="center" wrapText="1"/>
    </xf>
    <xf numFmtId="0" fontId="30" fillId="3" borderId="5" xfId="0" applyFont="1" applyFill="1" applyBorder="1" applyAlignment="1">
      <alignment horizontal="left" vertical="center" wrapText="1"/>
    </xf>
    <xf numFmtId="0" fontId="30" fillId="0" borderId="5" xfId="0" applyFont="1" applyBorder="1" applyAlignment="1">
      <alignment horizontal="justify" vertical="center" wrapText="1"/>
    </xf>
    <xf numFmtId="43" fontId="28" fillId="0" borderId="0" xfId="1" applyFont="1" applyAlignment="1"/>
    <xf numFmtId="0" fontId="0" fillId="0" borderId="0" xfId="0" applyAlignment="1">
      <alignment wrapText="1"/>
    </xf>
    <xf numFmtId="43" fontId="31" fillId="3" borderId="3" xfId="1" applyFont="1" applyFill="1" applyBorder="1" applyAlignment="1">
      <alignment vertical="center"/>
    </xf>
    <xf numFmtId="43" fontId="59" fillId="5" borderId="3" xfId="1" applyFont="1" applyFill="1" applyBorder="1" applyAlignment="1"/>
    <xf numFmtId="43" fontId="59" fillId="3" borderId="3" xfId="1" applyFont="1" applyFill="1" applyBorder="1" applyAlignment="1"/>
    <xf numFmtId="43" fontId="31" fillId="0" borderId="3" xfId="1" applyFont="1" applyBorder="1" applyAlignment="1">
      <alignment wrapText="1"/>
    </xf>
    <xf numFmtId="0" fontId="6" fillId="0" borderId="3" xfId="0" applyNumberFormat="1" applyFont="1" applyBorder="1" applyAlignment="1">
      <alignment horizontal="center"/>
    </xf>
    <xf numFmtId="43" fontId="123" fillId="0" borderId="0" xfId="1" applyFont="1" applyAlignment="1"/>
    <xf numFmtId="0" fontId="25" fillId="5" borderId="5" xfId="0" applyFont="1" applyFill="1" applyBorder="1" applyAlignment="1">
      <alignment horizontal="left" vertical="center"/>
    </xf>
    <xf numFmtId="43" fontId="59" fillId="3" borderId="3" xfId="1" applyFont="1" applyFill="1" applyBorder="1" applyAlignment="1">
      <alignment vertical="center" wrapText="1"/>
    </xf>
    <xf numFmtId="43" fontId="31" fillId="3" borderId="3" xfId="1" applyFont="1" applyFill="1" applyBorder="1" applyAlignment="1">
      <alignment vertical="center" wrapText="1"/>
    </xf>
    <xf numFmtId="164" fontId="59" fillId="0" borderId="4" xfId="1" applyNumberFormat="1" applyFont="1" applyBorder="1" applyAlignment="1">
      <alignment horizontal="center" vertical="center" wrapText="1"/>
    </xf>
    <xf numFmtId="43" fontId="59" fillId="0" borderId="3" xfId="1" applyFont="1" applyBorder="1" applyAlignment="1">
      <alignment vertical="center" wrapText="1"/>
    </xf>
    <xf numFmtId="164" fontId="59" fillId="0" borderId="4" xfId="1" applyNumberFormat="1" applyFont="1" applyBorder="1" applyAlignment="1">
      <alignment horizontal="center"/>
    </xf>
    <xf numFmtId="43" fontId="31" fillId="0" borderId="5" xfId="1" applyFont="1" applyBorder="1" applyAlignment="1"/>
    <xf numFmtId="43" fontId="59" fillId="0" borderId="3" xfId="1" applyFont="1" applyBorder="1" applyAlignment="1">
      <alignment vertical="center"/>
    </xf>
    <xf numFmtId="43" fontId="59" fillId="0" borderId="3" xfId="1" applyFont="1" applyBorder="1" applyAlignment="1"/>
    <xf numFmtId="0" fontId="59" fillId="3" borderId="5" xfId="0" applyFont="1" applyFill="1" applyBorder="1" applyAlignment="1">
      <alignment horizontal="justify" vertical="center" wrapText="1"/>
    </xf>
    <xf numFmtId="43" fontId="59" fillId="3" borderId="3" xfId="1" applyFont="1" applyFill="1" applyBorder="1" applyAlignment="1">
      <alignment wrapText="1"/>
    </xf>
    <xf numFmtId="0" fontId="30" fillId="2" borderId="5" xfId="0" applyFont="1" applyFill="1" applyBorder="1" applyAlignment="1">
      <alignment horizontal="left" vertical="center" wrapText="1"/>
    </xf>
    <xf numFmtId="43" fontId="59" fillId="2" borderId="3" xfId="1" applyFont="1" applyFill="1" applyBorder="1" applyAlignment="1">
      <alignment vertical="center" wrapText="1"/>
    </xf>
    <xf numFmtId="14" fontId="75" fillId="0" borderId="3" xfId="0" applyNumberFormat="1" applyFont="1" applyBorder="1" applyAlignment="1">
      <alignment horizontal="center" vertical="center" wrapText="1"/>
    </xf>
    <xf numFmtId="0" fontId="59" fillId="0" borderId="5" xfId="0" applyFont="1" applyBorder="1" applyAlignment="1">
      <alignment horizontal="left" vertical="center" wrapText="1"/>
    </xf>
    <xf numFmtId="164" fontId="40" fillId="3" borderId="4" xfId="1" applyNumberFormat="1" applyFont="1" applyFill="1" applyBorder="1" applyAlignment="1">
      <alignment horizontal="center" vertical="center" wrapText="1"/>
    </xf>
    <xf numFmtId="0" fontId="86" fillId="3" borderId="5" xfId="0" applyFont="1" applyFill="1" applyBorder="1" applyAlignment="1">
      <alignment vertical="center" wrapText="1"/>
    </xf>
    <xf numFmtId="14" fontId="59" fillId="0" borderId="3" xfId="0" applyNumberFormat="1" applyFont="1" applyBorder="1" applyAlignment="1">
      <alignment horizontal="center" vertical="center" wrapText="1"/>
    </xf>
    <xf numFmtId="14" fontId="59" fillId="0" borderId="3" xfId="0" applyNumberFormat="1" applyFont="1" applyBorder="1" applyAlignment="1">
      <alignment horizontal="center"/>
    </xf>
    <xf numFmtId="43" fontId="59" fillId="0" borderId="5" xfId="1" applyFont="1" applyBorder="1" applyAlignment="1"/>
    <xf numFmtId="0" fontId="59" fillId="3" borderId="5" xfId="0" applyFont="1" applyFill="1" applyBorder="1" applyAlignment="1">
      <alignment wrapText="1"/>
    </xf>
    <xf numFmtId="43" fontId="59" fillId="3" borderId="3" xfId="1" applyFont="1" applyFill="1" applyBorder="1" applyAlignment="1">
      <alignment vertical="center"/>
    </xf>
    <xf numFmtId="1" fontId="39" fillId="3" borderId="4" xfId="0" applyNumberFormat="1" applyFont="1" applyFill="1" applyBorder="1" applyAlignment="1">
      <alignment horizontal="center"/>
    </xf>
    <xf numFmtId="14" fontId="39" fillId="3" borderId="3" xfId="0" applyNumberFormat="1" applyFont="1" applyFill="1" applyBorder="1" applyAlignment="1">
      <alignment horizontal="center"/>
    </xf>
    <xf numFmtId="0" fontId="57" fillId="3" borderId="5" xfId="0" applyFont="1" applyFill="1" applyBorder="1" applyAlignment="1">
      <alignment horizontal="left" wrapText="1"/>
    </xf>
    <xf numFmtId="43" fontId="39" fillId="3" borderId="3" xfId="1" applyFont="1" applyFill="1" applyBorder="1" applyAlignment="1"/>
    <xf numFmtId="1" fontId="39" fillId="0" borderId="4" xfId="0" applyNumberFormat="1" applyFont="1" applyBorder="1" applyAlignment="1">
      <alignment horizontal="center" vertical="center"/>
    </xf>
    <xf numFmtId="14" fontId="39" fillId="0" borderId="3" xfId="0" applyNumberFormat="1" applyFont="1" applyBorder="1" applyAlignment="1">
      <alignment horizontal="center" vertical="center"/>
    </xf>
    <xf numFmtId="43" fontId="39" fillId="0" borderId="3" xfId="1" applyFont="1" applyBorder="1" applyAlignment="1">
      <alignment vertical="center"/>
    </xf>
    <xf numFmtId="1" fontId="39" fillId="0" borderId="4" xfId="0" applyNumberFormat="1" applyFont="1" applyBorder="1" applyAlignment="1">
      <alignment horizontal="center"/>
    </xf>
    <xf numFmtId="14" fontId="39" fillId="0" borderId="3" xfId="0" applyNumberFormat="1" applyFont="1" applyBorder="1" applyAlignment="1">
      <alignment horizontal="center"/>
    </xf>
    <xf numFmtId="0" fontId="125" fillId="5" borderId="11" xfId="0" applyFont="1" applyFill="1" applyBorder="1" applyAlignment="1">
      <alignment horizontal="left"/>
    </xf>
    <xf numFmtId="43" fontId="39" fillId="0" borderId="3" xfId="1" applyFont="1" applyBorder="1" applyAlignment="1"/>
    <xf numFmtId="0" fontId="39" fillId="0" borderId="4" xfId="0" applyFont="1" applyBorder="1" applyAlignment="1">
      <alignment horizontal="center" vertical="center" wrapText="1"/>
    </xf>
    <xf numFmtId="14" fontId="39" fillId="0" borderId="3" xfId="0" applyNumberFormat="1" applyFont="1" applyBorder="1" applyAlignment="1">
      <alignment horizontal="center" vertical="center" wrapText="1"/>
    </xf>
    <xf numFmtId="0" fontId="126" fillId="5" borderId="5" xfId="0" applyFont="1" applyFill="1" applyBorder="1" applyAlignment="1">
      <alignment horizontal="justify" vertical="center" wrapText="1"/>
    </xf>
    <xf numFmtId="43" fontId="39" fillId="0" borderId="3" xfId="1" applyFont="1" applyBorder="1" applyAlignment="1">
      <alignment wrapText="1"/>
    </xf>
    <xf numFmtId="0" fontId="39" fillId="3" borderId="4" xfId="0" applyFont="1" applyFill="1" applyBorder="1" applyAlignment="1">
      <alignment horizontal="center" vertical="center" wrapText="1"/>
    </xf>
    <xf numFmtId="14" fontId="39" fillId="3" borderId="3" xfId="0" applyNumberFormat="1" applyFont="1" applyFill="1" applyBorder="1" applyAlignment="1">
      <alignment horizontal="center" vertical="center" wrapText="1"/>
    </xf>
    <xf numFmtId="0" fontId="57" fillId="0" borderId="5" xfId="0" applyFont="1" applyBorder="1" applyAlignment="1">
      <alignment wrapText="1"/>
    </xf>
    <xf numFmtId="43" fontId="39" fillId="3" borderId="3" xfId="1" applyFont="1" applyFill="1" applyBorder="1" applyAlignment="1">
      <alignment wrapText="1"/>
    </xf>
    <xf numFmtId="0" fontId="57" fillId="3" borderId="5" xfId="0" applyFont="1" applyFill="1" applyBorder="1" applyAlignment="1">
      <alignment wrapText="1"/>
    </xf>
    <xf numFmtId="0" fontId="67" fillId="3" borderId="3" xfId="0" applyFont="1" applyFill="1" applyBorder="1" applyAlignment="1">
      <alignment horizontal="center" wrapText="1"/>
    </xf>
    <xf numFmtId="0" fontId="67" fillId="3" borderId="3" xfId="0" applyNumberFormat="1" applyFont="1" applyFill="1" applyBorder="1" applyAlignment="1">
      <alignment horizontal="left"/>
    </xf>
    <xf numFmtId="0" fontId="67" fillId="3" borderId="3" xfId="0" applyNumberFormat="1" applyFont="1" applyFill="1" applyBorder="1" applyAlignment="1">
      <alignment horizontal="left" wrapText="1"/>
    </xf>
    <xf numFmtId="0" fontId="67" fillId="3" borderId="3" xfId="0" applyNumberFormat="1" applyFont="1" applyFill="1" applyBorder="1" applyAlignment="1">
      <alignment horizontal="left" vertical="center"/>
    </xf>
    <xf numFmtId="43" fontId="39" fillId="3" borderId="3" xfId="1" applyFont="1" applyFill="1" applyBorder="1" applyAlignment="1">
      <alignment vertical="center" wrapText="1"/>
    </xf>
    <xf numFmtId="0" fontId="59" fillId="3" borderId="5" xfId="0" applyFont="1" applyFill="1" applyBorder="1" applyAlignment="1">
      <alignment horizontal="left" vertical="center" wrapText="1"/>
    </xf>
    <xf numFmtId="0" fontId="6" fillId="3" borderId="3" xfId="0" applyNumberFormat="1" applyFont="1" applyFill="1" applyBorder="1" applyAlignment="1">
      <alignment horizontal="center"/>
    </xf>
    <xf numFmtId="0" fontId="127" fillId="3" borderId="5" xfId="0" applyFont="1" applyFill="1" applyBorder="1" applyAlignment="1">
      <alignment horizontal="left" wrapText="1"/>
    </xf>
    <xf numFmtId="0" fontId="125" fillId="5" borderId="5" xfId="0" applyFont="1" applyFill="1" applyBorder="1" applyAlignment="1">
      <alignment horizontal="left" wrapText="1"/>
    </xf>
    <xf numFmtId="43" fontId="39" fillId="0" borderId="3" xfId="1" applyFont="1" applyBorder="1" applyAlignment="1">
      <alignment vertical="center" wrapText="1"/>
    </xf>
    <xf numFmtId="0" fontId="57" fillId="0" borderId="5" xfId="0" applyFont="1" applyBorder="1" applyAlignment="1">
      <alignment horizontal="left" wrapText="1"/>
    </xf>
    <xf numFmtId="14" fontId="39" fillId="0" borderId="3" xfId="1" applyNumberFormat="1" applyFont="1" applyBorder="1" applyAlignment="1">
      <alignment horizontal="center"/>
    </xf>
    <xf numFmtId="43" fontId="39" fillId="0" borderId="5" xfId="1" applyFont="1" applyBorder="1" applyAlignment="1"/>
    <xf numFmtId="1" fontId="39" fillId="3" borderId="4" xfId="0" applyNumberFormat="1" applyFont="1" applyFill="1" applyBorder="1" applyAlignment="1">
      <alignment horizontal="center" vertical="center"/>
    </xf>
    <xf numFmtId="14" fontId="39" fillId="3" borderId="3" xfId="0" applyNumberFormat="1" applyFont="1" applyFill="1" applyBorder="1" applyAlignment="1">
      <alignment horizontal="center" vertical="center"/>
    </xf>
    <xf numFmtId="0" fontId="39" fillId="3" borderId="5" xfId="0" applyFont="1" applyFill="1" applyBorder="1" applyAlignment="1">
      <alignment horizontal="left" wrapText="1"/>
    </xf>
    <xf numFmtId="0" fontId="70" fillId="0" borderId="5" xfId="0" applyFont="1" applyBorder="1" applyAlignment="1">
      <alignment horizontal="left" vertical="center" wrapText="1"/>
    </xf>
    <xf numFmtId="43" fontId="128" fillId="14" borderId="0" xfId="1" applyFont="1" applyFill="1" applyAlignment="1">
      <alignment vertical="center"/>
    </xf>
    <xf numFmtId="0" fontId="57" fillId="3" borderId="5" xfId="0" applyFont="1" applyFill="1" applyBorder="1" applyAlignment="1">
      <alignment horizontal="left" vertical="center" wrapText="1"/>
    </xf>
    <xf numFmtId="0" fontId="70" fillId="2" borderId="5" xfId="0" applyFont="1" applyFill="1" applyBorder="1" applyAlignment="1">
      <alignment horizontal="justify" vertical="center" wrapText="1"/>
    </xf>
    <xf numFmtId="43" fontId="70" fillId="2" borderId="3" xfId="1" applyFont="1" applyFill="1" applyBorder="1" applyAlignment="1">
      <alignment vertical="center" wrapText="1"/>
    </xf>
    <xf numFmtId="164" fontId="28" fillId="0" borderId="4" xfId="1" applyNumberFormat="1" applyFont="1" applyFill="1" applyBorder="1" applyAlignment="1">
      <alignment horizontal="center" vertical="center" wrapText="1"/>
    </xf>
    <xf numFmtId="0" fontId="30" fillId="0" borderId="5" xfId="0" applyFont="1" applyFill="1" applyBorder="1" applyAlignment="1">
      <alignment horizontal="left" vertical="center" wrapText="1"/>
    </xf>
    <xf numFmtId="0" fontId="28" fillId="0" borderId="5" xfId="0" applyFont="1" applyFill="1" applyBorder="1" applyAlignment="1">
      <alignment horizontal="left" vertical="center"/>
    </xf>
    <xf numFmtId="0" fontId="25" fillId="5" borderId="5" xfId="0" applyFont="1" applyFill="1" applyBorder="1" applyAlignment="1">
      <alignment horizontal="justify" vertical="center" wrapText="1"/>
    </xf>
    <xf numFmtId="43" fontId="59" fillId="5" borderId="3" xfId="1" applyFont="1" applyFill="1" applyBorder="1" applyAlignment="1">
      <alignment vertical="center" wrapText="1"/>
    </xf>
    <xf numFmtId="0" fontId="28" fillId="0" borderId="5" xfId="0" applyFont="1" applyFill="1" applyBorder="1" applyAlignment="1">
      <alignment vertical="center" wrapText="1"/>
    </xf>
    <xf numFmtId="43" fontId="30" fillId="5" borderId="3" xfId="1" applyFont="1" applyFill="1" applyBorder="1" applyAlignment="1">
      <alignment vertical="center"/>
    </xf>
    <xf numFmtId="43" fontId="96" fillId="0" borderId="3" xfId="1" applyFont="1" applyBorder="1" applyAlignment="1"/>
    <xf numFmtId="0" fontId="108" fillId="0" borderId="5" xfId="0" applyFont="1" applyBorder="1" applyAlignment="1">
      <alignment vertical="center" wrapText="1"/>
    </xf>
    <xf numFmtId="0" fontId="70" fillId="0" borderId="5" xfId="0" applyFont="1" applyFill="1" applyBorder="1" applyAlignment="1">
      <alignment horizontal="justify" vertical="center" wrapText="1"/>
    </xf>
    <xf numFmtId="0" fontId="35" fillId="0" borderId="3" xfId="0" applyFont="1" applyFill="1" applyBorder="1" applyAlignment="1">
      <alignment horizontal="center"/>
    </xf>
    <xf numFmtId="0" fontId="35" fillId="0" borderId="3" xfId="0" applyNumberFormat="1" applyFont="1" applyBorder="1" applyAlignment="1">
      <alignment horizontal="center"/>
    </xf>
    <xf numFmtId="0" fontId="57" fillId="0" borderId="5" xfId="0" applyFont="1" applyFill="1" applyBorder="1" applyAlignment="1">
      <alignment vertical="center" wrapText="1"/>
    </xf>
    <xf numFmtId="1" fontId="40" fillId="0" borderId="4" xfId="1" applyNumberFormat="1" applyFont="1" applyBorder="1" applyAlignment="1">
      <alignment horizontal="center" vertical="center"/>
    </xf>
    <xf numFmtId="14" fontId="40" fillId="0" borderId="3" xfId="0" applyNumberFormat="1" applyFont="1" applyBorder="1" applyAlignment="1">
      <alignment horizontal="center" vertical="center"/>
    </xf>
    <xf numFmtId="43" fontId="12" fillId="0" borderId="3" xfId="1" applyFont="1" applyBorder="1" applyAlignment="1">
      <alignment vertical="center"/>
    </xf>
    <xf numFmtId="164" fontId="40" fillId="0" borderId="4" xfId="1" applyNumberFormat="1" applyFont="1" applyBorder="1" applyAlignment="1">
      <alignment horizontal="center" vertical="center" wrapText="1"/>
    </xf>
    <xf numFmtId="164" fontId="40" fillId="0" borderId="4" xfId="1" applyNumberFormat="1" applyFont="1" applyBorder="1" applyAlignment="1">
      <alignment horizontal="center"/>
    </xf>
    <xf numFmtId="0" fontId="108" fillId="0" borderId="0" xfId="0" applyFont="1" applyAlignment="1">
      <alignment vertical="center" wrapText="1"/>
    </xf>
    <xf numFmtId="164" fontId="40" fillId="5" borderId="4" xfId="1" applyNumberFormat="1" applyFont="1" applyFill="1" applyBorder="1" applyAlignment="1">
      <alignment horizontal="center"/>
    </xf>
    <xf numFmtId="14" fontId="40" fillId="5" borderId="3" xfId="0" applyNumberFormat="1" applyFont="1" applyFill="1" applyBorder="1" applyAlignment="1">
      <alignment horizontal="center"/>
    </xf>
    <xf numFmtId="43" fontId="24" fillId="0" borderId="3" xfId="1" applyFont="1" applyBorder="1" applyAlignment="1"/>
    <xf numFmtId="164" fontId="40" fillId="3" borderId="4" xfId="1" applyNumberFormat="1" applyFont="1" applyFill="1" applyBorder="1" applyAlignment="1">
      <alignment horizontal="center"/>
    </xf>
    <xf numFmtId="43" fontId="24" fillId="0" borderId="3" xfId="1" applyFont="1" applyBorder="1" applyAlignment="1">
      <alignment vertical="center" wrapText="1"/>
    </xf>
    <xf numFmtId="164" fontId="40" fillId="5" borderId="4" xfId="1" applyNumberFormat="1" applyFont="1" applyFill="1" applyBorder="1" applyAlignment="1">
      <alignment horizontal="center" vertical="center" wrapText="1"/>
    </xf>
    <xf numFmtId="14" fontId="40" fillId="5" borderId="3" xfId="0" applyNumberFormat="1" applyFont="1" applyFill="1" applyBorder="1" applyAlignment="1">
      <alignment horizontal="center" vertical="center" wrapText="1"/>
    </xf>
    <xf numFmtId="0" fontId="55" fillId="5" borderId="5" xfId="0" applyFont="1" applyFill="1" applyBorder="1" applyAlignment="1">
      <alignment horizontal="left" vertical="center"/>
    </xf>
    <xf numFmtId="0" fontId="6" fillId="3" borderId="3" xfId="0" applyNumberFormat="1" applyFont="1" applyFill="1" applyBorder="1" applyAlignment="1"/>
    <xf numFmtId="164" fontId="40" fillId="0" borderId="4" xfId="1" applyNumberFormat="1" applyFont="1" applyFill="1" applyBorder="1" applyAlignment="1">
      <alignment horizontal="center" vertical="center" wrapText="1"/>
    </xf>
    <xf numFmtId="0" fontId="130" fillId="0" borderId="5" xfId="0" applyFont="1" applyFill="1" applyBorder="1" applyAlignment="1">
      <alignment vertical="center"/>
    </xf>
    <xf numFmtId="43" fontId="50" fillId="0" borderId="3" xfId="1" applyFont="1" applyBorder="1" applyAlignment="1">
      <alignment vertical="center" wrapText="1"/>
    </xf>
    <xf numFmtId="0" fontId="130" fillId="0" borderId="5" xfId="0" applyFont="1" applyBorder="1" applyAlignment="1">
      <alignment vertical="center" wrapText="1"/>
    </xf>
    <xf numFmtId="0" fontId="70" fillId="3" borderId="5" xfId="0" applyFont="1" applyFill="1" applyBorder="1" applyAlignment="1">
      <alignment horizontal="left" vertical="center" wrapText="1"/>
    </xf>
    <xf numFmtId="43" fontId="24" fillId="3" borderId="3" xfId="1" applyFont="1" applyFill="1" applyBorder="1" applyAlignment="1">
      <alignment vertical="center" wrapText="1"/>
    </xf>
    <xf numFmtId="1" fontId="40" fillId="0" borderId="4" xfId="0" applyNumberFormat="1" applyFont="1" applyBorder="1" applyAlignment="1">
      <alignment horizontal="center"/>
    </xf>
    <xf numFmtId="0" fontId="50" fillId="3" borderId="5" xfId="0" applyFont="1" applyFill="1" applyBorder="1" applyAlignment="1">
      <alignment horizontal="left" wrapText="1"/>
    </xf>
    <xf numFmtId="164" fontId="28" fillId="5" borderId="4" xfId="1" applyNumberFormat="1" applyFont="1" applyFill="1" applyBorder="1" applyAlignment="1">
      <alignment horizontal="center" vertical="center"/>
    </xf>
    <xf numFmtId="0" fontId="30" fillId="5" borderId="5" xfId="0" applyFont="1" applyFill="1" applyBorder="1" applyAlignment="1">
      <alignment horizontal="left" vertical="center" wrapText="1"/>
    </xf>
    <xf numFmtId="169" fontId="69" fillId="5" borderId="11" xfId="0" applyNumberFormat="1" applyFont="1" applyFill="1" applyBorder="1" applyAlignment="1">
      <alignment horizontal="left" vertical="center"/>
    </xf>
    <xf numFmtId="2" fontId="50" fillId="0" borderId="5" xfId="0" applyNumberFormat="1" applyFont="1" applyBorder="1" applyAlignment="1">
      <alignment horizontal="left" vertical="center" wrapText="1"/>
    </xf>
    <xf numFmtId="164" fontId="22" fillId="2" borderId="4" xfId="1" applyNumberFormat="1" applyFont="1" applyFill="1" applyBorder="1" applyAlignment="1">
      <alignment horizontal="center" vertical="center" wrapText="1"/>
    </xf>
    <xf numFmtId="0" fontId="55" fillId="2" borderId="5" xfId="0" applyFont="1" applyFill="1" applyBorder="1" applyAlignment="1">
      <alignment horizontal="justify" vertical="center" wrapText="1"/>
    </xf>
    <xf numFmtId="43" fontId="55" fillId="2" borderId="3" xfId="1" applyFont="1" applyFill="1" applyBorder="1" applyAlignment="1">
      <alignment vertical="center" wrapText="1"/>
    </xf>
    <xf numFmtId="0" fontId="28" fillId="0" borderId="5" xfId="0" applyFont="1" applyBorder="1"/>
    <xf numFmtId="0" fontId="67" fillId="0" borderId="3" xfId="0" applyNumberFormat="1" applyFont="1" applyFill="1" applyBorder="1" applyAlignment="1">
      <alignment vertical="center"/>
    </xf>
    <xf numFmtId="0" fontId="57" fillId="0" borderId="5" xfId="0" applyFont="1" applyFill="1" applyBorder="1" applyAlignment="1">
      <alignment horizontal="left" vertical="center" wrapText="1"/>
    </xf>
    <xf numFmtId="0" fontId="131" fillId="0" borderId="3" xfId="0" applyFont="1" applyFill="1" applyBorder="1" applyAlignment="1">
      <alignment horizontal="center" wrapText="1"/>
    </xf>
    <xf numFmtId="0" fontId="28" fillId="0" borderId="0" xfId="0" applyNumberFormat="1" applyFont="1" applyAlignment="1">
      <alignment vertical="center"/>
    </xf>
    <xf numFmtId="164" fontId="7" fillId="0" borderId="3" xfId="1" applyNumberFormat="1" applyFont="1" applyBorder="1" applyAlignment="1">
      <alignment horizontal="center" wrapText="1"/>
    </xf>
    <xf numFmtId="164" fontId="7" fillId="0" borderId="4" xfId="1" applyNumberFormat="1" applyFont="1" applyBorder="1" applyAlignment="1">
      <alignment horizontal="center" wrapText="1"/>
    </xf>
    <xf numFmtId="0" fontId="28" fillId="0" borderId="5" xfId="0" applyNumberFormat="1" applyFont="1" applyBorder="1" applyAlignment="1">
      <alignment horizontal="left" wrapText="1"/>
    </xf>
    <xf numFmtId="43" fontId="133" fillId="3" borderId="4" xfId="1" applyFont="1" applyFill="1" applyBorder="1" applyAlignment="1"/>
    <xf numFmtId="164" fontId="6" fillId="0" borderId="3" xfId="1" applyNumberFormat="1" applyFont="1" applyFill="1" applyBorder="1" applyAlignment="1">
      <alignment horizontal="center"/>
    </xf>
    <xf numFmtId="1" fontId="41" fillId="0" borderId="3" xfId="0" applyNumberFormat="1" applyFont="1" applyBorder="1" applyAlignment="1">
      <alignment horizontal="center"/>
    </xf>
    <xf numFmtId="0" fontId="28" fillId="0" borderId="0" xfId="0" applyNumberFormat="1" applyFont="1" applyAlignment="1">
      <alignment horizontal="left"/>
    </xf>
    <xf numFmtId="0" fontId="7" fillId="0" borderId="3" xfId="1" applyNumberFormat="1" applyFont="1" applyBorder="1" applyAlignment="1">
      <alignment horizontal="center" wrapText="1"/>
    </xf>
    <xf numFmtId="0" fontId="7" fillId="0" borderId="3" xfId="1" applyNumberFormat="1" applyFont="1" applyBorder="1" applyAlignment="1">
      <alignment wrapText="1"/>
    </xf>
    <xf numFmtId="0" fontId="28" fillId="0" borderId="0" xfId="0" applyNumberFormat="1" applyFont="1"/>
    <xf numFmtId="0" fontId="28" fillId="0" borderId="0" xfId="0" applyNumberFormat="1" applyFont="1" applyAlignment="1"/>
    <xf numFmtId="14" fontId="28" fillId="0" borderId="0" xfId="0" applyNumberFormat="1" applyFont="1" applyBorder="1" applyAlignment="1">
      <alignment horizontal="center"/>
    </xf>
    <xf numFmtId="43" fontId="4" fillId="6" borderId="3" xfId="1" applyFont="1" applyFill="1" applyBorder="1" applyAlignment="1"/>
    <xf numFmtId="1" fontId="19" fillId="6" borderId="3" xfId="0" applyNumberFormat="1" applyFont="1" applyFill="1" applyBorder="1" applyAlignment="1">
      <alignment horizontal="center"/>
    </xf>
    <xf numFmtId="43" fontId="20" fillId="4" borderId="3" xfId="1" applyFont="1" applyFill="1" applyBorder="1" applyAlignment="1"/>
    <xf numFmtId="37" fontId="132" fillId="4" borderId="3" xfId="0" applyNumberFormat="1" applyFont="1" applyFill="1" applyBorder="1" applyAlignment="1">
      <alignment horizontal="center"/>
    </xf>
    <xf numFmtId="1" fontId="132" fillId="4" borderId="3" xfId="0" applyNumberFormat="1" applyFont="1" applyFill="1" applyBorder="1" applyAlignment="1">
      <alignment horizontal="center"/>
    </xf>
    <xf numFmtId="43" fontId="20" fillId="4" borderId="3" xfId="1" applyFont="1" applyFill="1" applyBorder="1" applyAlignment="1">
      <alignment wrapText="1"/>
    </xf>
    <xf numFmtId="43" fontId="6" fillId="4" borderId="3" xfId="1" applyFont="1" applyFill="1" applyBorder="1" applyAlignment="1">
      <alignment wrapText="1"/>
    </xf>
    <xf numFmtId="43" fontId="20" fillId="3" borderId="3" xfId="1" applyFont="1" applyFill="1" applyBorder="1" applyAlignment="1">
      <alignment wrapText="1"/>
    </xf>
    <xf numFmtId="37" fontId="132" fillId="3" borderId="3" xfId="0" applyNumberFormat="1" applyFont="1" applyFill="1" applyBorder="1" applyAlignment="1">
      <alignment horizontal="center"/>
    </xf>
    <xf numFmtId="0" fontId="28" fillId="5" borderId="2" xfId="0" applyFont="1" applyFill="1" applyBorder="1" applyAlignment="1">
      <alignment horizontal="center" wrapText="1"/>
    </xf>
    <xf numFmtId="0" fontId="28" fillId="5" borderId="9" xfId="0" applyFont="1" applyFill="1" applyBorder="1" applyAlignment="1">
      <alignment horizontal="center" wrapText="1"/>
    </xf>
    <xf numFmtId="0" fontId="28" fillId="5" borderId="9" xfId="0" applyFont="1" applyFill="1" applyBorder="1" applyAlignment="1">
      <alignment wrapText="1"/>
    </xf>
    <xf numFmtId="0" fontId="28" fillId="5" borderId="9" xfId="0" applyFont="1" applyFill="1" applyBorder="1" applyAlignment="1">
      <alignment wrapText="1"/>
    </xf>
    <xf numFmtId="0" fontId="28" fillId="5" borderId="3" xfId="0" applyFont="1" applyFill="1" applyBorder="1" applyAlignment="1">
      <alignment horizontal="center"/>
    </xf>
    <xf numFmtId="0" fontId="28" fillId="5" borderId="3" xfId="0" applyFont="1" applyFill="1" applyBorder="1" applyAlignment="1">
      <alignment horizontal="center" wrapText="1"/>
    </xf>
    <xf numFmtId="0" fontId="28" fillId="5" borderId="2" xfId="0" applyFont="1" applyFill="1" applyBorder="1" applyAlignment="1">
      <alignment horizontal="center" vertical="center" wrapText="1"/>
    </xf>
    <xf numFmtId="43" fontId="28" fillId="5" borderId="2" xfId="1" applyFont="1" applyFill="1" applyBorder="1"/>
    <xf numFmtId="0" fontId="28" fillId="5" borderId="2" xfId="0" applyFont="1" applyFill="1" applyBorder="1"/>
    <xf numFmtId="43" fontId="28" fillId="5" borderId="2" xfId="1" applyFont="1" applyFill="1" applyBorder="1" applyAlignment="1">
      <alignment horizontal="right"/>
    </xf>
    <xf numFmtId="0" fontId="27" fillId="0" borderId="3" xfId="0" applyFont="1" applyFill="1" applyBorder="1" applyAlignment="1">
      <alignment horizontal="left" vertical="center" wrapText="1" indent="1"/>
    </xf>
    <xf numFmtId="0" fontId="134" fillId="0" borderId="3" xfId="0" applyFont="1" applyFill="1" applyBorder="1" applyAlignment="1">
      <alignment horizontal="center" vertical="center" wrapText="1"/>
    </xf>
    <xf numFmtId="168" fontId="39" fillId="0" borderId="3" xfId="14" applyFont="1" applyFill="1" applyBorder="1" applyAlignment="1"/>
    <xf numFmtId="1" fontId="0" fillId="0" borderId="3" xfId="0" applyNumberFormat="1" applyBorder="1"/>
    <xf numFmtId="43" fontId="39" fillId="0" borderId="3" xfId="15" applyFont="1" applyFill="1" applyBorder="1" applyAlignment="1"/>
    <xf numFmtId="0" fontId="57" fillId="0" borderId="3" xfId="0" applyFont="1" applyFill="1" applyBorder="1" applyAlignment="1">
      <alignment wrapText="1"/>
    </xf>
    <xf numFmtId="43" fontId="28" fillId="0" borderId="3" xfId="15" applyFont="1" applyFill="1" applyBorder="1" applyAlignment="1"/>
    <xf numFmtId="43" fontId="28" fillId="0" borderId="3" xfId="15" applyFont="1" applyFill="1" applyBorder="1" applyAlignment="1">
      <alignment vertical="center" wrapText="1"/>
    </xf>
    <xf numFmtId="0" fontId="57" fillId="0" borderId="3" xfId="0" applyFont="1" applyBorder="1" applyAlignment="1">
      <alignment horizontal="left" wrapText="1"/>
    </xf>
    <xf numFmtId="164" fontId="28" fillId="0" borderId="3" xfId="15" applyNumberFormat="1" applyFont="1" applyFill="1" applyBorder="1" applyAlignment="1">
      <alignment horizontal="center"/>
    </xf>
    <xf numFmtId="0" fontId="57" fillId="0" borderId="3" xfId="0" applyFont="1" applyFill="1" applyBorder="1" applyAlignment="1">
      <alignment horizontal="left" wrapText="1"/>
    </xf>
    <xf numFmtId="0" fontId="39" fillId="0" borderId="3" xfId="0" applyFont="1" applyFill="1" applyBorder="1" applyAlignment="1">
      <alignment horizontal="left" wrapText="1"/>
    </xf>
    <xf numFmtId="0" fontId="70" fillId="0" borderId="3" xfId="0" applyFont="1" applyFill="1" applyBorder="1" applyAlignment="1">
      <alignment wrapText="1"/>
    </xf>
    <xf numFmtId="43" fontId="28" fillId="0" borderId="3" xfId="16" applyFont="1" applyFill="1" applyBorder="1" applyAlignment="1"/>
    <xf numFmtId="0" fontId="134" fillId="0" borderId="3" xfId="0" applyFont="1" applyFill="1" applyBorder="1" applyAlignment="1">
      <alignment horizontal="center" wrapText="1"/>
    </xf>
    <xf numFmtId="0" fontId="57" fillId="3" borderId="3" xfId="0" applyFont="1" applyFill="1" applyBorder="1" applyAlignment="1">
      <alignment wrapText="1"/>
    </xf>
    <xf numFmtId="43" fontId="28" fillId="0" borderId="3" xfId="16" applyFont="1" applyFill="1" applyBorder="1" applyAlignment="1">
      <alignment vertical="center" wrapText="1"/>
    </xf>
    <xf numFmtId="0" fontId="39" fillId="3" borderId="3" xfId="0" applyFont="1" applyFill="1" applyBorder="1" applyAlignment="1">
      <alignment horizontal="left" wrapText="1"/>
    </xf>
    <xf numFmtId="0" fontId="57" fillId="0" borderId="3" xfId="0" applyFont="1" applyFill="1" applyBorder="1" applyAlignment="1">
      <alignment horizontal="left" vertical="center" wrapText="1"/>
    </xf>
    <xf numFmtId="0" fontId="39" fillId="0" borderId="3" xfId="0" applyFont="1" applyFill="1" applyBorder="1" applyAlignment="1">
      <alignment vertical="center" wrapText="1"/>
    </xf>
    <xf numFmtId="0" fontId="27" fillId="0" borderId="3" xfId="0" applyFont="1" applyBorder="1" applyAlignment="1">
      <alignment horizontal="left" vertical="center" wrapText="1" indent="1"/>
    </xf>
    <xf numFmtId="1" fontId="28" fillId="0" borderId="3" xfId="0" applyNumberFormat="1" applyFont="1" applyBorder="1" applyAlignment="1"/>
    <xf numFmtId="43" fontId="28" fillId="0" borderId="3" xfId="16" applyFont="1" applyBorder="1" applyAlignment="1"/>
    <xf numFmtId="0" fontId="27" fillId="0" borderId="3" xfId="0" applyFont="1" applyBorder="1" applyAlignment="1">
      <alignment vertical="center"/>
    </xf>
    <xf numFmtId="0" fontId="134" fillId="3" borderId="3" xfId="0" applyFont="1" applyFill="1" applyBorder="1" applyAlignment="1">
      <alignment horizontal="left" vertical="center" wrapText="1"/>
    </xf>
    <xf numFmtId="4" fontId="60" fillId="0" borderId="3" xfId="0" applyNumberFormat="1" applyFont="1" applyBorder="1"/>
    <xf numFmtId="0" fontId="39" fillId="0" borderId="3" xfId="0" applyFont="1" applyFill="1" applyBorder="1" applyAlignment="1">
      <alignment horizontal="left" vertical="center" wrapText="1"/>
    </xf>
    <xf numFmtId="43" fontId="75" fillId="0" borderId="3" xfId="16" applyFont="1" applyBorder="1" applyAlignment="1"/>
    <xf numFmtId="0" fontId="22" fillId="0" borderId="3" xfId="0" applyFont="1" applyBorder="1" applyAlignment="1">
      <alignment vertical="center" wrapText="1"/>
    </xf>
    <xf numFmtId="0" fontId="22" fillId="0" borderId="3" xfId="0" applyFont="1" applyBorder="1" applyAlignment="1">
      <alignment horizontal="center" vertical="center" wrapText="1"/>
    </xf>
    <xf numFmtId="0" fontId="40" fillId="0" borderId="3" xfId="0" applyFont="1" applyBorder="1" applyAlignment="1">
      <alignment wrapText="1"/>
    </xf>
    <xf numFmtId="43" fontId="28" fillId="0" borderId="3" xfId="16" applyFont="1" applyBorder="1" applyAlignment="1">
      <alignment horizontal="center" vertical="center" wrapText="1"/>
    </xf>
    <xf numFmtId="0" fontId="70" fillId="0" borderId="3" xfId="0" applyFont="1" applyFill="1" applyBorder="1" applyAlignment="1">
      <alignment vertical="center" wrapText="1"/>
    </xf>
    <xf numFmtId="0" fontId="28" fillId="0" borderId="3" xfId="0" applyFont="1" applyBorder="1" applyAlignment="1">
      <alignment vertical="center" wrapText="1"/>
    </xf>
    <xf numFmtId="43" fontId="28" fillId="0" borderId="3" xfId="16" applyFont="1" applyBorder="1" applyAlignment="1">
      <alignment vertical="center" wrapText="1"/>
    </xf>
    <xf numFmtId="0" fontId="50" fillId="0" borderId="3" xfId="0" applyFont="1" applyFill="1" applyBorder="1" applyAlignment="1">
      <alignment horizontal="left" vertical="center" wrapText="1"/>
    </xf>
    <xf numFmtId="0" fontId="135" fillId="0" borderId="3" xfId="0" applyFont="1" applyFill="1" applyBorder="1" applyAlignment="1">
      <alignment horizontal="center" vertical="center" wrapText="1"/>
    </xf>
    <xf numFmtId="43" fontId="39" fillId="0" borderId="3" xfId="16" applyFont="1" applyFill="1" applyBorder="1" applyAlignment="1"/>
    <xf numFmtId="0" fontId="35" fillId="0" borderId="3" xfId="0" applyFont="1" applyBorder="1" applyAlignment="1">
      <alignment vertical="center"/>
    </xf>
    <xf numFmtId="43" fontId="39" fillId="0" borderId="3" xfId="16" applyFont="1" applyFill="1" applyBorder="1" applyAlignment="1">
      <alignment vertical="center" wrapText="1"/>
    </xf>
    <xf numFmtId="0" fontId="27" fillId="0" borderId="3" xfId="0" applyFont="1" applyBorder="1" applyAlignment="1">
      <alignment vertical="center" wrapText="1"/>
    </xf>
    <xf numFmtId="0" fontId="28" fillId="0" borderId="3" xfId="0" applyFont="1" applyFill="1" applyBorder="1" applyAlignment="1">
      <alignment horizontal="left" vertical="center" wrapText="1"/>
    </xf>
    <xf numFmtId="4" fontId="0" fillId="3" borderId="3" xfId="0" applyNumberFormat="1" applyFont="1" applyFill="1" applyBorder="1"/>
    <xf numFmtId="1" fontId="136" fillId="0" borderId="3" xfId="0" applyNumberFormat="1" applyFont="1" applyFill="1" applyBorder="1" applyAlignment="1"/>
    <xf numFmtId="0" fontId="35" fillId="0" borderId="3" xfId="0" applyFont="1" applyBorder="1" applyAlignment="1">
      <alignment horizontal="left" vertical="center" wrapText="1" indent="1"/>
    </xf>
    <xf numFmtId="1" fontId="39" fillId="0" borderId="3" xfId="0" applyNumberFormat="1" applyFont="1" applyBorder="1" applyAlignment="1"/>
    <xf numFmtId="1" fontId="28" fillId="0" borderId="3" xfId="0" applyNumberFormat="1" applyFont="1" applyBorder="1" applyAlignment="1">
      <alignment horizontal="center"/>
    </xf>
    <xf numFmtId="43" fontId="40" fillId="0" borderId="3" xfId="16" applyFont="1" applyBorder="1" applyAlignment="1"/>
    <xf numFmtId="14" fontId="39" fillId="0" borderId="3" xfId="0" applyNumberFormat="1" applyFont="1" applyFill="1" applyBorder="1" applyAlignment="1"/>
    <xf numFmtId="0" fontId="27" fillId="0" borderId="3" xfId="0" applyFont="1" applyFill="1" applyBorder="1" applyAlignment="1">
      <alignment horizontal="left" wrapText="1"/>
    </xf>
    <xf numFmtId="0" fontId="27" fillId="0" borderId="3" xfId="0" applyFont="1" applyFill="1" applyBorder="1" applyAlignment="1"/>
    <xf numFmtId="0" fontId="134" fillId="0" borderId="3" xfId="0" applyFont="1" applyFill="1" applyBorder="1" applyAlignment="1">
      <alignment wrapText="1"/>
    </xf>
    <xf numFmtId="0" fontId="134" fillId="0" borderId="3" xfId="0" applyFont="1" applyFill="1" applyBorder="1" applyAlignment="1">
      <alignment horizontal="left" wrapText="1"/>
    </xf>
    <xf numFmtId="43" fontId="59" fillId="0" borderId="3" xfId="16" applyFont="1" applyBorder="1" applyAlignment="1"/>
    <xf numFmtId="0" fontId="137" fillId="0" borderId="3" xfId="0" applyFont="1" applyFill="1" applyBorder="1" applyAlignment="1">
      <alignment horizontal="center" vertical="center" wrapText="1"/>
    </xf>
    <xf numFmtId="0" fontId="136" fillId="0" borderId="3" xfId="0" applyFont="1" applyFill="1" applyBorder="1" applyAlignment="1">
      <alignment horizontal="left" wrapText="1"/>
    </xf>
    <xf numFmtId="0" fontId="55" fillId="0" borderId="3" xfId="0" applyFont="1" applyBorder="1" applyAlignment="1">
      <alignment vertical="center"/>
    </xf>
    <xf numFmtId="1" fontId="59" fillId="0" borderId="3" xfId="0" applyNumberFormat="1" applyFont="1" applyBorder="1" applyAlignment="1"/>
    <xf numFmtId="1" fontId="23" fillId="0" borderId="3" xfId="0" applyNumberFormat="1" applyFont="1" applyBorder="1" applyAlignment="1"/>
    <xf numFmtId="43" fontId="135" fillId="0" borderId="3" xfId="16" applyFont="1" applyFill="1" applyBorder="1" applyAlignment="1">
      <alignment wrapText="1"/>
    </xf>
    <xf numFmtId="43" fontId="36" fillId="0" borderId="3" xfId="16" applyFont="1" applyBorder="1" applyAlignment="1"/>
    <xf numFmtId="43" fontId="135" fillId="0" borderId="3" xfId="16" applyFont="1" applyFill="1" applyBorder="1" applyAlignment="1">
      <alignment horizontal="center" vertical="center" wrapText="1"/>
    </xf>
    <xf numFmtId="4" fontId="29" fillId="0" borderId="3" xfId="0" applyNumberFormat="1" applyFont="1" applyBorder="1"/>
    <xf numFmtId="0" fontId="138" fillId="0" borderId="3" xfId="0" applyFont="1" applyBorder="1" applyAlignment="1">
      <alignment vertical="center"/>
    </xf>
    <xf numFmtId="0" fontId="23" fillId="0" borderId="3" xfId="0" applyFont="1" applyBorder="1" applyAlignment="1">
      <alignment vertical="center" wrapText="1"/>
    </xf>
    <xf numFmtId="43" fontId="23" fillId="0" borderId="3" xfId="1" applyFont="1" applyBorder="1" applyAlignment="1">
      <alignment vertical="center" wrapText="1"/>
    </xf>
    <xf numFmtId="43" fontId="135" fillId="0" borderId="3" xfId="16" applyFont="1" applyFill="1" applyBorder="1" applyAlignment="1">
      <alignment horizontal="left" vertical="center" wrapText="1"/>
    </xf>
    <xf numFmtId="43" fontId="36" fillId="0" borderId="3" xfId="16" applyFont="1" applyBorder="1" applyAlignment="1">
      <alignment vertical="center" wrapText="1"/>
    </xf>
    <xf numFmtId="43" fontId="135" fillId="3" borderId="3" xfId="16" applyFont="1" applyFill="1" applyBorder="1" applyAlignment="1">
      <alignment horizontal="left" wrapText="1"/>
    </xf>
    <xf numFmtId="43" fontId="135" fillId="0" borderId="3" xfId="16" applyFont="1" applyFill="1" applyBorder="1" applyAlignment="1">
      <alignment horizontal="left" wrapText="1"/>
    </xf>
    <xf numFmtId="43" fontId="31" fillId="0" borderId="3" xfId="16" applyFont="1" applyBorder="1"/>
    <xf numFmtId="43" fontId="23" fillId="0" borderId="3" xfId="16" applyFont="1" applyBorder="1" applyAlignment="1"/>
    <xf numFmtId="0" fontId="134" fillId="3" borderId="3" xfId="0" applyFont="1" applyFill="1" applyBorder="1" applyAlignment="1">
      <alignment horizontal="center" vertical="center" wrapText="1"/>
    </xf>
    <xf numFmtId="43" fontId="28" fillId="0" borderId="3" xfId="17" applyFont="1" applyBorder="1" applyAlignment="1"/>
    <xf numFmtId="0" fontId="134" fillId="0" borderId="3" xfId="0" applyFont="1" applyBorder="1" applyAlignment="1">
      <alignment horizontal="center" vertical="center" wrapText="1"/>
    </xf>
    <xf numFmtId="0" fontId="28" fillId="0" borderId="3" xfId="0" applyFont="1" applyBorder="1" applyAlignment="1"/>
    <xf numFmtId="0" fontId="57" fillId="3" borderId="3" xfId="0" applyFont="1" applyFill="1" applyBorder="1" applyAlignment="1">
      <alignment horizontal="left" wrapText="1"/>
    </xf>
    <xf numFmtId="0" fontId="50" fillId="3" borderId="3" xfId="0" applyFont="1" applyFill="1" applyBorder="1" applyAlignment="1">
      <alignment horizontal="left" vertical="center" wrapText="1"/>
    </xf>
    <xf numFmtId="0" fontId="50" fillId="0" borderId="3" xfId="0" applyFont="1" applyBorder="1" applyAlignment="1">
      <alignment vertical="center" wrapText="1"/>
    </xf>
    <xf numFmtId="43" fontId="40" fillId="0" borderId="3" xfId="16" applyFont="1" applyFill="1" applyBorder="1" applyAlignment="1"/>
    <xf numFmtId="43" fontId="40" fillId="0" borderId="3" xfId="16" applyFont="1" applyBorder="1" applyAlignment="1">
      <alignment vertical="center" wrapText="1"/>
    </xf>
    <xf numFmtId="164" fontId="28" fillId="0" borderId="3" xfId="16" applyNumberFormat="1" applyFont="1" applyBorder="1" applyAlignment="1">
      <alignment vertical="center" wrapText="1"/>
    </xf>
    <xf numFmtId="164" fontId="28" fillId="0" borderId="3" xfId="16" applyNumberFormat="1" applyFont="1" applyBorder="1" applyAlignment="1"/>
    <xf numFmtId="164" fontId="28" fillId="3" borderId="3" xfId="16" applyNumberFormat="1" applyFont="1" applyFill="1" applyBorder="1" applyAlignment="1">
      <alignment vertical="center" wrapText="1"/>
    </xf>
    <xf numFmtId="1" fontId="28" fillId="0" borderId="3" xfId="0" applyNumberFormat="1" applyFont="1" applyFill="1" applyBorder="1" applyAlignment="1">
      <alignment vertical="center"/>
    </xf>
    <xf numFmtId="1" fontId="28" fillId="0" borderId="3" xfId="0" applyNumberFormat="1" applyFont="1" applyBorder="1" applyAlignment="1">
      <alignment horizontal="right" vertical="center"/>
    </xf>
    <xf numFmtId="1" fontId="39" fillId="0" borderId="3" xfId="0" applyNumberFormat="1" applyFont="1" applyBorder="1" applyAlignment="1">
      <alignment vertical="center" wrapText="1"/>
    </xf>
    <xf numFmtId="1" fontId="28" fillId="0" borderId="3" xfId="0" applyNumberFormat="1" applyFont="1" applyFill="1" applyBorder="1" applyAlignment="1">
      <alignment horizontal="right" vertical="center"/>
    </xf>
    <xf numFmtId="166" fontId="135" fillId="0" borderId="3" xfId="0" applyNumberFormat="1" applyFont="1" applyFill="1" applyBorder="1" applyAlignment="1">
      <alignment horizontal="right" vertical="center" wrapText="1"/>
    </xf>
    <xf numFmtId="14" fontId="39" fillId="0" borderId="3" xfId="0" applyNumberFormat="1" applyFont="1" applyFill="1" applyBorder="1" applyAlignment="1">
      <alignment horizontal="right" vertical="center" wrapText="1"/>
    </xf>
    <xf numFmtId="1" fontId="39" fillId="0" borderId="3" xfId="0" applyNumberFormat="1" applyFont="1" applyFill="1" applyBorder="1" applyAlignment="1">
      <alignment horizontal="right" vertical="center" wrapText="1"/>
    </xf>
    <xf numFmtId="0" fontId="27" fillId="0" borderId="3" xfId="0" applyFont="1" applyBorder="1" applyAlignment="1"/>
    <xf numFmtId="1" fontId="135" fillId="0" borderId="3" xfId="0" applyNumberFormat="1" applyFont="1" applyBorder="1" applyAlignment="1"/>
    <xf numFmtId="0" fontId="134" fillId="0" borderId="3" xfId="0" applyFont="1" applyBorder="1" applyAlignment="1">
      <alignment vertical="center" wrapText="1"/>
    </xf>
    <xf numFmtId="168" fontId="135" fillId="0" borderId="3" xfId="6" applyFont="1" applyBorder="1" applyAlignment="1">
      <alignment wrapText="1"/>
    </xf>
    <xf numFmtId="43" fontId="135" fillId="0" borderId="3" xfId="17" applyFont="1" applyBorder="1" applyAlignment="1">
      <alignment horizontal="right"/>
    </xf>
    <xf numFmtId="0" fontId="135" fillId="0" borderId="3" xfId="0" applyFont="1" applyBorder="1" applyAlignment="1">
      <alignment vertical="center" wrapText="1"/>
    </xf>
    <xf numFmtId="0" fontId="134" fillId="0" borderId="3" xfId="0" applyFont="1" applyBorder="1" applyAlignment="1">
      <alignment horizontal="center" wrapText="1"/>
    </xf>
    <xf numFmtId="43" fontId="135" fillId="0" borderId="3" xfId="17" applyFont="1" applyBorder="1" applyAlignment="1">
      <alignment vertical="center" wrapText="1"/>
    </xf>
    <xf numFmtId="0" fontId="134" fillId="0" borderId="3" xfId="0" applyFont="1" applyBorder="1" applyAlignment="1">
      <alignment wrapText="1"/>
    </xf>
    <xf numFmtId="164" fontId="135" fillId="0" borderId="3" xfId="17" applyNumberFormat="1" applyFont="1" applyBorder="1" applyAlignment="1"/>
    <xf numFmtId="0" fontId="134" fillId="0" borderId="3" xfId="0" applyFont="1" applyBorder="1" applyAlignment="1">
      <alignment horizontal="left" wrapText="1"/>
    </xf>
    <xf numFmtId="168" fontId="135" fillId="0" borderId="3" xfId="6" applyFont="1" applyBorder="1" applyAlignment="1"/>
    <xf numFmtId="170" fontId="135" fillId="0" borderId="3" xfId="6" applyNumberFormat="1" applyFont="1" applyBorder="1" applyAlignment="1">
      <alignment wrapText="1"/>
    </xf>
    <xf numFmtId="0" fontId="134" fillId="0" borderId="3" xfId="0" applyFont="1" applyBorder="1" applyAlignment="1">
      <alignment horizontal="left" vertical="center" wrapText="1"/>
    </xf>
    <xf numFmtId="0" fontId="27" fillId="0" borderId="3" xfId="0" applyFont="1" applyBorder="1" applyAlignment="1">
      <alignment horizontal="left"/>
    </xf>
    <xf numFmtId="43" fontId="134" fillId="0" borderId="3" xfId="17" applyFont="1" applyBorder="1" applyAlignment="1">
      <alignment wrapText="1"/>
    </xf>
    <xf numFmtId="43" fontId="134" fillId="0" borderId="3" xfId="17" applyFont="1" applyBorder="1" applyAlignment="1">
      <alignment vertical="center" wrapText="1"/>
    </xf>
    <xf numFmtId="43" fontId="134" fillId="0" borderId="3" xfId="17" applyFont="1" applyBorder="1" applyAlignment="1">
      <alignment horizontal="center" vertical="center" wrapText="1"/>
    </xf>
    <xf numFmtId="0" fontId="135" fillId="0" borderId="3" xfId="0" applyFont="1" applyBorder="1" applyAlignment="1">
      <alignment horizontal="center" vertical="center" wrapText="1"/>
    </xf>
    <xf numFmtId="164" fontId="135" fillId="0" borderId="3" xfId="17" applyNumberFormat="1" applyFont="1" applyBorder="1" applyAlignment="1">
      <alignment horizontal="right"/>
    </xf>
    <xf numFmtId="0" fontId="135" fillId="0" borderId="3" xfId="0" applyFont="1" applyBorder="1" applyAlignment="1">
      <alignment horizontal="left" wrapText="1"/>
    </xf>
    <xf numFmtId="168" fontId="139" fillId="0" borderId="3" xfId="6" applyFont="1" applyBorder="1" applyAlignment="1">
      <alignment horizontal="right"/>
    </xf>
    <xf numFmtId="0" fontId="134" fillId="0" borderId="3" xfId="0" applyFont="1" applyBorder="1" applyAlignment="1">
      <alignment horizontal="right" wrapText="1"/>
    </xf>
    <xf numFmtId="1" fontId="135" fillId="0" borderId="3" xfId="0" applyNumberFormat="1" applyFont="1" applyFill="1" applyBorder="1" applyAlignment="1">
      <alignment wrapText="1"/>
    </xf>
    <xf numFmtId="14" fontId="135" fillId="0" borderId="3" xfId="0" applyNumberFormat="1" applyFont="1" applyFill="1" applyBorder="1" applyAlignment="1">
      <alignment wrapText="1"/>
    </xf>
    <xf numFmtId="0" fontId="140" fillId="0" borderId="3" xfId="0" applyFont="1" applyBorder="1" applyAlignment="1">
      <alignment wrapText="1"/>
    </xf>
    <xf numFmtId="43" fontId="135" fillId="0" borderId="3" xfId="17" applyFont="1" applyBorder="1" applyAlignment="1"/>
    <xf numFmtId="43" fontId="139" fillId="0" borderId="3" xfId="17" applyFont="1" applyBorder="1" applyAlignment="1"/>
    <xf numFmtId="14" fontId="135" fillId="0" borderId="3" xfId="0" applyNumberFormat="1" applyFont="1" applyBorder="1" applyAlignment="1"/>
    <xf numFmtId="1" fontId="135" fillId="0" borderId="3" xfId="0" applyNumberFormat="1" applyFont="1" applyBorder="1" applyAlignment="1">
      <alignment wrapText="1"/>
    </xf>
    <xf numFmtId="1" fontId="135" fillId="0" borderId="3" xfId="0" applyNumberFormat="1" applyFont="1" applyBorder="1" applyAlignment="1">
      <alignment horizontal="right"/>
    </xf>
    <xf numFmtId="14" fontId="28" fillId="0" borderId="3" xfId="0" applyNumberFormat="1" applyFont="1" applyBorder="1" applyAlignment="1"/>
    <xf numFmtId="4" fontId="142" fillId="0" borderId="3" xfId="0" applyNumberFormat="1" applyFont="1" applyBorder="1"/>
    <xf numFmtId="4" fontId="143" fillId="0" borderId="3" xfId="0" applyNumberFormat="1" applyFont="1" applyBorder="1"/>
    <xf numFmtId="168" fontId="135" fillId="0" borderId="3" xfId="6" applyFont="1" applyBorder="1" applyAlignment="1">
      <alignment horizontal="center" vertical="center" wrapText="1"/>
    </xf>
    <xf numFmtId="1" fontId="135" fillId="0" borderId="3" xfId="17" applyNumberFormat="1" applyFont="1" applyBorder="1" applyAlignment="1"/>
    <xf numFmtId="0" fontId="135" fillId="0" borderId="3" xfId="0" applyFont="1" applyBorder="1" applyAlignment="1">
      <alignment horizontal="left" vertical="center" wrapText="1"/>
    </xf>
    <xf numFmtId="168" fontId="135" fillId="0" borderId="3" xfId="6" applyFont="1" applyBorder="1" applyAlignment="1">
      <alignment horizontal="center" wrapText="1"/>
    </xf>
    <xf numFmtId="1" fontId="40" fillId="0" borderId="3" xfId="0" applyNumberFormat="1" applyFont="1" applyBorder="1" applyAlignment="1"/>
    <xf numFmtId="0" fontId="140" fillId="0" borderId="3" xfId="0" applyFont="1" applyBorder="1" applyAlignment="1">
      <alignment vertical="center" wrapText="1"/>
    </xf>
    <xf numFmtId="43" fontId="135" fillId="0" borderId="3" xfId="17" applyFont="1" applyBorder="1" applyAlignment="1">
      <alignment wrapText="1"/>
    </xf>
    <xf numFmtId="43" fontId="135" fillId="0" borderId="3" xfId="17" applyFont="1" applyBorder="1" applyAlignment="1">
      <alignment horizontal="center"/>
    </xf>
    <xf numFmtId="0" fontId="40" fillId="0" borderId="3" xfId="0" applyFont="1" applyBorder="1" applyAlignment="1">
      <alignment vertical="center" wrapText="1"/>
    </xf>
    <xf numFmtId="43" fontId="135" fillId="0" borderId="3" xfId="17" applyFont="1" applyBorder="1" applyAlignment="1">
      <alignment horizontal="center" vertical="center" wrapText="1"/>
    </xf>
    <xf numFmtId="168" fontId="135" fillId="0" borderId="3" xfId="6" applyFont="1" applyBorder="1" applyAlignment="1">
      <alignment horizontal="right"/>
    </xf>
    <xf numFmtId="43" fontId="135" fillId="3" borderId="3" xfId="17" applyFont="1" applyFill="1" applyBorder="1" applyAlignment="1">
      <alignment wrapText="1"/>
    </xf>
    <xf numFmtId="0" fontId="143" fillId="0" borderId="3" xfId="0" applyFont="1" applyBorder="1" applyAlignment="1">
      <alignment horizontal="right"/>
    </xf>
    <xf numFmtId="164" fontId="135" fillId="0" borderId="3" xfId="17" applyNumberFormat="1" applyFont="1" applyBorder="1" applyAlignment="1">
      <alignment vertical="center" wrapText="1"/>
    </xf>
    <xf numFmtId="164" fontId="135" fillId="0" borderId="3" xfId="6" applyNumberFormat="1" applyFont="1" applyBorder="1" applyAlignment="1">
      <alignment vertical="center" wrapText="1"/>
    </xf>
    <xf numFmtId="164" fontId="135" fillId="0" borderId="3" xfId="6" applyNumberFormat="1" applyFont="1" applyBorder="1" applyAlignment="1"/>
    <xf numFmtId="1" fontId="135" fillId="0" borderId="3" xfId="0" applyNumberFormat="1" applyFont="1" applyBorder="1" applyAlignment="1">
      <alignment horizontal="right" wrapText="1"/>
    </xf>
    <xf numFmtId="170" fontId="135" fillId="0" borderId="3" xfId="6" applyNumberFormat="1" applyFont="1" applyBorder="1" applyAlignment="1">
      <alignment horizontal="right" wrapText="1"/>
    </xf>
    <xf numFmtId="168" fontId="135" fillId="0" borderId="3" xfId="6" applyFont="1" applyBorder="1" applyAlignment="1">
      <alignment horizontal="right" wrapText="1"/>
    </xf>
    <xf numFmtId="0" fontId="135" fillId="0" borderId="3" xfId="0" applyFont="1" applyBorder="1" applyAlignment="1">
      <alignment horizontal="right" wrapText="1"/>
    </xf>
    <xf numFmtId="168" fontId="135" fillId="0" borderId="3" xfId="6" applyFont="1" applyBorder="1" applyAlignment="1">
      <alignment vertical="center" wrapText="1"/>
    </xf>
    <xf numFmtId="43" fontId="143" fillId="0" borderId="3" xfId="17" applyFont="1" applyBorder="1"/>
    <xf numFmtId="1" fontId="135" fillId="0" borderId="3" xfId="0" applyNumberFormat="1" applyFont="1" applyBorder="1" applyAlignment="1">
      <alignment horizontal="center"/>
    </xf>
    <xf numFmtId="0" fontId="146" fillId="0" borderId="3" xfId="0" applyFont="1" applyBorder="1" applyAlignment="1">
      <alignment vertical="top" wrapText="1"/>
    </xf>
    <xf numFmtId="0" fontId="140" fillId="0" borderId="3" xfId="0" applyFont="1" applyBorder="1" applyAlignment="1">
      <alignment horizontal="center"/>
    </xf>
    <xf numFmtId="170" fontId="135" fillId="0" borderId="3" xfId="6" applyNumberFormat="1" applyFont="1" applyBorder="1" applyAlignment="1"/>
    <xf numFmtId="1" fontId="135" fillId="0" borderId="3" xfId="0" applyNumberFormat="1" applyFont="1" applyBorder="1" applyAlignment="1">
      <alignment horizontal="center" wrapText="1"/>
    </xf>
    <xf numFmtId="12" fontId="135" fillId="0" borderId="3" xfId="17" applyNumberFormat="1" applyFont="1" applyBorder="1" applyAlignment="1"/>
    <xf numFmtId="12" fontId="135" fillId="0" borderId="3" xfId="6" applyNumberFormat="1" applyFont="1" applyBorder="1" applyAlignment="1">
      <alignment horizontal="right"/>
    </xf>
    <xf numFmtId="168" fontId="140" fillId="0" borderId="3" xfId="6" applyFont="1" applyBorder="1" applyAlignment="1">
      <alignment horizontal="right"/>
    </xf>
    <xf numFmtId="0" fontId="27" fillId="0" borderId="3" xfId="0" applyFont="1" applyBorder="1" applyAlignment="1">
      <alignment wrapText="1"/>
    </xf>
    <xf numFmtId="0" fontId="146" fillId="0" borderId="3" xfId="0" applyFont="1" applyBorder="1" applyAlignment="1">
      <alignment horizontal="left" vertical="top" wrapText="1"/>
    </xf>
    <xf numFmtId="168" fontId="145" fillId="0" borderId="3" xfId="6" applyFont="1" applyBorder="1" applyAlignment="1"/>
    <xf numFmtId="0" fontId="134" fillId="0" borderId="3" xfId="0" applyFont="1" applyBorder="1" applyAlignment="1">
      <alignment horizontal="center"/>
    </xf>
    <xf numFmtId="0" fontId="134" fillId="0" borderId="3" xfId="0" applyFont="1" applyBorder="1" applyAlignment="1">
      <alignment horizontal="center" vertical="center"/>
    </xf>
    <xf numFmtId="0" fontId="143" fillId="0" borderId="3" xfId="0" applyFont="1" applyBorder="1" applyAlignment="1">
      <alignment horizontal="center"/>
    </xf>
    <xf numFmtId="4" fontId="148" fillId="0" borderId="3" xfId="0" applyNumberFormat="1" applyFont="1" applyBorder="1" applyAlignment="1">
      <alignment horizontal="center"/>
    </xf>
    <xf numFmtId="4" fontId="149" fillId="0" borderId="3" xfId="0" applyNumberFormat="1" applyFont="1" applyBorder="1" applyAlignment="1">
      <alignment horizontal="center"/>
    </xf>
    <xf numFmtId="14" fontId="135" fillId="0" borderId="3" xfId="0" applyNumberFormat="1" applyFont="1" applyBorder="1" applyAlignment="1">
      <alignment vertical="center" wrapText="1"/>
    </xf>
    <xf numFmtId="43" fontId="140" fillId="0" borderId="3" xfId="17" applyFont="1" applyBorder="1" applyAlignment="1">
      <alignment horizontal="left" vertical="center" wrapText="1"/>
    </xf>
    <xf numFmtId="0" fontId="150" fillId="0" borderId="3" xfId="0" applyFont="1" applyBorder="1" applyAlignment="1">
      <alignment vertical="center" wrapText="1"/>
    </xf>
    <xf numFmtId="4" fontId="140" fillId="0" borderId="3" xfId="0" applyNumberFormat="1" applyFont="1" applyBorder="1" applyAlignment="1">
      <alignment horizontal="center" wrapText="1"/>
    </xf>
    <xf numFmtId="164" fontId="140" fillId="0" borderId="3" xfId="17" applyNumberFormat="1" applyFont="1" applyBorder="1" applyAlignment="1"/>
    <xf numFmtId="12" fontId="28" fillId="0" borderId="3" xfId="1" applyNumberFormat="1" applyFont="1" applyBorder="1" applyAlignment="1"/>
    <xf numFmtId="0" fontId="40" fillId="0" borderId="3" xfId="0" applyFont="1" applyBorder="1" applyAlignment="1">
      <alignment horizontal="left" wrapText="1"/>
    </xf>
    <xf numFmtId="43" fontId="70" fillId="0" borderId="3" xfId="1" applyFont="1" applyBorder="1" applyAlignment="1"/>
    <xf numFmtId="0" fontId="50" fillId="0" borderId="3" xfId="0" applyFont="1" applyBorder="1" applyAlignment="1">
      <alignment horizontal="center" vertical="center" wrapText="1"/>
    </xf>
    <xf numFmtId="1" fontId="40" fillId="3" borderId="3" xfId="0" applyNumberFormat="1" applyFont="1" applyFill="1" applyBorder="1" applyAlignment="1"/>
    <xf numFmtId="0" fontId="50" fillId="3" borderId="3" xfId="0" applyFont="1" applyFill="1" applyBorder="1" applyAlignment="1">
      <alignment horizontal="left" wrapText="1"/>
    </xf>
    <xf numFmtId="0" fontId="50" fillId="0" borderId="3" xfId="0" applyFont="1" applyBorder="1" applyAlignment="1">
      <alignment horizontal="left" wrapText="1"/>
    </xf>
    <xf numFmtId="0" fontId="50" fillId="0" borderId="3" xfId="0" applyFont="1" applyBorder="1" applyAlignment="1">
      <alignment horizontal="left"/>
    </xf>
    <xf numFmtId="0" fontId="50" fillId="0" borderId="3" xfId="0" applyFont="1" applyBorder="1" applyAlignment="1">
      <alignment wrapText="1"/>
    </xf>
    <xf numFmtId="0" fontId="27" fillId="0" borderId="3" xfId="0" applyFont="1" applyBorder="1" applyAlignment="1">
      <alignment horizontal="left" vertical="center"/>
    </xf>
    <xf numFmtId="43" fontId="40" fillId="0" borderId="3" xfId="1" applyFont="1" applyBorder="1" applyAlignment="1">
      <alignment horizontal="right"/>
    </xf>
    <xf numFmtId="1" fontId="28" fillId="3" borderId="3" xfId="0" applyNumberFormat="1" applyFont="1" applyFill="1" applyBorder="1" applyAlignment="1"/>
    <xf numFmtId="0" fontId="40" fillId="3" borderId="3" xfId="0" applyFont="1" applyFill="1" applyBorder="1" applyAlignment="1">
      <alignment horizontal="left" wrapText="1"/>
    </xf>
    <xf numFmtId="0" fontId="40" fillId="3" borderId="3" xfId="0" applyFont="1" applyFill="1" applyBorder="1" applyAlignment="1">
      <alignment horizontal="right" wrapText="1"/>
    </xf>
    <xf numFmtId="49" fontId="28" fillId="0" borderId="3" xfId="0" applyNumberFormat="1" applyFont="1" applyBorder="1" applyAlignment="1"/>
    <xf numFmtId="43" fontId="40" fillId="0" borderId="3" xfId="1" applyFont="1" applyBorder="1" applyAlignment="1">
      <alignment horizontal="right" wrapText="1"/>
    </xf>
    <xf numFmtId="43" fontId="151" fillId="0" borderId="3" xfId="1" applyFont="1" applyBorder="1" applyAlignment="1">
      <alignment horizontal="right"/>
    </xf>
    <xf numFmtId="43" fontId="50" fillId="0" borderId="3" xfId="1" applyFont="1" applyBorder="1" applyAlignment="1">
      <alignment horizontal="left" wrapText="1"/>
    </xf>
    <xf numFmtId="0" fontId="28" fillId="0" borderId="3" xfId="0" applyFont="1" applyBorder="1" applyAlignment="1">
      <alignment horizontal="center" vertical="center" wrapText="1"/>
    </xf>
    <xf numFmtId="0" fontId="39" fillId="0" borderId="3" xfId="0" applyFont="1" applyBorder="1" applyAlignment="1">
      <alignment horizontal="left" wrapText="1"/>
    </xf>
    <xf numFmtId="15" fontId="60" fillId="0" borderId="3" xfId="0" applyNumberFormat="1" applyFont="1" applyBorder="1"/>
    <xf numFmtId="0" fontId="59" fillId="3" borderId="3" xfId="0" applyFont="1" applyFill="1" applyBorder="1" applyAlignment="1">
      <alignment wrapText="1"/>
    </xf>
    <xf numFmtId="0" fontId="59" fillId="0" borderId="3" xfId="0" applyFont="1" applyBorder="1" applyAlignment="1">
      <alignment wrapText="1"/>
    </xf>
    <xf numFmtId="170" fontId="28" fillId="0" borderId="3" xfId="6" applyNumberFormat="1" applyFont="1" applyFill="1" applyBorder="1" applyAlignment="1">
      <alignment horizontal="center" vertical="center"/>
    </xf>
    <xf numFmtId="168" fontId="28" fillId="0" borderId="3" xfId="6" applyFont="1" applyFill="1" applyBorder="1" applyAlignment="1">
      <alignment horizontal="center" vertical="center"/>
    </xf>
    <xf numFmtId="4" fontId="28" fillId="0" borderId="3" xfId="6" applyNumberFormat="1" applyFont="1" applyFill="1" applyBorder="1" applyAlignment="1"/>
    <xf numFmtId="168" fontId="28" fillId="0" borderId="3" xfId="6" applyFont="1" applyFill="1" applyBorder="1" applyAlignment="1"/>
    <xf numFmtId="170" fontId="28" fillId="0" borderId="3" xfId="6" applyNumberFormat="1" applyFont="1" applyFill="1" applyBorder="1" applyAlignment="1">
      <alignment horizontal="center" vertical="center" wrapText="1"/>
    </xf>
    <xf numFmtId="0" fontId="40" fillId="0" borderId="3" xfId="0" applyFont="1" applyFill="1" applyBorder="1" applyAlignment="1">
      <alignment horizontal="left" wrapText="1"/>
    </xf>
    <xf numFmtId="168" fontId="28" fillId="0" borderId="3" xfId="6" applyFont="1" applyFill="1" applyBorder="1" applyAlignment="1">
      <alignment vertical="center" wrapText="1"/>
    </xf>
    <xf numFmtId="1" fontId="59" fillId="0" borderId="3" xfId="6" applyNumberFormat="1" applyFont="1" applyFill="1" applyBorder="1" applyAlignment="1">
      <alignment horizontal="center" vertical="center" wrapText="1"/>
    </xf>
    <xf numFmtId="0" fontId="59" fillId="0" borderId="3" xfId="0" applyFont="1" applyFill="1" applyBorder="1" applyAlignment="1">
      <alignment vertical="center" wrapText="1"/>
    </xf>
    <xf numFmtId="0" fontId="136" fillId="0" borderId="3" xfId="0" applyFont="1" applyFill="1" applyBorder="1" applyAlignment="1">
      <alignment horizontal="left" vertical="top" wrapText="1"/>
    </xf>
    <xf numFmtId="168" fontId="59" fillId="0" borderId="3" xfId="6" applyFont="1" applyFill="1" applyBorder="1" applyAlignment="1">
      <alignment vertical="center" wrapText="1"/>
    </xf>
    <xf numFmtId="0" fontId="152" fillId="0" borderId="3" xfId="0" applyFont="1" applyFill="1" applyBorder="1" applyAlignment="1">
      <alignment vertical="top" wrapText="1"/>
    </xf>
    <xf numFmtId="0" fontId="35" fillId="0" borderId="3" xfId="0" applyFont="1" applyFill="1" applyBorder="1" applyAlignment="1">
      <alignment vertical="center"/>
    </xf>
    <xf numFmtId="168" fontId="4" fillId="0" borderId="3" xfId="6" applyFont="1" applyFill="1" applyBorder="1" applyAlignment="1">
      <alignment horizontal="left"/>
    </xf>
    <xf numFmtId="168" fontId="4" fillId="0" borderId="3" xfId="6" applyFont="1" applyFill="1" applyBorder="1" applyAlignment="1"/>
    <xf numFmtId="14" fontId="28" fillId="0" borderId="3" xfId="0" applyNumberFormat="1" applyFont="1" applyFill="1" applyBorder="1" applyAlignment="1">
      <alignment horizontal="center" vertical="center"/>
    </xf>
    <xf numFmtId="0" fontId="152" fillId="0" borderId="3" xfId="0" applyFont="1" applyFill="1" applyBorder="1" applyAlignment="1">
      <alignment vertical="center" wrapText="1"/>
    </xf>
    <xf numFmtId="168" fontId="4" fillId="0" borderId="3" xfId="6" applyFont="1" applyFill="1" applyBorder="1" applyAlignment="1">
      <alignment vertical="center"/>
    </xf>
    <xf numFmtId="170" fontId="28" fillId="0" borderId="3" xfId="6" applyNumberFormat="1" applyFont="1" applyBorder="1" applyAlignment="1">
      <alignment horizontal="center" vertical="center"/>
    </xf>
    <xf numFmtId="168" fontId="28" fillId="0" borderId="3" xfId="6" applyFont="1" applyBorder="1" applyAlignment="1"/>
    <xf numFmtId="170" fontId="28" fillId="0" borderId="3" xfId="6" applyNumberFormat="1" applyFont="1" applyBorder="1" applyAlignment="1">
      <alignment horizontal="center" vertical="center" wrapText="1"/>
    </xf>
    <xf numFmtId="4" fontId="37" fillId="0" borderId="3" xfId="0" applyNumberFormat="1" applyFont="1" applyBorder="1"/>
    <xf numFmtId="0" fontId="28" fillId="3" borderId="3" xfId="0" applyFont="1" applyFill="1" applyBorder="1" applyAlignment="1">
      <alignment horizontal="left" wrapText="1"/>
    </xf>
    <xf numFmtId="4" fontId="134" fillId="0" borderId="3" xfId="0" applyNumberFormat="1" applyFont="1" applyBorder="1" applyAlignment="1">
      <alignment horizontal="center" vertical="center" wrapText="1"/>
    </xf>
    <xf numFmtId="4" fontId="37" fillId="3" borderId="3" xfId="0" applyNumberFormat="1" applyFont="1" applyFill="1" applyBorder="1"/>
    <xf numFmtId="0" fontId="37" fillId="3" borderId="3" xfId="0" applyFont="1" applyFill="1" applyBorder="1"/>
    <xf numFmtId="0" fontId="28" fillId="3" borderId="3" xfId="0" applyFont="1" applyFill="1" applyBorder="1" applyAlignment="1">
      <alignment vertical="center" wrapText="1"/>
    </xf>
    <xf numFmtId="0" fontId="57" fillId="0" borderId="3" xfId="0" applyFont="1" applyBorder="1" applyAlignment="1">
      <alignment wrapText="1"/>
    </xf>
    <xf numFmtId="164" fontId="28" fillId="0" borderId="3" xfId="1" applyNumberFormat="1" applyFont="1" applyBorder="1" applyAlignment="1"/>
    <xf numFmtId="1" fontId="28" fillId="0" borderId="3" xfId="0" applyNumberFormat="1" applyFont="1" applyBorder="1" applyAlignment="1">
      <alignment horizontal="center" vertical="center"/>
    </xf>
    <xf numFmtId="0" fontId="108" fillId="0" borderId="3" xfId="0" applyFont="1" applyBorder="1" applyAlignment="1">
      <alignment vertical="top" wrapText="1"/>
    </xf>
    <xf numFmtId="0" fontId="0" fillId="0" borderId="3" xfId="0" applyBorder="1" applyAlignment="1">
      <alignment horizontal="center" vertical="center"/>
    </xf>
    <xf numFmtId="0" fontId="40" fillId="3" borderId="3" xfId="0" applyFont="1" applyFill="1" applyBorder="1" applyAlignment="1">
      <alignment vertical="center" wrapText="1"/>
    </xf>
    <xf numFmtId="43" fontId="40" fillId="3" borderId="3" xfId="16" applyFont="1" applyFill="1" applyBorder="1" applyAlignment="1">
      <alignment vertical="center" wrapText="1"/>
    </xf>
    <xf numFmtId="0" fontId="49" fillId="14" borderId="3" xfId="0" applyFont="1" applyFill="1" applyBorder="1" applyAlignment="1">
      <alignment vertical="center" wrapText="1"/>
    </xf>
    <xf numFmtId="1" fontId="28" fillId="3" borderId="3" xfId="0" applyNumberFormat="1" applyFont="1" applyFill="1" applyBorder="1" applyAlignment="1">
      <alignment horizontal="center" vertical="center"/>
    </xf>
    <xf numFmtId="0" fontId="153" fillId="0" borderId="3" xfId="0" applyFont="1" applyBorder="1" applyAlignment="1">
      <alignment vertical="center"/>
    </xf>
    <xf numFmtId="0" fontId="28" fillId="3" borderId="3" xfId="0" applyFont="1" applyFill="1" applyBorder="1" applyAlignment="1">
      <alignment horizontal="center" vertical="center" wrapText="1"/>
    </xf>
    <xf numFmtId="0" fontId="70" fillId="0" borderId="3" xfId="0" applyFont="1" applyBorder="1" applyAlignment="1">
      <alignment vertical="center"/>
    </xf>
    <xf numFmtId="1" fontId="59" fillId="0" borderId="3" xfId="0" applyNumberFormat="1" applyFont="1" applyBorder="1" applyAlignment="1">
      <alignment horizontal="center"/>
    </xf>
    <xf numFmtId="0" fontId="136" fillId="0" borderId="3" xfId="0" applyFont="1" applyBorder="1" applyAlignment="1">
      <alignment horizontal="left" wrapText="1"/>
    </xf>
    <xf numFmtId="37" fontId="59" fillId="0" borderId="3" xfId="1" applyNumberFormat="1" applyFont="1" applyBorder="1" applyAlignment="1">
      <alignment horizontal="center" vertical="center"/>
    </xf>
    <xf numFmtId="1" fontId="40" fillId="0" borderId="3" xfId="0" applyNumberFormat="1" applyFont="1" applyBorder="1" applyAlignment="1">
      <alignment horizontal="center" vertical="center" wrapText="1"/>
    </xf>
    <xf numFmtId="0" fontId="70" fillId="0" borderId="3" xfId="0" applyFont="1" applyBorder="1" applyAlignment="1">
      <alignment horizontal="left" vertical="center" wrapText="1"/>
    </xf>
    <xf numFmtId="0" fontId="46" fillId="0" borderId="3" xfId="0" applyFont="1" applyBorder="1" applyAlignment="1">
      <alignment vertical="center"/>
    </xf>
    <xf numFmtId="1" fontId="28" fillId="3" borderId="3" xfId="0" applyNumberFormat="1" applyFont="1" applyFill="1" applyBorder="1" applyAlignment="1">
      <alignment horizontal="center"/>
    </xf>
    <xf numFmtId="0" fontId="154" fillId="3" borderId="3" xfId="0" applyFont="1" applyFill="1" applyBorder="1" applyAlignment="1">
      <alignment vertical="top" wrapText="1"/>
    </xf>
    <xf numFmtId="0" fontId="155" fillId="3" borderId="3" xfId="0" applyFont="1" applyFill="1" applyBorder="1" applyAlignment="1">
      <alignment vertical="top" wrapText="1"/>
    </xf>
    <xf numFmtId="4" fontId="155" fillId="3" borderId="3" xfId="0" applyNumberFormat="1" applyFont="1" applyFill="1" applyBorder="1" applyAlignment="1">
      <alignment horizontal="right" vertical="center"/>
    </xf>
    <xf numFmtId="0" fontId="30" fillId="0" borderId="3" xfId="0" applyFont="1" applyBorder="1" applyAlignment="1">
      <alignment horizontal="center" vertical="center" wrapText="1"/>
    </xf>
    <xf numFmtId="4" fontId="38" fillId="3" borderId="3" xfId="0" applyNumberFormat="1" applyFont="1" applyFill="1" applyBorder="1"/>
    <xf numFmtId="14" fontId="46" fillId="3" borderId="3" xfId="0" applyNumberFormat="1" applyFont="1" applyFill="1" applyBorder="1" applyAlignment="1">
      <alignment horizontal="center" vertical="center"/>
    </xf>
    <xf numFmtId="4" fontId="156" fillId="3" borderId="3" xfId="0" applyNumberFormat="1" applyFont="1" applyFill="1" applyBorder="1" applyAlignment="1">
      <alignment vertical="center"/>
    </xf>
    <xf numFmtId="4" fontId="156" fillId="0" borderId="3" xfId="0" applyNumberFormat="1" applyFont="1" applyBorder="1" applyAlignment="1">
      <alignment vertical="center"/>
    </xf>
    <xf numFmtId="15" fontId="28" fillId="0" borderId="3" xfId="0" applyNumberFormat="1" applyFont="1" applyBorder="1" applyAlignment="1">
      <alignment horizontal="center" vertical="center" wrapText="1"/>
    </xf>
    <xf numFmtId="0" fontId="157" fillId="0" borderId="3" xfId="0" applyFont="1" applyBorder="1" applyAlignment="1">
      <alignment wrapText="1"/>
    </xf>
    <xf numFmtId="4" fontId="0" fillId="0" borderId="3" xfId="0" applyNumberFormat="1" applyBorder="1"/>
    <xf numFmtId="0" fontId="46" fillId="0" borderId="3" xfId="0" applyFont="1" applyBorder="1" applyAlignment="1">
      <alignment horizontal="left" vertical="center"/>
    </xf>
    <xf numFmtId="0" fontId="158" fillId="0" borderId="3" xfId="0" applyFont="1" applyBorder="1" applyAlignment="1">
      <alignment vertical="top" wrapText="1"/>
    </xf>
    <xf numFmtId="14" fontId="28" fillId="0" borderId="3" xfId="0" applyNumberFormat="1" applyFont="1" applyBorder="1" applyAlignment="1">
      <alignment vertical="center" wrapText="1"/>
    </xf>
    <xf numFmtId="0" fontId="30" fillId="3" borderId="3" xfId="0" applyFont="1" applyFill="1" applyBorder="1" applyAlignment="1">
      <alignment horizontal="left" wrapText="1"/>
    </xf>
    <xf numFmtId="0" fontId="30" fillId="0" borderId="3" xfId="0" applyFont="1" applyBorder="1" applyAlignment="1">
      <alignment wrapText="1"/>
    </xf>
    <xf numFmtId="0" fontId="155" fillId="0" borderId="3" xfId="18" applyFont="1" applyFill="1" applyBorder="1" applyAlignment="1">
      <alignment vertical="top" wrapText="1"/>
    </xf>
    <xf numFmtId="0" fontId="59" fillId="0" borderId="3" xfId="0" applyFont="1" applyBorder="1" applyAlignment="1">
      <alignment vertical="center"/>
    </xf>
    <xf numFmtId="0" fontId="28" fillId="3" borderId="3" xfId="0" applyFont="1" applyFill="1" applyBorder="1" applyAlignment="1">
      <alignment horizontal="center" vertical="center"/>
    </xf>
    <xf numFmtId="43" fontId="22" fillId="3" borderId="3" xfId="1" applyFont="1" applyFill="1" applyBorder="1" applyAlignment="1"/>
    <xf numFmtId="0" fontId="70" fillId="3" borderId="3" xfId="0" applyFont="1" applyFill="1" applyBorder="1" applyAlignment="1">
      <alignment horizontal="justify" vertical="center" wrapText="1"/>
    </xf>
    <xf numFmtId="4" fontId="70" fillId="0" borderId="3" xfId="0" applyNumberFormat="1" applyFont="1" applyFill="1" applyBorder="1" applyAlignment="1">
      <alignment horizontal="right" vertical="center" wrapText="1"/>
    </xf>
    <xf numFmtId="0" fontId="50" fillId="0" borderId="3" xfId="0" applyFont="1" applyFill="1" applyBorder="1" applyAlignment="1">
      <alignment horizontal="left" vertical="top" wrapText="1"/>
    </xf>
    <xf numFmtId="49" fontId="50" fillId="0" borderId="3" xfId="0" applyNumberFormat="1" applyFont="1" applyBorder="1" applyAlignment="1">
      <alignment horizontal="left" vertical="center" wrapText="1"/>
    </xf>
    <xf numFmtId="0" fontId="50" fillId="0" borderId="3" xfId="0" applyFont="1" applyBorder="1" applyAlignment="1">
      <alignment horizontal="left" vertical="center" wrapText="1"/>
    </xf>
    <xf numFmtId="1" fontId="22" fillId="0" borderId="3" xfId="0" applyNumberFormat="1" applyFont="1" applyBorder="1" applyAlignment="1"/>
    <xf numFmtId="1" fontId="28" fillId="0" borderId="3" xfId="0" applyNumberFormat="1" applyFont="1" applyBorder="1" applyAlignment="1">
      <alignment horizontal="right" wrapText="1"/>
    </xf>
    <xf numFmtId="0" fontId="159" fillId="0" borderId="3" xfId="0" applyFont="1" applyBorder="1" applyAlignment="1">
      <alignment vertical="center"/>
    </xf>
    <xf numFmtId="14" fontId="39" fillId="0" borderId="3" xfId="0" applyNumberFormat="1" applyFont="1" applyBorder="1" applyAlignment="1"/>
    <xf numFmtId="0" fontId="57" fillId="0" borderId="3" xfId="0" applyFont="1" applyBorder="1" applyAlignment="1">
      <alignment horizontal="center" vertical="center" wrapText="1"/>
    </xf>
    <xf numFmtId="1" fontId="39" fillId="0" borderId="3" xfId="0" applyNumberFormat="1" applyFont="1" applyBorder="1" applyAlignment="1">
      <alignment horizontal="center"/>
    </xf>
    <xf numFmtId="14" fontId="28" fillId="3" borderId="3" xfId="0" applyNumberFormat="1" applyFont="1" applyFill="1" applyBorder="1" applyAlignment="1">
      <alignment vertical="center" wrapText="1"/>
    </xf>
    <xf numFmtId="0" fontId="37" fillId="0" borderId="3" xfId="0" applyFont="1" applyBorder="1"/>
    <xf numFmtId="0" fontId="57" fillId="0" borderId="3" xfId="0" applyFont="1" applyBorder="1" applyAlignment="1">
      <alignment vertical="center" wrapText="1"/>
    </xf>
    <xf numFmtId="2" fontId="28" fillId="0" borderId="3" xfId="1" applyNumberFormat="1" applyFont="1" applyBorder="1" applyAlignment="1"/>
    <xf numFmtId="0" fontId="57" fillId="3" borderId="3" xfId="0" applyFont="1" applyFill="1" applyBorder="1" applyAlignment="1">
      <alignment horizontal="center" vertical="center" wrapText="1"/>
    </xf>
    <xf numFmtId="2" fontId="37" fillId="3" borderId="3" xfId="0" applyNumberFormat="1" applyFont="1" applyFill="1" applyBorder="1"/>
    <xf numFmtId="4" fontId="63" fillId="14" borderId="3" xfId="0" applyNumberFormat="1" applyFont="1" applyFill="1" applyBorder="1" applyAlignment="1">
      <alignment horizontal="right" vertical="center"/>
    </xf>
    <xf numFmtId="1" fontId="40" fillId="0" borderId="3" xfId="0" applyNumberFormat="1" applyFont="1" applyBorder="1" applyAlignment="1">
      <alignment horizontal="center" vertical="center"/>
    </xf>
    <xf numFmtId="43" fontId="35" fillId="0" borderId="3" xfId="1" applyFont="1" applyBorder="1" applyAlignment="1">
      <alignment horizontal="left" vertical="center"/>
    </xf>
    <xf numFmtId="37" fontId="35" fillId="0" borderId="3" xfId="1" applyNumberFormat="1" applyFont="1" applyBorder="1" applyAlignment="1">
      <alignment horizontal="right"/>
    </xf>
    <xf numFmtId="1" fontId="22" fillId="0" borderId="3" xfId="0" applyNumberFormat="1" applyFont="1" applyBorder="1" applyAlignment="1">
      <alignment horizontal="center" vertical="center"/>
    </xf>
    <xf numFmtId="43" fontId="35" fillId="0" borderId="3" xfId="1" applyFont="1" applyBorder="1" applyAlignment="1">
      <alignment horizontal="right" vertical="center" wrapText="1"/>
    </xf>
    <xf numFmtId="43" fontId="28" fillId="0" borderId="3" xfId="1" applyFont="1" applyBorder="1" applyAlignment="1">
      <alignment horizontal="center" vertical="center"/>
    </xf>
    <xf numFmtId="0" fontId="40" fillId="0" borderId="3" xfId="0" applyFont="1" applyBorder="1" applyAlignment="1">
      <alignment horizontal="center" vertical="center" wrapText="1"/>
    </xf>
    <xf numFmtId="43" fontId="28" fillId="0" borderId="3" xfId="1" applyFont="1" applyBorder="1" applyAlignment="1">
      <alignment horizontal="center" vertical="center" wrapText="1"/>
    </xf>
    <xf numFmtId="0" fontId="70" fillId="0" borderId="3" xfId="0" applyFont="1" applyBorder="1" applyAlignment="1">
      <alignment vertical="center" wrapText="1"/>
    </xf>
    <xf numFmtId="43" fontId="136" fillId="0" borderId="3" xfId="1" applyFont="1" applyBorder="1" applyAlignment="1">
      <alignment wrapText="1"/>
    </xf>
    <xf numFmtId="1" fontId="136" fillId="3" borderId="3" xfId="0" applyNumberFormat="1" applyFont="1" applyFill="1" applyBorder="1" applyAlignment="1"/>
    <xf numFmtId="0" fontId="160" fillId="3" borderId="3" xfId="0" applyFont="1" applyFill="1" applyBorder="1" applyAlignment="1">
      <alignment vertical="top" wrapText="1"/>
    </xf>
    <xf numFmtId="1" fontId="34" fillId="0" borderId="3" xfId="0" applyNumberFormat="1" applyFont="1" applyBorder="1" applyAlignment="1"/>
    <xf numFmtId="0" fontId="140" fillId="0" borderId="3" xfId="0" applyFont="1" applyBorder="1" applyAlignment="1">
      <alignment horizontal="center" vertical="center" wrapText="1"/>
    </xf>
    <xf numFmtId="4" fontId="161" fillId="0" borderId="3" xfId="0" applyNumberFormat="1" applyFont="1" applyBorder="1"/>
    <xf numFmtId="43" fontId="145" fillId="3" borderId="3" xfId="1" applyFont="1" applyFill="1" applyBorder="1" applyAlignment="1">
      <alignment horizontal="right" vertical="center" wrapText="1"/>
    </xf>
    <xf numFmtId="0" fontId="34" fillId="0" borderId="3" xfId="0" applyFont="1" applyBorder="1" applyAlignment="1">
      <alignment vertical="center" wrapText="1"/>
    </xf>
    <xf numFmtId="0" fontId="59" fillId="0" borderId="3" xfId="0" applyFont="1" applyBorder="1" applyAlignment="1">
      <alignment vertical="center" wrapText="1"/>
    </xf>
    <xf numFmtId="0" fontId="140" fillId="3" borderId="3" xfId="0" applyFont="1" applyFill="1" applyBorder="1" applyAlignment="1">
      <alignment horizontal="center" vertical="center" wrapText="1"/>
    </xf>
    <xf numFmtId="49" fontId="139" fillId="3" borderId="3" xfId="1" applyNumberFormat="1" applyFont="1" applyFill="1" applyBorder="1" applyAlignment="1">
      <alignment horizontal="right" vertical="center" wrapText="1"/>
    </xf>
    <xf numFmtId="0" fontId="136" fillId="0" borderId="3" xfId="0" applyFont="1" applyBorder="1" applyAlignment="1">
      <alignment vertical="center" wrapText="1"/>
    </xf>
    <xf numFmtId="0" fontId="136" fillId="0" borderId="3" xfId="0" applyFont="1" applyBorder="1" applyAlignment="1">
      <alignment horizontal="center" vertical="center" wrapText="1"/>
    </xf>
    <xf numFmtId="0" fontId="162" fillId="0" borderId="3" xfId="0" applyFont="1" applyBorder="1" applyAlignment="1">
      <alignment wrapText="1"/>
    </xf>
    <xf numFmtId="43" fontId="145" fillId="3" borderId="3" xfId="1" applyFont="1" applyFill="1" applyBorder="1" applyAlignment="1">
      <alignment vertical="center" wrapText="1"/>
    </xf>
    <xf numFmtId="0" fontId="34" fillId="3" borderId="3" xfId="0" applyFont="1" applyFill="1" applyBorder="1" applyAlignment="1">
      <alignment wrapText="1"/>
    </xf>
    <xf numFmtId="14" fontId="136" fillId="0" borderId="3" xfId="0" applyNumberFormat="1" applyFont="1" applyBorder="1" applyAlignment="1">
      <alignment horizontal="center" vertical="center" wrapText="1"/>
    </xf>
    <xf numFmtId="4" fontId="32" fillId="0" borderId="3" xfId="0" applyNumberFormat="1" applyFont="1" applyBorder="1"/>
    <xf numFmtId="0" fontId="162" fillId="3" borderId="3" xfId="0" applyFont="1" applyFill="1" applyBorder="1" applyAlignment="1">
      <alignment vertical="center" wrapText="1"/>
    </xf>
    <xf numFmtId="0" fontId="162" fillId="0" borderId="3" xfId="0" applyFont="1" applyBorder="1"/>
    <xf numFmtId="0" fontId="32" fillId="0" borderId="3" xfId="0" applyFont="1" applyBorder="1"/>
    <xf numFmtId="164" fontId="39" fillId="0" borderId="3" xfId="1" applyNumberFormat="1" applyFont="1" applyBorder="1" applyAlignment="1"/>
    <xf numFmtId="0" fontId="3" fillId="0" borderId="3" xfId="0" applyFont="1" applyBorder="1"/>
    <xf numFmtId="1" fontId="3" fillId="0" borderId="3" xfId="0" applyNumberFormat="1" applyFont="1" applyBorder="1"/>
    <xf numFmtId="0" fontId="23" fillId="5" borderId="3" xfId="0" applyFont="1" applyFill="1" applyBorder="1" applyAlignment="1">
      <alignment wrapText="1"/>
    </xf>
    <xf numFmtId="0" fontId="23" fillId="0" borderId="3" xfId="0" applyFont="1" applyBorder="1"/>
    <xf numFmtId="0" fontId="23" fillId="0" borderId="3" xfId="0" applyFont="1" applyBorder="1" applyAlignment="1">
      <alignment vertical="center"/>
    </xf>
    <xf numFmtId="43" fontId="41" fillId="0" borderId="3" xfId="19" applyFont="1" applyBorder="1"/>
    <xf numFmtId="0" fontId="23" fillId="0" borderId="0" xfId="0" applyFont="1"/>
    <xf numFmtId="0" fontId="23" fillId="5" borderId="3" xfId="0" applyFont="1" applyFill="1" applyBorder="1" applyAlignment="1">
      <alignment horizontal="center"/>
    </xf>
    <xf numFmtId="0" fontId="28" fillId="5" borderId="3" xfId="0" applyFont="1" applyFill="1" applyBorder="1" applyAlignment="1">
      <alignment horizontal="center"/>
    </xf>
    <xf numFmtId="0" fontId="28" fillId="5" borderId="3" xfId="0" applyFont="1" applyFill="1" applyBorder="1" applyAlignment="1"/>
    <xf numFmtId="12" fontId="28" fillId="5" borderId="3" xfId="0" applyNumberFormat="1" applyFont="1" applyFill="1" applyBorder="1" applyAlignment="1"/>
    <xf numFmtId="43" fontId="23" fillId="5" borderId="3" xfId="0" applyNumberFormat="1" applyFont="1" applyFill="1" applyBorder="1"/>
    <xf numFmtId="0" fontId="28" fillId="5" borderId="3" xfId="0" applyFont="1" applyFill="1" applyBorder="1" applyAlignment="1">
      <alignment wrapText="1"/>
    </xf>
    <xf numFmtId="43" fontId="28" fillId="5" borderId="3" xfId="0" applyNumberFormat="1" applyFont="1" applyFill="1" applyBorder="1" applyAlignment="1"/>
    <xf numFmtId="164" fontId="28" fillId="5" borderId="3" xfId="0" applyNumberFormat="1" applyFont="1" applyFill="1" applyBorder="1" applyAlignment="1">
      <alignment wrapText="1"/>
    </xf>
    <xf numFmtId="0" fontId="28" fillId="0" borderId="3" xfId="0" applyFont="1" applyBorder="1" applyAlignment="1">
      <alignment horizontal="center"/>
    </xf>
    <xf numFmtId="12" fontId="23" fillId="5" borderId="3" xfId="0" applyNumberFormat="1" applyFont="1" applyFill="1" applyBorder="1"/>
    <xf numFmtId="0" fontId="55" fillId="5" borderId="2" xfId="0" applyFont="1" applyFill="1" applyBorder="1" applyAlignment="1">
      <alignment horizontal="center" vertical="center"/>
    </xf>
    <xf numFmtId="0" fontId="73" fillId="5" borderId="2" xfId="0" applyFont="1" applyFill="1" applyBorder="1" applyAlignment="1">
      <alignment horizontal="center" vertical="center"/>
    </xf>
    <xf numFmtId="0" fontId="55" fillId="5" borderId="6" xfId="0" applyFont="1" applyFill="1" applyBorder="1" applyAlignment="1">
      <alignment horizontal="center" vertical="center"/>
    </xf>
    <xf numFmtId="0" fontId="73" fillId="5" borderId="6" xfId="0" applyFont="1" applyFill="1" applyBorder="1" applyAlignment="1">
      <alignment horizontal="center"/>
    </xf>
    <xf numFmtId="0" fontId="73" fillId="5" borderId="6" xfId="0" applyFont="1" applyFill="1" applyBorder="1" applyAlignment="1">
      <alignment horizontal="center" vertical="center"/>
    </xf>
    <xf numFmtId="0" fontId="73" fillId="5" borderId="3" xfId="0" applyFont="1" applyFill="1" applyBorder="1" applyAlignment="1">
      <alignment horizontal="center"/>
    </xf>
    <xf numFmtId="0" fontId="73" fillId="5" borderId="3" xfId="0" applyFont="1" applyFill="1" applyBorder="1" applyAlignment="1">
      <alignment horizontal="center" wrapText="1"/>
    </xf>
    <xf numFmtId="0" fontId="163" fillId="0" borderId="3" xfId="0" applyFont="1" applyBorder="1" applyAlignment="1">
      <alignment horizontal="center" vertical="center"/>
    </xf>
    <xf numFmtId="0" fontId="31" fillId="0" borderId="3" xfId="0" applyFont="1" applyBorder="1" applyAlignment="1">
      <alignment horizontal="center" vertical="center" wrapText="1"/>
    </xf>
    <xf numFmtId="0" fontId="49" fillId="0" borderId="3" xfId="0" applyFont="1" applyBorder="1" applyAlignment="1">
      <alignment horizontal="center" vertical="center" wrapText="1"/>
    </xf>
    <xf numFmtId="0" fontId="164" fillId="3" borderId="3" xfId="0" applyFont="1" applyFill="1" applyBorder="1" applyAlignment="1">
      <alignment horizontal="center" vertical="center" wrapText="1"/>
    </xf>
    <xf numFmtId="0" fontId="164" fillId="3" borderId="6" xfId="0" applyFont="1" applyFill="1" applyBorder="1" applyAlignment="1">
      <alignment vertical="center" wrapText="1"/>
    </xf>
    <xf numFmtId="3" fontId="165" fillId="0" borderId="5" xfId="0" applyNumberFormat="1" applyFont="1" applyBorder="1" applyAlignment="1">
      <alignment horizontal="center" vertical="center" wrapText="1"/>
    </xf>
    <xf numFmtId="164" fontId="164" fillId="3" borderId="6" xfId="6" applyNumberFormat="1" applyFont="1" applyFill="1" applyBorder="1" applyAlignment="1">
      <alignment horizontal="center" vertical="center"/>
    </xf>
    <xf numFmtId="3" fontId="165" fillId="0" borderId="5" xfId="0" applyNumberFormat="1" applyFont="1" applyBorder="1" applyAlignment="1">
      <alignment vertical="center" wrapText="1"/>
    </xf>
    <xf numFmtId="168" fontId="164" fillId="3" borderId="6" xfId="6" applyFont="1" applyFill="1" applyBorder="1" applyAlignment="1">
      <alignment vertical="center"/>
    </xf>
    <xf numFmtId="164" fontId="51" fillId="3" borderId="3" xfId="0" applyNumberFormat="1" applyFont="1" applyFill="1" applyBorder="1" applyAlignment="1">
      <alignment vertical="top" wrapText="1"/>
    </xf>
    <xf numFmtId="0" fontId="166" fillId="0" borderId="3" xfId="0" applyFont="1" applyBorder="1"/>
    <xf numFmtId="0" fontId="166" fillId="0" borderId="0" xfId="0" applyFont="1"/>
    <xf numFmtId="49" fontId="164" fillId="3" borderId="6" xfId="6" applyNumberFormat="1" applyFont="1" applyFill="1" applyBorder="1" applyAlignment="1">
      <alignment vertical="center"/>
    </xf>
    <xf numFmtId="168" fontId="164" fillId="3" borderId="6" xfId="6" applyFont="1" applyFill="1" applyBorder="1" applyAlignment="1">
      <alignment horizontal="center" vertical="center"/>
    </xf>
    <xf numFmtId="0" fontId="164" fillId="3" borderId="3" xfId="0" applyFont="1" applyFill="1" applyBorder="1" applyAlignment="1">
      <alignment vertical="center" wrapText="1"/>
    </xf>
    <xf numFmtId="164" fontId="164" fillId="3" borderId="3" xfId="6" applyNumberFormat="1" applyFont="1" applyFill="1" applyBorder="1" applyAlignment="1">
      <alignment horizontal="center" vertical="center"/>
    </xf>
    <xf numFmtId="168" fontId="164" fillId="3" borderId="4" xfId="6" applyFont="1" applyFill="1" applyBorder="1" applyAlignment="1">
      <alignment vertical="center"/>
    </xf>
    <xf numFmtId="0" fontId="0" fillId="0" borderId="3" xfId="0" applyFont="1" applyBorder="1"/>
    <xf numFmtId="0" fontId="168" fillId="0" borderId="3" xfId="0" applyFont="1" applyBorder="1" applyAlignment="1">
      <alignment wrapText="1"/>
    </xf>
    <xf numFmtId="0" fontId="164" fillId="3" borderId="6" xfId="0" applyFont="1" applyFill="1" applyBorder="1" applyAlignment="1">
      <alignment horizontal="center" vertical="center" wrapText="1"/>
    </xf>
    <xf numFmtId="0" fontId="164" fillId="3" borderId="6" xfId="0" applyFont="1" applyFill="1" applyBorder="1" applyAlignment="1">
      <alignment horizontal="left" vertical="top"/>
    </xf>
    <xf numFmtId="0" fontId="169" fillId="0" borderId="3" xfId="0" applyFont="1" applyBorder="1" applyAlignment="1">
      <alignment horizontal="center" vertical="center" wrapText="1"/>
    </xf>
    <xf numFmtId="3" fontId="164" fillId="0" borderId="5" xfId="0" applyNumberFormat="1" applyFont="1" applyBorder="1" applyAlignment="1">
      <alignment horizontal="center" vertical="center" wrapText="1"/>
    </xf>
    <xf numFmtId="1" fontId="164" fillId="3" borderId="6" xfId="0" applyNumberFormat="1" applyFont="1" applyFill="1" applyBorder="1" applyAlignment="1">
      <alignment vertical="center" wrapText="1"/>
    </xf>
    <xf numFmtId="164" fontId="164" fillId="3" borderId="10" xfId="1" applyNumberFormat="1" applyFont="1" applyFill="1" applyBorder="1" applyAlignment="1">
      <alignment horizontal="right" vertical="center" wrapText="1"/>
    </xf>
    <xf numFmtId="3" fontId="164" fillId="0" borderId="5" xfId="0" applyNumberFormat="1" applyFont="1" applyBorder="1" applyAlignment="1">
      <alignment vertical="center" wrapText="1"/>
    </xf>
    <xf numFmtId="0" fontId="170" fillId="3" borderId="3" xfId="0" applyFont="1" applyFill="1" applyBorder="1" applyAlignment="1">
      <alignment horizontal="center" vertical="center" wrapText="1"/>
    </xf>
    <xf numFmtId="43" fontId="170" fillId="3" borderId="3" xfId="1" applyFont="1" applyFill="1" applyBorder="1" applyAlignment="1">
      <alignment horizontal="left" wrapText="1"/>
    </xf>
    <xf numFmtId="1" fontId="164" fillId="3" borderId="3" xfId="0" applyNumberFormat="1" applyFont="1" applyFill="1" applyBorder="1" applyAlignment="1">
      <alignment horizontal="center" vertical="center" wrapText="1"/>
    </xf>
    <xf numFmtId="164" fontId="164" fillId="3" borderId="4" xfId="1" applyNumberFormat="1" applyFont="1" applyFill="1" applyBorder="1" applyAlignment="1">
      <alignment horizontal="right" vertical="center"/>
    </xf>
    <xf numFmtId="0" fontId="168" fillId="0" borderId="3" xfId="0" applyFont="1" applyBorder="1" applyAlignment="1">
      <alignment vertical="top" wrapText="1"/>
    </xf>
    <xf numFmtId="0" fontId="170" fillId="3" borderId="3" xfId="0" applyFont="1" applyFill="1" applyBorder="1" applyAlignment="1">
      <alignment vertical="top" wrapText="1"/>
    </xf>
    <xf numFmtId="1" fontId="164" fillId="3" borderId="3" xfId="0" applyNumberFormat="1" applyFont="1" applyFill="1" applyBorder="1" applyAlignment="1">
      <alignment horizontal="center" vertical="top" wrapText="1"/>
    </xf>
    <xf numFmtId="0" fontId="171" fillId="0" borderId="3" xfId="0" applyFont="1" applyBorder="1" applyAlignment="1">
      <alignment horizontal="center" vertical="top" wrapText="1"/>
    </xf>
    <xf numFmtId="3" fontId="164" fillId="0" borderId="5" xfId="0" applyNumberFormat="1" applyFont="1" applyBorder="1" applyAlignment="1">
      <alignment horizontal="center" vertical="top" wrapText="1"/>
    </xf>
    <xf numFmtId="164" fontId="164" fillId="3" borderId="7" xfId="1" applyNumberFormat="1" applyFont="1" applyFill="1" applyBorder="1" applyAlignment="1">
      <alignment horizontal="right" vertical="center"/>
    </xf>
    <xf numFmtId="43" fontId="164" fillId="3" borderId="3" xfId="1" applyFont="1" applyFill="1" applyBorder="1" applyAlignment="1">
      <alignment horizontal="left" wrapText="1"/>
    </xf>
    <xf numFmtId="0" fontId="171" fillId="0" borderId="3" xfId="0" applyFont="1" applyBorder="1" applyAlignment="1">
      <alignment horizontal="center" vertical="center" wrapText="1"/>
    </xf>
    <xf numFmtId="1" fontId="164" fillId="3" borderId="3" xfId="1" applyNumberFormat="1" applyFont="1" applyFill="1" applyBorder="1" applyAlignment="1">
      <alignment vertical="center"/>
    </xf>
    <xf numFmtId="164" fontId="164" fillId="3" borderId="4" xfId="1" applyNumberFormat="1" applyFont="1" applyFill="1" applyBorder="1" applyAlignment="1">
      <alignment horizontal="right" vertical="center" wrapText="1"/>
    </xf>
    <xf numFmtId="0" fontId="172" fillId="3" borderId="15" xfId="0" applyFont="1" applyFill="1" applyBorder="1" applyAlignment="1">
      <alignment horizontal="left" wrapText="1"/>
    </xf>
    <xf numFmtId="0" fontId="172" fillId="3" borderId="16" xfId="0" applyFont="1" applyFill="1" applyBorder="1" applyAlignment="1">
      <alignment horizontal="center" vertical="center"/>
    </xf>
    <xf numFmtId="43" fontId="173" fillId="3" borderId="15" xfId="20" applyFont="1" applyFill="1" applyBorder="1" applyAlignment="1">
      <alignment horizontal="left" vertical="center" wrapText="1"/>
    </xf>
    <xf numFmtId="1" fontId="174" fillId="3" borderId="15" xfId="20" applyNumberFormat="1" applyFont="1" applyFill="1" applyBorder="1" applyAlignment="1">
      <alignment horizontal="center" vertical="center"/>
    </xf>
    <xf numFmtId="164" fontId="174" fillId="3" borderId="17" xfId="20" applyNumberFormat="1" applyFont="1" applyFill="1" applyBorder="1" applyAlignment="1">
      <alignment horizontal="right" vertical="top" wrapText="1"/>
    </xf>
    <xf numFmtId="0" fontId="172" fillId="3" borderId="3" xfId="0" applyFont="1" applyFill="1" applyBorder="1" applyAlignment="1">
      <alignment horizontal="justify" wrapText="1"/>
    </xf>
    <xf numFmtId="0" fontId="172" fillId="3" borderId="3" xfId="0" applyFont="1" applyFill="1" applyBorder="1" applyAlignment="1">
      <alignment horizontal="center" vertical="center" wrapText="1"/>
    </xf>
    <xf numFmtId="43" fontId="173" fillId="3" borderId="3" xfId="20" applyFont="1" applyFill="1" applyBorder="1" applyAlignment="1">
      <alignment horizontal="left" vertical="center" wrapText="1"/>
    </xf>
    <xf numFmtId="1" fontId="174" fillId="3" borderId="3" xfId="20" applyNumberFormat="1" applyFont="1" applyFill="1" applyBorder="1" applyAlignment="1">
      <alignment horizontal="center" vertical="center"/>
    </xf>
    <xf numFmtId="164" fontId="174" fillId="3" borderId="4" xfId="20" applyNumberFormat="1" applyFont="1" applyFill="1" applyBorder="1" applyAlignment="1"/>
    <xf numFmtId="0" fontId="172" fillId="0" borderId="2" xfId="0" applyFont="1" applyBorder="1" applyAlignment="1">
      <alignment horizontal="justify" wrapText="1"/>
    </xf>
    <xf numFmtId="0" fontId="172" fillId="0" borderId="2" xfId="0" applyFont="1" applyBorder="1" applyAlignment="1">
      <alignment horizontal="center" vertical="center" wrapText="1"/>
    </xf>
    <xf numFmtId="43" fontId="172" fillId="3" borderId="2" xfId="20" applyFont="1" applyFill="1" applyBorder="1" applyAlignment="1">
      <alignment horizontal="left" wrapText="1"/>
    </xf>
    <xf numFmtId="1" fontId="142" fillId="0" borderId="2" xfId="0" applyNumberFormat="1" applyFont="1" applyBorder="1" applyAlignment="1">
      <alignment horizontal="center" vertical="center" wrapText="1"/>
    </xf>
    <xf numFmtId="0" fontId="172" fillId="0" borderId="3" xfId="0" applyFont="1" applyBorder="1" applyAlignment="1">
      <alignment horizontal="justify" wrapText="1"/>
    </xf>
    <xf numFmtId="0" fontId="172" fillId="0" borderId="3" xfId="0" applyFont="1" applyBorder="1" applyAlignment="1">
      <alignment horizontal="center" vertical="center" wrapText="1"/>
    </xf>
    <xf numFmtId="0" fontId="172" fillId="3" borderId="3" xfId="0" applyFont="1" applyFill="1" applyBorder="1" applyAlignment="1">
      <alignment vertical="top" wrapText="1"/>
    </xf>
    <xf numFmtId="164" fontId="174" fillId="0" borderId="3" xfId="0" applyNumberFormat="1" applyFont="1" applyBorder="1" applyAlignment="1">
      <alignment vertical="center"/>
    </xf>
    <xf numFmtId="164" fontId="172" fillId="0" borderId="4" xfId="0" applyNumberFormat="1" applyFont="1" applyFill="1" applyBorder="1"/>
    <xf numFmtId="43" fontId="173" fillId="13" borderId="18" xfId="21" applyNumberFormat="1" applyFont="1" applyFill="1" applyBorder="1" applyAlignment="1">
      <alignment vertical="top" wrapText="1"/>
    </xf>
    <xf numFmtId="164" fontId="174" fillId="0" borderId="18" xfId="0" applyNumberFormat="1" applyFont="1" applyBorder="1" applyAlignment="1">
      <alignment vertical="center"/>
    </xf>
    <xf numFmtId="4" fontId="60" fillId="0" borderId="4" xfId="0" applyNumberFormat="1" applyFont="1" applyBorder="1"/>
    <xf numFmtId="0" fontId="0" fillId="0" borderId="3" xfId="0" applyFont="1" applyBorder="1" applyAlignment="1">
      <alignment horizontal="center" vertical="center"/>
    </xf>
    <xf numFmtId="14" fontId="145" fillId="0" borderId="3" xfId="0" applyNumberFormat="1" applyFont="1" applyBorder="1" applyAlignment="1">
      <alignment horizontal="center" vertical="center" wrapText="1"/>
    </xf>
    <xf numFmtId="0" fontId="139" fillId="3" borderId="11" xfId="0" applyFont="1" applyFill="1" applyBorder="1" applyAlignment="1">
      <alignment horizontal="justify" vertical="top" wrapText="1"/>
    </xf>
    <xf numFmtId="0" fontId="175" fillId="0" borderId="3" xfId="0" applyFont="1" applyBorder="1" applyAlignment="1">
      <alignment horizontal="left" vertical="center" wrapText="1"/>
    </xf>
    <xf numFmtId="164" fontId="176" fillId="0" borderId="3" xfId="1" applyNumberFormat="1" applyFont="1" applyBorder="1" applyAlignment="1">
      <alignment vertical="center"/>
    </xf>
    <xf numFmtId="164" fontId="147" fillId="0" borderId="4" xfId="1" applyNumberFormat="1" applyFont="1" applyBorder="1" applyAlignment="1">
      <alignment horizontal="right"/>
    </xf>
    <xf numFmtId="0" fontId="139" fillId="3" borderId="11" xfId="0" applyFont="1" applyFill="1" applyBorder="1" applyAlignment="1">
      <alignment horizontal="left" vertical="top" wrapText="1"/>
    </xf>
    <xf numFmtId="164" fontId="147" fillId="0" borderId="4" xfId="0" applyNumberFormat="1" applyFont="1" applyBorder="1" applyAlignment="1">
      <alignment horizontal="right"/>
    </xf>
    <xf numFmtId="0" fontId="139" fillId="13" borderId="11" xfId="0" applyFont="1" applyFill="1" applyBorder="1" applyAlignment="1">
      <alignment horizontal="justify" vertical="top" wrapText="1"/>
    </xf>
    <xf numFmtId="0" fontId="139" fillId="15" borderId="11" xfId="0" applyFont="1" applyFill="1" applyBorder="1" applyAlignment="1">
      <alignment horizontal="justify" vertical="top" wrapText="1"/>
    </xf>
    <xf numFmtId="0" fontId="175" fillId="0" borderId="3" xfId="0" applyFont="1" applyBorder="1" applyAlignment="1">
      <alignment horizontal="right" wrapText="1"/>
    </xf>
    <xf numFmtId="0" fontId="139" fillId="3" borderId="3" xfId="0" applyFont="1" applyFill="1" applyBorder="1" applyAlignment="1">
      <alignment horizontal="justify" vertical="top" wrapText="1"/>
    </xf>
    <xf numFmtId="14" fontId="168" fillId="0" borderId="3" xfId="0" applyNumberFormat="1" applyFont="1" applyBorder="1" applyAlignment="1">
      <alignment horizontal="center" vertical="center" wrapText="1"/>
    </xf>
    <xf numFmtId="0" fontId="164" fillId="3" borderId="3" xfId="0" applyFont="1" applyFill="1" applyBorder="1" applyAlignment="1">
      <alignment vertical="top" wrapText="1"/>
    </xf>
    <xf numFmtId="164" fontId="169" fillId="3" borderId="3" xfId="20" applyNumberFormat="1" applyFont="1" applyFill="1" applyBorder="1" applyAlignment="1">
      <alignment horizontal="center" vertical="center" wrapText="1"/>
    </xf>
    <xf numFmtId="164" fontId="164" fillId="3" borderId="4" xfId="20" applyNumberFormat="1" applyFont="1" applyFill="1" applyBorder="1" applyAlignment="1">
      <alignment vertical="top"/>
    </xf>
    <xf numFmtId="2" fontId="164" fillId="3" borderId="4" xfId="20" applyNumberFormat="1" applyFont="1" applyFill="1" applyBorder="1" applyAlignment="1">
      <alignment vertical="top"/>
    </xf>
    <xf numFmtId="17" fontId="168" fillId="0" borderId="3" xfId="0" applyNumberFormat="1" applyFont="1" applyBorder="1" applyAlignment="1">
      <alignment horizontal="center" vertical="center" wrapText="1"/>
    </xf>
    <xf numFmtId="164" fontId="164" fillId="3" borderId="3" xfId="20" applyNumberFormat="1" applyFont="1" applyFill="1" applyBorder="1" applyAlignment="1">
      <alignment vertical="center"/>
    </xf>
    <xf numFmtId="164" fontId="169" fillId="0" borderId="4" xfId="0" applyNumberFormat="1" applyFont="1" applyBorder="1"/>
    <xf numFmtId="15" fontId="169" fillId="0" borderId="3" xfId="0" applyNumberFormat="1" applyFont="1" applyBorder="1" applyAlignment="1">
      <alignment horizontal="center" vertical="center"/>
    </xf>
    <xf numFmtId="171" fontId="168" fillId="3" borderId="5" xfId="22" applyNumberFormat="1" applyFont="1" applyFill="1" applyBorder="1"/>
    <xf numFmtId="0" fontId="168" fillId="0" borderId="3" xfId="0" applyFont="1" applyBorder="1" applyAlignment="1">
      <alignment horizontal="center" vertical="center" wrapText="1"/>
    </xf>
    <xf numFmtId="0" fontId="169" fillId="0" borderId="3" xfId="0" applyFont="1" applyBorder="1"/>
    <xf numFmtId="0" fontId="169" fillId="0" borderId="3" xfId="0" applyFont="1" applyBorder="1" applyAlignment="1">
      <alignment wrapText="1"/>
    </xf>
    <xf numFmtId="0" fontId="169" fillId="0" borderId="3" xfId="0" applyFont="1" applyFill="1" applyBorder="1" applyAlignment="1">
      <alignment wrapText="1"/>
    </xf>
    <xf numFmtId="164" fontId="169" fillId="0" borderId="0" xfId="0" applyNumberFormat="1" applyFont="1"/>
    <xf numFmtId="0" fontId="169" fillId="0" borderId="3" xfId="0" applyFont="1" applyFill="1" applyBorder="1" applyAlignment="1">
      <alignment vertical="top" wrapText="1"/>
    </xf>
    <xf numFmtId="164" fontId="169" fillId="3" borderId="3" xfId="20" applyNumberFormat="1" applyFont="1" applyFill="1" applyBorder="1" applyAlignment="1">
      <alignment vertical="top" wrapText="1"/>
    </xf>
    <xf numFmtId="43" fontId="168" fillId="0" borderId="4" xfId="1" applyFont="1" applyBorder="1"/>
    <xf numFmtId="0" fontId="164" fillId="0" borderId="4" xfId="0" applyFont="1" applyFill="1" applyBorder="1" applyAlignment="1">
      <alignment vertical="top" wrapText="1"/>
    </xf>
    <xf numFmtId="164" fontId="164" fillId="0" borderId="7" xfId="0" applyNumberFormat="1" applyFont="1" applyBorder="1" applyAlignment="1">
      <alignment horizontal="center" vertical="center" wrapText="1"/>
    </xf>
    <xf numFmtId="0" fontId="140" fillId="0" borderId="3" xfId="0" applyFont="1" applyBorder="1" applyAlignment="1">
      <alignment vertical="top" wrapText="1"/>
    </xf>
    <xf numFmtId="0" fontId="145" fillId="0" borderId="3" xfId="0" applyFont="1" applyBorder="1" applyAlignment="1">
      <alignment horizontal="center" vertical="center" wrapText="1"/>
    </xf>
    <xf numFmtId="0" fontId="177" fillId="3" borderId="3" xfId="0" applyFont="1" applyFill="1" applyBorder="1" applyAlignment="1">
      <alignment vertical="top" wrapText="1"/>
    </xf>
    <xf numFmtId="164" fontId="135" fillId="3" borderId="3" xfId="1" applyNumberFormat="1" applyFont="1" applyFill="1" applyBorder="1" applyAlignment="1">
      <alignment vertical="center"/>
    </xf>
    <xf numFmtId="39" fontId="147" fillId="3" borderId="4" xfId="1" applyNumberFormat="1" applyFont="1" applyFill="1" applyBorder="1" applyAlignment="1">
      <alignment horizontal="right" vertical="top"/>
    </xf>
    <xf numFmtId="0" fontId="178" fillId="3" borderId="3" xfId="0" applyFont="1" applyFill="1" applyBorder="1" applyAlignment="1">
      <alignment vertical="top" wrapText="1"/>
    </xf>
    <xf numFmtId="164" fontId="134" fillId="3" borderId="3" xfId="1" applyNumberFormat="1" applyFont="1" applyFill="1" applyBorder="1" applyAlignment="1">
      <alignment vertical="top" wrapText="1"/>
    </xf>
    <xf numFmtId="164" fontId="179" fillId="3" borderId="4" xfId="1" applyNumberFormat="1" applyFont="1" applyFill="1" applyBorder="1" applyAlignment="1">
      <alignment horizontal="right" vertical="top"/>
    </xf>
    <xf numFmtId="0" fontId="178" fillId="0" borderId="3" xfId="0" applyFont="1" applyBorder="1" applyAlignment="1">
      <alignment vertical="top" wrapText="1"/>
    </xf>
    <xf numFmtId="39" fontId="179" fillId="3" borderId="4" xfId="1" applyNumberFormat="1" applyFont="1" applyFill="1" applyBorder="1" applyAlignment="1">
      <alignment horizontal="right" vertical="top"/>
    </xf>
    <xf numFmtId="39" fontId="135" fillId="3" borderId="4" xfId="1" applyNumberFormat="1" applyFont="1" applyFill="1" applyBorder="1" applyAlignment="1">
      <alignment horizontal="right" vertical="top"/>
    </xf>
    <xf numFmtId="12" fontId="180" fillId="0" borderId="0" xfId="0" applyNumberFormat="1" applyFont="1" applyAlignment="1">
      <alignment horizontal="left" vertical="center" wrapText="1"/>
    </xf>
    <xf numFmtId="164" fontId="86" fillId="3" borderId="3" xfId="1" applyNumberFormat="1" applyFont="1" applyFill="1" applyBorder="1" applyAlignment="1">
      <alignment horizontal="center" vertical="center" wrapText="1"/>
    </xf>
    <xf numFmtId="39" fontId="182" fillId="3" borderId="4" xfId="1" applyNumberFormat="1" applyFont="1" applyFill="1" applyBorder="1" applyAlignment="1">
      <alignment horizontal="right" vertical="top"/>
    </xf>
    <xf numFmtId="164" fontId="135" fillId="3" borderId="3" xfId="1" applyNumberFormat="1" applyFont="1" applyFill="1" applyBorder="1" applyAlignment="1">
      <alignment vertical="center" wrapText="1"/>
    </xf>
    <xf numFmtId="164" fontId="135" fillId="3" borderId="4" xfId="1" applyNumberFormat="1" applyFont="1" applyFill="1" applyBorder="1" applyAlignment="1">
      <alignment horizontal="right" vertical="top"/>
    </xf>
    <xf numFmtId="0" fontId="178" fillId="3" borderId="4" xfId="0" applyFont="1" applyFill="1" applyBorder="1" applyAlignment="1">
      <alignment vertical="top" wrapText="1"/>
    </xf>
    <xf numFmtId="37" fontId="135" fillId="3" borderId="4" xfId="1" applyNumberFormat="1" applyFont="1" applyFill="1" applyBorder="1" applyAlignment="1">
      <alignment horizontal="right" vertical="top"/>
    </xf>
    <xf numFmtId="14" fontId="145" fillId="0" borderId="6" xfId="0" applyNumberFormat="1" applyFont="1" applyBorder="1" applyAlignment="1">
      <alignment horizontal="center" vertical="center" wrapText="1"/>
    </xf>
    <xf numFmtId="3" fontId="183" fillId="3" borderId="3" xfId="0" applyNumberFormat="1" applyFont="1" applyFill="1" applyBorder="1" applyAlignment="1">
      <alignment vertical="top" wrapText="1"/>
    </xf>
    <xf numFmtId="164" fontId="182" fillId="3" borderId="3" xfId="1" applyNumberFormat="1" applyFont="1" applyFill="1" applyBorder="1" applyAlignment="1">
      <alignment vertical="center"/>
    </xf>
    <xf numFmtId="37" fontId="182" fillId="3" borderId="4" xfId="1" applyNumberFormat="1" applyFont="1" applyFill="1" applyBorder="1" applyAlignment="1">
      <alignment horizontal="right" vertical="top"/>
    </xf>
    <xf numFmtId="0" fontId="145" fillId="0" borderId="6" xfId="0" applyFont="1" applyBorder="1" applyAlignment="1">
      <alignment horizontal="center" vertical="center" wrapText="1"/>
    </xf>
    <xf numFmtId="0" fontId="183" fillId="3" borderId="3" xfId="0" applyFont="1" applyFill="1" applyBorder="1" applyAlignment="1">
      <alignment vertical="top" wrapText="1"/>
    </xf>
    <xf numFmtId="0" fontId="140" fillId="0" borderId="2" xfId="0" applyFont="1" applyBorder="1" applyAlignment="1">
      <alignment vertical="top" wrapText="1"/>
    </xf>
    <xf numFmtId="0" fontId="49" fillId="0" borderId="2" xfId="0" applyFont="1" applyBorder="1" applyAlignment="1">
      <alignment horizontal="center" vertical="center" wrapText="1"/>
    </xf>
    <xf numFmtId="0" fontId="140" fillId="0" borderId="6" xfId="0" applyFont="1" applyBorder="1" applyAlignment="1">
      <alignment horizontal="center" vertical="center" wrapText="1"/>
    </xf>
    <xf numFmtId="0" fontId="184" fillId="3" borderId="3" xfId="0" applyFont="1" applyFill="1" applyBorder="1" applyAlignment="1">
      <alignment horizontal="center" vertical="center" wrapText="1"/>
    </xf>
    <xf numFmtId="164" fontId="141" fillId="3" borderId="3" xfId="1" applyNumberFormat="1" applyFont="1" applyFill="1" applyBorder="1" applyAlignment="1">
      <alignment horizontal="left" vertical="top" wrapText="1"/>
    </xf>
    <xf numFmtId="164" fontId="184" fillId="3" borderId="3" xfId="1" applyNumberFormat="1" applyFont="1" applyFill="1" applyBorder="1" applyAlignment="1">
      <alignment vertical="center" wrapText="1"/>
    </xf>
    <xf numFmtId="164" fontId="185" fillId="0" borderId="4" xfId="1" applyNumberFormat="1" applyFont="1" applyBorder="1" applyAlignment="1">
      <alignment vertical="top"/>
    </xf>
    <xf numFmtId="164" fontId="184" fillId="3" borderId="3" xfId="1" applyNumberFormat="1" applyFont="1" applyFill="1" applyBorder="1" applyAlignment="1">
      <alignment vertical="top"/>
    </xf>
    <xf numFmtId="14" fontId="186" fillId="3" borderId="3" xfId="0" applyNumberFormat="1" applyFont="1" applyFill="1" applyBorder="1" applyAlignment="1">
      <alignment horizontal="center" vertical="center" wrapText="1"/>
    </xf>
    <xf numFmtId="164" fontId="141" fillId="3" borderId="3" xfId="1" applyNumberFormat="1" applyFont="1" applyFill="1" applyBorder="1" applyAlignment="1">
      <alignment vertical="top" wrapText="1"/>
    </xf>
    <xf numFmtId="0" fontId="186" fillId="3" borderId="3" xfId="0" applyFont="1" applyFill="1" applyBorder="1" applyAlignment="1">
      <alignment horizontal="center" vertical="center" wrapText="1"/>
    </xf>
    <xf numFmtId="0" fontId="187" fillId="3" borderId="3" xfId="0" applyFont="1" applyFill="1" applyBorder="1" applyAlignment="1">
      <alignment horizontal="center" vertical="center" wrapText="1"/>
    </xf>
    <xf numFmtId="164" fontId="186" fillId="13" borderId="3" xfId="1" applyNumberFormat="1" applyFont="1" applyFill="1" applyBorder="1" applyAlignment="1">
      <alignment horizontal="left" vertical="top" wrapText="1"/>
    </xf>
    <xf numFmtId="164" fontId="188" fillId="3" borderId="3" xfId="1" applyNumberFormat="1" applyFont="1" applyFill="1" applyBorder="1" applyAlignment="1">
      <alignment vertical="center" wrapText="1"/>
    </xf>
    <xf numFmtId="14" fontId="187" fillId="3" borderId="3" xfId="0" applyNumberFormat="1" applyFont="1" applyFill="1" applyBorder="1" applyAlignment="1">
      <alignment horizontal="center" vertical="center" wrapText="1"/>
    </xf>
    <xf numFmtId="164" fontId="141" fillId="3" borderId="3" xfId="1" applyNumberFormat="1" applyFont="1" applyFill="1" applyBorder="1" applyAlignment="1">
      <alignment vertical="center" wrapText="1"/>
    </xf>
    <xf numFmtId="164" fontId="141" fillId="3" borderId="4" xfId="1" applyNumberFormat="1" applyFont="1" applyFill="1" applyBorder="1" applyAlignment="1">
      <alignment vertical="top" wrapText="1"/>
    </xf>
    <xf numFmtId="164" fontId="186" fillId="12" borderId="3" xfId="1" applyNumberFormat="1" applyFont="1" applyFill="1" applyBorder="1" applyAlignment="1">
      <alignment horizontal="left" vertical="top" wrapText="1"/>
    </xf>
    <xf numFmtId="164" fontId="141" fillId="3" borderId="4" xfId="1" applyNumberFormat="1" applyFont="1" applyFill="1" applyBorder="1" applyAlignment="1">
      <alignment horizontal="center" vertical="top" wrapText="1"/>
    </xf>
    <xf numFmtId="164" fontId="134" fillId="3" borderId="3" xfId="1" applyNumberFormat="1" applyFont="1" applyFill="1" applyBorder="1" applyAlignment="1">
      <alignment vertical="center" wrapText="1"/>
    </xf>
    <xf numFmtId="165" fontId="186" fillId="12" borderId="3" xfId="1" applyNumberFormat="1" applyFont="1" applyFill="1" applyBorder="1" applyAlignment="1">
      <alignment horizontal="left" vertical="top" wrapText="1"/>
    </xf>
    <xf numFmtId="14" fontId="141" fillId="3" borderId="3" xfId="1" applyNumberFormat="1" applyFont="1" applyFill="1" applyBorder="1" applyAlignment="1">
      <alignment horizontal="left" vertical="top" wrapText="1"/>
    </xf>
    <xf numFmtId="164" fontId="141" fillId="3" borderId="5" xfId="1" applyNumberFormat="1" applyFont="1" applyFill="1" applyBorder="1" applyAlignment="1">
      <alignment vertical="center" wrapText="1"/>
    </xf>
    <xf numFmtId="0" fontId="141" fillId="3" borderId="3" xfId="0" applyFont="1" applyFill="1" applyBorder="1" applyAlignment="1">
      <alignment horizontal="center" vertical="center" wrapText="1"/>
    </xf>
    <xf numFmtId="0" fontId="141" fillId="3" borderId="3" xfId="0" applyFont="1" applyFill="1" applyBorder="1" applyAlignment="1">
      <alignment vertical="top" wrapText="1"/>
    </xf>
    <xf numFmtId="0" fontId="184" fillId="3" borderId="3" xfId="0" applyFont="1" applyFill="1" applyBorder="1" applyAlignment="1">
      <alignment vertical="top" wrapText="1"/>
    </xf>
    <xf numFmtId="0" fontId="189" fillId="3" borderId="3" xfId="0" applyFont="1" applyFill="1" applyBorder="1" applyAlignment="1">
      <alignment vertical="top" wrapText="1"/>
    </xf>
    <xf numFmtId="0" fontId="36" fillId="3" borderId="6" xfId="0" applyFont="1" applyFill="1" applyBorder="1" applyAlignment="1">
      <alignment horizontal="center" vertical="center" wrapText="1"/>
    </xf>
    <xf numFmtId="0" fontId="36" fillId="3" borderId="6" xfId="0" applyFont="1" applyFill="1" applyBorder="1" applyAlignment="1">
      <alignment horizontal="left" vertical="top"/>
    </xf>
    <xf numFmtId="164" fontId="190" fillId="3" borderId="6" xfId="0" applyNumberFormat="1" applyFont="1" applyFill="1" applyBorder="1" applyAlignment="1">
      <alignment vertical="center" wrapText="1"/>
    </xf>
    <xf numFmtId="43" fontId="190" fillId="3" borderId="10" xfId="1" applyFont="1" applyFill="1" applyBorder="1" applyAlignment="1">
      <alignment horizontal="left" vertical="top" wrapText="1"/>
    </xf>
    <xf numFmtId="0" fontId="36" fillId="3" borderId="6" xfId="0" applyFont="1" applyFill="1" applyBorder="1" applyAlignment="1">
      <alignment horizontal="left" vertical="top" wrapText="1"/>
    </xf>
    <xf numFmtId="43" fontId="54" fillId="3" borderId="3" xfId="1" applyFont="1" applyFill="1" applyBorder="1" applyAlignment="1">
      <alignment horizontal="center" vertical="center" wrapText="1"/>
    </xf>
    <xf numFmtId="0" fontId="39" fillId="3" borderId="3" xfId="0" applyFont="1" applyFill="1" applyBorder="1" applyAlignment="1">
      <alignment horizontal="center" vertical="center" wrapText="1"/>
    </xf>
    <xf numFmtId="43" fontId="39" fillId="3" borderId="3" xfId="1" applyFont="1" applyFill="1" applyBorder="1" applyAlignment="1">
      <alignment horizontal="left" wrapText="1"/>
    </xf>
    <xf numFmtId="0" fontId="190" fillId="3" borderId="3" xfId="0" applyFont="1" applyFill="1" applyBorder="1" applyAlignment="1">
      <alignment horizontal="center" vertical="center" wrapText="1"/>
    </xf>
    <xf numFmtId="43" fontId="28" fillId="3" borderId="4" xfId="1" applyFont="1" applyFill="1" applyBorder="1" applyAlignment="1"/>
    <xf numFmtId="43" fontId="190" fillId="3" borderId="4" xfId="1" applyFont="1" applyFill="1" applyBorder="1" applyAlignment="1"/>
    <xf numFmtId="0" fontId="188" fillId="3" borderId="3" xfId="0" applyFont="1" applyFill="1" applyBorder="1" applyAlignment="1">
      <alignment vertical="top" wrapText="1"/>
    </xf>
    <xf numFmtId="0" fontId="190" fillId="3" borderId="3" xfId="0" applyFont="1" applyFill="1" applyBorder="1" applyAlignment="1">
      <alignment vertical="center" wrapText="1"/>
    </xf>
    <xf numFmtId="43" fontId="190" fillId="3" borderId="7" xfId="1" applyFont="1" applyFill="1" applyBorder="1" applyAlignment="1"/>
    <xf numFmtId="0" fontId="191" fillId="3" borderId="3" xfId="0" applyFont="1" applyFill="1" applyBorder="1" applyAlignment="1">
      <alignment vertical="top" wrapText="1"/>
    </xf>
    <xf numFmtId="0" fontId="147" fillId="0" borderId="5" xfId="0" applyFont="1" applyBorder="1" applyAlignment="1">
      <alignment wrapText="1"/>
    </xf>
    <xf numFmtId="0" fontId="192" fillId="0" borderId="3" xfId="0" applyFont="1" applyBorder="1" applyAlignment="1">
      <alignment horizontal="justify"/>
    </xf>
    <xf numFmtId="0" fontId="139" fillId="0" borderId="3" xfId="0" applyFont="1" applyBorder="1" applyAlignment="1">
      <alignment horizontal="center" vertical="center"/>
    </xf>
    <xf numFmtId="43" fontId="139" fillId="0" borderId="3" xfId="1" applyFont="1" applyBorder="1" applyAlignment="1">
      <alignment vertical="center" wrapText="1"/>
    </xf>
    <xf numFmtId="1" fontId="192" fillId="3" borderId="3" xfId="1" applyNumberFormat="1" applyFont="1" applyFill="1" applyBorder="1" applyAlignment="1">
      <alignment horizontal="center" vertical="center"/>
    </xf>
    <xf numFmtId="0" fontId="179" fillId="3" borderId="3" xfId="0" applyFont="1" applyFill="1" applyBorder="1" applyAlignment="1">
      <alignment horizontal="center" vertical="center" wrapText="1"/>
    </xf>
    <xf numFmtId="164" fontId="176" fillId="3" borderId="5" xfId="1" applyNumberFormat="1" applyFont="1" applyFill="1" applyBorder="1" applyAlignment="1">
      <alignment vertical="center"/>
    </xf>
    <xf numFmtId="164" fontId="193" fillId="3" borderId="4" xfId="1" applyNumberFormat="1" applyFont="1" applyFill="1" applyBorder="1" applyAlignment="1">
      <alignment vertical="top"/>
    </xf>
    <xf numFmtId="0" fontId="176" fillId="3" borderId="3" xfId="0" applyFont="1" applyFill="1" applyBorder="1" applyAlignment="1">
      <alignment vertical="top" wrapText="1"/>
    </xf>
    <xf numFmtId="164" fontId="176" fillId="3" borderId="3" xfId="1" applyNumberFormat="1" applyFont="1" applyFill="1" applyBorder="1" applyAlignment="1">
      <alignment vertical="top"/>
    </xf>
    <xf numFmtId="1" fontId="192" fillId="3" borderId="3" xfId="1" applyNumberFormat="1" applyFont="1" applyFill="1" applyBorder="1" applyAlignment="1">
      <alignment vertical="center"/>
    </xf>
    <xf numFmtId="164" fontId="176" fillId="3" borderId="4" xfId="1" applyNumberFormat="1" applyFont="1" applyFill="1" applyBorder="1" applyAlignment="1">
      <alignment vertical="top"/>
    </xf>
    <xf numFmtId="43" fontId="139" fillId="3" borderId="3" xfId="1" applyFont="1" applyFill="1" applyBorder="1" applyAlignment="1">
      <alignment horizontal="left" vertical="center" wrapText="1"/>
    </xf>
    <xf numFmtId="0" fontId="139" fillId="3" borderId="3" xfId="1" applyNumberFormat="1" applyFont="1" applyFill="1" applyBorder="1" applyAlignment="1"/>
    <xf numFmtId="164" fontId="139" fillId="3" borderId="4" xfId="1" applyNumberFormat="1" applyFont="1" applyFill="1" applyBorder="1" applyAlignment="1"/>
    <xf numFmtId="0" fontId="147" fillId="0" borderId="5" xfId="0" applyFont="1" applyBorder="1" applyAlignment="1">
      <alignment vertical="top" wrapText="1"/>
    </xf>
    <xf numFmtId="0" fontId="192" fillId="0" borderId="3" xfId="0" applyFont="1" applyBorder="1" applyAlignment="1">
      <alignment horizontal="justify" vertical="top"/>
    </xf>
    <xf numFmtId="0" fontId="139" fillId="3" borderId="6" xfId="0" applyFont="1" applyFill="1" applyBorder="1" applyAlignment="1">
      <alignment horizontal="center" vertical="center" wrapText="1"/>
    </xf>
    <xf numFmtId="43" fontId="139" fillId="3" borderId="3" xfId="1" applyFont="1" applyFill="1" applyBorder="1" applyAlignment="1">
      <alignment horizontal="left" vertical="top" wrapText="1"/>
    </xf>
    <xf numFmtId="164" fontId="139" fillId="3" borderId="4" xfId="1" applyNumberFormat="1" applyFont="1" applyFill="1" applyBorder="1" applyAlignment="1">
      <alignment vertical="top"/>
    </xf>
    <xf numFmtId="0" fontId="139" fillId="0" borderId="3" xfId="0" applyFont="1" applyBorder="1" applyAlignment="1">
      <alignment horizontal="center" vertical="center" wrapText="1"/>
    </xf>
    <xf numFmtId="1" fontId="192" fillId="3" borderId="3" xfId="1" applyNumberFormat="1" applyFont="1" applyFill="1" applyBorder="1" applyAlignment="1">
      <alignment horizontal="center" vertical="top"/>
    </xf>
    <xf numFmtId="3" fontId="139" fillId="0" borderId="3" xfId="0" applyNumberFormat="1" applyFont="1" applyBorder="1" applyAlignment="1">
      <alignment horizontal="justify" vertical="top" wrapText="1"/>
    </xf>
    <xf numFmtId="3" fontId="147" fillId="0" borderId="4" xfId="0" applyNumberFormat="1" applyFont="1" applyBorder="1" applyAlignment="1">
      <alignment vertical="top"/>
    </xf>
    <xf numFmtId="43" fontId="139" fillId="3" borderId="3" xfId="1" applyFont="1" applyFill="1" applyBorder="1" applyAlignment="1">
      <alignment horizontal="left" wrapText="1"/>
    </xf>
    <xf numFmtId="3" fontId="139" fillId="0" borderId="3" xfId="0" applyNumberFormat="1" applyFont="1" applyBorder="1" applyAlignment="1">
      <alignment horizontal="center" vertical="center" wrapText="1"/>
    </xf>
    <xf numFmtId="43" fontId="194" fillId="3" borderId="3" xfId="1" applyFont="1" applyFill="1" applyBorder="1" applyAlignment="1">
      <alignment horizontal="left" wrapText="1"/>
    </xf>
    <xf numFmtId="14" fontId="139" fillId="0" borderId="3" xfId="0" applyNumberFormat="1" applyFont="1" applyBorder="1" applyAlignment="1">
      <alignment horizontal="center" vertical="center" wrapText="1"/>
    </xf>
    <xf numFmtId="0" fontId="139" fillId="3" borderId="3" xfId="0" applyFont="1" applyFill="1" applyBorder="1" applyAlignment="1">
      <alignment horizontal="justify" wrapText="1"/>
    </xf>
    <xf numFmtId="0" fontId="139" fillId="0" borderId="3" xfId="0" applyFont="1" applyBorder="1" applyAlignment="1">
      <alignment horizontal="left" vertical="top" wrapText="1"/>
    </xf>
    <xf numFmtId="164" fontId="139" fillId="0" borderId="4" xfId="1" applyNumberFormat="1" applyFont="1" applyBorder="1" applyAlignment="1">
      <alignment vertical="top" wrapText="1"/>
    </xf>
    <xf numFmtId="0" fontId="145" fillId="0" borderId="5" xfId="0" applyFont="1" applyFill="1" applyBorder="1" applyAlignment="1">
      <alignment vertical="top" wrapText="1"/>
    </xf>
    <xf numFmtId="0" fontId="145" fillId="0" borderId="3" xfId="0" applyFont="1" applyBorder="1" applyAlignment="1">
      <alignment vertical="top" wrapText="1"/>
    </xf>
    <xf numFmtId="164" fontId="195" fillId="3" borderId="3" xfId="1" applyNumberFormat="1" applyFont="1" applyFill="1" applyBorder="1" applyAlignment="1">
      <alignment horizontal="left" vertical="top" wrapText="1"/>
    </xf>
    <xf numFmtId="0" fontId="139" fillId="0" borderId="3" xfId="0" applyFont="1" applyBorder="1" applyAlignment="1">
      <alignment horizontal="center" vertical="top" wrapText="1"/>
    </xf>
    <xf numFmtId="164" fontId="139" fillId="3" borderId="3" xfId="1" applyNumberFormat="1" applyFont="1" applyFill="1" applyBorder="1" applyAlignment="1">
      <alignment vertical="center"/>
    </xf>
    <xf numFmtId="164" fontId="139" fillId="3" borderId="4" xfId="1" applyNumberFormat="1" applyFont="1" applyFill="1" applyBorder="1" applyAlignment="1">
      <alignment horizontal="right" vertical="top"/>
    </xf>
    <xf numFmtId="0" fontId="145" fillId="0" borderId="3" xfId="0" applyFont="1" applyBorder="1" applyAlignment="1">
      <alignment horizontal="center" vertical="center"/>
    </xf>
    <xf numFmtId="0" fontId="37" fillId="0" borderId="0" xfId="0" applyFont="1" applyAlignment="1">
      <alignment vertical="top" wrapText="1"/>
    </xf>
    <xf numFmtId="1" fontId="192" fillId="3" borderId="3" xfId="1" applyNumberFormat="1" applyFont="1" applyFill="1" applyBorder="1" applyAlignment="1">
      <alignment horizontal="center" vertical="top" wrapText="1"/>
    </xf>
    <xf numFmtId="164" fontId="139" fillId="3" borderId="4" xfId="1" applyNumberFormat="1" applyFont="1" applyFill="1" applyBorder="1" applyAlignment="1">
      <alignment horizontal="right" vertical="top" wrapText="1"/>
    </xf>
    <xf numFmtId="0" fontId="175" fillId="3" borderId="3" xfId="0" applyFont="1" applyFill="1" applyBorder="1" applyAlignment="1">
      <alignment vertical="top" wrapText="1"/>
    </xf>
    <xf numFmtId="0" fontId="147" fillId="0" borderId="3" xfId="0" applyFont="1" applyBorder="1" applyAlignment="1">
      <alignment horizontal="center" vertical="center"/>
    </xf>
    <xf numFmtId="0" fontId="194" fillId="3" borderId="3" xfId="0" applyFont="1" applyFill="1" applyBorder="1" applyAlignment="1">
      <alignment horizontal="justify" vertical="top" wrapText="1"/>
    </xf>
    <xf numFmtId="0" fontId="187" fillId="0" borderId="3" xfId="0" applyFont="1" applyBorder="1" applyAlignment="1">
      <alignment horizontal="center" vertical="center" wrapText="1"/>
    </xf>
    <xf numFmtId="3" fontId="176" fillId="0" borderId="5" xfId="0" applyNumberFormat="1" applyFont="1" applyBorder="1" applyAlignment="1">
      <alignment horizontal="center" vertical="center" wrapText="1"/>
    </xf>
    <xf numFmtId="164" fontId="179" fillId="0" borderId="3" xfId="1" applyNumberFormat="1" applyFont="1" applyBorder="1" applyAlignment="1">
      <alignment vertical="center"/>
    </xf>
    <xf numFmtId="0" fontId="192" fillId="0" borderId="3" xfId="0" applyFont="1" applyBorder="1" applyAlignment="1">
      <alignment horizontal="justify" wrapText="1"/>
    </xf>
    <xf numFmtId="0" fontId="139" fillId="3" borderId="6" xfId="0" applyFont="1" applyFill="1" applyBorder="1" applyAlignment="1">
      <alignment horizontal="left" vertical="top"/>
    </xf>
    <xf numFmtId="1" fontId="193" fillId="3" borderId="6" xfId="0" applyNumberFormat="1" applyFont="1" applyFill="1" applyBorder="1" applyAlignment="1">
      <alignment vertical="center" wrapText="1"/>
    </xf>
    <xf numFmtId="164" fontId="193" fillId="3" borderId="4" xfId="1" applyNumberFormat="1" applyFont="1" applyFill="1" applyBorder="1" applyAlignment="1">
      <alignment horizontal="right" vertical="top" wrapText="1"/>
    </xf>
    <xf numFmtId="0" fontId="145" fillId="0" borderId="9" xfId="0" applyFont="1" applyFill="1" applyBorder="1" applyAlignment="1">
      <alignment vertical="top" wrapText="1"/>
    </xf>
    <xf numFmtId="0" fontId="144" fillId="0" borderId="3" xfId="0" applyFont="1" applyBorder="1" applyAlignment="1">
      <alignment horizontal="center" vertical="center" wrapText="1"/>
    </xf>
    <xf numFmtId="0" fontId="144" fillId="3" borderId="3" xfId="0" applyFont="1" applyFill="1" applyBorder="1" applyAlignment="1">
      <alignment horizontal="left" vertical="top" wrapText="1"/>
    </xf>
    <xf numFmtId="164" fontId="144" fillId="0" borderId="3" xfId="1" applyNumberFormat="1" applyFont="1" applyBorder="1" applyAlignment="1">
      <alignment vertical="center"/>
    </xf>
    <xf numFmtId="164" fontId="144" fillId="0" borderId="4" xfId="1" applyNumberFormat="1" applyFont="1" applyBorder="1" applyAlignment="1"/>
    <xf numFmtId="0" fontId="144" fillId="3" borderId="3" xfId="0" applyFont="1" applyFill="1" applyBorder="1" applyAlignment="1">
      <alignment horizontal="center" vertical="center" wrapText="1"/>
    </xf>
    <xf numFmtId="164" fontId="144" fillId="3" borderId="3" xfId="1" applyNumberFormat="1" applyFont="1" applyFill="1" applyBorder="1" applyAlignment="1">
      <alignment horizontal="left" vertical="center" wrapText="1"/>
    </xf>
    <xf numFmtId="164" fontId="144" fillId="3" borderId="3" xfId="1" applyNumberFormat="1" applyFont="1" applyFill="1" applyBorder="1" applyAlignment="1"/>
    <xf numFmtId="0" fontId="187" fillId="0" borderId="3" xfId="0" applyFont="1" applyBorder="1" applyAlignment="1">
      <alignment vertical="center" wrapText="1"/>
    </xf>
    <xf numFmtId="164" fontId="144" fillId="3" borderId="4" xfId="1" applyNumberFormat="1" applyFont="1" applyFill="1" applyBorder="1" applyAlignment="1"/>
    <xf numFmtId="164" fontId="144" fillId="3" borderId="3" xfId="1" applyNumberFormat="1" applyFont="1" applyFill="1" applyBorder="1" applyAlignment="1">
      <alignment horizontal="center" vertical="center" wrapText="1"/>
    </xf>
    <xf numFmtId="164" fontId="144" fillId="3" borderId="4" xfId="1" applyNumberFormat="1" applyFont="1" applyFill="1" applyBorder="1" applyAlignment="1">
      <alignment vertical="center" wrapText="1"/>
    </xf>
    <xf numFmtId="0" fontId="144" fillId="0" borderId="3" xfId="0" applyFont="1" applyFill="1" applyBorder="1" applyAlignment="1">
      <alignment horizontal="center" vertical="center" wrapText="1"/>
    </xf>
    <xf numFmtId="164" fontId="144" fillId="3" borderId="3" xfId="1" applyNumberFormat="1" applyFont="1" applyFill="1" applyBorder="1" applyAlignment="1">
      <alignment horizontal="left" wrapText="1"/>
    </xf>
    <xf numFmtId="0" fontId="197" fillId="0" borderId="3" xfId="0" applyFont="1" applyBorder="1" applyAlignment="1">
      <alignment horizontal="left" vertical="center" wrapText="1"/>
    </xf>
    <xf numFmtId="164" fontId="197" fillId="0" borderId="4" xfId="1" applyNumberFormat="1" applyFont="1" applyBorder="1" applyAlignment="1"/>
    <xf numFmtId="0" fontId="197" fillId="3" borderId="3" xfId="0" applyFont="1" applyFill="1" applyBorder="1" applyAlignment="1">
      <alignment horizontal="left" vertical="top" wrapText="1"/>
    </xf>
    <xf numFmtId="14" fontId="144" fillId="0" borderId="3" xfId="0" applyNumberFormat="1" applyFont="1" applyBorder="1" applyAlignment="1">
      <alignment horizontal="center" vertical="center" wrapText="1"/>
    </xf>
    <xf numFmtId="164" fontId="144" fillId="0" borderId="3" xfId="1" applyNumberFormat="1" applyFont="1" applyBorder="1" applyAlignment="1">
      <alignment horizontal="left" wrapText="1"/>
    </xf>
    <xf numFmtId="164" fontId="144" fillId="0" borderId="3" xfId="0" applyNumberFormat="1" applyFont="1" applyBorder="1" applyAlignment="1">
      <alignment vertical="center"/>
    </xf>
    <xf numFmtId="15" fontId="144" fillId="0" borderId="3" xfId="0" applyNumberFormat="1" applyFont="1" applyBorder="1" applyAlignment="1">
      <alignment horizontal="center" vertical="center" wrapText="1"/>
    </xf>
    <xf numFmtId="164" fontId="144" fillId="3" borderId="3" xfId="1" applyNumberFormat="1" applyFont="1" applyFill="1" applyBorder="1" applyAlignment="1">
      <alignment horizontal="left" vertical="top" wrapText="1"/>
    </xf>
    <xf numFmtId="164" fontId="144" fillId="3" borderId="3" xfId="1" applyNumberFormat="1" applyFont="1" applyFill="1" applyBorder="1" applyAlignment="1">
      <alignment vertical="center"/>
    </xf>
    <xf numFmtId="164" fontId="186" fillId="3" borderId="3" xfId="1" applyNumberFormat="1" applyFont="1" applyFill="1" applyBorder="1" applyAlignment="1">
      <alignment horizontal="left" wrapText="1"/>
    </xf>
    <xf numFmtId="164" fontId="186" fillId="3" borderId="3" xfId="0" applyNumberFormat="1" applyFont="1" applyFill="1" applyBorder="1" applyAlignment="1">
      <alignment vertical="center"/>
    </xf>
    <xf numFmtId="164" fontId="186" fillId="3" borderId="4" xfId="1" applyNumberFormat="1" applyFont="1" applyFill="1" applyBorder="1" applyAlignment="1"/>
    <xf numFmtId="14" fontId="184" fillId="3" borderId="3" xfId="0" applyNumberFormat="1" applyFont="1" applyFill="1" applyBorder="1" applyAlignment="1">
      <alignment horizontal="center" vertical="center" wrapText="1"/>
    </xf>
    <xf numFmtId="164" fontId="184" fillId="3" borderId="3" xfId="1" applyNumberFormat="1" applyFont="1" applyFill="1" applyBorder="1" applyAlignment="1">
      <alignment horizontal="left" wrapText="1"/>
    </xf>
    <xf numFmtId="0" fontId="184" fillId="3" borderId="3" xfId="0" applyFont="1" applyFill="1" applyBorder="1" applyAlignment="1">
      <alignment horizontal="left" wrapText="1"/>
    </xf>
    <xf numFmtId="164" fontId="184" fillId="3" borderId="4" xfId="1" applyNumberFormat="1" applyFont="1" applyFill="1" applyBorder="1" applyAlignment="1"/>
    <xf numFmtId="14" fontId="144" fillId="0" borderId="3" xfId="0" applyNumberFormat="1" applyFont="1" applyBorder="1" applyAlignment="1">
      <alignment horizontal="center" vertical="center"/>
    </xf>
    <xf numFmtId="164" fontId="198" fillId="14" borderId="4" xfId="0" applyNumberFormat="1" applyFont="1" applyFill="1" applyBorder="1" applyAlignment="1">
      <alignment horizontal="right" vertical="center"/>
    </xf>
    <xf numFmtId="164" fontId="186" fillId="3" borderId="3" xfId="1" applyNumberFormat="1" applyFont="1" applyFill="1" applyBorder="1" applyAlignment="1">
      <alignment horizontal="left" vertical="center" wrapText="1"/>
    </xf>
    <xf numFmtId="164" fontId="186" fillId="0" borderId="3" xfId="1" applyNumberFormat="1" applyFont="1" applyBorder="1" applyAlignment="1">
      <alignment vertical="center"/>
    </xf>
    <xf numFmtId="164" fontId="181" fillId="14" borderId="4" xfId="0" applyNumberFormat="1" applyFont="1" applyFill="1" applyBorder="1" applyAlignment="1">
      <alignment horizontal="right" vertical="center"/>
    </xf>
    <xf numFmtId="0" fontId="144" fillId="0" borderId="3" xfId="0" applyFont="1" applyBorder="1" applyAlignment="1">
      <alignment horizontal="left" vertical="center" wrapText="1"/>
    </xf>
    <xf numFmtId="0" fontId="194" fillId="0" borderId="3" xfId="0" applyFont="1" applyBorder="1" applyAlignment="1">
      <alignment horizontal="center" vertical="center" wrapText="1"/>
    </xf>
    <xf numFmtId="0" fontId="194" fillId="0" borderId="3" xfId="0" applyFont="1" applyBorder="1" applyAlignment="1">
      <alignment vertical="top" wrapText="1"/>
    </xf>
    <xf numFmtId="4" fontId="185" fillId="0" borderId="4" xfId="0" applyNumberFormat="1" applyFont="1" applyBorder="1"/>
    <xf numFmtId="172" fontId="140" fillId="0" borderId="3" xfId="0" applyNumberFormat="1" applyFont="1" applyBorder="1" applyAlignment="1">
      <alignment horizontal="center" vertical="center" wrapText="1"/>
    </xf>
    <xf numFmtId="0" fontId="139" fillId="0" borderId="3" xfId="0" applyFont="1" applyBorder="1" applyAlignment="1">
      <alignment vertical="top" wrapText="1"/>
    </xf>
    <xf numFmtId="0" fontId="185" fillId="0" borderId="4" xfId="0" applyFont="1" applyBorder="1" applyAlignment="1">
      <alignment horizontal="left"/>
    </xf>
    <xf numFmtId="0" fontId="195" fillId="3" borderId="3" xfId="0" applyFont="1" applyFill="1" applyBorder="1" applyAlignment="1">
      <alignment vertical="top" wrapText="1"/>
    </xf>
    <xf numFmtId="164" fontId="141" fillId="3" borderId="3" xfId="1" applyNumberFormat="1" applyFont="1" applyFill="1" applyBorder="1" applyAlignment="1">
      <alignment horizontal="center" wrapText="1"/>
    </xf>
    <xf numFmtId="0" fontId="185" fillId="0" borderId="4" xfId="0" applyFont="1" applyBorder="1" applyAlignment="1">
      <alignment vertical="center"/>
    </xf>
    <xf numFmtId="0" fontId="195" fillId="13" borderId="3" xfId="0" applyFont="1" applyFill="1" applyBorder="1" applyAlignment="1">
      <alignment vertical="top" wrapText="1"/>
    </xf>
    <xf numFmtId="0" fontId="34" fillId="0" borderId="3" xfId="0" applyFont="1" applyBorder="1" applyAlignment="1">
      <alignment horizontal="center" vertical="center" wrapText="1"/>
    </xf>
    <xf numFmtId="0" fontId="36" fillId="3" borderId="4" xfId="0" applyFont="1" applyFill="1" applyBorder="1" applyAlignment="1">
      <alignment vertical="top" wrapText="1"/>
    </xf>
    <xf numFmtId="164" fontId="184" fillId="3" borderId="3" xfId="1" applyNumberFormat="1" applyFont="1" applyFill="1" applyBorder="1" applyAlignment="1">
      <alignment vertical="center"/>
    </xf>
    <xf numFmtId="4" fontId="185" fillId="0" borderId="4" xfId="0" applyNumberFormat="1" applyFont="1" applyBorder="1" applyAlignment="1">
      <alignment vertical="center"/>
    </xf>
    <xf numFmtId="0" fontId="34" fillId="0" borderId="4" xfId="0" applyFont="1" applyBorder="1" applyAlignment="1">
      <alignment horizontal="center" vertical="center" wrapText="1"/>
    </xf>
    <xf numFmtId="4" fontId="185" fillId="0" borderId="4" xfId="0" applyNumberFormat="1" applyFont="1" applyBorder="1" applyAlignment="1">
      <alignment horizontal="left" vertical="center"/>
    </xf>
    <xf numFmtId="0" fontId="191" fillId="16" borderId="3" xfId="0" applyFont="1" applyFill="1" applyBorder="1" applyAlignment="1">
      <alignment vertical="top" wrapText="1"/>
    </xf>
    <xf numFmtId="14" fontId="34" fillId="0" borderId="3" xfId="0" applyNumberFormat="1" applyFont="1" applyBorder="1" applyAlignment="1">
      <alignment horizontal="center" vertical="center" wrapText="1"/>
    </xf>
    <xf numFmtId="0" fontId="199" fillId="16" borderId="3" xfId="0" applyFont="1" applyFill="1" applyBorder="1" applyAlignment="1">
      <alignment vertical="top" wrapText="1"/>
    </xf>
    <xf numFmtId="0" fontId="200" fillId="0" borderId="3" xfId="0" applyFont="1" applyBorder="1" applyAlignment="1">
      <alignment vertical="top"/>
    </xf>
    <xf numFmtId="14" fontId="49" fillId="3" borderId="3" xfId="0" applyNumberFormat="1" applyFont="1" applyFill="1" applyBorder="1" applyAlignment="1">
      <alignment horizontal="center" vertical="center" wrapText="1"/>
    </xf>
    <xf numFmtId="0" fontId="165" fillId="0" borderId="3" xfId="0" applyFont="1" applyBorder="1" applyAlignment="1">
      <alignment vertical="top" wrapText="1"/>
    </xf>
    <xf numFmtId="164" fontId="195" fillId="3" borderId="3" xfId="1" applyNumberFormat="1" applyFont="1" applyFill="1" applyBorder="1" applyAlignment="1">
      <alignment vertical="top" wrapText="1"/>
    </xf>
    <xf numFmtId="0" fontId="201" fillId="0" borderId="3" xfId="0" applyFont="1" applyBorder="1" applyAlignment="1">
      <alignment vertical="top" wrapText="1"/>
    </xf>
    <xf numFmtId="0" fontId="145" fillId="0" borderId="3" xfId="0" applyFont="1" applyBorder="1" applyAlignment="1">
      <alignment horizontal="justify" wrapText="1"/>
    </xf>
    <xf numFmtId="14" fontId="49" fillId="0" borderId="3" xfId="0" applyNumberFormat="1" applyFont="1" applyBorder="1" applyAlignment="1">
      <alignment horizontal="center" vertical="center" wrapText="1"/>
    </xf>
    <xf numFmtId="43" fontId="130" fillId="0" borderId="3" xfId="1" applyFont="1" applyBorder="1" applyAlignment="1">
      <alignment horizontal="left" wrapText="1"/>
    </xf>
    <xf numFmtId="164" fontId="36" fillId="0" borderId="3" xfId="0" applyNumberFormat="1" applyFont="1" applyBorder="1" applyAlignment="1"/>
    <xf numFmtId="43" fontId="23" fillId="3" borderId="4" xfId="1" applyFont="1" applyFill="1" applyBorder="1" applyAlignment="1"/>
    <xf numFmtId="0" fontId="202" fillId="3" borderId="3" xfId="0" applyFont="1" applyFill="1" applyBorder="1" applyAlignment="1">
      <alignment vertical="top" wrapText="1"/>
    </xf>
    <xf numFmtId="164" fontId="176" fillId="3" borderId="4" xfId="1" applyNumberFormat="1" applyFont="1" applyFill="1" applyBorder="1" applyAlignment="1">
      <alignment vertical="top" wrapText="1"/>
    </xf>
    <xf numFmtId="0" fontId="202" fillId="0" borderId="3" xfId="0" applyFont="1" applyBorder="1" applyAlignment="1">
      <alignment vertical="top" wrapText="1"/>
    </xf>
    <xf numFmtId="0" fontId="139" fillId="3" borderId="4" xfId="0" applyFont="1" applyFill="1" applyBorder="1" applyAlignment="1">
      <alignment vertical="top" wrapText="1"/>
    </xf>
    <xf numFmtId="0" fontId="140" fillId="3" borderId="6" xfId="0" applyFont="1" applyFill="1" applyBorder="1" applyAlignment="1">
      <alignment horizontal="center" wrapText="1"/>
    </xf>
    <xf numFmtId="17" fontId="140" fillId="3" borderId="6" xfId="0" applyNumberFormat="1" applyFont="1" applyFill="1" applyBorder="1" applyAlignment="1">
      <alignment horizontal="center" vertical="center" wrapText="1"/>
    </xf>
    <xf numFmtId="0" fontId="182" fillId="3" borderId="6" xfId="0" applyFont="1" applyFill="1" applyBorder="1" applyAlignment="1">
      <alignment horizontal="center"/>
    </xf>
    <xf numFmtId="164" fontId="140" fillId="3" borderId="6" xfId="0" applyNumberFormat="1" applyFont="1" applyFill="1" applyBorder="1" applyAlignment="1">
      <alignment vertical="center" wrapText="1"/>
    </xf>
    <xf numFmtId="164" fontId="140" fillId="3" borderId="4" xfId="1" applyNumberFormat="1" applyFont="1" applyFill="1" applyBorder="1" applyAlignment="1">
      <alignment horizontal="center" wrapText="1"/>
    </xf>
    <xf numFmtId="0" fontId="51" fillId="3" borderId="3" xfId="0" applyFont="1" applyFill="1" applyBorder="1" applyAlignment="1">
      <alignment wrapText="1"/>
    </xf>
    <xf numFmtId="0" fontId="51" fillId="0" borderId="3" xfId="0" applyFont="1" applyBorder="1" applyAlignment="1">
      <alignment horizontal="center" vertical="center"/>
    </xf>
    <xf numFmtId="0" fontId="203" fillId="3" borderId="3" xfId="0" applyFont="1" applyFill="1" applyBorder="1" applyAlignment="1">
      <alignment wrapText="1"/>
    </xf>
    <xf numFmtId="164" fontId="203" fillId="3" borderId="6" xfId="0" applyNumberFormat="1" applyFont="1" applyFill="1" applyBorder="1" applyAlignment="1">
      <alignment vertical="center" wrapText="1"/>
    </xf>
    <xf numFmtId="164" fontId="203" fillId="3" borderId="4" xfId="1" applyNumberFormat="1" applyFont="1" applyFill="1" applyBorder="1" applyAlignment="1">
      <alignment horizontal="center" wrapText="1"/>
    </xf>
    <xf numFmtId="0" fontId="151" fillId="3" borderId="6" xfId="0" applyFont="1" applyFill="1" applyBorder="1" applyAlignment="1">
      <alignment horizontal="center" vertical="center"/>
    </xf>
    <xf numFmtId="0" fontId="190" fillId="3" borderId="6" xfId="0" applyFont="1" applyFill="1" applyBorder="1" applyAlignment="1">
      <alignment wrapText="1"/>
    </xf>
    <xf numFmtId="0" fontId="193" fillId="3" borderId="6" xfId="0" applyFont="1" applyFill="1" applyBorder="1" applyAlignment="1">
      <alignment horizontal="center" vertical="center"/>
    </xf>
    <xf numFmtId="164" fontId="193" fillId="3" borderId="4" xfId="1" applyNumberFormat="1" applyFont="1" applyFill="1" applyBorder="1"/>
    <xf numFmtId="0" fontId="151" fillId="3" borderId="3" xfId="0" applyFont="1" applyFill="1" applyBorder="1" applyAlignment="1">
      <alignment horizontal="center" vertical="center"/>
    </xf>
    <xf numFmtId="0" fontId="190" fillId="3" borderId="3" xfId="0" applyFont="1" applyFill="1" applyBorder="1" applyAlignment="1">
      <alignment wrapText="1"/>
    </xf>
    <xf numFmtId="0" fontId="193" fillId="3" borderId="3" xfId="0" applyFont="1" applyFill="1" applyBorder="1" applyAlignment="1">
      <alignment horizontal="center" vertical="center"/>
    </xf>
    <xf numFmtId="0" fontId="151" fillId="3" borderId="3" xfId="0" applyFont="1" applyFill="1" applyBorder="1" applyAlignment="1">
      <alignment wrapText="1"/>
    </xf>
    <xf numFmtId="0" fontId="193" fillId="3" borderId="3" xfId="0" applyFont="1" applyFill="1" applyBorder="1" applyAlignment="1">
      <alignment horizontal="center"/>
    </xf>
    <xf numFmtId="164" fontId="193" fillId="3" borderId="4" xfId="1" applyNumberFormat="1" applyFont="1" applyFill="1" applyBorder="1" applyAlignment="1"/>
    <xf numFmtId="0" fontId="51" fillId="0" borderId="3" xfId="0" applyFont="1" applyBorder="1" applyAlignment="1">
      <alignment wrapText="1"/>
    </xf>
    <xf numFmtId="0" fontId="193" fillId="3" borderId="3" xfId="0" applyFont="1" applyFill="1" applyBorder="1" applyAlignment="1">
      <alignment wrapText="1"/>
    </xf>
    <xf numFmtId="164" fontId="176" fillId="0" borderId="4" xfId="1" applyNumberFormat="1" applyFont="1" applyBorder="1" applyAlignment="1">
      <alignment horizontal="center" vertical="center" wrapText="1"/>
    </xf>
    <xf numFmtId="14" fontId="136" fillId="0" borderId="3" xfId="0" applyNumberFormat="1" applyFont="1" applyBorder="1" applyAlignment="1">
      <alignment horizontal="left" wrapText="1"/>
    </xf>
    <xf numFmtId="164" fontId="39" fillId="3" borderId="3" xfId="1" applyNumberFormat="1" applyFont="1" applyFill="1" applyBorder="1" applyAlignment="1">
      <alignment vertical="center"/>
    </xf>
    <xf numFmtId="43" fontId="39" fillId="0" borderId="4" xfId="1" applyFont="1" applyBorder="1" applyAlignment="1"/>
    <xf numFmtId="0" fontId="136" fillId="3" borderId="3" xfId="0" applyFont="1" applyFill="1" applyBorder="1" applyAlignment="1">
      <alignment horizontal="left" wrapText="1"/>
    </xf>
    <xf numFmtId="43" fontId="39" fillId="3" borderId="4" xfId="1" applyFont="1" applyFill="1" applyBorder="1" applyAlignment="1"/>
    <xf numFmtId="43" fontId="36" fillId="0" borderId="3" xfId="1" applyFont="1" applyBorder="1" applyAlignment="1">
      <alignment vertical="center" wrapText="1"/>
    </xf>
    <xf numFmtId="0" fontId="57" fillId="0" borderId="3" xfId="0" applyFont="1" applyBorder="1" applyAlignment="1">
      <alignment horizontal="justify" wrapText="1"/>
    </xf>
    <xf numFmtId="0" fontId="204" fillId="0" borderId="3" xfId="0" applyFont="1" applyBorder="1" applyAlignment="1">
      <alignment horizontal="center" vertical="center" wrapText="1"/>
    </xf>
    <xf numFmtId="43" fontId="205" fillId="0" borderId="4" xfId="1" applyFont="1" applyBorder="1" applyAlignment="1"/>
    <xf numFmtId="43" fontId="57" fillId="13" borderId="3" xfId="1" applyFont="1" applyFill="1" applyBorder="1" applyAlignment="1">
      <alignment vertical="center" wrapText="1"/>
    </xf>
    <xf numFmtId="0" fontId="32" fillId="3" borderId="3" xfId="0" applyFont="1" applyFill="1" applyBorder="1" applyAlignment="1">
      <alignment vertical="center"/>
    </xf>
    <xf numFmtId="43" fontId="205" fillId="0" borderId="4" xfId="1" applyFont="1" applyBorder="1" applyAlignment="1">
      <alignment horizontal="right" vertical="top"/>
    </xf>
    <xf numFmtId="43" fontId="127" fillId="0" borderId="3" xfId="1" applyFont="1" applyBorder="1" applyAlignment="1">
      <alignment vertical="center" wrapText="1"/>
    </xf>
    <xf numFmtId="0" fontId="206" fillId="3" borderId="3" xfId="0" applyFont="1" applyFill="1" applyBorder="1" applyAlignment="1">
      <alignment vertical="center"/>
    </xf>
    <xf numFmtId="43" fontId="207" fillId="0" borderId="4" xfId="1" applyFont="1" applyBorder="1" applyAlignment="1">
      <alignment horizontal="right" vertical="top"/>
    </xf>
    <xf numFmtId="0" fontId="32" fillId="3" borderId="0" xfId="0" applyFont="1" applyFill="1" applyAlignment="1">
      <alignment vertical="center"/>
    </xf>
    <xf numFmtId="1" fontId="39" fillId="3" borderId="3" xfId="0" applyNumberFormat="1" applyFont="1" applyFill="1" applyBorder="1" applyAlignment="1">
      <alignment vertical="center"/>
    </xf>
    <xf numFmtId="43" fontId="39" fillId="3" borderId="4" xfId="1" applyFont="1" applyFill="1" applyBorder="1" applyAlignment="1">
      <alignment vertical="center" wrapText="1"/>
    </xf>
    <xf numFmtId="14" fontId="36" fillId="3" borderId="3" xfId="0" applyNumberFormat="1" applyFont="1" applyFill="1" applyBorder="1" applyAlignment="1">
      <alignment horizontal="left" vertical="top" wrapText="1"/>
    </xf>
    <xf numFmtId="0" fontId="36" fillId="3" borderId="3" xfId="0" applyFont="1" applyFill="1" applyBorder="1" applyAlignment="1">
      <alignment vertical="top" wrapText="1"/>
    </xf>
    <xf numFmtId="1" fontId="208" fillId="3" borderId="3" xfId="1" applyNumberFormat="1" applyFont="1" applyFill="1" applyBorder="1" applyAlignment="1">
      <alignment horizontal="center" vertical="center"/>
    </xf>
    <xf numFmtId="164" fontId="36" fillId="3" borderId="3" xfId="1" applyNumberFormat="1" applyFont="1" applyFill="1" applyBorder="1" applyAlignment="1">
      <alignment vertical="center"/>
    </xf>
    <xf numFmtId="164" fontId="209" fillId="3" borderId="4" xfId="1" applyNumberFormat="1" applyFont="1" applyFill="1" applyBorder="1" applyAlignment="1">
      <alignment vertical="top"/>
    </xf>
    <xf numFmtId="15" fontId="36" fillId="3" borderId="3" xfId="0" applyNumberFormat="1" applyFont="1" applyFill="1" applyBorder="1" applyAlignment="1">
      <alignment horizontal="left" vertical="top" wrapText="1"/>
    </xf>
    <xf numFmtId="164" fontId="36" fillId="3" borderId="3" xfId="1" applyNumberFormat="1" applyFont="1" applyFill="1" applyBorder="1" applyAlignment="1">
      <alignment vertical="top" wrapText="1"/>
    </xf>
    <xf numFmtId="1" fontId="208" fillId="3" borderId="3" xfId="1" applyNumberFormat="1" applyFont="1" applyFill="1" applyBorder="1" applyAlignment="1">
      <alignment vertical="center"/>
    </xf>
    <xf numFmtId="0" fontId="209" fillId="3" borderId="3" xfId="0" applyFont="1" applyFill="1" applyBorder="1" applyAlignment="1">
      <alignment vertical="top" wrapText="1"/>
    </xf>
    <xf numFmtId="164" fontId="210" fillId="3" borderId="4" xfId="1" applyNumberFormat="1" applyFont="1" applyFill="1" applyBorder="1" applyAlignment="1">
      <alignment vertical="top"/>
    </xf>
    <xf numFmtId="0" fontId="36" fillId="3" borderId="3" xfId="0" applyFont="1" applyFill="1" applyBorder="1" applyAlignment="1">
      <alignment horizontal="left" wrapText="1"/>
    </xf>
    <xf numFmtId="164" fontId="36" fillId="3" borderId="4" xfId="1" applyNumberFormat="1" applyFont="1" applyFill="1" applyBorder="1" applyAlignment="1">
      <alignment vertical="top" wrapText="1"/>
    </xf>
    <xf numFmtId="164" fontId="34" fillId="3" borderId="4" xfId="1" applyNumberFormat="1" applyFont="1" applyFill="1" applyBorder="1" applyAlignment="1">
      <alignment vertical="top"/>
    </xf>
    <xf numFmtId="14" fontId="36" fillId="3" borderId="4" xfId="0" applyNumberFormat="1" applyFont="1" applyFill="1" applyBorder="1" applyAlignment="1">
      <alignment horizontal="left" vertical="top" wrapText="1"/>
    </xf>
    <xf numFmtId="0" fontId="145" fillId="0" borderId="3" xfId="0" applyFont="1" applyFill="1" applyBorder="1" applyAlignment="1">
      <alignment vertical="top" wrapText="1"/>
    </xf>
    <xf numFmtId="0" fontId="175" fillId="3" borderId="4" xfId="0" applyFont="1" applyFill="1" applyBorder="1" applyAlignment="1">
      <alignment horizontal="left" vertical="center" wrapText="1"/>
    </xf>
    <xf numFmtId="14" fontId="145" fillId="0" borderId="3" xfId="0" applyNumberFormat="1" applyFont="1" applyBorder="1" applyAlignment="1">
      <alignment vertical="top" wrapText="1"/>
    </xf>
    <xf numFmtId="164" fontId="195" fillId="3" borderId="3" xfId="1" applyNumberFormat="1" applyFont="1" applyFill="1" applyBorder="1" applyAlignment="1">
      <alignment horizontal="left" vertical="center" wrapText="1"/>
    </xf>
    <xf numFmtId="0" fontId="145" fillId="0" borderId="2" xfId="0" applyFont="1" applyFill="1" applyBorder="1" applyAlignment="1">
      <alignment vertical="top" wrapText="1"/>
    </xf>
    <xf numFmtId="14" fontId="145" fillId="0" borderId="9" xfId="0" applyNumberFormat="1" applyFont="1" applyBorder="1" applyAlignment="1">
      <alignment vertical="top" wrapText="1"/>
    </xf>
    <xf numFmtId="0" fontId="211" fillId="0" borderId="2" xfId="0" applyFont="1" applyBorder="1"/>
    <xf numFmtId="164" fontId="139" fillId="3" borderId="2" xfId="1" applyNumberFormat="1" applyFont="1" applyFill="1" applyBorder="1" applyAlignment="1">
      <alignment vertical="center"/>
    </xf>
    <xf numFmtId="164" fontId="139" fillId="3" borderId="8" xfId="1" applyNumberFormat="1" applyFont="1" applyFill="1" applyBorder="1" applyAlignment="1">
      <alignment horizontal="right" vertical="top" wrapText="1"/>
    </xf>
    <xf numFmtId="0" fontId="145" fillId="0" borderId="2" xfId="0" applyFont="1" applyBorder="1" applyAlignment="1">
      <alignment vertical="top" wrapText="1"/>
    </xf>
    <xf numFmtId="0" fontId="24" fillId="3" borderId="2" xfId="0" applyFont="1" applyFill="1" applyBorder="1" applyAlignment="1">
      <alignment horizontal="justify" wrapText="1"/>
    </xf>
    <xf numFmtId="0" fontId="0" fillId="0" borderId="11" xfId="0" applyBorder="1"/>
    <xf numFmtId="0" fontId="211" fillId="13" borderId="3" xfId="0" applyFont="1" applyFill="1" applyBorder="1"/>
    <xf numFmtId="0" fontId="0" fillId="0" borderId="5" xfId="0" applyBorder="1"/>
    <xf numFmtId="0" fontId="145" fillId="0" borderId="6" xfId="0" applyFont="1" applyBorder="1" applyAlignment="1">
      <alignment vertical="top" wrapText="1"/>
    </xf>
    <xf numFmtId="0" fontId="211" fillId="13" borderId="6" xfId="0" applyFont="1" applyFill="1" applyBorder="1"/>
    <xf numFmtId="164" fontId="139" fillId="3" borderId="6" xfId="1" applyNumberFormat="1" applyFont="1" applyFill="1" applyBorder="1" applyAlignment="1">
      <alignment vertical="center"/>
    </xf>
    <xf numFmtId="164" fontId="139" fillId="3" borderId="10" xfId="1" applyNumberFormat="1" applyFont="1" applyFill="1" applyBorder="1" applyAlignment="1">
      <alignment horizontal="right" vertical="top" wrapText="1"/>
    </xf>
    <xf numFmtId="0" fontId="211" fillId="0" borderId="3" xfId="0" applyFont="1" applyBorder="1"/>
    <xf numFmtId="164" fontId="194" fillId="3" borderId="3" xfId="1" applyNumberFormat="1" applyFont="1" applyFill="1" applyBorder="1" applyAlignment="1">
      <alignment vertical="center"/>
    </xf>
    <xf numFmtId="164" fontId="194" fillId="3" borderId="4" xfId="1" applyNumberFormat="1" applyFont="1" applyFill="1" applyBorder="1" applyAlignment="1">
      <alignment horizontal="right" vertical="top" wrapText="1"/>
    </xf>
    <xf numFmtId="164" fontId="194" fillId="3" borderId="3" xfId="20" applyNumberFormat="1" applyFont="1" applyFill="1" applyBorder="1" applyAlignment="1">
      <alignment horizontal="left" wrapText="1"/>
    </xf>
    <xf numFmtId="0" fontId="2" fillId="0" borderId="3" xfId="0" applyFont="1" applyBorder="1" applyAlignment="1">
      <alignment horizontal="left" vertical="top" wrapText="1"/>
    </xf>
    <xf numFmtId="14" fontId="144" fillId="0" borderId="3" xfId="0" applyNumberFormat="1" applyFont="1" applyBorder="1" applyAlignment="1">
      <alignment vertical="top" wrapText="1"/>
    </xf>
    <xf numFmtId="0" fontId="187" fillId="0" borderId="3" xfId="0" applyFont="1" applyBorder="1" applyAlignment="1">
      <alignment horizontal="center" vertical="top" wrapText="1"/>
    </xf>
    <xf numFmtId="164" fontId="212" fillId="3" borderId="3" xfId="1" applyNumberFormat="1" applyFont="1" applyFill="1" applyBorder="1" applyAlignment="1">
      <alignment horizontal="right" vertical="top"/>
    </xf>
    <xf numFmtId="43" fontId="212" fillId="3" borderId="4" xfId="1" applyFont="1" applyFill="1" applyBorder="1" applyAlignment="1">
      <alignment vertical="top"/>
    </xf>
    <xf numFmtId="0" fontId="144" fillId="0" borderId="3" xfId="0" applyFont="1" applyBorder="1" applyAlignment="1">
      <alignment vertical="top" wrapText="1"/>
    </xf>
    <xf numFmtId="0" fontId="204" fillId="0" borderId="3" xfId="0" applyFont="1" applyBorder="1" applyAlignment="1">
      <alignment horizontal="left" vertical="top" wrapText="1"/>
    </xf>
    <xf numFmtId="4" fontId="0" fillId="0" borderId="4" xfId="0" applyNumberFormat="1" applyBorder="1" applyAlignment="1">
      <alignment vertical="top"/>
    </xf>
    <xf numFmtId="0" fontId="213" fillId="0" borderId="4" xfId="0" applyFont="1" applyBorder="1" applyAlignment="1">
      <alignment horizontal="left" vertical="top" wrapText="1"/>
    </xf>
    <xf numFmtId="43" fontId="28" fillId="0" borderId="4" xfId="1" applyFont="1" applyBorder="1" applyAlignment="1"/>
    <xf numFmtId="43" fontId="28" fillId="0" borderId="7" xfId="1" applyFont="1" applyBorder="1" applyAlignment="1"/>
    <xf numFmtId="0" fontId="49" fillId="0" borderId="3" xfId="0" applyFont="1" applyFill="1" applyBorder="1" applyAlignment="1">
      <alignment horizontal="center" vertical="top" wrapText="1"/>
    </xf>
    <xf numFmtId="164" fontId="188" fillId="3" borderId="4" xfId="1" applyNumberFormat="1" applyFont="1" applyFill="1" applyBorder="1" applyAlignment="1">
      <alignment vertical="top"/>
    </xf>
    <xf numFmtId="164" fontId="188" fillId="3" borderId="4" xfId="1" applyNumberFormat="1" applyFont="1" applyFill="1" applyBorder="1" applyAlignment="1">
      <alignment vertical="top" wrapText="1"/>
    </xf>
    <xf numFmtId="0" fontId="184" fillId="3" borderId="4" xfId="0" applyFont="1" applyFill="1" applyBorder="1" applyAlignment="1">
      <alignment vertical="top" wrapText="1"/>
    </xf>
    <xf numFmtId="164" fontId="188" fillId="3" borderId="4" xfId="1" applyNumberFormat="1" applyFont="1" applyFill="1" applyBorder="1" applyAlignment="1">
      <alignment horizontal="right" vertical="top"/>
    </xf>
    <xf numFmtId="0" fontId="51" fillId="3" borderId="3" xfId="0" applyFont="1" applyFill="1" applyBorder="1" applyAlignment="1">
      <alignment horizontal="center"/>
    </xf>
    <xf numFmtId="0" fontId="192" fillId="3" borderId="3" xfId="0" applyFont="1" applyFill="1" applyBorder="1" applyAlignment="1">
      <alignment horizontal="justify"/>
    </xf>
    <xf numFmtId="14" fontId="24" fillId="3" borderId="3" xfId="0" applyNumberFormat="1" applyFont="1" applyFill="1" applyBorder="1" applyAlignment="1">
      <alignment horizontal="left" vertical="top" wrapText="1"/>
    </xf>
    <xf numFmtId="0" fontId="24" fillId="3" borderId="3" xfId="0" applyFont="1" applyFill="1" applyBorder="1" applyAlignment="1">
      <alignment vertical="top" wrapText="1"/>
    </xf>
    <xf numFmtId="1" fontId="163" fillId="3" borderId="3" xfId="1" applyNumberFormat="1" applyFont="1" applyFill="1" applyBorder="1" applyAlignment="1">
      <alignment horizontal="center" vertical="center"/>
    </xf>
    <xf numFmtId="164" fontId="24" fillId="3" borderId="3" xfId="1" applyNumberFormat="1" applyFont="1" applyFill="1" applyBorder="1" applyAlignment="1">
      <alignment vertical="center"/>
    </xf>
    <xf numFmtId="164" fontId="165" fillId="3" borderId="4" xfId="1" applyNumberFormat="1" applyFont="1" applyFill="1" applyBorder="1" applyAlignment="1">
      <alignment vertical="top"/>
    </xf>
    <xf numFmtId="164" fontId="24" fillId="3" borderId="3" xfId="1" applyNumberFormat="1" applyFont="1" applyFill="1" applyBorder="1" applyAlignment="1">
      <alignment vertical="top" wrapText="1"/>
    </xf>
    <xf numFmtId="1" fontId="163" fillId="3" borderId="3" xfId="1" applyNumberFormat="1" applyFont="1" applyFill="1" applyBorder="1" applyAlignment="1">
      <alignment vertical="center"/>
    </xf>
    <xf numFmtId="0" fontId="165" fillId="3" borderId="3" xfId="0" applyFont="1" applyFill="1" applyBorder="1" applyAlignment="1">
      <alignment vertical="top" wrapText="1"/>
    </xf>
    <xf numFmtId="164" fontId="214" fillId="3" borderId="4" xfId="1" applyNumberFormat="1" applyFont="1" applyFill="1" applyBorder="1" applyAlignment="1">
      <alignment vertical="top"/>
    </xf>
    <xf numFmtId="164" fontId="49" fillId="3" borderId="4" xfId="1" applyNumberFormat="1" applyFont="1" applyFill="1" applyBorder="1" applyAlignment="1">
      <alignment vertical="top"/>
    </xf>
    <xf numFmtId="0" fontId="51" fillId="3" borderId="9" xfId="0" applyFont="1" applyFill="1" applyBorder="1" applyAlignment="1">
      <alignment horizontal="center"/>
    </xf>
    <xf numFmtId="16" fontId="215" fillId="0" borderId="3" xfId="0" applyNumberFormat="1" applyFont="1" applyBorder="1" applyAlignment="1">
      <alignment horizontal="center" vertical="center" wrapText="1"/>
    </xf>
    <xf numFmtId="164" fontId="200" fillId="3" borderId="3" xfId="1" applyNumberFormat="1" applyFont="1" applyFill="1" applyBorder="1" applyAlignment="1">
      <alignment vertical="center"/>
    </xf>
    <xf numFmtId="164" fontId="200" fillId="3" borderId="4" xfId="1" applyNumberFormat="1" applyFont="1" applyFill="1" applyBorder="1" applyAlignment="1"/>
    <xf numFmtId="0" fontId="215" fillId="0" borderId="3" xfId="0" applyFont="1" applyBorder="1" applyAlignment="1">
      <alignment horizontal="center" vertical="center" wrapText="1"/>
    </xf>
    <xf numFmtId="0" fontId="176" fillId="3" borderId="4" xfId="0" applyFont="1" applyFill="1" applyBorder="1" applyAlignment="1">
      <alignment vertical="top" wrapText="1"/>
    </xf>
    <xf numFmtId="164" fontId="176" fillId="3" borderId="3" xfId="1" applyNumberFormat="1" applyFont="1" applyFill="1" applyBorder="1" applyAlignment="1">
      <alignment horizontal="left" wrapText="1"/>
    </xf>
    <xf numFmtId="164" fontId="176" fillId="3" borderId="4" xfId="1" applyNumberFormat="1" applyFont="1" applyFill="1" applyBorder="1" applyAlignment="1"/>
    <xf numFmtId="0" fontId="175" fillId="3" borderId="3" xfId="0" applyFont="1" applyFill="1" applyBorder="1" applyAlignment="1">
      <alignment horizontal="left" wrapText="1"/>
    </xf>
    <xf numFmtId="0" fontId="175" fillId="3" borderId="3" xfId="0" applyFont="1" applyFill="1" applyBorder="1" applyAlignment="1">
      <alignment vertical="center" wrapText="1"/>
    </xf>
    <xf numFmtId="164" fontId="176" fillId="3" borderId="3" xfId="1" applyNumberFormat="1" applyFont="1" applyFill="1" applyBorder="1" applyAlignment="1">
      <alignment vertical="center"/>
    </xf>
    <xf numFmtId="43" fontId="139" fillId="3" borderId="4" xfId="1" applyNumberFormat="1" applyFont="1" applyFill="1" applyBorder="1" applyAlignment="1">
      <alignment vertical="top"/>
    </xf>
    <xf numFmtId="0" fontId="139" fillId="3" borderId="3" xfId="0" applyFont="1" applyFill="1" applyBorder="1" applyAlignment="1">
      <alignment vertical="top" wrapText="1"/>
    </xf>
    <xf numFmtId="0" fontId="0" fillId="0" borderId="0" xfId="0" applyAlignment="1">
      <alignment horizontal="center" vertical="center"/>
    </xf>
    <xf numFmtId="0" fontId="194" fillId="3" borderId="3" xfId="0" applyFont="1" applyFill="1" applyBorder="1" applyAlignment="1">
      <alignment vertical="top" wrapText="1"/>
    </xf>
    <xf numFmtId="43" fontId="194" fillId="3" borderId="4" xfId="1" applyNumberFormat="1" applyFont="1" applyFill="1" applyBorder="1" applyAlignment="1">
      <alignment vertical="top"/>
    </xf>
    <xf numFmtId="14" fontId="0" fillId="0" borderId="0" xfId="0" applyNumberFormat="1" applyAlignment="1">
      <alignment horizontal="center" vertical="center"/>
    </xf>
    <xf numFmtId="0" fontId="0" fillId="0" borderId="4" xfId="0" applyFont="1" applyBorder="1"/>
    <xf numFmtId="0" fontId="49" fillId="3" borderId="3" xfId="0" applyFont="1" applyFill="1" applyBorder="1" applyAlignment="1">
      <alignment horizontal="center" vertical="center"/>
    </xf>
    <xf numFmtId="0" fontId="49" fillId="3" borderId="3" xfId="0" applyFont="1" applyFill="1" applyBorder="1" applyAlignment="1">
      <alignment horizontal="center" vertical="center" wrapText="1"/>
    </xf>
    <xf numFmtId="3" fontId="209" fillId="3" borderId="5" xfId="0" applyNumberFormat="1" applyFont="1" applyFill="1" applyBorder="1" applyAlignment="1">
      <alignment horizontal="center" vertical="center" wrapText="1"/>
    </xf>
    <xf numFmtId="43" fontId="139" fillId="3" borderId="4" xfId="1" applyFont="1" applyFill="1" applyBorder="1" applyAlignment="1"/>
    <xf numFmtId="0" fontId="145" fillId="3" borderId="0" xfId="0" applyFont="1" applyFill="1" applyAlignment="1">
      <alignment wrapText="1"/>
    </xf>
    <xf numFmtId="164" fontId="195" fillId="3" borderId="3" xfId="1" applyNumberFormat="1" applyFont="1" applyFill="1" applyBorder="1" applyAlignment="1">
      <alignment wrapText="1"/>
    </xf>
    <xf numFmtId="0" fontId="195" fillId="3" borderId="3" xfId="0" applyFont="1" applyFill="1" applyBorder="1" applyAlignment="1">
      <alignment horizontal="left" vertical="top" wrapText="1"/>
    </xf>
    <xf numFmtId="164" fontId="147" fillId="3" borderId="4" xfId="1" applyNumberFormat="1" applyFont="1" applyFill="1" applyBorder="1" applyAlignment="1">
      <alignment vertical="top"/>
    </xf>
    <xf numFmtId="0" fontId="32" fillId="0" borderId="3" xfId="0" applyFont="1" applyBorder="1" applyAlignment="1">
      <alignment horizontal="center" vertical="center"/>
    </xf>
    <xf numFmtId="164" fontId="210" fillId="3" borderId="4" xfId="1" applyNumberFormat="1" applyFont="1" applyFill="1" applyBorder="1" applyAlignment="1">
      <alignment horizontal="center" vertical="center"/>
    </xf>
    <xf numFmtId="14" fontId="32" fillId="0" borderId="3" xfId="0" applyNumberFormat="1" applyFont="1" applyBorder="1" applyAlignment="1">
      <alignment horizontal="left"/>
    </xf>
    <xf numFmtId="164" fontId="36" fillId="3" borderId="3" xfId="1" applyNumberFormat="1" applyFont="1" applyFill="1" applyBorder="1" applyAlignment="1">
      <alignment horizontal="center" vertical="center" wrapText="1"/>
    </xf>
    <xf numFmtId="0" fontId="216" fillId="3" borderId="3" xfId="0" applyFont="1" applyFill="1" applyBorder="1" applyAlignment="1">
      <alignment vertical="top" wrapText="1"/>
    </xf>
    <xf numFmtId="164" fontId="216" fillId="3" borderId="3" xfId="1" applyNumberFormat="1" applyFont="1" applyFill="1" applyBorder="1" applyAlignment="1">
      <alignment vertical="center"/>
    </xf>
    <xf numFmtId="164" fontId="217" fillId="0" borderId="4" xfId="0" applyNumberFormat="1" applyFont="1" applyBorder="1"/>
    <xf numFmtId="4" fontId="218" fillId="0" borderId="0" xfId="0" applyNumberFormat="1" applyFont="1"/>
    <xf numFmtId="164" fontId="36" fillId="3" borderId="4" xfId="1" applyNumberFormat="1" applyFont="1" applyFill="1" applyBorder="1" applyAlignment="1">
      <alignment vertical="top"/>
    </xf>
    <xf numFmtId="4" fontId="32" fillId="0" borderId="4" xfId="0" applyNumberFormat="1" applyFont="1" applyBorder="1"/>
    <xf numFmtId="0" fontId="36" fillId="3" borderId="3" xfId="0" applyFont="1" applyFill="1" applyBorder="1" applyAlignment="1">
      <alignment wrapText="1"/>
    </xf>
    <xf numFmtId="164" fontId="36" fillId="3" borderId="3" xfId="1" applyNumberFormat="1" applyFont="1" applyFill="1" applyBorder="1" applyAlignment="1">
      <alignment horizontal="center" wrapText="1"/>
    </xf>
    <xf numFmtId="164" fontId="36" fillId="3" borderId="4" xfId="1" applyNumberFormat="1" applyFont="1" applyFill="1" applyBorder="1" applyAlignment="1"/>
    <xf numFmtId="0" fontId="219" fillId="3" borderId="3" xfId="0" applyFont="1" applyFill="1" applyBorder="1" applyAlignment="1">
      <alignment horizontal="center" vertical="center"/>
    </xf>
    <xf numFmtId="0" fontId="219" fillId="0" borderId="3" xfId="0" applyFont="1" applyBorder="1" applyAlignment="1">
      <alignment horizontal="left" vertical="top" wrapText="1"/>
    </xf>
    <xf numFmtId="0" fontId="219" fillId="3" borderId="3" xfId="0" applyFont="1" applyFill="1" applyBorder="1" applyAlignment="1">
      <alignment horizontal="left" vertical="top" wrapText="1"/>
    </xf>
    <xf numFmtId="1" fontId="220" fillId="3" borderId="3" xfId="1" applyNumberFormat="1" applyFont="1" applyFill="1" applyBorder="1" applyAlignment="1">
      <alignment horizontal="center" vertical="top"/>
    </xf>
    <xf numFmtId="3" fontId="221" fillId="0" borderId="5" xfId="0" applyNumberFormat="1" applyFont="1" applyBorder="1" applyAlignment="1">
      <alignment horizontal="center" vertical="top" wrapText="1"/>
    </xf>
    <xf numFmtId="164" fontId="219" fillId="0" borderId="3" xfId="20" applyNumberFormat="1" applyFont="1" applyBorder="1" applyAlignment="1">
      <alignment vertical="center"/>
    </xf>
    <xf numFmtId="164" fontId="219" fillId="0" borderId="4" xfId="20" applyNumberFormat="1" applyFont="1" applyBorder="1" applyAlignment="1">
      <alignment vertical="top"/>
    </xf>
    <xf numFmtId="0" fontId="222" fillId="17" borderId="3" xfId="0" applyFont="1" applyFill="1" applyBorder="1" applyAlignment="1">
      <alignment horizontal="center" vertical="center"/>
    </xf>
    <xf numFmtId="0" fontId="192" fillId="17" borderId="3" xfId="0" applyFont="1" applyFill="1" applyBorder="1" applyAlignment="1">
      <alignment horizontal="justify"/>
    </xf>
    <xf numFmtId="14" fontId="222" fillId="17" borderId="3" xfId="0" applyNumberFormat="1" applyFont="1" applyFill="1" applyBorder="1" applyAlignment="1">
      <alignment horizontal="left" vertical="top" wrapText="1"/>
    </xf>
    <xf numFmtId="0" fontId="223" fillId="17" borderId="0" xfId="0" applyFont="1" applyFill="1"/>
    <xf numFmtId="1" fontId="163" fillId="17" borderId="3" xfId="1" applyNumberFormat="1" applyFont="1" applyFill="1" applyBorder="1" applyAlignment="1">
      <alignment horizontal="center" vertical="center"/>
    </xf>
    <xf numFmtId="3" fontId="165" fillId="17" borderId="5" xfId="0" applyNumberFormat="1" applyFont="1" applyFill="1" applyBorder="1" applyAlignment="1">
      <alignment horizontal="center" vertical="center" wrapText="1"/>
    </xf>
    <xf numFmtId="164" fontId="222" fillId="17" borderId="3" xfId="0" applyNumberFormat="1" applyFont="1" applyFill="1" applyBorder="1" applyAlignment="1">
      <alignment vertical="center" wrapText="1"/>
    </xf>
    <xf numFmtId="3" fontId="60" fillId="17" borderId="0" xfId="0" applyNumberFormat="1" applyFont="1" applyFill="1"/>
    <xf numFmtId="0" fontId="0" fillId="3" borderId="3" xfId="0" applyFill="1" applyBorder="1"/>
    <xf numFmtId="0" fontId="222" fillId="3" borderId="3" xfId="0" applyFont="1" applyFill="1" applyBorder="1" applyAlignment="1">
      <alignment horizontal="center" vertical="center"/>
    </xf>
    <xf numFmtId="0" fontId="222" fillId="0" borderId="3" xfId="0" applyFont="1" applyBorder="1" applyAlignment="1">
      <alignment horizontal="left" vertical="top" wrapText="1"/>
    </xf>
    <xf numFmtId="43" fontId="222" fillId="0" borderId="3" xfId="20" applyFont="1" applyBorder="1" applyAlignment="1">
      <alignment horizontal="left" wrapText="1"/>
    </xf>
    <xf numFmtId="0" fontId="222" fillId="0" borderId="3" xfId="0" applyFont="1" applyBorder="1" applyAlignment="1">
      <alignment horizontal="center" vertical="center" wrapText="1"/>
    </xf>
    <xf numFmtId="164" fontId="222" fillId="0" borderId="4" xfId="20" applyNumberFormat="1" applyFont="1" applyBorder="1" applyAlignment="1"/>
    <xf numFmtId="43" fontId="222" fillId="3" borderId="3" xfId="20" applyFont="1" applyFill="1" applyBorder="1" applyAlignment="1">
      <alignment horizontal="left" wrapText="1"/>
    </xf>
    <xf numFmtId="0" fontId="222" fillId="0" borderId="3" xfId="0" applyFont="1" applyBorder="1" applyAlignment="1">
      <alignment horizontal="justify" wrapText="1"/>
    </xf>
    <xf numFmtId="164" fontId="224" fillId="0" borderId="4" xfId="0" applyNumberFormat="1" applyFont="1" applyBorder="1" applyAlignment="1"/>
    <xf numFmtId="43" fontId="222" fillId="3" borderId="3" xfId="20" applyFont="1" applyFill="1" applyBorder="1" applyAlignment="1">
      <alignment horizontal="left" vertical="center" wrapText="1"/>
    </xf>
    <xf numFmtId="164" fontId="222" fillId="3" borderId="3" xfId="20" applyNumberFormat="1" applyFont="1" applyFill="1" applyBorder="1" applyAlignment="1">
      <alignment horizontal="center" vertical="center" wrapText="1"/>
    </xf>
    <xf numFmtId="164" fontId="222" fillId="3" borderId="4" xfId="20" applyNumberFormat="1" applyFont="1" applyFill="1" applyBorder="1" applyAlignment="1">
      <alignment horizontal="center" wrapText="1"/>
    </xf>
    <xf numFmtId="43" fontId="222" fillId="0" borderId="3" xfId="20" applyFont="1" applyBorder="1" applyAlignment="1">
      <alignment vertical="center" wrapText="1"/>
    </xf>
    <xf numFmtId="43" fontId="222" fillId="0" borderId="3" xfId="20" applyFont="1" applyBorder="1" applyAlignment="1">
      <alignment horizontal="left" vertical="top" wrapText="1"/>
    </xf>
    <xf numFmtId="0" fontId="222" fillId="3" borderId="3" xfId="0" applyFont="1" applyFill="1" applyBorder="1" applyAlignment="1">
      <alignment horizontal="center" vertical="center" wrapText="1"/>
    </xf>
    <xf numFmtId="164" fontId="222" fillId="3" borderId="4" xfId="20" applyNumberFormat="1" applyFont="1" applyFill="1" applyBorder="1" applyAlignment="1"/>
    <xf numFmtId="0" fontId="51" fillId="0" borderId="0" xfId="0" applyFont="1"/>
    <xf numFmtId="0" fontId="0" fillId="0" borderId="3" xfId="0" applyBorder="1" applyAlignment="1"/>
    <xf numFmtId="3" fontId="0" fillId="0" borderId="3" xfId="0" applyNumberFormat="1" applyBorder="1"/>
    <xf numFmtId="164" fontId="0" fillId="0" borderId="4" xfId="0" applyNumberFormat="1" applyBorder="1"/>
    <xf numFmtId="0" fontId="0" fillId="0" borderId="3" xfId="0" applyBorder="1" applyAlignment="1">
      <alignment vertical="center"/>
    </xf>
    <xf numFmtId="0" fontId="0" fillId="0" borderId="0" xfId="0" applyAlignment="1"/>
    <xf numFmtId="0" fontId="0" fillId="0" borderId="0" xfId="0" applyAlignment="1">
      <alignment vertical="center"/>
    </xf>
    <xf numFmtId="0" fontId="15" fillId="5" borderId="3" xfId="0" applyFont="1" applyFill="1" applyBorder="1"/>
    <xf numFmtId="0" fontId="0" fillId="5" borderId="3" xfId="0" applyFill="1" applyBorder="1"/>
    <xf numFmtId="3" fontId="0" fillId="5" borderId="3" xfId="0" applyNumberFormat="1" applyFill="1" applyBorder="1"/>
    <xf numFmtId="1" fontId="0" fillId="5" borderId="3" xfId="0" applyNumberFormat="1" applyFill="1" applyBorder="1"/>
    <xf numFmtId="164" fontId="0" fillId="5" borderId="3" xfId="0" applyNumberFormat="1" applyFill="1" applyBorder="1"/>
    <xf numFmtId="0" fontId="73" fillId="5" borderId="2" xfId="0" applyFont="1" applyFill="1" applyBorder="1" applyAlignment="1">
      <alignment horizontal="center" vertical="center"/>
    </xf>
    <xf numFmtId="0" fontId="73" fillId="5" borderId="6" xfId="0" applyFont="1" applyFill="1" applyBorder="1" applyAlignment="1">
      <alignment horizontal="center" vertical="center"/>
    </xf>
    <xf numFmtId="0" fontId="73" fillId="5" borderId="2" xfId="0" applyFont="1" applyFill="1" applyBorder="1" applyAlignment="1">
      <alignment horizontal="center"/>
    </xf>
    <xf numFmtId="0" fontId="73" fillId="5" borderId="2" xfId="0" applyFont="1" applyFill="1" applyBorder="1" applyAlignment="1">
      <alignment horizontal="center" wrapText="1"/>
    </xf>
    <xf numFmtId="43" fontId="73" fillId="5" borderId="3" xfId="1" applyFont="1" applyFill="1" applyBorder="1" applyAlignment="1">
      <alignment horizontal="center"/>
    </xf>
    <xf numFmtId="43" fontId="73" fillId="5" borderId="3" xfId="1" applyFont="1" applyFill="1" applyBorder="1" applyAlignment="1">
      <alignment horizontal="center" wrapText="1"/>
    </xf>
    <xf numFmtId="0" fontId="49" fillId="0" borderId="3" xfId="0" applyFont="1" applyBorder="1"/>
    <xf numFmtId="0" fontId="70" fillId="0" borderId="3" xfId="0" applyFont="1" applyBorder="1" applyAlignment="1">
      <alignment horizontal="justify" wrapText="1"/>
    </xf>
    <xf numFmtId="0" fontId="70" fillId="0" borderId="3" xfId="0" applyFont="1" applyBorder="1" applyAlignment="1">
      <alignment horizontal="left" wrapText="1"/>
    </xf>
    <xf numFmtId="43" fontId="130" fillId="0" borderId="3" xfId="1" applyFont="1" applyFill="1" applyBorder="1" applyAlignment="1">
      <alignment vertical="center" wrapText="1"/>
    </xf>
    <xf numFmtId="164" fontId="50" fillId="0" borderId="3" xfId="1" applyNumberFormat="1" applyFont="1" applyBorder="1" applyAlignment="1">
      <alignment vertical="top" wrapText="1"/>
    </xf>
    <xf numFmtId="164" fontId="40" fillId="0" borderId="3" xfId="1" applyNumberFormat="1" applyFont="1" applyBorder="1" applyAlignment="1"/>
    <xf numFmtId="43" fontId="49" fillId="0" borderId="3" xfId="0" applyNumberFormat="1" applyFont="1" applyBorder="1"/>
    <xf numFmtId="43" fontId="49" fillId="0" borderId="3" xfId="1" applyFont="1" applyBorder="1"/>
    <xf numFmtId="0" fontId="70" fillId="0" borderId="3" xfId="0" applyFont="1" applyBorder="1"/>
    <xf numFmtId="43" fontId="24" fillId="0" borderId="3" xfId="1" applyFont="1" applyFill="1" applyBorder="1"/>
    <xf numFmtId="43" fontId="49" fillId="0" borderId="3" xfId="1" applyFont="1" applyFill="1" applyBorder="1"/>
    <xf numFmtId="43" fontId="49" fillId="3" borderId="3" xfId="1" applyFont="1" applyFill="1" applyBorder="1"/>
    <xf numFmtId="43" fontId="49" fillId="3" borderId="3" xfId="1" applyFont="1" applyFill="1" applyBorder="1" applyAlignment="1">
      <alignment wrapText="1"/>
    </xf>
    <xf numFmtId="43" fontId="49" fillId="3" borderId="3" xfId="1" applyFont="1" applyFill="1" applyBorder="1" applyAlignment="1">
      <alignment horizontal="left" wrapText="1"/>
    </xf>
    <xf numFmtId="43" fontId="130" fillId="0" borderId="3" xfId="1" applyFont="1" applyBorder="1"/>
    <xf numFmtId="164" fontId="40" fillId="3" borderId="3" xfId="1" applyNumberFormat="1" applyFont="1" applyFill="1" applyBorder="1" applyAlignment="1">
      <alignment horizontal="center" vertical="center" wrapText="1"/>
    </xf>
    <xf numFmtId="43" fontId="70" fillId="3" borderId="3" xfId="1" applyFont="1" applyFill="1" applyBorder="1"/>
    <xf numFmtId="43" fontId="70" fillId="0" borderId="3" xfId="1" applyFont="1" applyBorder="1"/>
    <xf numFmtId="0" fontId="70" fillId="0" borderId="3" xfId="0" applyFont="1" applyBorder="1" applyAlignment="1">
      <alignment horizontal="left"/>
    </xf>
    <xf numFmtId="43" fontId="49" fillId="0" borderId="3" xfId="1" applyFont="1" applyBorder="1" applyAlignment="1">
      <alignment vertical="center"/>
    </xf>
    <xf numFmtId="43" fontId="49" fillId="3" borderId="6" xfId="1" applyFont="1" applyFill="1" applyBorder="1"/>
    <xf numFmtId="164" fontId="40" fillId="3" borderId="3" xfId="1" applyNumberFormat="1" applyFont="1" applyFill="1" applyBorder="1" applyAlignment="1">
      <alignment horizontal="center"/>
    </xf>
    <xf numFmtId="43" fontId="130" fillId="3" borderId="3" xfId="1" applyFont="1" applyFill="1" applyBorder="1"/>
    <xf numFmtId="0" fontId="50" fillId="0" borderId="3" xfId="0" applyFont="1" applyBorder="1" applyAlignment="1">
      <alignment horizontal="left" vertical="top" wrapText="1"/>
    </xf>
    <xf numFmtId="43" fontId="40" fillId="0" borderId="3" xfId="1" applyFont="1" applyBorder="1" applyAlignment="1">
      <alignment horizontal="left"/>
    </xf>
    <xf numFmtId="43" fontId="130" fillId="0" borderId="0" xfId="1" applyFont="1"/>
    <xf numFmtId="43" fontId="24" fillId="3" borderId="3" xfId="1" applyFont="1" applyFill="1" applyBorder="1"/>
    <xf numFmtId="43" fontId="40" fillId="3" borderId="3" xfId="1" applyFont="1" applyFill="1" applyBorder="1"/>
    <xf numFmtId="43" fontId="40" fillId="0" borderId="3" xfId="1" applyFont="1" applyFill="1" applyBorder="1"/>
    <xf numFmtId="43" fontId="40" fillId="3" borderId="3" xfId="1" applyFont="1" applyFill="1" applyBorder="1" applyAlignment="1">
      <alignment horizontal="right" vertical="top" wrapText="1"/>
    </xf>
    <xf numFmtId="43" fontId="49" fillId="3" borderId="3" xfId="1" applyFont="1" applyFill="1" applyBorder="1" applyAlignment="1">
      <alignment horizontal="center"/>
    </xf>
    <xf numFmtId="43" fontId="49" fillId="0" borderId="9" xfId="1" applyFont="1" applyFill="1" applyBorder="1"/>
    <xf numFmtId="43" fontId="70" fillId="3" borderId="2" xfId="1" applyFont="1" applyFill="1" applyBorder="1" applyAlignment="1">
      <alignment horizontal="center"/>
    </xf>
    <xf numFmtId="43" fontId="49" fillId="0" borderId="2" xfId="1" applyFont="1" applyBorder="1"/>
    <xf numFmtId="0" fontId="59" fillId="3" borderId="3" xfId="0" applyFont="1" applyFill="1" applyBorder="1" applyAlignment="1">
      <alignment horizontal="left" wrapText="1"/>
    </xf>
    <xf numFmtId="0" fontId="3" fillId="0" borderId="3" xfId="0" applyFont="1" applyBorder="1" applyAlignment="1">
      <alignment horizontal="center"/>
    </xf>
    <xf numFmtId="43" fontId="0" fillId="0" borderId="0" xfId="0" applyNumberFormat="1"/>
    <xf numFmtId="0" fontId="55" fillId="5" borderId="2" xfId="0" applyFont="1" applyFill="1" applyBorder="1" applyAlignment="1">
      <alignment horizontal="left"/>
    </xf>
    <xf numFmtId="0" fontId="55" fillId="5" borderId="6" xfId="0" applyFont="1" applyFill="1" applyBorder="1" applyAlignment="1">
      <alignment horizontal="left"/>
    </xf>
    <xf numFmtId="0" fontId="166" fillId="0" borderId="3" xfId="0" applyFont="1" applyBorder="1" applyAlignment="1">
      <alignment horizontal="center" vertical="top"/>
    </xf>
    <xf numFmtId="14" fontId="60" fillId="0" borderId="3" xfId="0" applyNumberFormat="1" applyFont="1" applyBorder="1" applyAlignment="1">
      <alignment horizontal="center" vertical="center"/>
    </xf>
    <xf numFmtId="0" fontId="130" fillId="0" borderId="3" xfId="0" applyFont="1" applyBorder="1" applyAlignment="1">
      <alignment horizontal="left" vertical="center" wrapText="1"/>
    </xf>
    <xf numFmtId="0" fontId="202" fillId="3" borderId="3" xfId="0" applyFont="1" applyFill="1" applyBorder="1" applyAlignment="1">
      <alignment horizontal="center" vertical="center" wrapText="1"/>
    </xf>
    <xf numFmtId="43" fontId="28" fillId="3" borderId="3" xfId="1" applyFont="1" applyFill="1" applyBorder="1" applyAlignment="1">
      <alignment horizontal="center" vertical="center" wrapText="1"/>
    </xf>
    <xf numFmtId="164" fontId="59" fillId="3" borderId="3" xfId="1" applyNumberFormat="1" applyFont="1" applyFill="1" applyBorder="1" applyAlignment="1">
      <alignment horizontal="center" vertical="center"/>
    </xf>
    <xf numFmtId="0" fontId="0" fillId="3" borderId="3" xfId="0" applyFill="1" applyBorder="1" applyAlignment="1">
      <alignment horizontal="center" vertical="center"/>
    </xf>
    <xf numFmtId="43" fontId="59" fillId="3" borderId="3" xfId="1" applyFont="1" applyFill="1" applyBorder="1" applyAlignment="1">
      <alignment horizontal="center" vertical="center"/>
    </xf>
    <xf numFmtId="0" fontId="166" fillId="0" borderId="0" xfId="0" applyFont="1" applyAlignment="1">
      <alignment horizontal="center" vertical="center"/>
    </xf>
    <xf numFmtId="0" fontId="0" fillId="0" borderId="3" xfId="0" applyBorder="1" applyAlignment="1">
      <alignment horizontal="center" vertical="top"/>
    </xf>
    <xf numFmtId="14" fontId="60" fillId="0" borderId="3" xfId="0" applyNumberFormat="1" applyFont="1" applyBorder="1" applyAlignment="1">
      <alignment vertical="center"/>
    </xf>
    <xf numFmtId="0" fontId="226" fillId="0" borderId="3" xfId="0" applyFont="1" applyFill="1" applyBorder="1" applyAlignment="1">
      <alignment vertical="center" wrapText="1"/>
    </xf>
    <xf numFmtId="0" fontId="202" fillId="0" borderId="3" xfId="0" applyFont="1" applyFill="1" applyBorder="1" applyAlignment="1">
      <alignment horizontal="left" vertical="center" wrapText="1"/>
    </xf>
    <xf numFmtId="43" fontId="227" fillId="0" borderId="3" xfId="1" applyFont="1" applyBorder="1" applyAlignment="1"/>
    <xf numFmtId="43" fontId="59" fillId="0" borderId="3" xfId="1" applyFont="1" applyBorder="1"/>
    <xf numFmtId="0" fontId="59" fillId="0" borderId="3" xfId="0" applyFont="1" applyBorder="1" applyAlignment="1">
      <alignment horizontal="justify" wrapText="1"/>
    </xf>
    <xf numFmtId="14" fontId="23" fillId="0" borderId="3" xfId="0" applyNumberFormat="1" applyFont="1" applyBorder="1" applyAlignment="1">
      <alignment vertical="center"/>
    </xf>
    <xf numFmtId="0" fontId="202" fillId="3" borderId="3" xfId="0" applyFont="1" applyFill="1" applyBorder="1" applyAlignment="1">
      <alignment horizontal="center" wrapText="1"/>
    </xf>
    <xf numFmtId="43" fontId="0" fillId="0" borderId="3" xfId="1" applyFont="1" applyBorder="1"/>
    <xf numFmtId="14" fontId="23" fillId="0" borderId="3" xfId="0" applyNumberFormat="1" applyFont="1" applyBorder="1" applyAlignment="1">
      <alignment vertical="center" wrapText="1"/>
    </xf>
    <xf numFmtId="0" fontId="29" fillId="0" borderId="3" xfId="0" applyFont="1" applyBorder="1" applyAlignment="1">
      <alignment vertical="center" wrapText="1"/>
    </xf>
    <xf numFmtId="0" fontId="213" fillId="3" borderId="3" xfId="0" applyFont="1" applyFill="1" applyBorder="1" applyAlignment="1">
      <alignment horizontal="center" wrapText="1"/>
    </xf>
    <xf numFmtId="43" fontId="23" fillId="3" borderId="3" xfId="1" applyFont="1" applyFill="1" applyBorder="1" applyAlignment="1"/>
    <xf numFmtId="1" fontId="23" fillId="0" borderId="3" xfId="0" applyNumberFormat="1" applyFont="1" applyBorder="1" applyAlignment="1">
      <alignment vertical="center"/>
    </xf>
    <xf numFmtId="0" fontId="29" fillId="0" borderId="3" xfId="0" applyFont="1" applyBorder="1" applyAlignment="1">
      <alignment horizontal="left" vertical="center" wrapText="1"/>
    </xf>
    <xf numFmtId="43" fontId="28" fillId="3" borderId="3" xfId="1" applyFont="1" applyFill="1" applyBorder="1" applyAlignment="1">
      <alignment vertical="top"/>
    </xf>
    <xf numFmtId="43" fontId="74" fillId="3" borderId="3" xfId="1" applyFont="1" applyFill="1" applyBorder="1"/>
    <xf numFmtId="0" fontId="59" fillId="0" borderId="3" xfId="0" applyFont="1" applyFill="1" applyBorder="1" applyAlignment="1">
      <alignment horizontal="justify" wrapText="1"/>
    </xf>
    <xf numFmtId="14" fontId="28" fillId="0" borderId="3" xfId="0" applyNumberFormat="1" applyFont="1" applyBorder="1" applyAlignment="1">
      <alignment vertical="center"/>
    </xf>
    <xf numFmtId="1" fontId="31" fillId="0" borderId="3" xfId="0" applyNumberFormat="1" applyFont="1" applyBorder="1" applyAlignment="1">
      <alignment vertical="center"/>
    </xf>
    <xf numFmtId="0" fontId="0" fillId="0" borderId="3" xfId="0" applyBorder="1" applyAlignment="1">
      <alignment horizontal="center"/>
    </xf>
    <xf numFmtId="43" fontId="23" fillId="0" borderId="3" xfId="1" applyFont="1" applyBorder="1" applyAlignment="1">
      <alignment vertical="center"/>
    </xf>
    <xf numFmtId="15" fontId="31" fillId="0" borderId="3" xfId="0" applyNumberFormat="1" applyFont="1" applyBorder="1" applyAlignment="1">
      <alignment horizontal="center" vertical="center" wrapText="1"/>
    </xf>
    <xf numFmtId="1" fontId="49" fillId="0" borderId="3" xfId="0" applyNumberFormat="1" applyFont="1" applyBorder="1" applyAlignment="1">
      <alignment horizontal="right" vertical="center" wrapText="1"/>
    </xf>
    <xf numFmtId="1" fontId="31" fillId="0" borderId="3" xfId="0" applyNumberFormat="1" applyFont="1" applyBorder="1" applyAlignment="1">
      <alignment horizontal="right" vertical="center" wrapText="1"/>
    </xf>
    <xf numFmtId="0" fontId="51" fillId="0" borderId="3" xfId="0" applyFont="1" applyBorder="1"/>
    <xf numFmtId="14" fontId="24" fillId="0" borderId="3" xfId="0" applyNumberFormat="1" applyFont="1" applyBorder="1" applyAlignment="1">
      <alignment vertical="center" wrapText="1"/>
    </xf>
    <xf numFmtId="0" fontId="130" fillId="0" borderId="3" xfId="0" applyFont="1" applyBorder="1" applyAlignment="1">
      <alignment vertical="center" wrapText="1"/>
    </xf>
    <xf numFmtId="0" fontId="228" fillId="0" borderId="3" xfId="0" applyFont="1" applyBorder="1" applyAlignment="1">
      <alignment vertical="center" wrapText="1"/>
    </xf>
    <xf numFmtId="0" fontId="195" fillId="0" borderId="3" xfId="0" applyFont="1" applyBorder="1" applyAlignment="1">
      <alignment horizontal="center" vertical="center" wrapText="1"/>
    </xf>
    <xf numFmtId="14" fontId="24" fillId="3" borderId="3" xfId="0" applyNumberFormat="1" applyFont="1" applyFill="1" applyBorder="1" applyAlignment="1">
      <alignment vertical="center"/>
    </xf>
    <xf numFmtId="0" fontId="130" fillId="3" borderId="3" xfId="0" applyFont="1" applyFill="1" applyBorder="1" applyAlignment="1">
      <alignment horizontal="left" vertical="center" wrapText="1"/>
    </xf>
    <xf numFmtId="0" fontId="31" fillId="0" borderId="3" xfId="0" applyFont="1" applyBorder="1" applyAlignment="1">
      <alignment vertical="center" wrapText="1"/>
    </xf>
    <xf numFmtId="43" fontId="51" fillId="0" borderId="3" xfId="1" applyFont="1" applyBorder="1"/>
    <xf numFmtId="1" fontId="24" fillId="0" borderId="3" xfId="0" applyNumberFormat="1" applyFont="1" applyBorder="1" applyAlignment="1">
      <alignment vertical="center"/>
    </xf>
    <xf numFmtId="0" fontId="130" fillId="0" borderId="3" xfId="0" applyFont="1" applyBorder="1" applyAlignment="1">
      <alignment horizontal="center" vertical="center" wrapText="1"/>
    </xf>
    <xf numFmtId="0" fontId="51" fillId="0" borderId="3" xfId="0" applyFont="1" applyBorder="1" applyAlignment="1">
      <alignment horizontal="center"/>
    </xf>
    <xf numFmtId="43" fontId="24" fillId="0" borderId="3" xfId="1" applyFont="1" applyBorder="1" applyAlignment="1">
      <alignment vertical="center"/>
    </xf>
    <xf numFmtId="0" fontId="229" fillId="0" borderId="0" xfId="0" applyFont="1" applyAlignment="1">
      <alignment vertical="center"/>
    </xf>
    <xf numFmtId="0" fontId="90" fillId="0" borderId="3" xfId="0" applyFont="1" applyBorder="1" applyAlignment="1">
      <alignment vertical="center" wrapText="1"/>
    </xf>
    <xf numFmtId="0" fontId="229" fillId="0" borderId="0" xfId="0" applyFont="1" applyAlignment="1">
      <alignment horizontal="center" vertical="center"/>
    </xf>
    <xf numFmtId="0" fontId="90" fillId="0" borderId="3" xfId="0" applyFont="1" applyBorder="1" applyAlignment="1">
      <alignment horizontal="left" vertical="center" wrapText="1"/>
    </xf>
    <xf numFmtId="14" fontId="229" fillId="0" borderId="3" xfId="0" applyNumberFormat="1" applyFont="1" applyBorder="1" applyAlignment="1">
      <alignment horizontal="center" vertical="center" wrapText="1"/>
    </xf>
    <xf numFmtId="0" fontId="58" fillId="0" borderId="3" xfId="0" applyFont="1" applyBorder="1" applyAlignment="1">
      <alignment horizontal="left" vertical="center" wrapText="1"/>
    </xf>
    <xf numFmtId="0" fontId="88" fillId="0" borderId="0" xfId="0" applyFont="1" applyAlignment="1">
      <alignment vertical="center"/>
    </xf>
    <xf numFmtId="1" fontId="24" fillId="0" borderId="3" xfId="0" applyNumberFormat="1" applyFont="1" applyBorder="1" applyAlignment="1">
      <alignment horizontal="center" vertical="center"/>
    </xf>
    <xf numFmtId="1" fontId="24" fillId="0" borderId="3" xfId="0" applyNumberFormat="1" applyFont="1" applyBorder="1" applyAlignment="1">
      <alignment vertical="center" wrapText="1"/>
    </xf>
    <xf numFmtId="0" fontId="24" fillId="0" borderId="3" xfId="0" applyFont="1" applyBorder="1" applyAlignment="1">
      <alignment vertical="center" wrapText="1"/>
    </xf>
    <xf numFmtId="0" fontId="54" fillId="0" borderId="3" xfId="0" applyFont="1" applyBorder="1" applyAlignment="1">
      <alignment horizontal="left" vertical="center" wrapText="1"/>
    </xf>
    <xf numFmtId="0" fontId="230" fillId="3" borderId="3" xfId="0" applyFont="1" applyFill="1" applyBorder="1" applyAlignment="1">
      <alignment vertical="center" wrapText="1"/>
    </xf>
    <xf numFmtId="4" fontId="37" fillId="0" borderId="3" xfId="0" applyNumberFormat="1" applyFont="1" applyBorder="1" applyAlignment="1">
      <alignment vertical="center" wrapText="1"/>
    </xf>
    <xf numFmtId="0" fontId="24" fillId="0" borderId="3" xfId="0" applyFont="1" applyFill="1" applyBorder="1" applyAlignment="1">
      <alignment vertical="center" wrapText="1"/>
    </xf>
    <xf numFmtId="0" fontId="49" fillId="0" borderId="3" xfId="0" applyFont="1" applyBorder="1" applyAlignment="1">
      <alignment vertical="center" wrapText="1"/>
    </xf>
    <xf numFmtId="0" fontId="195" fillId="0" borderId="3" xfId="0" applyFont="1" applyBorder="1" applyAlignment="1">
      <alignment horizontal="left" vertical="center" wrapText="1"/>
    </xf>
    <xf numFmtId="166" fontId="24" fillId="0" borderId="3" xfId="0" applyNumberFormat="1" applyFont="1" applyBorder="1" applyAlignment="1">
      <alignment vertical="center"/>
    </xf>
    <xf numFmtId="1" fontId="36" fillId="0" borderId="3" xfId="0" applyNumberFormat="1" applyFont="1" applyBorder="1" applyAlignment="1">
      <alignment vertical="center"/>
    </xf>
    <xf numFmtId="0" fontId="12" fillId="3" borderId="3" xfId="0" applyFont="1" applyFill="1" applyBorder="1" applyAlignment="1">
      <alignment horizontal="center" vertical="top"/>
    </xf>
    <xf numFmtId="0" fontId="12" fillId="3" borderId="3" xfId="0" applyFont="1" applyFill="1" applyBorder="1"/>
    <xf numFmtId="0" fontId="24" fillId="3" borderId="3" xfId="0" applyFont="1" applyFill="1" applyBorder="1" applyAlignment="1">
      <alignment horizontal="center" vertical="center" wrapText="1"/>
    </xf>
    <xf numFmtId="1" fontId="36" fillId="3" borderId="3" xfId="0" applyNumberFormat="1" applyFont="1" applyFill="1" applyBorder="1" applyAlignment="1">
      <alignment vertical="center"/>
    </xf>
    <xf numFmtId="0" fontId="36" fillId="3" borderId="3" xfId="0" applyFont="1" applyFill="1" applyBorder="1" applyAlignment="1">
      <alignment horizontal="left" vertical="center" wrapText="1"/>
    </xf>
    <xf numFmtId="0" fontId="165" fillId="3" borderId="3" xfId="0" applyFont="1" applyFill="1" applyBorder="1" applyAlignment="1">
      <alignment horizontal="center" vertical="center" wrapText="1"/>
    </xf>
    <xf numFmtId="164" fontId="28" fillId="3" borderId="3" xfId="1" applyNumberFormat="1" applyFont="1" applyFill="1" applyBorder="1" applyAlignment="1">
      <alignment horizontal="center" vertical="center"/>
    </xf>
    <xf numFmtId="0" fontId="12" fillId="3" borderId="0" xfId="0" applyFont="1" applyFill="1"/>
    <xf numFmtId="14" fontId="23" fillId="0" borderId="3" xfId="0" applyNumberFormat="1" applyFont="1" applyBorder="1" applyAlignment="1">
      <alignment horizontal="center" vertical="center" wrapText="1"/>
    </xf>
    <xf numFmtId="14" fontId="24" fillId="0" borderId="3" xfId="0" applyNumberFormat="1" applyFont="1" applyBorder="1" applyAlignment="1">
      <alignment horizontal="center" vertical="center" wrapText="1"/>
    </xf>
    <xf numFmtId="0" fontId="130" fillId="3" borderId="3" xfId="0" applyFont="1" applyFill="1" applyBorder="1" applyAlignment="1">
      <alignment vertical="center" wrapText="1"/>
    </xf>
    <xf numFmtId="43" fontId="24" fillId="3" borderId="3" xfId="1" applyFont="1" applyFill="1" applyBorder="1" applyAlignment="1">
      <alignment vertical="center"/>
    </xf>
    <xf numFmtId="1" fontId="23" fillId="0" borderId="3" xfId="0" applyNumberFormat="1" applyFont="1" applyBorder="1" applyAlignment="1">
      <alignment horizontal="center" vertical="center"/>
    </xf>
    <xf numFmtId="164" fontId="23" fillId="0" borderId="3" xfId="1" applyNumberFormat="1" applyFont="1" applyBorder="1" applyAlignment="1">
      <alignment vertical="center"/>
    </xf>
    <xf numFmtId="164" fontId="23" fillId="0" borderId="3" xfId="1" applyNumberFormat="1" applyFont="1" applyBorder="1" applyAlignment="1">
      <alignment horizontal="left" vertical="center"/>
    </xf>
    <xf numFmtId="14" fontId="24" fillId="0" borderId="3" xfId="0" applyNumberFormat="1" applyFont="1" applyBorder="1" applyAlignment="1">
      <alignment vertical="center"/>
    </xf>
    <xf numFmtId="1" fontId="4" fillId="0" borderId="3" xfId="0" applyNumberFormat="1" applyFont="1" applyBorder="1" applyAlignment="1">
      <alignment vertical="center" wrapText="1"/>
    </xf>
    <xf numFmtId="0" fontId="118" fillId="0" borderId="3" xfId="0" applyFont="1" applyBorder="1" applyAlignment="1">
      <alignment vertical="center" wrapText="1"/>
    </xf>
    <xf numFmtId="14" fontId="0" fillId="0" borderId="3" xfId="0" applyNumberFormat="1" applyBorder="1"/>
    <xf numFmtId="14" fontId="4" fillId="0" borderId="3" xfId="0" applyNumberFormat="1" applyFont="1" applyBorder="1" applyAlignment="1">
      <alignment vertical="center" wrapText="1"/>
    </xf>
    <xf numFmtId="0" fontId="232" fillId="0" borderId="3" xfId="0" applyFont="1" applyBorder="1" applyAlignment="1">
      <alignment vertical="center" wrapText="1"/>
    </xf>
    <xf numFmtId="43" fontId="4" fillId="0" borderId="3" xfId="1" applyFont="1" applyBorder="1" applyAlignment="1">
      <alignment vertical="center" wrapText="1"/>
    </xf>
    <xf numFmtId="14" fontId="152" fillId="0" borderId="3" xfId="0" applyNumberFormat="1" applyFont="1" applyBorder="1" applyAlignment="1">
      <alignment vertical="center" wrapText="1"/>
    </xf>
    <xf numFmtId="1" fontId="152" fillId="0" borderId="3" xfId="0" applyNumberFormat="1" applyFont="1" applyBorder="1" applyAlignment="1">
      <alignment vertical="center"/>
    </xf>
    <xf numFmtId="0" fontId="233" fillId="0" borderId="3" xfId="0" applyFont="1" applyBorder="1" applyAlignment="1">
      <alignment horizontal="left" vertical="center" wrapText="1"/>
    </xf>
    <xf numFmtId="0" fontId="118" fillId="0" borderId="3" xfId="0" applyFont="1" applyBorder="1" applyAlignment="1">
      <alignment horizontal="left" vertical="center" wrapText="1"/>
    </xf>
    <xf numFmtId="1" fontId="4" fillId="0" borderId="3" xfId="0" applyNumberFormat="1" applyFont="1" applyBorder="1" applyAlignment="1">
      <alignment vertical="center"/>
    </xf>
    <xf numFmtId="43" fontId="4" fillId="0" borderId="3" xfId="1" applyFont="1" applyBorder="1" applyAlignment="1">
      <alignment vertical="center"/>
    </xf>
    <xf numFmtId="1" fontId="152" fillId="0" borderId="3" xfId="0" applyNumberFormat="1" applyFont="1" applyBorder="1" applyAlignment="1">
      <alignment vertical="center" wrapText="1"/>
    </xf>
    <xf numFmtId="0" fontId="232" fillId="3" borderId="3" xfId="0" applyFont="1" applyFill="1" applyBorder="1" applyAlignment="1">
      <alignment horizontal="justify" vertical="center" wrapText="1"/>
    </xf>
    <xf numFmtId="164" fontId="4" fillId="3" borderId="3" xfId="1" applyNumberFormat="1" applyFont="1" applyFill="1" applyBorder="1" applyAlignment="1">
      <alignment vertical="center"/>
    </xf>
    <xf numFmtId="3" fontId="155" fillId="3" borderId="3" xfId="0" applyNumberFormat="1" applyFont="1" applyFill="1" applyBorder="1" applyAlignment="1">
      <alignment vertical="center"/>
    </xf>
    <xf numFmtId="0" fontId="232" fillId="13" borderId="3" xfId="0" applyFont="1" applyFill="1" applyBorder="1" applyAlignment="1">
      <alignment horizontal="left" vertical="center" wrapText="1"/>
    </xf>
    <xf numFmtId="0" fontId="130" fillId="0" borderId="3" xfId="0" applyFont="1" applyBorder="1" applyAlignment="1">
      <alignment horizontal="left" vertical="top" wrapText="1"/>
    </xf>
    <xf numFmtId="0" fontId="195" fillId="0" borderId="3" xfId="0" applyFont="1" applyBorder="1" applyAlignment="1">
      <alignment horizontal="left" vertical="top" wrapText="1"/>
    </xf>
    <xf numFmtId="2" fontId="23" fillId="0" borderId="5" xfId="1" applyNumberFormat="1" applyFont="1" applyBorder="1" applyAlignment="1">
      <alignment vertical="center"/>
    </xf>
    <xf numFmtId="0" fontId="24" fillId="3" borderId="3" xfId="0" applyFont="1" applyFill="1" applyBorder="1" applyAlignment="1">
      <alignment vertical="center" wrapText="1"/>
    </xf>
    <xf numFmtId="164" fontId="24" fillId="0" borderId="3" xfId="1" applyNumberFormat="1" applyFont="1" applyBorder="1" applyAlignment="1">
      <alignment vertical="center"/>
    </xf>
    <xf numFmtId="1" fontId="229" fillId="0" borderId="3" xfId="0" applyNumberFormat="1" applyFont="1" applyBorder="1" applyAlignment="1">
      <alignment vertical="center"/>
    </xf>
    <xf numFmtId="0" fontId="142" fillId="0" borderId="3" xfId="0" applyFont="1" applyBorder="1" applyAlignment="1">
      <alignment horizontal="left" vertical="center" wrapText="1"/>
    </xf>
    <xf numFmtId="1" fontId="88" fillId="0" borderId="3" xfId="0" applyNumberFormat="1" applyFont="1" applyBorder="1" applyAlignment="1">
      <alignment vertical="center"/>
    </xf>
    <xf numFmtId="164" fontId="88" fillId="0" borderId="3" xfId="1" applyNumberFormat="1" applyFont="1" applyBorder="1" applyAlignment="1" applyProtection="1">
      <alignment vertical="center"/>
    </xf>
    <xf numFmtId="43" fontId="24" fillId="0" borderId="3" xfId="1" applyFont="1" applyBorder="1" applyAlignment="1">
      <alignment horizontal="left" vertical="center"/>
    </xf>
    <xf numFmtId="43" fontId="24" fillId="0" borderId="3" xfId="1" applyFont="1" applyBorder="1" applyAlignment="1">
      <alignment horizontal="left" vertical="center" wrapText="1"/>
    </xf>
    <xf numFmtId="0" fontId="51" fillId="0" borderId="3" xfId="0" applyFont="1" applyBorder="1" applyAlignment="1">
      <alignment horizontal="left" vertical="center" wrapText="1"/>
    </xf>
    <xf numFmtId="0" fontId="51" fillId="0" borderId="3" xfId="0" applyFont="1" applyBorder="1" applyAlignment="1">
      <alignment vertical="center" wrapText="1"/>
    </xf>
    <xf numFmtId="3" fontId="51" fillId="0" borderId="3" xfId="0" applyNumberFormat="1" applyFont="1" applyBorder="1" applyAlignment="1">
      <alignment vertical="center"/>
    </xf>
    <xf numFmtId="0" fontId="51" fillId="0" borderId="2" xfId="0" applyFont="1" applyBorder="1" applyAlignment="1">
      <alignment vertical="center" wrapText="1"/>
    </xf>
    <xf numFmtId="0" fontId="60" fillId="0" borderId="3" xfId="0" applyFont="1" applyBorder="1" applyAlignment="1">
      <alignment vertical="center"/>
    </xf>
    <xf numFmtId="17" fontId="24" fillId="0" borderId="3" xfId="0" applyNumberFormat="1" applyFont="1" applyBorder="1" applyAlignment="1">
      <alignment vertical="center" wrapText="1"/>
    </xf>
    <xf numFmtId="43" fontId="1" fillId="0" borderId="3" xfId="1" applyFont="1" applyBorder="1" applyAlignment="1">
      <alignment vertical="center"/>
    </xf>
    <xf numFmtId="1" fontId="23" fillId="0" borderId="3" xfId="0" applyNumberFormat="1" applyFont="1" applyBorder="1" applyAlignment="1">
      <alignment vertical="center" wrapText="1"/>
    </xf>
    <xf numFmtId="43" fontId="24" fillId="0" borderId="3" xfId="1" applyFont="1" applyBorder="1" applyAlignment="1">
      <alignment horizontal="right" vertical="center"/>
    </xf>
    <xf numFmtId="43" fontId="23" fillId="0" borderId="3" xfId="1" applyFont="1" applyBorder="1" applyAlignment="1">
      <alignment horizontal="center" vertical="center" wrapText="1"/>
    </xf>
    <xf numFmtId="0" fontId="49" fillId="0" borderId="3" xfId="0" applyFont="1" applyBorder="1" applyAlignment="1">
      <alignment horizontal="left" vertical="center" wrapText="1"/>
    </xf>
    <xf numFmtId="43" fontId="23" fillId="0" borderId="3" xfId="1" applyFont="1" applyBorder="1" applyAlignment="1">
      <alignment horizontal="right" vertical="center" wrapText="1"/>
    </xf>
    <xf numFmtId="4" fontId="60" fillId="0" borderId="3" xfId="0" applyNumberFormat="1" applyFont="1" applyBorder="1" applyAlignment="1">
      <alignment vertical="center"/>
    </xf>
    <xf numFmtId="3" fontId="60" fillId="0" borderId="3" xfId="0" applyNumberFormat="1" applyFont="1" applyBorder="1" applyAlignment="1">
      <alignment vertical="center"/>
    </xf>
    <xf numFmtId="164" fontId="23" fillId="0" borderId="3" xfId="1" applyNumberFormat="1" applyFont="1" applyBorder="1" applyAlignment="1">
      <alignment horizontal="center" vertical="center"/>
    </xf>
    <xf numFmtId="0" fontId="166" fillId="0" borderId="3" xfId="0" applyFont="1" applyFill="1" applyBorder="1" applyAlignment="1">
      <alignment horizontal="center"/>
    </xf>
    <xf numFmtId="166" fontId="24" fillId="0" borderId="0" xfId="0" applyNumberFormat="1" applyFont="1" applyAlignment="1">
      <alignment vertical="center"/>
    </xf>
    <xf numFmtId="4" fontId="37" fillId="0" borderId="3" xfId="0" applyNumberFormat="1" applyFont="1" applyBorder="1" applyAlignment="1">
      <alignment vertical="center"/>
    </xf>
    <xf numFmtId="166" fontId="24" fillId="0" borderId="3" xfId="0" applyNumberFormat="1" applyFont="1" applyBorder="1" applyAlignment="1">
      <alignment vertical="center" wrapText="1"/>
    </xf>
    <xf numFmtId="14" fontId="37" fillId="0" borderId="3" xfId="0" applyNumberFormat="1" applyFont="1" applyBorder="1" applyAlignment="1">
      <alignment vertical="center" wrapText="1"/>
    </xf>
    <xf numFmtId="4" fontId="37" fillId="0" borderId="5" xfId="0" applyNumberFormat="1" applyFont="1" applyBorder="1" applyAlignment="1">
      <alignment vertical="center"/>
    </xf>
    <xf numFmtId="0" fontId="163" fillId="0" borderId="3" xfId="0" applyFont="1" applyFill="1" applyBorder="1" applyAlignment="1">
      <alignment horizontal="center"/>
    </xf>
    <xf numFmtId="164" fontId="24" fillId="0" borderId="3" xfId="1" applyNumberFormat="1" applyFont="1" applyBorder="1" applyAlignment="1">
      <alignment horizontal="center" vertical="center"/>
    </xf>
    <xf numFmtId="0" fontId="24" fillId="0" borderId="3" xfId="0" applyFont="1" applyBorder="1" applyAlignment="1">
      <alignment horizontal="left" vertical="center" wrapText="1"/>
    </xf>
    <xf numFmtId="1" fontId="23" fillId="0" borderId="3" xfId="1" applyNumberFormat="1" applyFont="1" applyBorder="1" applyAlignment="1">
      <alignment vertical="center"/>
    </xf>
    <xf numFmtId="1" fontId="23" fillId="0" borderId="3" xfId="0" applyNumberFormat="1" applyFont="1" applyBorder="1" applyAlignment="1">
      <alignment horizontal="center" vertical="center" wrapText="1"/>
    </xf>
    <xf numFmtId="3" fontId="23" fillId="0" borderId="3" xfId="0" applyNumberFormat="1" applyFont="1" applyBorder="1" applyAlignment="1">
      <alignment vertical="center"/>
    </xf>
    <xf numFmtId="43" fontId="12" fillId="3" borderId="3" xfId="12" applyNumberFormat="1" applyFont="1" applyFill="1" applyBorder="1" applyAlignment="1">
      <alignment vertical="center"/>
    </xf>
    <xf numFmtId="3" fontId="23" fillId="0" borderId="3" xfId="0" applyNumberFormat="1" applyFont="1" applyBorder="1" applyAlignment="1">
      <alignment vertical="center" wrapText="1"/>
    </xf>
    <xf numFmtId="0" fontId="23" fillId="0" borderId="3" xfId="0" applyFont="1" applyBorder="1" applyAlignment="1">
      <alignment horizontal="center" vertical="center" wrapText="1"/>
    </xf>
    <xf numFmtId="43" fontId="12" fillId="3" borderId="3" xfId="12" applyNumberFormat="1" applyFont="1" applyFill="1" applyBorder="1" applyAlignment="1">
      <alignment vertical="center" wrapText="1"/>
    </xf>
    <xf numFmtId="43" fontId="23" fillId="0" borderId="3" xfId="1" applyFont="1" applyBorder="1" applyAlignment="1">
      <alignment horizontal="right" vertical="center"/>
    </xf>
    <xf numFmtId="0" fontId="12" fillId="3" borderId="3" xfId="11" applyFont="1" applyFill="1" applyBorder="1" applyAlignment="1">
      <alignment horizontal="left" vertical="center" wrapText="1"/>
    </xf>
    <xf numFmtId="164" fontId="23" fillId="0" borderId="3" xfId="1" applyNumberFormat="1" applyFont="1" applyBorder="1" applyAlignment="1">
      <alignment horizontal="center" vertical="center" wrapText="1"/>
    </xf>
    <xf numFmtId="4" fontId="0" fillId="0" borderId="3" xfId="0" applyNumberFormat="1" applyFont="1" applyBorder="1" applyAlignment="1">
      <alignment vertical="center"/>
    </xf>
    <xf numFmtId="0" fontId="0" fillId="5" borderId="3" xfId="0" applyFill="1" applyBorder="1" applyAlignment="1">
      <alignment horizontal="center" vertical="top"/>
    </xf>
    <xf numFmtId="43" fontId="0" fillId="5" borderId="3" xfId="1" applyFont="1" applyFill="1" applyBorder="1"/>
    <xf numFmtId="0" fontId="0" fillId="0" borderId="0" xfId="0" applyAlignment="1">
      <alignment horizontal="center" vertical="top"/>
    </xf>
    <xf numFmtId="0" fontId="70" fillId="0" borderId="3" xfId="0" applyFont="1" applyBorder="1" applyAlignment="1">
      <alignment vertical="top"/>
    </xf>
    <xf numFmtId="0" fontId="50" fillId="0" borderId="3" xfId="0" applyFont="1" applyBorder="1" applyAlignment="1">
      <alignment horizontal="left" vertical="center"/>
    </xf>
    <xf numFmtId="1" fontId="40" fillId="0" borderId="3" xfId="0" applyNumberFormat="1" applyFont="1" applyBorder="1" applyAlignment="1">
      <alignment horizontal="center" wrapText="1"/>
    </xf>
    <xf numFmtId="1" fontId="40" fillId="0" borderId="3" xfId="0" applyNumberFormat="1" applyFont="1" applyBorder="1" applyAlignment="1">
      <alignment wrapText="1"/>
    </xf>
    <xf numFmtId="14" fontId="40" fillId="0" borderId="3" xfId="0" applyNumberFormat="1" applyFont="1" applyBorder="1" applyAlignment="1">
      <alignment vertical="center"/>
    </xf>
    <xf numFmtId="0" fontId="27" fillId="0" borderId="3" xfId="0" applyFont="1" applyBorder="1" applyAlignment="1">
      <alignment horizontal="left" vertical="center"/>
    </xf>
    <xf numFmtId="0" fontId="30" fillId="0" borderId="3" xfId="0" applyFont="1" applyBorder="1" applyAlignment="1">
      <alignment horizontal="left" vertical="center" wrapText="1"/>
    </xf>
    <xf numFmtId="0" fontId="30" fillId="0" borderId="3" xfId="0" applyFont="1" applyBorder="1" applyAlignment="1">
      <alignment horizontal="left" wrapText="1"/>
    </xf>
    <xf numFmtId="0" fontId="27" fillId="0" borderId="3" xfId="0" applyFont="1" applyBorder="1" applyAlignment="1">
      <alignment horizontal="center" vertical="center"/>
    </xf>
    <xf numFmtId="1" fontId="28" fillId="0" borderId="3" xfId="0" applyNumberFormat="1" applyFont="1" applyBorder="1" applyAlignment="1">
      <alignment wrapText="1"/>
    </xf>
    <xf numFmtId="3" fontId="235" fillId="3" borderId="3" xfId="0" applyNumberFormat="1" applyFont="1" applyFill="1" applyBorder="1" applyAlignment="1">
      <alignment horizontal="center" vertical="top" wrapText="1"/>
    </xf>
    <xf numFmtId="0" fontId="236" fillId="0" borderId="3" xfId="0" applyFont="1" applyBorder="1" applyAlignment="1">
      <alignment vertical="center"/>
    </xf>
    <xf numFmtId="164" fontId="237" fillId="0" borderId="3" xfId="1" applyNumberFormat="1" applyFont="1" applyBorder="1" applyAlignment="1"/>
    <xf numFmtId="14" fontId="237" fillId="0" borderId="3" xfId="0" applyNumberFormat="1" applyFont="1" applyBorder="1" applyAlignment="1"/>
    <xf numFmtId="1" fontId="237" fillId="0" borderId="3" xfId="0" applyNumberFormat="1" applyFont="1" applyBorder="1" applyAlignment="1"/>
    <xf numFmtId="14" fontId="237" fillId="0" borderId="3" xfId="0" applyNumberFormat="1" applyFont="1" applyBorder="1" applyAlignment="1">
      <alignment horizontal="right"/>
    </xf>
    <xf numFmtId="0" fontId="237" fillId="0" borderId="3" xfId="0" applyFont="1" applyBorder="1" applyAlignment="1">
      <alignment vertical="center" wrapText="1"/>
    </xf>
    <xf numFmtId="14" fontId="237" fillId="0" borderId="3" xfId="0" applyNumberFormat="1" applyFont="1" applyBorder="1" applyAlignment="1">
      <alignment vertical="center" wrapText="1"/>
    </xf>
    <xf numFmtId="164" fontId="237" fillId="0" borderId="3" xfId="1" applyNumberFormat="1" applyFont="1" applyBorder="1" applyAlignment="1">
      <alignment vertical="center" wrapText="1"/>
    </xf>
    <xf numFmtId="14" fontId="237" fillId="0" borderId="3" xfId="1" applyNumberFormat="1" applyFont="1" applyBorder="1" applyAlignment="1">
      <alignment wrapText="1"/>
    </xf>
    <xf numFmtId="0" fontId="237" fillId="3" borderId="3" xfId="0" applyFont="1" applyFill="1" applyBorder="1" applyAlignment="1">
      <alignment horizontal="right" vertical="center"/>
    </xf>
    <xf numFmtId="14" fontId="237" fillId="3" borderId="3" xfId="0" applyNumberFormat="1" applyFont="1" applyFill="1" applyBorder="1" applyAlignment="1">
      <alignment horizontal="left" vertical="center"/>
    </xf>
    <xf numFmtId="0" fontId="50" fillId="3" borderId="3" xfId="0" applyFont="1" applyFill="1" applyBorder="1" applyAlignment="1">
      <alignment vertical="center" wrapText="1"/>
    </xf>
    <xf numFmtId="169" fontId="40" fillId="0" borderId="3" xfId="0" applyNumberFormat="1" applyFont="1" applyBorder="1" applyAlignment="1"/>
    <xf numFmtId="1" fontId="40" fillId="3" borderId="3" xfId="0" applyNumberFormat="1" applyFont="1" applyFill="1" applyBorder="1" applyAlignment="1">
      <alignment wrapText="1"/>
    </xf>
    <xf numFmtId="0" fontId="70" fillId="3" borderId="3" xfId="0" applyFont="1" applyFill="1" applyBorder="1" applyAlignment="1">
      <alignment vertical="top" wrapText="1"/>
    </xf>
    <xf numFmtId="0" fontId="27" fillId="3" borderId="3" xfId="0" applyFont="1" applyFill="1" applyBorder="1" applyAlignment="1">
      <alignment vertical="center" wrapText="1"/>
    </xf>
    <xf numFmtId="14" fontId="40" fillId="0" borderId="3" xfId="0" applyNumberFormat="1" applyFont="1" applyBorder="1" applyAlignment="1"/>
    <xf numFmtId="14" fontId="40" fillId="0" borderId="3" xfId="0" applyNumberFormat="1" applyFont="1" applyBorder="1" applyAlignment="1">
      <alignment vertical="center" wrapText="1"/>
    </xf>
    <xf numFmtId="0" fontId="50" fillId="0" borderId="3" xfId="0" applyFont="1" applyBorder="1" applyAlignment="1">
      <alignment horizontal="justify" wrapText="1"/>
    </xf>
    <xf numFmtId="12" fontId="39" fillId="3" borderId="3" xfId="1" applyNumberFormat="1" applyFont="1" applyFill="1" applyBorder="1" applyAlignment="1">
      <alignment vertical="center" wrapText="1"/>
    </xf>
    <xf numFmtId="0" fontId="69" fillId="0" borderId="3" xfId="0" applyFont="1" applyBorder="1" applyAlignment="1">
      <alignment vertical="center" wrapText="1"/>
    </xf>
    <xf numFmtId="0" fontId="69" fillId="0" borderId="3" xfId="0" applyFont="1" applyBorder="1" applyAlignment="1">
      <alignment horizontal="center" vertical="center" wrapText="1"/>
    </xf>
    <xf numFmtId="0" fontId="0" fillId="13" borderId="3" xfId="0" applyFill="1" applyBorder="1"/>
    <xf numFmtId="43" fontId="35" fillId="0" borderId="3" xfId="1" applyFont="1" applyFill="1" applyBorder="1" applyAlignment="1">
      <alignment vertical="center" wrapText="1"/>
    </xf>
    <xf numFmtId="0" fontId="238" fillId="0" borderId="3" xfId="0" applyFont="1" applyBorder="1" applyAlignment="1">
      <alignment vertical="center"/>
    </xf>
    <xf numFmtId="1" fontId="239" fillId="3" borderId="3" xfId="0" applyNumberFormat="1" applyFont="1" applyFill="1" applyBorder="1" applyAlignment="1">
      <alignment horizontal="center" vertical="center"/>
    </xf>
    <xf numFmtId="1" fontId="240" fillId="3" borderId="3" xfId="0" applyNumberFormat="1" applyFont="1" applyFill="1" applyBorder="1" applyAlignment="1">
      <alignment horizontal="center" vertical="center"/>
    </xf>
    <xf numFmtId="1" fontId="242" fillId="0" borderId="3" xfId="0" applyNumberFormat="1" applyFont="1" applyBorder="1" applyAlignment="1">
      <alignment horizontal="center" vertical="center"/>
    </xf>
    <xf numFmtId="0" fontId="242" fillId="0" borderId="3" xfId="0" applyFont="1" applyBorder="1" applyAlignment="1">
      <alignment horizontal="center" vertical="center" wrapText="1"/>
    </xf>
    <xf numFmtId="0" fontId="239" fillId="3" borderId="3" xfId="0" applyFont="1" applyFill="1" applyBorder="1" applyAlignment="1">
      <alignment horizontal="center" vertical="center" wrapText="1"/>
    </xf>
    <xf numFmtId="43" fontId="242" fillId="3" borderId="3" xfId="1" applyFont="1" applyFill="1" applyBorder="1" applyAlignment="1">
      <alignment horizontal="center" vertical="center"/>
    </xf>
    <xf numFmtId="1" fontId="152" fillId="0" borderId="3" xfId="0" applyNumberFormat="1" applyFont="1" applyBorder="1" applyAlignment="1">
      <alignment horizontal="center"/>
    </xf>
    <xf numFmtId="0" fontId="118" fillId="0" borderId="3" xfId="0" applyFont="1" applyBorder="1" applyAlignment="1">
      <alignment horizontal="left" wrapText="1"/>
    </xf>
    <xf numFmtId="43" fontId="152" fillId="3" borderId="3" xfId="1" applyFont="1" applyFill="1" applyBorder="1" applyAlignment="1">
      <alignment horizontal="center" vertical="center" wrapText="1"/>
    </xf>
    <xf numFmtId="1" fontId="242" fillId="0" borderId="3" xfId="0" applyNumberFormat="1" applyFont="1" applyBorder="1" applyAlignment="1">
      <alignment horizontal="center" vertical="center" wrapText="1"/>
    </xf>
    <xf numFmtId="1" fontId="152" fillId="0" borderId="3" xfId="0" applyNumberFormat="1" applyFont="1" applyBorder="1" applyAlignment="1">
      <alignment horizontal="center" vertical="center" wrapText="1"/>
    </xf>
    <xf numFmtId="0" fontId="118" fillId="0" borderId="3" xfId="0" applyFont="1" applyBorder="1" applyAlignment="1">
      <alignment horizontal="left" vertical="top" wrapText="1"/>
    </xf>
    <xf numFmtId="0" fontId="238" fillId="0" borderId="3" xfId="0" applyFont="1" applyFill="1" applyBorder="1" applyAlignment="1">
      <alignment vertical="center"/>
    </xf>
    <xf numFmtId="1" fontId="242" fillId="0" borderId="3" xfId="0" applyNumberFormat="1" applyFont="1" applyFill="1" applyBorder="1" applyAlignment="1">
      <alignment horizontal="center" vertical="center"/>
    </xf>
    <xf numFmtId="1" fontId="152" fillId="0" borderId="3" xfId="0" applyNumberFormat="1" applyFont="1" applyFill="1" applyBorder="1" applyAlignment="1">
      <alignment horizontal="center" vertical="center"/>
    </xf>
    <xf numFmtId="1" fontId="26" fillId="0" borderId="3" xfId="0" applyNumberFormat="1" applyFont="1" applyBorder="1" applyAlignment="1"/>
    <xf numFmtId="0" fontId="43" fillId="0" borderId="3" xfId="0" applyFont="1" applyBorder="1" applyAlignment="1">
      <alignment vertical="center" wrapText="1"/>
    </xf>
    <xf numFmtId="0" fontId="42" fillId="0" borderId="3" xfId="0" applyFont="1" applyBorder="1" applyAlignment="1">
      <alignment horizontal="left" vertical="center"/>
    </xf>
    <xf numFmtId="0" fontId="26" fillId="0" borderId="3" xfId="0" applyFont="1" applyBorder="1" applyAlignment="1">
      <alignment vertical="center" wrapText="1"/>
    </xf>
    <xf numFmtId="0" fontId="42" fillId="0" borderId="3" xfId="0" applyFont="1" applyBorder="1" applyAlignment="1">
      <alignment horizontal="center" vertical="center"/>
    </xf>
    <xf numFmtId="0" fontId="243" fillId="0" borderId="3" xfId="0" applyFont="1" applyBorder="1" applyAlignment="1">
      <alignment vertical="center"/>
    </xf>
    <xf numFmtId="1" fontId="116" fillId="3" borderId="3" xfId="0" applyNumberFormat="1" applyFont="1" applyFill="1" applyBorder="1" applyAlignment="1"/>
    <xf numFmtId="1" fontId="116" fillId="0" borderId="3" xfId="0" applyNumberFormat="1" applyFont="1" applyBorder="1" applyAlignment="1"/>
    <xf numFmtId="0" fontId="244" fillId="0" borderId="3" xfId="0" applyFont="1" applyBorder="1" applyAlignment="1">
      <alignment vertical="center" wrapText="1"/>
    </xf>
    <xf numFmtId="1" fontId="35" fillId="0" borderId="3" xfId="0" applyNumberFormat="1" applyFont="1" applyBorder="1" applyAlignment="1"/>
    <xf numFmtId="49" fontId="245" fillId="0" borderId="3" xfId="0" applyNumberFormat="1" applyFont="1" applyBorder="1" applyAlignment="1"/>
    <xf numFmtId="0" fontId="40" fillId="3" borderId="3" xfId="0" applyFont="1" applyFill="1" applyBorder="1" applyAlignment="1">
      <alignment horizontal="left" vertical="center"/>
    </xf>
    <xf numFmtId="49" fontId="245" fillId="3" borderId="3" xfId="0" quotePrefix="1" applyNumberFormat="1" applyFont="1" applyFill="1" applyBorder="1" applyAlignment="1">
      <alignment horizontal="left" vertical="center"/>
    </xf>
    <xf numFmtId="0" fontId="35" fillId="3" borderId="3" xfId="0" applyFont="1" applyFill="1" applyBorder="1" applyAlignment="1">
      <alignment vertical="center"/>
    </xf>
    <xf numFmtId="49" fontId="245" fillId="3" borderId="3" xfId="0" quotePrefix="1" applyNumberFormat="1" applyFont="1" applyFill="1" applyBorder="1" applyAlignment="1"/>
    <xf numFmtId="49" fontId="245" fillId="3" borderId="3" xfId="0" applyNumberFormat="1" applyFont="1" applyFill="1" applyBorder="1" applyAlignment="1">
      <alignment horizontal="left" wrapText="1"/>
    </xf>
    <xf numFmtId="1" fontId="70" fillId="0" borderId="3" xfId="0" applyNumberFormat="1" applyFont="1" applyBorder="1" applyAlignment="1"/>
    <xf numFmtId="49" fontId="246" fillId="0" borderId="3" xfId="0" applyNumberFormat="1" applyFont="1" applyBorder="1" applyAlignment="1"/>
    <xf numFmtId="49" fontId="246" fillId="0" borderId="3" xfId="0" applyNumberFormat="1" applyFont="1" applyBorder="1" applyAlignment="1">
      <alignment horizontal="left"/>
    </xf>
    <xf numFmtId="14" fontId="246" fillId="0" borderId="3" xfId="0" applyNumberFormat="1" applyFont="1" applyBorder="1" applyAlignment="1"/>
    <xf numFmtId="0" fontId="246" fillId="0" borderId="3" xfId="0" applyFont="1" applyBorder="1" applyAlignment="1">
      <alignment horizontal="left"/>
    </xf>
    <xf numFmtId="14" fontId="70" fillId="0" borderId="3" xfId="0" applyNumberFormat="1" applyFont="1" applyBorder="1" applyAlignment="1"/>
    <xf numFmtId="0" fontId="70" fillId="3" borderId="3" xfId="0" applyFont="1" applyFill="1" applyBorder="1" applyAlignment="1">
      <alignment horizontal="left" vertical="center"/>
    </xf>
    <xf numFmtId="1" fontId="55" fillId="0" borderId="3" xfId="0" applyNumberFormat="1" applyFont="1" applyBorder="1" applyAlignment="1"/>
    <xf numFmtId="0" fontId="247" fillId="0" borderId="3" xfId="0" applyFont="1" applyBorder="1" applyAlignment="1">
      <alignment horizontal="left"/>
    </xf>
    <xf numFmtId="1" fontId="40" fillId="0" borderId="3" xfId="0" applyNumberFormat="1" applyFont="1" applyBorder="1" applyAlignment="1">
      <alignment vertical="top" wrapText="1"/>
    </xf>
    <xf numFmtId="0" fontId="70" fillId="0" borderId="3" xfId="0" applyFont="1" applyBorder="1" applyAlignment="1">
      <alignment wrapText="1"/>
    </xf>
    <xf numFmtId="0" fontId="70" fillId="3" borderId="3" xfId="0" applyFont="1" applyFill="1" applyBorder="1" applyAlignment="1">
      <alignment wrapText="1"/>
    </xf>
    <xf numFmtId="1" fontId="40" fillId="0" borderId="3" xfId="0" applyNumberFormat="1" applyFont="1" applyBorder="1" applyAlignment="1">
      <alignment vertical="center"/>
    </xf>
    <xf numFmtId="43" fontId="40" fillId="0" borderId="3" xfId="1" applyFont="1" applyBorder="1" applyAlignment="1">
      <alignment vertical="center"/>
    </xf>
    <xf numFmtId="3" fontId="40" fillId="0" borderId="3" xfId="0" applyNumberFormat="1" applyFont="1" applyBorder="1" applyAlignment="1">
      <alignment vertical="center" wrapText="1"/>
    </xf>
    <xf numFmtId="1" fontId="40" fillId="3" borderId="3" xfId="0" applyNumberFormat="1" applyFont="1" applyFill="1" applyBorder="1" applyAlignment="1">
      <alignment vertical="center"/>
    </xf>
    <xf numFmtId="0" fontId="40" fillId="3" borderId="3" xfId="0" applyFont="1" applyFill="1" applyBorder="1" applyAlignment="1">
      <alignment horizontal="right" vertical="center"/>
    </xf>
    <xf numFmtId="0" fontId="55" fillId="0" borderId="3" xfId="0" applyFont="1" applyBorder="1" applyAlignment="1">
      <alignment horizontal="center" vertical="center"/>
    </xf>
    <xf numFmtId="1" fontId="40" fillId="0" borderId="3" xfId="0" applyNumberFormat="1" applyFont="1" applyBorder="1" applyAlignment="1">
      <alignment horizontal="left" vertical="top" wrapText="1"/>
    </xf>
    <xf numFmtId="0" fontId="40" fillId="0" borderId="3" xfId="0" applyFont="1" applyBorder="1" applyAlignment="1">
      <alignment horizontal="center" vertical="top" wrapText="1"/>
    </xf>
    <xf numFmtId="0" fontId="86" fillId="0" borderId="3" xfId="0" applyFont="1" applyBorder="1" applyAlignment="1">
      <alignment vertical="center" wrapText="1"/>
    </xf>
    <xf numFmtId="1" fontId="86" fillId="0" borderId="3" xfId="0" applyNumberFormat="1" applyFont="1" applyBorder="1" applyAlignment="1"/>
    <xf numFmtId="0" fontId="51" fillId="0" borderId="3" xfId="0" applyFont="1" applyBorder="1" applyAlignment="1">
      <alignment vertical="center"/>
    </xf>
    <xf numFmtId="0" fontId="40" fillId="0" borderId="3" xfId="0" applyFont="1" applyBorder="1" applyAlignment="1"/>
    <xf numFmtId="0" fontId="70" fillId="0" borderId="3" xfId="0" applyFont="1" applyBorder="1" applyAlignment="1">
      <alignment horizontal="center" vertical="center" wrapText="1"/>
    </xf>
    <xf numFmtId="0" fontId="40" fillId="0" borderId="3" xfId="0" applyFont="1" applyBorder="1" applyAlignment="1">
      <alignment horizontal="left" vertical="center" wrapText="1"/>
    </xf>
    <xf numFmtId="0" fontId="35" fillId="0" borderId="3" xfId="0" applyFont="1" applyBorder="1" applyAlignment="1">
      <alignment horizontal="left" vertical="center"/>
    </xf>
    <xf numFmtId="0" fontId="40" fillId="0" borderId="3" xfId="0" applyFont="1" applyBorder="1" applyAlignment="1">
      <alignment horizontal="justify" wrapText="1"/>
    </xf>
    <xf numFmtId="1" fontId="40" fillId="0" borderId="3" xfId="0" applyNumberFormat="1" applyFont="1" applyBorder="1" applyAlignment="1">
      <alignment horizontal="left"/>
    </xf>
    <xf numFmtId="1" fontId="152" fillId="0" borderId="3" xfId="0" applyNumberFormat="1" applyFont="1" applyBorder="1" applyAlignment="1"/>
    <xf numFmtId="0" fontId="118" fillId="0" borderId="3" xfId="0" applyFont="1" applyBorder="1" applyAlignment="1">
      <alignment horizontal="center" vertical="center" wrapText="1"/>
    </xf>
    <xf numFmtId="43" fontId="152" fillId="0" borderId="3" xfId="1" applyFont="1" applyBorder="1" applyAlignment="1"/>
    <xf numFmtId="0" fontId="152" fillId="0" borderId="3" xfId="0" applyFont="1" applyBorder="1" applyAlignment="1">
      <alignment vertical="center" wrapText="1"/>
    </xf>
    <xf numFmtId="43" fontId="152" fillId="0" borderId="3" xfId="1" applyFont="1" applyBorder="1" applyAlignment="1">
      <alignment vertical="center" wrapText="1"/>
    </xf>
    <xf numFmtId="0" fontId="152" fillId="3" borderId="3" xfId="0" applyFont="1" applyFill="1" applyBorder="1" applyAlignment="1">
      <alignment horizontal="left" wrapText="1"/>
    </xf>
    <xf numFmtId="0" fontId="238" fillId="0" borderId="3" xfId="0" applyFont="1" applyBorder="1" applyAlignment="1">
      <alignment horizontal="center" vertical="center"/>
    </xf>
    <xf numFmtId="164" fontId="152" fillId="0" borderId="3" xfId="1" applyNumberFormat="1" applyFont="1" applyBorder="1" applyAlignment="1"/>
    <xf numFmtId="14" fontId="152" fillId="0" borderId="3" xfId="0" applyNumberFormat="1" applyFont="1" applyBorder="1" applyAlignment="1"/>
    <xf numFmtId="0" fontId="70" fillId="0" borderId="3" xfId="0" applyFont="1" applyBorder="1" applyAlignment="1"/>
    <xf numFmtId="43" fontId="28" fillId="5" borderId="2" xfId="1" applyFont="1" applyFill="1" applyBorder="1" applyAlignment="1">
      <alignment wrapText="1"/>
    </xf>
    <xf numFmtId="0" fontId="0" fillId="5" borderId="9" xfId="0" applyFont="1" applyFill="1" applyBorder="1" applyAlignment="1">
      <alignment horizontal="center" wrapText="1"/>
    </xf>
    <xf numFmtId="43" fontId="28" fillId="5" borderId="9" xfId="1" applyFont="1" applyFill="1" applyBorder="1" applyAlignment="1">
      <alignment wrapText="1"/>
    </xf>
    <xf numFmtId="0" fontId="27" fillId="3" borderId="3" xfId="0" applyFont="1" applyFill="1" applyBorder="1" applyAlignment="1">
      <alignment vertical="center"/>
    </xf>
    <xf numFmtId="0" fontId="0" fillId="3" borderId="3" xfId="0" applyFill="1" applyBorder="1" applyAlignment="1">
      <alignment horizontal="center"/>
    </xf>
    <xf numFmtId="1" fontId="0" fillId="3" borderId="3" xfId="0" applyNumberFormat="1" applyFill="1" applyBorder="1"/>
    <xf numFmtId="0" fontId="184" fillId="0" borderId="3" xfId="0" applyFont="1" applyBorder="1" applyAlignment="1">
      <alignment horizontal="center" vertical="center" wrapText="1"/>
    </xf>
    <xf numFmtId="1" fontId="184" fillId="0" borderId="3" xfId="0" applyNumberFormat="1" applyFont="1" applyBorder="1" applyAlignment="1"/>
    <xf numFmtId="43" fontId="135" fillId="0" borderId="3" xfId="1" applyFont="1" applyBorder="1" applyAlignment="1"/>
    <xf numFmtId="4" fontId="37" fillId="0" borderId="3" xfId="0" applyNumberFormat="1" applyFont="1" applyBorder="1" applyAlignment="1"/>
    <xf numFmtId="0" fontId="249" fillId="0" borderId="3" xfId="0" applyFont="1" applyBorder="1" applyAlignment="1">
      <alignment vertical="center" wrapText="1"/>
    </xf>
    <xf numFmtId="43" fontId="53" fillId="3" borderId="3" xfId="1" applyFont="1" applyFill="1" applyBorder="1" applyAlignment="1"/>
    <xf numFmtId="0" fontId="250" fillId="0" borderId="3" xfId="0" applyFont="1" applyBorder="1" applyAlignment="1">
      <alignment vertical="top" wrapText="1"/>
    </xf>
    <xf numFmtId="43" fontId="53" fillId="0" borderId="3" xfId="1" applyFont="1" applyBorder="1" applyAlignment="1">
      <alignment vertical="center" wrapText="1"/>
    </xf>
    <xf numFmtId="0" fontId="249" fillId="3" borderId="3" xfId="0" applyFont="1" applyFill="1" applyBorder="1" applyAlignment="1">
      <alignment wrapText="1"/>
    </xf>
    <xf numFmtId="4" fontId="60" fillId="0" borderId="3" xfId="0" applyNumberFormat="1" applyFont="1" applyBorder="1" applyAlignment="1"/>
    <xf numFmtId="0" fontId="241" fillId="0" borderId="3" xfId="0" applyFont="1" applyBorder="1" applyAlignment="1">
      <alignment horizontal="left" wrapText="1"/>
    </xf>
    <xf numFmtId="164" fontId="0" fillId="0" borderId="3" xfId="1" applyNumberFormat="1" applyFont="1" applyBorder="1" applyAlignment="1">
      <alignment horizontal="center"/>
    </xf>
    <xf numFmtId="1" fontId="28" fillId="0" borderId="3" xfId="0" applyNumberFormat="1" applyFont="1" applyBorder="1" applyAlignment="1">
      <alignment vertical="center"/>
    </xf>
    <xf numFmtId="0" fontId="30" fillId="0" borderId="3" xfId="0" applyFont="1" applyBorder="1" applyAlignment="1">
      <alignment vertical="center" wrapText="1"/>
    </xf>
    <xf numFmtId="4" fontId="37" fillId="0" borderId="3" xfId="0" applyNumberFormat="1" applyFont="1" applyFill="1" applyBorder="1" applyAlignment="1"/>
    <xf numFmtId="1" fontId="251" fillId="0" borderId="2" xfId="0" applyNumberFormat="1" applyFont="1" applyBorder="1" applyAlignment="1">
      <alignment horizontal="right"/>
    </xf>
    <xf numFmtId="0" fontId="252" fillId="3" borderId="3" xfId="0" applyFont="1" applyFill="1" applyBorder="1" applyAlignment="1">
      <alignment wrapText="1"/>
    </xf>
    <xf numFmtId="43" fontId="251" fillId="3" borderId="3" xfId="1" applyFont="1" applyFill="1" applyBorder="1" applyAlignment="1">
      <alignment vertical="center" wrapText="1"/>
    </xf>
    <xf numFmtId="0" fontId="25" fillId="0" borderId="3" xfId="0" applyFont="1" applyBorder="1" applyAlignment="1">
      <alignment wrapText="1"/>
    </xf>
    <xf numFmtId="0" fontId="59" fillId="0" borderId="3" xfId="0" applyFont="1" applyBorder="1" applyAlignment="1"/>
    <xf numFmtId="0" fontId="253" fillId="0" borderId="3" xfId="0" applyFont="1" applyBorder="1"/>
    <xf numFmtId="168" fontId="26" fillId="0" borderId="3" xfId="6" applyFont="1" applyBorder="1" applyAlignment="1"/>
    <xf numFmtId="0" fontId="55" fillId="0" borderId="3" xfId="0" applyFont="1" applyBorder="1" applyAlignment="1"/>
    <xf numFmtId="0" fontId="43" fillId="0" borderId="3" xfId="0" applyFont="1" applyBorder="1" applyAlignment="1">
      <alignment horizontal="justify" wrapText="1"/>
    </xf>
    <xf numFmtId="0" fontId="254" fillId="0" borderId="3" xfId="0" applyFont="1" applyBorder="1" applyAlignment="1">
      <alignment wrapText="1"/>
    </xf>
    <xf numFmtId="0" fontId="28" fillId="0" borderId="3" xfId="0" applyFont="1" applyBorder="1" applyAlignment="1">
      <alignment horizontal="left" vertical="center" wrapText="1"/>
    </xf>
    <xf numFmtId="0" fontId="27" fillId="0" borderId="4" xfId="0" applyFont="1" applyBorder="1" applyAlignment="1">
      <alignment vertical="center" wrapText="1"/>
    </xf>
    <xf numFmtId="0" fontId="27" fillId="0" borderId="2" xfId="0" applyFont="1" applyBorder="1" applyAlignment="1">
      <alignment vertical="center"/>
    </xf>
    <xf numFmtId="0" fontId="143" fillId="0" borderId="3" xfId="0" applyFont="1" applyBorder="1" applyAlignment="1">
      <alignment horizontal="left" vertical="center" wrapText="1"/>
    </xf>
    <xf numFmtId="43" fontId="255" fillId="0" borderId="3" xfId="1" applyFont="1" applyBorder="1" applyAlignment="1" applyProtection="1"/>
    <xf numFmtId="43" fontId="256" fillId="0" borderId="3" xfId="1" applyFont="1" applyBorder="1" applyAlignment="1" applyProtection="1"/>
    <xf numFmtId="0" fontId="257" fillId="0" borderId="3" xfId="0" applyFont="1" applyBorder="1" applyAlignment="1">
      <alignment wrapText="1"/>
    </xf>
    <xf numFmtId="0" fontId="89" fillId="0" borderId="3" xfId="0" applyFont="1" applyBorder="1" applyAlignment="1">
      <alignment wrapText="1"/>
    </xf>
    <xf numFmtId="43" fontId="258" fillId="0" borderId="3" xfId="1" applyFont="1" applyBorder="1" applyAlignment="1" applyProtection="1"/>
    <xf numFmtId="0" fontId="259" fillId="0" borderId="3" xfId="0" applyFont="1" applyBorder="1" applyAlignment="1">
      <alignment horizontal="justify" wrapText="1"/>
    </xf>
    <xf numFmtId="0" fontId="57" fillId="13" borderId="3" xfId="0" applyFont="1" applyFill="1" applyBorder="1" applyAlignment="1">
      <alignment wrapText="1"/>
    </xf>
    <xf numFmtId="4" fontId="37" fillId="3" borderId="3" xfId="0" applyNumberFormat="1" applyFont="1" applyFill="1" applyBorder="1" applyAlignment="1"/>
    <xf numFmtId="4" fontId="261" fillId="0" borderId="3" xfId="0" applyNumberFormat="1" applyFont="1" applyBorder="1" applyAlignment="1"/>
    <xf numFmtId="9" fontId="262" fillId="0" borderId="3" xfId="2" applyFont="1" applyBorder="1" applyAlignment="1">
      <alignment horizontal="left" wrapText="1"/>
    </xf>
    <xf numFmtId="9" fontId="263" fillId="0" borderId="3" xfId="2" applyFont="1" applyBorder="1" applyAlignment="1">
      <alignment horizontal="left" vertical="center" wrapText="1"/>
    </xf>
    <xf numFmtId="43" fontId="264" fillId="0" borderId="3" xfId="1" applyFont="1" applyBorder="1" applyAlignment="1"/>
    <xf numFmtId="4" fontId="265" fillId="0" borderId="0" xfId="0" applyNumberFormat="1" applyFont="1" applyAlignment="1"/>
    <xf numFmtId="0" fontId="265" fillId="0" borderId="0" xfId="0" applyFont="1" applyAlignment="1">
      <alignment horizontal="left"/>
    </xf>
    <xf numFmtId="43" fontId="264" fillId="0" borderId="3" xfId="1" applyFont="1" applyBorder="1" applyAlignment="1">
      <alignment vertical="center" wrapText="1"/>
    </xf>
    <xf numFmtId="9" fontId="266" fillId="0" borderId="3" xfId="2" applyFont="1" applyBorder="1" applyAlignment="1">
      <alignment wrapText="1"/>
    </xf>
    <xf numFmtId="1" fontId="264" fillId="0" borderId="3" xfId="2" applyNumberFormat="1" applyFont="1" applyBorder="1" applyAlignment="1">
      <alignment vertical="center" wrapText="1"/>
    </xf>
    <xf numFmtId="9" fontId="263" fillId="13" borderId="3" xfId="2" applyFont="1" applyFill="1" applyBorder="1" applyAlignment="1">
      <alignment wrapText="1"/>
    </xf>
    <xf numFmtId="9" fontId="263" fillId="0" borderId="3" xfId="2" applyFont="1" applyBorder="1" applyAlignment="1">
      <alignment vertical="center" wrapText="1"/>
    </xf>
    <xf numFmtId="9" fontId="267" fillId="0" borderId="3" xfId="2" applyFont="1" applyBorder="1" applyAlignment="1">
      <alignment horizontal="left" wrapText="1"/>
    </xf>
    <xf numFmtId="43" fontId="268" fillId="0" borderId="3" xfId="1" applyFont="1" applyBorder="1" applyAlignment="1">
      <alignment vertical="center" wrapText="1"/>
    </xf>
    <xf numFmtId="0" fontId="50" fillId="0" borderId="3" xfId="0" applyFont="1" applyBorder="1" applyAlignment="1">
      <alignment horizontal="center" wrapText="1"/>
    </xf>
    <xf numFmtId="0" fontId="50" fillId="0" borderId="2" xfId="0" applyFont="1" applyBorder="1" applyAlignment="1">
      <alignment horizontal="left"/>
    </xf>
    <xf numFmtId="43" fontId="28" fillId="0" borderId="3" xfId="1" applyFont="1" applyBorder="1" applyAlignment="1">
      <alignment horizontal="right" wrapText="1"/>
    </xf>
    <xf numFmtId="0" fontId="130" fillId="0" borderId="3" xfId="0" applyFont="1" applyBorder="1" applyAlignment="1">
      <alignment horizontal="left" wrapText="1"/>
    </xf>
    <xf numFmtId="0" fontId="130" fillId="0" borderId="3" xfId="0" applyFont="1" applyBorder="1" applyAlignment="1">
      <alignment horizontal="left"/>
    </xf>
    <xf numFmtId="4" fontId="60" fillId="0" borderId="0" xfId="0" applyNumberFormat="1" applyFont="1" applyAlignment="1">
      <alignment wrapText="1"/>
    </xf>
    <xf numFmtId="0" fontId="70" fillId="0" borderId="3" xfId="0" applyFont="1" applyBorder="1" applyAlignment="1">
      <alignment horizontal="justify" vertical="center" wrapText="1"/>
    </xf>
    <xf numFmtId="0" fontId="228" fillId="0" borderId="0" xfId="0" applyFont="1" applyAlignment="1">
      <alignment wrapText="1"/>
    </xf>
    <xf numFmtId="0" fontId="134" fillId="0" borderId="3" xfId="0" applyFont="1" applyBorder="1" applyAlignment="1"/>
    <xf numFmtId="43" fontId="184" fillId="0" borderId="3" xfId="1" applyFont="1" applyBorder="1" applyAlignment="1">
      <alignment vertical="center" wrapText="1"/>
    </xf>
    <xf numFmtId="43" fontId="135" fillId="0" borderId="3" xfId="1" applyFont="1" applyBorder="1" applyAlignment="1">
      <alignment vertical="center" wrapText="1"/>
    </xf>
    <xf numFmtId="0" fontId="28" fillId="0" borderId="3" xfId="0" applyFont="1" applyBorder="1" applyAlignment="1">
      <alignment horizontal="left" wrapText="1"/>
    </xf>
    <xf numFmtId="1" fontId="40" fillId="0" borderId="3" xfId="0" applyNumberFormat="1" applyFont="1" applyBorder="1" applyAlignment="1">
      <alignment horizontal="center"/>
    </xf>
    <xf numFmtId="0" fontId="37" fillId="0" borderId="0" xfId="0" applyFont="1" applyAlignment="1">
      <alignment horizontal="left"/>
    </xf>
    <xf numFmtId="0" fontId="50" fillId="3" borderId="3" xfId="0" applyFont="1" applyFill="1" applyBorder="1" applyAlignment="1">
      <alignment wrapText="1"/>
    </xf>
    <xf numFmtId="1" fontId="40" fillId="3" borderId="3" xfId="0" applyNumberFormat="1" applyFont="1" applyFill="1" applyBorder="1" applyAlignment="1">
      <alignment horizontal="center"/>
    </xf>
    <xf numFmtId="0" fontId="129" fillId="0" borderId="3" xfId="0" applyFont="1" applyBorder="1" applyAlignment="1">
      <alignment horizontal="left" wrapText="1"/>
    </xf>
    <xf numFmtId="168" fontId="40" fillId="0" borderId="3" xfId="6" applyFont="1" applyBorder="1" applyAlignment="1"/>
    <xf numFmtId="4" fontId="273" fillId="0" borderId="0" xfId="0" applyNumberFormat="1" applyFont="1" applyAlignment="1"/>
    <xf numFmtId="43" fontId="35" fillId="3" borderId="3" xfId="1" applyFont="1" applyFill="1" applyBorder="1" applyAlignment="1"/>
    <xf numFmtId="3" fontId="0" fillId="0" borderId="3" xfId="1" applyNumberFormat="1" applyFont="1" applyBorder="1" applyAlignment="1">
      <alignment horizontal="center"/>
    </xf>
    <xf numFmtId="4" fontId="0" fillId="0" borderId="3" xfId="0" applyNumberFormat="1" applyBorder="1" applyAlignment="1"/>
    <xf numFmtId="0" fontId="15" fillId="0" borderId="3" xfId="0" applyFont="1" applyBorder="1" applyAlignment="1"/>
    <xf numFmtId="164" fontId="15" fillId="0" borderId="3" xfId="1" applyNumberFormat="1" applyFont="1" applyBorder="1" applyAlignment="1">
      <alignment horizontal="center"/>
    </xf>
    <xf numFmtId="43" fontId="15" fillId="0" borderId="3" xfId="0" applyNumberFormat="1" applyFont="1" applyBorder="1" applyAlignment="1"/>
    <xf numFmtId="164" fontId="0" fillId="3" borderId="3" xfId="1" applyNumberFormat="1" applyFont="1" applyFill="1" applyBorder="1"/>
    <xf numFmtId="0" fontId="23" fillId="5" borderId="6" xfId="0" applyFont="1" applyFill="1" applyBorder="1" applyAlignment="1">
      <alignment horizontal="center" wrapText="1"/>
    </xf>
    <xf numFmtId="0" fontId="23" fillId="5" borderId="6" xfId="0" applyFont="1" applyFill="1" applyBorder="1" applyAlignment="1">
      <alignment wrapText="1"/>
    </xf>
    <xf numFmtId="43" fontId="23" fillId="5" borderId="6" xfId="19" applyFont="1" applyFill="1" applyBorder="1" applyAlignment="1">
      <alignment wrapText="1"/>
    </xf>
    <xf numFmtId="0" fontId="23" fillId="5" borderId="6" xfId="0" applyFont="1" applyFill="1" applyBorder="1" applyAlignment="1">
      <alignment horizontal="center"/>
    </xf>
    <xf numFmtId="0" fontId="23" fillId="5" borderId="3" xfId="0" applyFont="1" applyFill="1" applyBorder="1" applyAlignment="1">
      <alignment horizontal="center" wrapText="1"/>
    </xf>
    <xf numFmtId="43" fontId="23" fillId="5" borderId="3" xfId="19" applyFont="1" applyFill="1" applyBorder="1" applyAlignment="1">
      <alignment wrapText="1"/>
    </xf>
    <xf numFmtId="0" fontId="23" fillId="5" borderId="2" xfId="0" applyFont="1" applyFill="1" applyBorder="1" applyAlignment="1"/>
    <xf numFmtId="0" fontId="23" fillId="5" borderId="6" xfId="0" applyFont="1" applyFill="1" applyBorder="1" applyAlignment="1"/>
    <xf numFmtId="0" fontId="23" fillId="0" borderId="3" xfId="0" applyFont="1" applyBorder="1" applyAlignment="1"/>
    <xf numFmtId="164" fontId="41" fillId="0" borderId="3" xfId="19" applyNumberFormat="1" applyFont="1" applyBorder="1" applyAlignment="1">
      <alignment horizontal="center"/>
    </xf>
    <xf numFmtId="43" fontId="41" fillId="0" borderId="3" xfId="19" applyFont="1" applyBorder="1" applyAlignment="1"/>
    <xf numFmtId="164" fontId="41" fillId="0" borderId="3" xfId="19" applyNumberFormat="1" applyFont="1" applyBorder="1"/>
    <xf numFmtId="0" fontId="23" fillId="0" borderId="0" xfId="0" applyFont="1" applyAlignment="1"/>
    <xf numFmtId="0" fontId="23" fillId="0" borderId="0" xfId="0" applyFont="1" applyAlignment="1">
      <alignment horizontal="center"/>
    </xf>
    <xf numFmtId="0" fontId="23" fillId="0" borderId="3" xfId="0" applyFont="1" applyBorder="1" applyAlignment="1">
      <alignment horizontal="center"/>
    </xf>
    <xf numFmtId="12" fontId="28" fillId="5" borderId="3" xfId="0" applyNumberFormat="1" applyFont="1" applyFill="1" applyBorder="1" applyAlignment="1">
      <alignment horizontal="center"/>
    </xf>
    <xf numFmtId="43" fontId="23" fillId="5" borderId="3" xfId="0" applyNumberFormat="1" applyFont="1" applyFill="1" applyBorder="1" applyAlignment="1">
      <alignment horizontal="center"/>
    </xf>
    <xf numFmtId="43" fontId="28" fillId="5" borderId="3" xfId="0" applyNumberFormat="1" applyFont="1" applyFill="1" applyBorder="1" applyAlignment="1">
      <alignment horizontal="center"/>
    </xf>
    <xf numFmtId="164" fontId="28" fillId="5" borderId="3" xfId="0" applyNumberFormat="1" applyFont="1" applyFill="1" applyBorder="1" applyAlignment="1">
      <alignment horizontal="center" wrapText="1"/>
    </xf>
    <xf numFmtId="43" fontId="0" fillId="0" borderId="0" xfId="0" applyNumberFormat="1" applyAlignment="1">
      <alignment horizontal="center"/>
    </xf>
    <xf numFmtId="0" fontId="4" fillId="0" borderId="0" xfId="0" applyFont="1"/>
    <xf numFmtId="0" fontId="41" fillId="2" borderId="3" xfId="0" applyFont="1" applyFill="1" applyBorder="1" applyAlignment="1">
      <alignment horizontal="center" wrapText="1"/>
    </xf>
    <xf numFmtId="1" fontId="41" fillId="2" borderId="3" xfId="0" applyNumberFormat="1" applyFont="1" applyFill="1" applyBorder="1" applyAlignment="1">
      <alignment horizontal="center" wrapText="1"/>
    </xf>
    <xf numFmtId="0" fontId="41" fillId="2" borderId="3" xfId="0" applyFont="1" applyFill="1" applyBorder="1" applyAlignment="1">
      <alignment horizontal="center"/>
    </xf>
    <xf numFmtId="0" fontId="6" fillId="0" borderId="3" xfId="0" applyFont="1" applyFill="1" applyBorder="1" applyAlignment="1">
      <alignment horizontal="center" wrapText="1"/>
    </xf>
    <xf numFmtId="0" fontId="6" fillId="0" borderId="3" xfId="0" applyFont="1" applyBorder="1" applyAlignment="1"/>
    <xf numFmtId="43" fontId="6" fillId="3" borderId="3" xfId="1" applyFont="1" applyFill="1" applyBorder="1" applyAlignment="1">
      <alignment horizontal="center"/>
    </xf>
    <xf numFmtId="43" fontId="6" fillId="0" borderId="3" xfId="1" applyFont="1" applyBorder="1" applyAlignment="1">
      <alignment horizontal="center"/>
    </xf>
    <xf numFmtId="1" fontId="9" fillId="0" borderId="3" xfId="0" applyNumberFormat="1" applyFont="1" applyBorder="1" applyAlignment="1">
      <alignment horizontal="center"/>
    </xf>
    <xf numFmtId="164" fontId="6" fillId="0" borderId="3" xfId="1" applyNumberFormat="1" applyFont="1" applyBorder="1" applyAlignment="1">
      <alignment horizontal="center"/>
    </xf>
    <xf numFmtId="43" fontId="6" fillId="0" borderId="3" xfId="1" applyFont="1" applyBorder="1" applyAlignment="1">
      <alignment wrapText="1"/>
    </xf>
    <xf numFmtId="0" fontId="6" fillId="0" borderId="3" xfId="0" applyFont="1" applyBorder="1" applyAlignment="1">
      <alignment wrapText="1"/>
    </xf>
    <xf numFmtId="1" fontId="6" fillId="0" borderId="3" xfId="0" applyNumberFormat="1" applyFont="1" applyFill="1" applyBorder="1" applyAlignment="1">
      <alignment horizontal="center" wrapText="1"/>
    </xf>
    <xf numFmtId="43" fontId="6" fillId="0" borderId="3" xfId="1" applyFont="1" applyBorder="1" applyAlignment="1"/>
    <xf numFmtId="43" fontId="9" fillId="0" borderId="5" xfId="1" applyFont="1" applyBorder="1" applyAlignment="1" applyProtection="1"/>
    <xf numFmtId="43" fontId="9" fillId="0" borderId="3" xfId="1" applyFont="1" applyBorder="1" applyAlignment="1">
      <alignment horizontal="right"/>
    </xf>
    <xf numFmtId="0" fontId="6" fillId="0" borderId="3" xfId="0" applyFont="1" applyFill="1" applyBorder="1" applyAlignment="1"/>
    <xf numFmtId="43" fontId="6" fillId="0" borderId="3" xfId="1" applyFont="1" applyFill="1" applyBorder="1" applyAlignment="1"/>
    <xf numFmtId="0" fontId="6" fillId="0" borderId="3" xfId="0" applyFont="1" applyFill="1" applyBorder="1" applyAlignment="1">
      <alignment wrapText="1"/>
    </xf>
    <xf numFmtId="43" fontId="23" fillId="0" borderId="3" xfId="1" applyFont="1" applyFill="1" applyBorder="1" applyAlignment="1"/>
    <xf numFmtId="0" fontId="4" fillId="0" borderId="0" xfId="0" applyFont="1" applyFill="1"/>
    <xf numFmtId="0" fontId="9" fillId="0" borderId="3" xfId="0" applyFont="1" applyBorder="1"/>
    <xf numFmtId="43" fontId="6" fillId="0" borderId="3" xfId="1" applyFont="1" applyBorder="1" applyAlignment="1">
      <alignment horizontal="left"/>
    </xf>
    <xf numFmtId="0" fontId="6" fillId="0" borderId="3" xfId="0" applyFont="1" applyBorder="1" applyAlignment="1">
      <alignment horizontal="left" wrapText="1"/>
    </xf>
    <xf numFmtId="0" fontId="9" fillId="0" borderId="3" xfId="0" applyFont="1" applyBorder="1" applyAlignment="1"/>
    <xf numFmtId="0" fontId="6" fillId="0" borderId="3" xfId="0" applyFont="1" applyBorder="1" applyAlignment="1">
      <alignment horizontal="left" vertical="center" wrapText="1"/>
    </xf>
    <xf numFmtId="43" fontId="6" fillId="0" borderId="3" xfId="1" applyFont="1" applyBorder="1" applyAlignment="1">
      <alignment vertical="center" wrapText="1"/>
    </xf>
    <xf numFmtId="0" fontId="6" fillId="3" borderId="3" xfId="0" applyFont="1" applyFill="1" applyBorder="1" applyAlignment="1">
      <alignment wrapText="1"/>
    </xf>
    <xf numFmtId="43" fontId="9" fillId="0" borderId="3" xfId="1" applyFont="1" applyBorder="1" applyAlignment="1"/>
    <xf numFmtId="43" fontId="9" fillId="0" borderId="3" xfId="1" applyFont="1" applyBorder="1" applyAlignment="1">
      <alignment vertical="center" wrapText="1"/>
    </xf>
    <xf numFmtId="43" fontId="8" fillId="0" borderId="3" xfId="1" applyFont="1" applyBorder="1" applyAlignment="1"/>
    <xf numFmtId="0" fontId="8" fillId="0" borderId="3" xfId="0" applyFont="1" applyBorder="1" applyAlignment="1">
      <alignment horizontal="right"/>
    </xf>
    <xf numFmtId="1" fontId="6" fillId="0" borderId="3" xfId="1" applyNumberFormat="1" applyFont="1" applyBorder="1" applyAlignment="1"/>
    <xf numFmtId="2" fontId="9" fillId="0" borderId="3" xfId="0" applyNumberFormat="1" applyFont="1" applyBorder="1" applyAlignment="1"/>
    <xf numFmtId="0" fontId="20" fillId="0" borderId="3" xfId="0" applyFont="1" applyBorder="1" applyAlignment="1">
      <alignment horizontal="center"/>
    </xf>
    <xf numFmtId="43" fontId="20" fillId="0" borderId="3" xfId="1" applyFont="1" applyBorder="1" applyAlignment="1">
      <alignment horizontal="center"/>
    </xf>
    <xf numFmtId="1" fontId="274" fillId="0" borderId="3" xfId="0" applyNumberFormat="1" applyFont="1" applyBorder="1" applyAlignment="1">
      <alignment horizontal="center"/>
    </xf>
    <xf numFmtId="43" fontId="20" fillId="0" borderId="3" xfId="1" applyFont="1" applyBorder="1" applyAlignment="1"/>
    <xf numFmtId="0" fontId="275" fillId="0" borderId="0" xfId="0" applyFont="1"/>
    <xf numFmtId="0" fontId="276" fillId="0" borderId="0" xfId="0" applyFont="1"/>
    <xf numFmtId="0" fontId="276" fillId="0" borderId="0" xfId="0" applyFont="1" applyAlignment="1">
      <alignment horizontal="left"/>
    </xf>
    <xf numFmtId="0" fontId="276" fillId="0" borderId="0" xfId="0" applyFont="1" applyAlignment="1"/>
    <xf numFmtId="1" fontId="276" fillId="0" borderId="0" xfId="0" applyNumberFormat="1" applyFont="1" applyAlignment="1">
      <alignment horizontal="center"/>
    </xf>
    <xf numFmtId="43" fontId="276" fillId="0" borderId="0" xfId="0" applyNumberFormat="1" applyFont="1"/>
    <xf numFmtId="43" fontId="4" fillId="0" borderId="0" xfId="0" applyNumberFormat="1" applyFont="1"/>
    <xf numFmtId="0" fontId="4" fillId="0" borderId="0" xfId="0" applyFont="1" applyAlignment="1">
      <alignment horizontal="left"/>
    </xf>
    <xf numFmtId="0" fontId="4" fillId="0" borderId="0" xfId="0" applyFont="1" applyAlignment="1"/>
    <xf numFmtId="1" fontId="4" fillId="0" borderId="0" xfId="0" applyNumberFormat="1" applyFont="1" applyAlignment="1">
      <alignment horizontal="center"/>
    </xf>
    <xf numFmtId="0" fontId="19" fillId="2" borderId="3" xfId="0" applyFont="1" applyFill="1" applyBorder="1" applyAlignment="1">
      <alignment horizontal="center"/>
    </xf>
    <xf numFmtId="1" fontId="4" fillId="0" borderId="0" xfId="0" applyNumberFormat="1" applyFont="1"/>
    <xf numFmtId="0" fontId="78" fillId="4" borderId="3" xfId="0" applyFont="1" applyFill="1" applyBorder="1" applyAlignment="1"/>
    <xf numFmtId="43" fontId="81" fillId="4" borderId="3" xfId="1" applyFont="1" applyFill="1" applyBorder="1"/>
    <xf numFmtId="0" fontId="78" fillId="4" borderId="3" xfId="0" applyFont="1" applyFill="1" applyBorder="1" applyAlignment="1">
      <alignment wrapText="1"/>
    </xf>
    <xf numFmtId="0" fontId="78" fillId="4" borderId="3" xfId="0" applyFont="1" applyFill="1" applyBorder="1" applyAlignment="1">
      <alignment horizontal="left" wrapText="1"/>
    </xf>
    <xf numFmtId="0" fontId="22" fillId="4" borderId="3" xfId="0" applyFont="1" applyFill="1" applyBorder="1" applyAlignment="1">
      <alignment wrapText="1"/>
    </xf>
    <xf numFmtId="164" fontId="78" fillId="4" borderId="3" xfId="0" applyNumberFormat="1" applyFont="1" applyFill="1" applyBorder="1" applyAlignment="1">
      <alignment wrapText="1"/>
    </xf>
    <xf numFmtId="0" fontId="22" fillId="0" borderId="3" xfId="0" applyFont="1" applyBorder="1" applyAlignment="1">
      <alignment horizontal="center"/>
    </xf>
    <xf numFmtId="0" fontId="4" fillId="0" borderId="3" xfId="0" applyFont="1" applyBorder="1" applyAlignment="1"/>
    <xf numFmtId="43" fontId="277" fillId="0" borderId="3" xfId="1" applyFont="1" applyBorder="1" applyAlignment="1">
      <alignment horizontal="center"/>
    </xf>
    <xf numFmtId="43" fontId="278" fillId="0" borderId="3" xfId="1" applyFont="1" applyBorder="1" applyAlignment="1">
      <alignment horizontal="center"/>
    </xf>
    <xf numFmtId="0" fontId="46" fillId="3" borderId="3" xfId="0" applyFont="1" applyFill="1" applyBorder="1" applyAlignment="1">
      <alignment horizontal="left" vertical="center"/>
    </xf>
    <xf numFmtId="14" fontId="28" fillId="3" borderId="3" xfId="0" applyNumberFormat="1" applyFont="1" applyFill="1" applyBorder="1" applyAlignment="1">
      <alignment horizontal="center" vertical="center"/>
    </xf>
    <xf numFmtId="0" fontId="7" fillId="3" borderId="3" xfId="0" applyFont="1" applyFill="1" applyBorder="1" applyAlignment="1">
      <alignment horizontal="center" wrapText="1"/>
    </xf>
    <xf numFmtId="1" fontId="7" fillId="3" borderId="3" xfId="0" applyNumberFormat="1" applyFont="1" applyFill="1" applyBorder="1" applyAlignment="1">
      <alignment horizontal="center" wrapText="1"/>
    </xf>
    <xf numFmtId="164" fontId="7" fillId="3" borderId="3" xfId="1" applyNumberFormat="1" applyFont="1" applyFill="1" applyBorder="1" applyAlignment="1">
      <alignment horizontal="center"/>
    </xf>
    <xf numFmtId="43" fontId="7" fillId="3" borderId="3" xfId="1" applyFont="1" applyFill="1" applyBorder="1" applyAlignment="1">
      <alignment horizontal="center" wrapText="1"/>
    </xf>
    <xf numFmtId="0" fontId="280" fillId="3" borderId="3" xfId="0" applyFont="1" applyFill="1" applyBorder="1" applyAlignment="1">
      <alignment horizontal="center" vertical="center"/>
    </xf>
    <xf numFmtId="0" fontId="280" fillId="3" borderId="3" xfId="0" applyFont="1" applyFill="1" applyBorder="1" applyAlignment="1">
      <alignment vertical="center"/>
    </xf>
    <xf numFmtId="0" fontId="281" fillId="3" borderId="3" xfId="0" applyFont="1" applyFill="1" applyBorder="1" applyAlignment="1">
      <alignment vertical="center"/>
    </xf>
    <xf numFmtId="0" fontId="281" fillId="3" borderId="3" xfId="0" applyFont="1" applyFill="1" applyBorder="1" applyAlignment="1">
      <alignment vertical="center" wrapText="1"/>
    </xf>
    <xf numFmtId="164" fontId="13" fillId="3" borderId="3" xfId="1" applyNumberFormat="1" applyFont="1" applyFill="1" applyBorder="1" applyAlignment="1">
      <alignment horizontal="center" vertical="center"/>
    </xf>
    <xf numFmtId="43" fontId="13" fillId="3" borderId="3" xfId="1" applyFont="1" applyFill="1" applyBorder="1" applyAlignment="1">
      <alignment vertical="center"/>
    </xf>
    <xf numFmtId="164" fontId="13" fillId="3" borderId="3" xfId="0" applyNumberFormat="1" applyFont="1" applyFill="1" applyBorder="1" applyAlignment="1">
      <alignment horizontal="center" vertical="center"/>
    </xf>
    <xf numFmtId="164" fontId="0" fillId="0" borderId="3" xfId="1" applyNumberFormat="1" applyFont="1" applyBorder="1" applyAlignment="1">
      <alignment vertical="center"/>
    </xf>
    <xf numFmtId="43" fontId="282" fillId="3" borderId="3" xfId="1" applyFont="1" applyFill="1" applyBorder="1" applyAlignment="1">
      <alignment vertical="center"/>
    </xf>
    <xf numFmtId="4" fontId="282" fillId="3" borderId="3" xfId="0" applyNumberFormat="1" applyFont="1" applyFill="1" applyBorder="1" applyAlignment="1">
      <alignment vertical="center"/>
    </xf>
    <xf numFmtId="0" fontId="280" fillId="3" borderId="3" xfId="0" applyFont="1" applyFill="1" applyBorder="1" applyAlignment="1">
      <alignment vertical="center" wrapText="1"/>
    </xf>
    <xf numFmtId="43" fontId="281" fillId="3" borderId="3" xfId="1" applyFont="1" applyFill="1" applyBorder="1" applyAlignment="1">
      <alignment horizontal="left" vertical="center" wrapText="1"/>
    </xf>
    <xf numFmtId="43" fontId="13" fillId="3" borderId="3" xfId="1" applyFont="1" applyFill="1" applyBorder="1" applyAlignment="1">
      <alignment vertical="center" wrapText="1"/>
    </xf>
    <xf numFmtId="4" fontId="283" fillId="3" borderId="3" xfId="0" applyNumberFormat="1" applyFont="1" applyFill="1" applyBorder="1" applyAlignment="1">
      <alignment horizontal="left" vertical="center" wrapText="1"/>
    </xf>
    <xf numFmtId="1" fontId="280" fillId="3" borderId="3" xfId="0" applyNumberFormat="1" applyFont="1" applyFill="1" applyBorder="1" applyAlignment="1">
      <alignment vertical="center"/>
    </xf>
    <xf numFmtId="0" fontId="281" fillId="3" borderId="3" xfId="0" applyFont="1" applyFill="1" applyBorder="1" applyAlignment="1">
      <alignment horizontal="left" vertical="center" wrapText="1"/>
    </xf>
    <xf numFmtId="14" fontId="280" fillId="3" borderId="3" xfId="0" applyNumberFormat="1" applyFont="1" applyFill="1" applyBorder="1" applyAlignment="1">
      <alignment vertical="center"/>
    </xf>
    <xf numFmtId="43" fontId="13" fillId="3" borderId="3" xfId="1" applyFont="1" applyFill="1" applyBorder="1" applyAlignment="1">
      <alignment horizontal="right" vertical="center"/>
    </xf>
    <xf numFmtId="164" fontId="13" fillId="18" borderId="3" xfId="1" applyNumberFormat="1" applyFont="1" applyFill="1" applyBorder="1" applyAlignment="1">
      <alignment horizontal="center" vertical="center"/>
    </xf>
    <xf numFmtId="164" fontId="282" fillId="3" borderId="3" xfId="1" applyNumberFormat="1" applyFont="1" applyFill="1" applyBorder="1" applyAlignment="1">
      <alignment vertical="center"/>
    </xf>
    <xf numFmtId="43" fontId="13" fillId="3" borderId="3" xfId="1" applyFont="1" applyFill="1" applyBorder="1" applyAlignment="1">
      <alignment horizontal="right" vertical="center" wrapText="1"/>
    </xf>
    <xf numFmtId="1" fontId="280" fillId="3" borderId="3" xfId="0" applyNumberFormat="1" applyFont="1" applyFill="1" applyBorder="1" applyAlignment="1">
      <alignment horizontal="left" vertical="center"/>
    </xf>
    <xf numFmtId="14" fontId="280" fillId="3" borderId="3" xfId="0" applyNumberFormat="1" applyFont="1" applyFill="1" applyBorder="1" applyAlignment="1">
      <alignment horizontal="left" vertical="center"/>
    </xf>
    <xf numFmtId="0" fontId="280" fillId="0" borderId="3" xfId="0" applyFont="1" applyFill="1" applyBorder="1" applyAlignment="1">
      <alignment vertical="center"/>
    </xf>
    <xf numFmtId="0" fontId="280" fillId="0" borderId="3" xfId="0" applyFont="1" applyFill="1" applyBorder="1" applyAlignment="1">
      <alignment vertical="center" wrapText="1"/>
    </xf>
    <xf numFmtId="0" fontId="281" fillId="0" borderId="3" xfId="0" applyFont="1" applyFill="1" applyBorder="1" applyAlignment="1">
      <alignment vertical="center"/>
    </xf>
    <xf numFmtId="1" fontId="280" fillId="0" borderId="3" xfId="0" applyNumberFormat="1" applyFont="1" applyFill="1" applyBorder="1" applyAlignment="1">
      <alignment horizontal="left" vertical="center"/>
    </xf>
    <xf numFmtId="0" fontId="281" fillId="0" borderId="3" xfId="0" applyFont="1" applyFill="1" applyBorder="1" applyAlignment="1">
      <alignment horizontal="left" vertical="center" wrapText="1"/>
    </xf>
    <xf numFmtId="164" fontId="13" fillId="0" borderId="3" xfId="1" applyNumberFormat="1" applyFont="1" applyFill="1" applyBorder="1" applyAlignment="1">
      <alignment horizontal="center" vertical="center"/>
    </xf>
    <xf numFmtId="43" fontId="13" fillId="0" borderId="3" xfId="1" applyFont="1" applyFill="1" applyBorder="1" applyAlignment="1">
      <alignment vertical="center"/>
    </xf>
    <xf numFmtId="164" fontId="13" fillId="0" borderId="3" xfId="0" applyNumberFormat="1" applyFont="1" applyFill="1" applyBorder="1" applyAlignment="1">
      <alignment horizontal="center" vertical="center"/>
    </xf>
    <xf numFmtId="43" fontId="282" fillId="0" borderId="3" xfId="1" applyFont="1" applyFill="1" applyBorder="1" applyAlignment="1">
      <alignment vertical="center"/>
    </xf>
    <xf numFmtId="0" fontId="0" fillId="0" borderId="0" xfId="0" applyFill="1"/>
    <xf numFmtId="14" fontId="280" fillId="3" borderId="3" xfId="0" applyNumberFormat="1" applyFont="1" applyFill="1" applyBorder="1" applyAlignment="1">
      <alignment horizontal="left" vertical="center" wrapText="1"/>
    </xf>
    <xf numFmtId="0" fontId="280" fillId="3" borderId="3" xfId="0" applyFont="1" applyFill="1" applyBorder="1" applyAlignment="1">
      <alignment horizontal="left" vertical="center" wrapText="1"/>
    </xf>
    <xf numFmtId="0" fontId="282" fillId="3" borderId="0" xfId="0" applyFont="1" applyFill="1" applyAlignment="1">
      <alignment vertical="center"/>
    </xf>
    <xf numFmtId="0" fontId="44" fillId="0" borderId="3" xfId="0" applyFont="1" applyBorder="1"/>
    <xf numFmtId="0" fontId="72" fillId="0" borderId="3" xfId="0" applyFont="1" applyBorder="1"/>
    <xf numFmtId="1" fontId="280" fillId="3" borderId="3" xfId="0" applyNumberFormat="1" applyFont="1" applyFill="1" applyBorder="1" applyAlignment="1">
      <alignment horizontal="left" vertical="center" wrapText="1"/>
    </xf>
    <xf numFmtId="4" fontId="283" fillId="0" borderId="3" xfId="0" applyNumberFormat="1" applyFont="1" applyFill="1" applyBorder="1" applyAlignment="1">
      <alignment horizontal="left" vertical="center" wrapText="1"/>
    </xf>
    <xf numFmtId="0" fontId="280" fillId="3" borderId="3" xfId="0" applyFont="1" applyFill="1" applyBorder="1" applyAlignment="1">
      <alignment horizontal="left" vertical="center"/>
    </xf>
    <xf numFmtId="43" fontId="19" fillId="3" borderId="3" xfId="1" applyFont="1" applyFill="1" applyBorder="1" applyAlignment="1">
      <alignment horizontal="right" vertical="center"/>
    </xf>
    <xf numFmtId="14" fontId="280" fillId="3" borderId="3" xfId="0" applyNumberFormat="1" applyFont="1" applyFill="1" applyBorder="1" applyAlignment="1">
      <alignment vertical="center" wrapText="1"/>
    </xf>
    <xf numFmtId="43" fontId="13" fillId="3" borderId="3" xfId="1" applyFont="1" applyFill="1" applyBorder="1" applyAlignment="1">
      <alignment horizontal="left" vertical="center"/>
    </xf>
    <xf numFmtId="43" fontId="13" fillId="3" borderId="3" xfId="1" applyFont="1" applyFill="1" applyBorder="1" applyAlignment="1">
      <alignment horizontal="left" vertical="center" wrapText="1"/>
    </xf>
    <xf numFmtId="1" fontId="280" fillId="3" borderId="3" xfId="0" applyNumberFormat="1" applyFont="1" applyFill="1" applyBorder="1" applyAlignment="1">
      <alignment vertical="center" wrapText="1"/>
    </xf>
    <xf numFmtId="164" fontId="3" fillId="2" borderId="3" xfId="1" applyNumberFormat="1" applyFont="1" applyFill="1" applyBorder="1"/>
    <xf numFmtId="43" fontId="3" fillId="2" borderId="3" xfId="0" applyNumberFormat="1" applyFont="1" applyFill="1" applyBorder="1"/>
    <xf numFmtId="0" fontId="3" fillId="2" borderId="3" xfId="0" applyFont="1" applyFill="1" applyBorder="1"/>
    <xf numFmtId="164" fontId="13" fillId="2" borderId="3" xfId="1" applyNumberFormat="1" applyFont="1" applyFill="1" applyBorder="1"/>
    <xf numFmtId="43" fontId="13" fillId="2" borderId="3" xfId="1" applyFont="1" applyFill="1" applyBorder="1"/>
    <xf numFmtId="0" fontId="73" fillId="5" borderId="3" xfId="0" applyFont="1" applyFill="1" applyBorder="1" applyAlignment="1">
      <alignment horizontal="center"/>
    </xf>
    <xf numFmtId="0" fontId="73" fillId="5" borderId="3" xfId="0" applyFont="1" applyFill="1" applyBorder="1" applyAlignment="1">
      <alignment horizontal="center" wrapText="1"/>
    </xf>
    <xf numFmtId="0" fontId="78" fillId="5" borderId="3" xfId="0" applyFont="1" applyFill="1" applyBorder="1" applyAlignment="1">
      <alignment horizontal="center" wrapText="1"/>
    </xf>
    <xf numFmtId="164" fontId="73" fillId="5" borderId="3" xfId="1" applyNumberFormat="1" applyFont="1" applyFill="1" applyBorder="1" applyAlignment="1">
      <alignment horizontal="center" wrapText="1"/>
    </xf>
    <xf numFmtId="0" fontId="282" fillId="0" borderId="0" xfId="0" applyFont="1" applyAlignment="1">
      <alignment horizontal="center"/>
    </xf>
    <xf numFmtId="0" fontId="282" fillId="0" borderId="0" xfId="0" applyFont="1"/>
    <xf numFmtId="0" fontId="282" fillId="0" borderId="3" xfId="0" applyFont="1" applyBorder="1" applyAlignment="1"/>
    <xf numFmtId="0" fontId="282" fillId="0" borderId="3" xfId="0" applyFont="1" applyBorder="1"/>
    <xf numFmtId="164" fontId="13" fillId="2" borderId="3" xfId="0" applyNumberFormat="1" applyFont="1" applyFill="1" applyBorder="1" applyAlignment="1">
      <alignment horizontal="center"/>
    </xf>
    <xf numFmtId="164" fontId="13" fillId="2" borderId="3" xfId="1" applyNumberFormat="1" applyFont="1" applyFill="1" applyBorder="1" applyAlignment="1">
      <alignment horizontal="center"/>
    </xf>
    <xf numFmtId="43" fontId="13" fillId="2" borderId="3" xfId="1" applyFont="1" applyFill="1" applyBorder="1" applyAlignment="1"/>
    <xf numFmtId="0" fontId="13" fillId="2" borderId="3" xfId="0" applyFont="1" applyFill="1" applyBorder="1" applyAlignment="1">
      <alignment horizontal="center"/>
    </xf>
    <xf numFmtId="164" fontId="282" fillId="2" borderId="3" xfId="1" applyNumberFormat="1" applyFont="1" applyFill="1" applyBorder="1"/>
    <xf numFmtId="43" fontId="282" fillId="2" borderId="3" xfId="1" applyFont="1" applyFill="1" applyBorder="1"/>
    <xf numFmtId="164" fontId="282" fillId="0" borderId="0" xfId="1" applyNumberFormat="1" applyFont="1" applyAlignment="1"/>
    <xf numFmtId="43" fontId="282" fillId="0" borderId="0" xfId="1" applyFont="1" applyAlignment="1"/>
    <xf numFmtId="164" fontId="282" fillId="0" borderId="0" xfId="1" applyNumberFormat="1" applyFont="1"/>
    <xf numFmtId="43" fontId="282" fillId="0" borderId="0" xfId="1" applyFont="1"/>
    <xf numFmtId="43" fontId="81" fillId="0" borderId="0" xfId="1" applyFont="1" applyFill="1" applyBorder="1" applyAlignment="1">
      <alignment horizontal="center"/>
    </xf>
    <xf numFmtId="164" fontId="20" fillId="0" borderId="0" xfId="0" applyNumberFormat="1" applyFont="1" applyFill="1" applyBorder="1" applyAlignment="1">
      <alignment wrapText="1"/>
    </xf>
    <xf numFmtId="43" fontId="285" fillId="0" borderId="0" xfId="1" applyFont="1" applyFill="1" applyBorder="1" applyAlignment="1">
      <alignment horizontal="center"/>
    </xf>
    <xf numFmtId="0" fontId="284" fillId="2" borderId="3" xfId="0" applyFont="1" applyFill="1" applyBorder="1" applyAlignment="1"/>
    <xf numFmtId="1" fontId="81" fillId="2" borderId="3" xfId="0" applyNumberFormat="1" applyFont="1" applyFill="1" applyBorder="1" applyAlignment="1">
      <alignment horizontal="center"/>
    </xf>
    <xf numFmtId="0" fontId="81" fillId="2" borderId="3" xfId="0" applyFont="1" applyFill="1" applyBorder="1" applyAlignment="1">
      <alignment horizontal="center" wrapText="1"/>
    </xf>
    <xf numFmtId="43" fontId="81" fillId="2" borderId="3" xfId="1" applyFont="1" applyFill="1" applyBorder="1" applyAlignment="1">
      <alignment horizontal="center"/>
    </xf>
    <xf numFmtId="0" fontId="20" fillId="0" borderId="3" xfId="0" applyFont="1" applyFill="1" applyBorder="1" applyAlignment="1"/>
    <xf numFmtId="43" fontId="20" fillId="0" borderId="3" xfId="1" applyFont="1" applyFill="1" applyBorder="1" applyAlignment="1">
      <alignment horizontal="center"/>
    </xf>
    <xf numFmtId="37" fontId="81" fillId="0" borderId="3" xfId="1" applyNumberFormat="1" applyFont="1" applyFill="1" applyBorder="1" applyAlignment="1">
      <alignment horizontal="center"/>
    </xf>
    <xf numFmtId="43" fontId="81" fillId="0" borderId="3" xfId="1" applyFont="1" applyFill="1" applyBorder="1" applyAlignment="1">
      <alignment horizontal="center"/>
    </xf>
    <xf numFmtId="164" fontId="20" fillId="0" borderId="3" xfId="0" applyNumberFormat="1" applyFont="1" applyFill="1" applyBorder="1" applyAlignment="1">
      <alignment wrapText="1"/>
    </xf>
    <xf numFmtId="43" fontId="285" fillId="0" borderId="3" xfId="1" applyFont="1" applyFill="1" applyBorder="1" applyAlignment="1">
      <alignment horizontal="center"/>
    </xf>
    <xf numFmtId="0" fontId="87" fillId="0" borderId="3" xfId="0" applyFont="1" applyBorder="1" applyAlignment="1">
      <alignment vertical="center"/>
    </xf>
    <xf numFmtId="0" fontId="27" fillId="0" borderId="3" xfId="0" applyFont="1" applyFill="1" applyBorder="1" applyAlignment="1">
      <alignment vertical="center" wrapText="1"/>
    </xf>
    <xf numFmtId="1" fontId="286" fillId="0" borderId="3" xfId="0" applyNumberFormat="1" applyFont="1" applyBorder="1" applyAlignment="1">
      <alignment vertical="top"/>
    </xf>
    <xf numFmtId="14" fontId="286" fillId="0" borderId="3" xfId="0" applyNumberFormat="1" applyFont="1" applyBorder="1" applyAlignment="1">
      <alignment vertical="top" wrapText="1"/>
    </xf>
    <xf numFmtId="0" fontId="286" fillId="0" borderId="3" xfId="0" applyFont="1" applyBorder="1" applyAlignment="1">
      <alignment vertical="top" wrapText="1"/>
    </xf>
    <xf numFmtId="43" fontId="286" fillId="0" borderId="3" xfId="1" applyFont="1" applyBorder="1" applyAlignment="1">
      <alignment vertical="top"/>
    </xf>
    <xf numFmtId="14" fontId="286" fillId="0" borderId="3" xfId="0" applyNumberFormat="1" applyFont="1" applyBorder="1" applyAlignment="1">
      <alignment vertical="top"/>
    </xf>
    <xf numFmtId="0" fontId="287" fillId="0" borderId="3" xfId="0" applyFont="1" applyBorder="1" applyAlignment="1">
      <alignment horizontal="left" vertical="top" wrapText="1"/>
    </xf>
    <xf numFmtId="0" fontId="212" fillId="0" borderId="3" xfId="0" applyFont="1" applyBorder="1" applyAlignment="1">
      <alignment vertical="top" wrapText="1"/>
    </xf>
    <xf numFmtId="1" fontId="205" fillId="0" borderId="3" xfId="0" applyNumberFormat="1" applyFont="1" applyBorder="1" applyAlignment="1">
      <alignment vertical="top"/>
    </xf>
    <xf numFmtId="0" fontId="190" fillId="0" borderId="3" xfId="0" applyFont="1" applyBorder="1"/>
    <xf numFmtId="0" fontId="40" fillId="0" borderId="3" xfId="0" applyFont="1" applyBorder="1" applyAlignment="1">
      <alignment horizontal="left" vertical="top" wrapText="1"/>
    </xf>
    <xf numFmtId="43" fontId="205" fillId="0" borderId="3" xfId="1" applyFont="1" applyBorder="1" applyAlignment="1">
      <alignment vertical="top"/>
    </xf>
    <xf numFmtId="0" fontId="287" fillId="0" borderId="3" xfId="0" applyFont="1" applyBorder="1" applyAlignment="1">
      <alignment vertical="top" wrapText="1"/>
    </xf>
    <xf numFmtId="0" fontId="288" fillId="0" borderId="3" xfId="0" applyFont="1" applyBorder="1" applyAlignment="1">
      <alignment vertical="center"/>
    </xf>
    <xf numFmtId="1" fontId="36" fillId="0" borderId="3" xfId="0" applyNumberFormat="1" applyFont="1" applyBorder="1" applyAlignment="1"/>
    <xf numFmtId="2" fontId="52" fillId="0" borderId="3" xfId="0" applyNumberFormat="1" applyFont="1" applyBorder="1" applyAlignment="1"/>
    <xf numFmtId="0" fontId="289" fillId="0" borderId="3" xfId="0" applyFont="1" applyBorder="1" applyAlignment="1">
      <alignment horizontal="left" vertical="top" wrapText="1"/>
    </xf>
    <xf numFmtId="0" fontId="40" fillId="0" borderId="3" xfId="0" applyFont="1" applyBorder="1" applyAlignment="1">
      <alignment horizontal="center" wrapText="1"/>
    </xf>
    <xf numFmtId="0" fontId="290" fillId="0" borderId="3" xfId="0" applyFont="1" applyBorder="1" applyAlignment="1">
      <alignment vertical="center"/>
    </xf>
    <xf numFmtId="1" fontId="291" fillId="0" borderId="3" xfId="0" applyNumberFormat="1" applyFont="1" applyBorder="1" applyAlignment="1"/>
    <xf numFmtId="0" fontId="292" fillId="0" borderId="3" xfId="0" applyFont="1" applyBorder="1" applyAlignment="1">
      <alignment horizontal="left" wrapText="1"/>
    </xf>
    <xf numFmtId="0" fontId="293" fillId="0" borderId="3" xfId="0" applyFont="1" applyBorder="1" applyAlignment="1">
      <alignment vertical="center" wrapText="1"/>
    </xf>
    <xf numFmtId="0" fontId="205" fillId="0" borderId="3" xfId="0" applyFont="1" applyBorder="1" applyAlignment="1">
      <alignment vertical="center" wrapText="1"/>
    </xf>
    <xf numFmtId="0" fontId="204" fillId="0" borderId="3" xfId="0" applyFont="1" applyBorder="1" applyAlignment="1">
      <alignment horizontal="left" wrapText="1"/>
    </xf>
    <xf numFmtId="0" fontId="205" fillId="0" borderId="3" xfId="1" applyNumberFormat="1" applyFont="1" applyBorder="1" applyAlignment="1">
      <alignment vertical="top" wrapText="1"/>
    </xf>
    <xf numFmtId="1" fontId="205" fillId="0" borderId="3" xfId="0" applyNumberFormat="1" applyFont="1" applyBorder="1" applyAlignment="1"/>
    <xf numFmtId="43" fontId="205" fillId="0" borderId="3" xfId="1" applyFont="1" applyBorder="1" applyAlignment="1"/>
    <xf numFmtId="0" fontId="212" fillId="0" borderId="3" xfId="0" applyFont="1" applyBorder="1" applyAlignment="1">
      <alignment vertical="center" wrapText="1"/>
    </xf>
    <xf numFmtId="43" fontId="205" fillId="0" borderId="3" xfId="1" applyFont="1" applyBorder="1" applyAlignment="1">
      <alignment horizontal="center" wrapText="1"/>
    </xf>
    <xf numFmtId="0" fontId="205" fillId="0" borderId="3" xfId="0" applyFont="1" applyBorder="1" applyAlignment="1">
      <alignment horizontal="left" wrapText="1"/>
    </xf>
    <xf numFmtId="0" fontId="179" fillId="0" borderId="3" xfId="0" applyFont="1" applyBorder="1" applyAlignment="1">
      <alignment horizontal="left" wrapText="1"/>
    </xf>
    <xf numFmtId="0" fontId="159" fillId="0" borderId="3" xfId="0" applyFont="1" applyBorder="1" applyAlignment="1">
      <alignment horizontal="center" vertical="center"/>
    </xf>
    <xf numFmtId="0" fontId="160" fillId="0" borderId="3" xfId="0" applyFont="1" applyBorder="1" applyAlignment="1">
      <alignment vertical="top" wrapText="1"/>
    </xf>
    <xf numFmtId="43" fontId="39" fillId="0" borderId="3" xfId="1" applyFont="1" applyFill="1" applyBorder="1" applyAlignment="1"/>
    <xf numFmtId="41" fontId="28" fillId="0" borderId="3" xfId="1" applyNumberFormat="1" applyFont="1" applyBorder="1" applyAlignment="1"/>
    <xf numFmtId="43" fontId="57" fillId="0" borderId="3" xfId="1" applyFont="1" applyBorder="1" applyAlignment="1">
      <alignment horizontal="left" wrapText="1"/>
    </xf>
    <xf numFmtId="0" fontId="57" fillId="0" borderId="3" xfId="0" applyFont="1" applyBorder="1" applyAlignment="1">
      <alignment vertical="top" wrapText="1"/>
    </xf>
    <xf numFmtId="0" fontId="163" fillId="0" borderId="3" xfId="0" applyFont="1" applyBorder="1"/>
    <xf numFmtId="0" fontId="240" fillId="0" borderId="3" xfId="0" applyFont="1" applyBorder="1" applyAlignment="1">
      <alignment vertical="top"/>
    </xf>
    <xf numFmtId="0" fontId="55" fillId="0" borderId="3" xfId="0" applyFont="1" applyBorder="1" applyAlignment="1">
      <alignment vertical="top" wrapText="1"/>
    </xf>
    <xf numFmtId="0" fontId="240" fillId="3" borderId="3" xfId="0" applyFont="1" applyFill="1" applyBorder="1"/>
    <xf numFmtId="0" fontId="240" fillId="3" borderId="6" xfId="0" applyFont="1" applyFill="1" applyBorder="1" applyAlignment="1">
      <alignment horizontal="center"/>
    </xf>
    <xf numFmtId="164" fontId="240" fillId="3" borderId="6" xfId="0" applyNumberFormat="1" applyFont="1" applyFill="1" applyBorder="1" applyAlignment="1">
      <alignment wrapText="1"/>
    </xf>
    <xf numFmtId="43" fontId="51" fillId="3" borderId="3" xfId="1" applyFont="1" applyFill="1" applyBorder="1"/>
    <xf numFmtId="0" fontId="118" fillId="0" borderId="3" xfId="0" applyFont="1" applyBorder="1" applyAlignment="1">
      <alignment vertical="top" wrapText="1"/>
    </xf>
    <xf numFmtId="43" fontId="152" fillId="0" borderId="3" xfId="1" applyFont="1" applyBorder="1" applyAlignment="1">
      <alignment horizontal="right" vertical="top"/>
    </xf>
    <xf numFmtId="0" fontId="118" fillId="0" borderId="4" xfId="0" applyFont="1" applyBorder="1" applyAlignment="1">
      <alignment vertical="top" wrapText="1"/>
    </xf>
    <xf numFmtId="4" fontId="60" fillId="0" borderId="0" xfId="0" applyNumberFormat="1" applyFont="1"/>
    <xf numFmtId="0" fontId="118" fillId="0" borderId="4" xfId="0" applyFont="1" applyBorder="1" applyAlignment="1">
      <alignment horizontal="left" vertical="center" wrapText="1"/>
    </xf>
    <xf numFmtId="164" fontId="118" fillId="0" borderId="3" xfId="0" applyNumberFormat="1" applyFont="1" applyBorder="1" applyAlignment="1">
      <alignment horizontal="left"/>
    </xf>
    <xf numFmtId="0" fontId="240" fillId="3" borderId="6" xfId="0" applyFont="1" applyFill="1" applyBorder="1" applyAlignment="1"/>
    <xf numFmtId="43" fontId="118" fillId="0" borderId="3" xfId="1" applyFont="1" applyBorder="1" applyAlignment="1">
      <alignment horizontal="right"/>
    </xf>
    <xf numFmtId="164" fontId="152" fillId="0" borderId="3" xfId="1" applyNumberFormat="1" applyFont="1" applyBorder="1" applyAlignment="1">
      <alignment horizontal="left"/>
    </xf>
    <xf numFmtId="43" fontId="152" fillId="0" borderId="3" xfId="1" applyFont="1" applyBorder="1" applyAlignment="1">
      <alignment horizontal="right"/>
    </xf>
    <xf numFmtId="0" fontId="240" fillId="3" borderId="3" xfId="0" applyFont="1" applyFill="1" applyBorder="1" applyAlignment="1">
      <alignment vertical="top" wrapText="1"/>
    </xf>
    <xf numFmtId="164" fontId="118" fillId="0" borderId="3" xfId="0" applyNumberFormat="1" applyFont="1" applyBorder="1" applyAlignment="1"/>
    <xf numFmtId="0" fontId="51" fillId="3" borderId="3" xfId="0" applyFont="1" applyFill="1" applyBorder="1"/>
    <xf numFmtId="164" fontId="118" fillId="0" borderId="4" xfId="0" applyNumberFormat="1" applyFont="1" applyBorder="1" applyAlignment="1"/>
    <xf numFmtId="0" fontId="240" fillId="3" borderId="4" xfId="0" applyFont="1" applyFill="1" applyBorder="1" applyAlignment="1">
      <alignment vertical="top" wrapText="1"/>
    </xf>
    <xf numFmtId="0" fontId="240" fillId="3" borderId="4" xfId="0" applyFont="1" applyFill="1" applyBorder="1" applyAlignment="1">
      <alignment wrapText="1"/>
    </xf>
    <xf numFmtId="43" fontId="118" fillId="0" borderId="3" xfId="1" applyFont="1" applyBorder="1" applyAlignment="1">
      <alignment horizontal="right" vertical="top"/>
    </xf>
    <xf numFmtId="0" fontId="118" fillId="0" borderId="4" xfId="0" applyFont="1" applyBorder="1" applyAlignment="1">
      <alignment wrapText="1"/>
    </xf>
    <xf numFmtId="0" fontId="118" fillId="0" borderId="4" xfId="0" applyFont="1" applyBorder="1" applyAlignment="1">
      <alignment horizontal="center" vertical="center" wrapText="1"/>
    </xf>
    <xf numFmtId="0" fontId="118" fillId="0" borderId="3" xfId="0" applyFont="1" applyBorder="1" applyAlignment="1">
      <alignment horizontal="center" wrapText="1"/>
    </xf>
    <xf numFmtId="164" fontId="118" fillId="0" borderId="4" xfId="1" applyNumberFormat="1" applyFont="1" applyBorder="1" applyAlignment="1">
      <alignment horizontal="left" wrapText="1"/>
    </xf>
    <xf numFmtId="43" fontId="240" fillId="0" borderId="3" xfId="1" applyFont="1" applyBorder="1" applyAlignment="1">
      <alignment horizontal="right"/>
    </xf>
    <xf numFmtId="164" fontId="240" fillId="0" borderId="3" xfId="0" applyNumberFormat="1" applyFont="1" applyBorder="1" applyAlignment="1"/>
    <xf numFmtId="43" fontId="240" fillId="0" borderId="6" xfId="1" applyFont="1" applyBorder="1" applyAlignment="1">
      <alignment horizontal="right"/>
    </xf>
    <xf numFmtId="0" fontId="240" fillId="0" borderId="3" xfId="0" applyFont="1" applyBorder="1"/>
    <xf numFmtId="43" fontId="118" fillId="0" borderId="3" xfId="1" applyFont="1" applyBorder="1" applyAlignment="1">
      <alignment vertical="center" wrapText="1"/>
    </xf>
    <xf numFmtId="0" fontId="152" fillId="0" borderId="3" xfId="1" applyNumberFormat="1" applyFont="1" applyBorder="1" applyAlignment="1"/>
    <xf numFmtId="43" fontId="118" fillId="3" borderId="3" xfId="1" applyFont="1" applyFill="1" applyBorder="1" applyAlignment="1">
      <alignment horizontal="left" vertical="center" wrapText="1"/>
    </xf>
    <xf numFmtId="164" fontId="152" fillId="3" borderId="3" xfId="1" applyNumberFormat="1" applyFont="1" applyFill="1" applyBorder="1" applyAlignment="1"/>
    <xf numFmtId="43" fontId="152" fillId="3" borderId="3" xfId="1" applyFont="1" applyFill="1" applyBorder="1" applyAlignment="1"/>
    <xf numFmtId="4" fontId="37" fillId="0" borderId="0" xfId="0" applyNumberFormat="1" applyFont="1"/>
    <xf numFmtId="0" fontId="152" fillId="3" borderId="3" xfId="1" applyNumberFormat="1" applyFont="1" applyFill="1" applyBorder="1" applyAlignment="1"/>
    <xf numFmtId="43" fontId="118" fillId="0" borderId="3" xfId="1" applyFont="1" applyBorder="1" applyAlignment="1">
      <alignment horizontal="left" wrapText="1"/>
    </xf>
    <xf numFmtId="164" fontId="152" fillId="0" borderId="3" xfId="0" applyNumberFormat="1" applyFont="1" applyBorder="1" applyAlignment="1">
      <alignment horizontal="center" vertical="center"/>
    </xf>
    <xf numFmtId="43" fontId="152" fillId="0" borderId="3" xfId="1" applyFont="1" applyBorder="1" applyAlignment="1">
      <alignment horizontal="left" wrapText="1"/>
    </xf>
    <xf numFmtId="0" fontId="118" fillId="0" borderId="3" xfId="0" applyFont="1" applyBorder="1" applyAlignment="1">
      <alignment horizontal="justify" wrapText="1"/>
    </xf>
    <xf numFmtId="43" fontId="152" fillId="0" borderId="5" xfId="1" applyFont="1" applyBorder="1" applyAlignment="1">
      <alignment horizontal="right" vertical="top"/>
    </xf>
    <xf numFmtId="164" fontId="152" fillId="3" borderId="3" xfId="1" applyNumberFormat="1" applyFont="1" applyFill="1" applyBorder="1" applyAlignment="1">
      <alignment wrapText="1"/>
    </xf>
    <xf numFmtId="43" fontId="240" fillId="0" borderId="3" xfId="1" applyFont="1" applyBorder="1" applyAlignment="1">
      <alignment vertical="top" wrapText="1"/>
    </xf>
    <xf numFmtId="164" fontId="118" fillId="0" borderId="0" xfId="0" applyNumberFormat="1" applyFont="1" applyAlignment="1"/>
    <xf numFmtId="4" fontId="118" fillId="0" borderId="0" xfId="0" applyNumberFormat="1" applyFont="1" applyAlignment="1">
      <alignment vertical="top"/>
    </xf>
    <xf numFmtId="43" fontId="152" fillId="0" borderId="3" xfId="1" applyFont="1" applyBorder="1" applyAlignment="1">
      <alignment wrapText="1"/>
    </xf>
    <xf numFmtId="43" fontId="240" fillId="0" borderId="3" xfId="1" applyFont="1" applyBorder="1"/>
    <xf numFmtId="0" fontId="240" fillId="0" borderId="3" xfId="0" applyFont="1" applyBorder="1" applyAlignment="1">
      <alignment horizontal="justify" wrapText="1"/>
    </xf>
    <xf numFmtId="0" fontId="240" fillId="0" borderId="3" xfId="0" applyFont="1" applyFill="1" applyBorder="1" applyAlignment="1">
      <alignment horizontal="left" wrapText="1"/>
    </xf>
    <xf numFmtId="0" fontId="240" fillId="0" borderId="3" xfId="0" applyFont="1" applyBorder="1" applyAlignment="1">
      <alignment horizontal="left" wrapText="1"/>
    </xf>
    <xf numFmtId="0" fontId="240" fillId="3" borderId="3" xfId="0" applyFont="1" applyFill="1" applyBorder="1" applyAlignment="1">
      <alignment horizontal="left" wrapText="1"/>
    </xf>
    <xf numFmtId="164" fontId="152" fillId="3" borderId="3" xfId="1" applyNumberFormat="1" applyFont="1" applyFill="1" applyBorder="1" applyAlignment="1">
      <alignment horizontal="center" vertical="center"/>
    </xf>
    <xf numFmtId="0" fontId="152" fillId="3" borderId="3" xfId="1" applyNumberFormat="1" applyFont="1" applyFill="1" applyBorder="1" applyAlignment="1">
      <alignment horizontal="center" vertical="center"/>
    </xf>
    <xf numFmtId="164" fontId="152" fillId="0" borderId="3" xfId="0" applyNumberFormat="1" applyFont="1" applyBorder="1" applyAlignment="1">
      <alignment horizontal="center"/>
    </xf>
    <xf numFmtId="43" fontId="294" fillId="3" borderId="3" xfId="1" applyFont="1" applyFill="1" applyBorder="1" applyAlignment="1"/>
    <xf numFmtId="43" fontId="240" fillId="0" borderId="3" xfId="1" applyFont="1" applyBorder="1" applyAlignment="1">
      <alignment wrapText="1"/>
    </xf>
    <xf numFmtId="49" fontId="152" fillId="0" borderId="3" xfId="1" applyNumberFormat="1" applyFont="1" applyBorder="1" applyAlignment="1"/>
    <xf numFmtId="0" fontId="152" fillId="3" borderId="3" xfId="1" applyNumberFormat="1" applyFont="1" applyFill="1" applyBorder="1" applyAlignment="1">
      <alignment horizontal="center" vertical="center" wrapText="1"/>
    </xf>
    <xf numFmtId="49" fontId="152" fillId="3" borderId="3" xfId="1" applyNumberFormat="1" applyFont="1" applyFill="1" applyBorder="1" applyAlignment="1">
      <alignment horizontal="center" vertical="center" wrapText="1"/>
    </xf>
    <xf numFmtId="0" fontId="233" fillId="0" borderId="3" xfId="0" applyFont="1" applyBorder="1" applyAlignment="1">
      <alignment horizontal="center" vertical="center" wrapText="1"/>
    </xf>
    <xf numFmtId="1" fontId="152" fillId="3" borderId="3" xfId="0" applyNumberFormat="1" applyFont="1" applyFill="1" applyBorder="1" applyAlignment="1"/>
    <xf numFmtId="43" fontId="152" fillId="0" borderId="3" xfId="1" applyFont="1" applyBorder="1" applyAlignment="1">
      <alignment vertical="top"/>
    </xf>
    <xf numFmtId="0" fontId="240" fillId="3" borderId="3" xfId="0" applyFont="1" applyFill="1" applyBorder="1" applyAlignment="1">
      <alignment horizontal="center" vertical="center"/>
    </xf>
    <xf numFmtId="43" fontId="240" fillId="3" borderId="3" xfId="1" applyFont="1" applyFill="1" applyBorder="1"/>
    <xf numFmtId="0" fontId="240" fillId="3" borderId="3" xfId="0" applyFont="1" applyFill="1" applyBorder="1" applyAlignment="1"/>
    <xf numFmtId="43" fontId="118" fillId="0" borderId="3" xfId="1" applyFont="1" applyBorder="1" applyAlignment="1">
      <alignment wrapText="1"/>
    </xf>
    <xf numFmtId="0" fontId="118" fillId="0" borderId="3" xfId="0" applyFont="1" applyBorder="1" applyAlignment="1">
      <alignment wrapText="1"/>
    </xf>
    <xf numFmtId="164" fontId="4" fillId="0" borderId="3" xfId="16" applyNumberFormat="1" applyFont="1" applyBorder="1" applyAlignment="1"/>
    <xf numFmtId="43" fontId="4" fillId="0" borderId="3" xfId="1" applyFont="1" applyBorder="1" applyAlignment="1"/>
    <xf numFmtId="0" fontId="295" fillId="0" borderId="3" xfId="0" applyFont="1" applyBorder="1"/>
    <xf numFmtId="43" fontId="295" fillId="0" borderId="3" xfId="1" applyFont="1" applyBorder="1"/>
    <xf numFmtId="4" fontId="118" fillId="0" borderId="0" xfId="0" applyNumberFormat="1" applyFont="1"/>
    <xf numFmtId="43" fontId="233" fillId="0" borderId="5" xfId="1" applyFont="1" applyBorder="1" applyAlignment="1">
      <alignment horizontal="left" wrapText="1"/>
    </xf>
    <xf numFmtId="43" fontId="155" fillId="0" borderId="3" xfId="1" applyFont="1" applyBorder="1" applyAlignment="1">
      <alignment wrapText="1"/>
    </xf>
    <xf numFmtId="164" fontId="4" fillId="0" borderId="3" xfId="1" applyNumberFormat="1" applyFont="1" applyBorder="1" applyAlignment="1">
      <alignment wrapText="1"/>
    </xf>
    <xf numFmtId="43" fontId="4" fillId="0" borderId="3" xfId="1" applyFont="1" applyBorder="1" applyAlignment="1">
      <alignment horizontal="right" vertical="top" wrapText="1"/>
    </xf>
    <xf numFmtId="0" fontId="118" fillId="0" borderId="2" xfId="0" applyFont="1" applyBorder="1" applyAlignment="1">
      <alignment horizontal="left" vertical="center" wrapText="1"/>
    </xf>
    <xf numFmtId="164" fontId="4" fillId="0" borderId="3" xfId="16" applyNumberFormat="1" applyFont="1" applyBorder="1" applyAlignment="1">
      <alignment horizontal="center" vertical="center" wrapText="1"/>
    </xf>
    <xf numFmtId="0" fontId="240" fillId="3" borderId="3" xfId="0" applyFont="1" applyFill="1" applyBorder="1" applyAlignment="1">
      <alignment horizontal="justify" wrapText="1"/>
    </xf>
    <xf numFmtId="164" fontId="152" fillId="0" borderId="3" xfId="0" applyNumberFormat="1" applyFont="1" applyBorder="1" applyAlignment="1"/>
    <xf numFmtId="0" fontId="118" fillId="3" borderId="3" xfId="0" applyFont="1" applyFill="1" applyBorder="1" applyAlignment="1">
      <alignment horizontal="left" vertical="center" wrapText="1"/>
    </xf>
    <xf numFmtId="0" fontId="118" fillId="3" borderId="3" xfId="0" applyFont="1" applyFill="1" applyBorder="1" applyAlignment="1">
      <alignment horizontal="center" vertical="center" wrapText="1"/>
    </xf>
    <xf numFmtId="43" fontId="152" fillId="3" borderId="3" xfId="1" applyFont="1" applyFill="1" applyBorder="1" applyAlignment="1">
      <alignment wrapText="1"/>
    </xf>
    <xf numFmtId="0" fontId="240" fillId="0" borderId="3" xfId="0" applyFont="1" applyBorder="1" applyAlignment="1">
      <alignment horizontal="left"/>
    </xf>
    <xf numFmtId="43" fontId="118" fillId="0" borderId="3" xfId="1" applyFont="1" applyBorder="1" applyAlignment="1">
      <alignment horizontal="left" vertical="top" wrapText="1"/>
    </xf>
    <xf numFmtId="164" fontId="152" fillId="0" borderId="3" xfId="1" applyNumberFormat="1" applyFont="1" applyBorder="1" applyAlignment="1">
      <alignment wrapText="1"/>
    </xf>
    <xf numFmtId="43" fontId="152" fillId="0" borderId="3" xfId="1" applyFont="1" applyBorder="1" applyAlignment="1">
      <alignment horizontal="right" vertical="top" wrapText="1"/>
    </xf>
    <xf numFmtId="43" fontId="118" fillId="13" borderId="3" xfId="1" applyFont="1" applyFill="1" applyBorder="1" applyAlignment="1">
      <alignment wrapText="1"/>
    </xf>
    <xf numFmtId="0" fontId="240" fillId="0" borderId="3" xfId="0" applyFont="1" applyFill="1" applyBorder="1" applyAlignment="1">
      <alignment horizontal="justify" wrapText="1"/>
    </xf>
    <xf numFmtId="43" fontId="240" fillId="3" borderId="3" xfId="1" applyFont="1" applyFill="1" applyBorder="1" applyAlignment="1">
      <alignment wrapText="1"/>
    </xf>
    <xf numFmtId="12" fontId="240" fillId="0" borderId="3" xfId="1" applyNumberFormat="1" applyFont="1" applyBorder="1" applyAlignment="1"/>
    <xf numFmtId="12" fontId="152" fillId="0" borderId="3" xfId="1" applyNumberFormat="1" applyFont="1" applyBorder="1" applyAlignment="1">
      <alignment wrapText="1"/>
    </xf>
    <xf numFmtId="12" fontId="152" fillId="0" borderId="3" xfId="1" applyNumberFormat="1" applyFont="1" applyBorder="1" applyAlignment="1"/>
    <xf numFmtId="43" fontId="152" fillId="0" borderId="5" xfId="1" applyFont="1" applyBorder="1" applyAlignment="1">
      <alignment vertical="top"/>
    </xf>
    <xf numFmtId="43" fontId="152" fillId="13" borderId="3" xfId="1" applyFont="1" applyFill="1" applyBorder="1" applyAlignment="1"/>
    <xf numFmtId="0" fontId="296" fillId="3" borderId="3" xfId="0" applyFont="1" applyFill="1" applyBorder="1" applyAlignment="1">
      <alignment horizontal="left" wrapText="1"/>
    </xf>
    <xf numFmtId="0" fontId="118" fillId="0" borderId="0" xfId="0" applyFont="1" applyAlignment="1">
      <alignment wrapText="1"/>
    </xf>
    <xf numFmtId="164" fontId="240" fillId="3" borderId="3" xfId="0" applyNumberFormat="1" applyFont="1" applyFill="1" applyBorder="1" applyAlignment="1">
      <alignment wrapText="1"/>
    </xf>
    <xf numFmtId="164" fontId="152" fillId="3" borderId="3" xfId="1" applyNumberFormat="1" applyFont="1" applyFill="1" applyBorder="1" applyAlignment="1">
      <alignment vertical="center"/>
    </xf>
    <xf numFmtId="4" fontId="240" fillId="3" borderId="3" xfId="0" applyNumberFormat="1" applyFont="1" applyFill="1" applyBorder="1"/>
    <xf numFmtId="12" fontId="152" fillId="3" borderId="3" xfId="1" applyNumberFormat="1" applyFont="1" applyFill="1" applyBorder="1" applyAlignment="1"/>
    <xf numFmtId="43" fontId="240" fillId="0" borderId="3" xfId="1" applyFont="1" applyBorder="1" applyAlignment="1">
      <alignment horizontal="left" wrapText="1"/>
    </xf>
    <xf numFmtId="0" fontId="152" fillId="0" borderId="3" xfId="0" applyFont="1" applyBorder="1" applyAlignment="1">
      <alignment horizontal="center" vertical="center" wrapText="1"/>
    </xf>
    <xf numFmtId="12" fontId="152" fillId="3" borderId="3" xfId="1" applyNumberFormat="1" applyFont="1" applyFill="1" applyBorder="1" applyAlignment="1">
      <alignment wrapText="1"/>
    </xf>
    <xf numFmtId="43" fontId="118" fillId="0" borderId="3" xfId="1" applyFont="1" applyBorder="1" applyAlignment="1">
      <alignment horizontal="justify" wrapText="1"/>
    </xf>
    <xf numFmtId="0" fontId="118" fillId="0" borderId="3" xfId="0" applyFont="1" applyBorder="1"/>
    <xf numFmtId="164" fontId="240" fillId="0" borderId="3" xfId="1" applyNumberFormat="1" applyFont="1" applyBorder="1" applyAlignment="1"/>
    <xf numFmtId="43" fontId="240" fillId="0" borderId="3" xfId="1" applyFont="1" applyBorder="1" applyAlignment="1"/>
    <xf numFmtId="4" fontId="118" fillId="0" borderId="3" xfId="0" applyNumberFormat="1" applyFont="1" applyBorder="1"/>
    <xf numFmtId="164" fontId="51" fillId="3" borderId="4" xfId="0" applyNumberFormat="1" applyFont="1" applyFill="1" applyBorder="1" applyAlignment="1">
      <alignment vertical="top" wrapText="1"/>
    </xf>
    <xf numFmtId="164" fontId="240" fillId="0" borderId="3" xfId="1" applyNumberFormat="1" applyFont="1" applyBorder="1" applyAlignment="1">
      <alignment wrapText="1"/>
    </xf>
    <xf numFmtId="0" fontId="240" fillId="0" borderId="3" xfId="0" applyFont="1" applyBorder="1" applyAlignment="1">
      <alignment horizontal="center" vertical="center"/>
    </xf>
    <xf numFmtId="0" fontId="152" fillId="0" borderId="3" xfId="0" applyFont="1" applyFill="1" applyBorder="1" applyAlignment="1">
      <alignment horizontal="justify" wrapText="1"/>
    </xf>
    <xf numFmtId="0" fontId="152" fillId="0" borderId="3" xfId="0" applyFont="1" applyFill="1" applyBorder="1" applyAlignment="1">
      <alignment horizontal="left" wrapText="1"/>
    </xf>
    <xf numFmtId="4" fontId="297" fillId="0" borderId="3" xfId="0" applyNumberFormat="1" applyFont="1" applyBorder="1" applyAlignment="1">
      <alignment vertical="center"/>
    </xf>
    <xf numFmtId="0" fontId="152" fillId="3" borderId="3" xfId="0" applyFont="1" applyFill="1" applyBorder="1" applyAlignment="1">
      <alignment horizontal="justify" wrapText="1"/>
    </xf>
    <xf numFmtId="43" fontId="152" fillId="3" borderId="3" xfId="1" applyFont="1" applyFill="1" applyBorder="1" applyAlignment="1">
      <alignment horizontal="left" vertical="center" wrapText="1"/>
    </xf>
    <xf numFmtId="164" fontId="152" fillId="3" borderId="3" xfId="1" applyNumberFormat="1" applyFont="1" applyFill="1" applyBorder="1" applyAlignment="1">
      <alignment horizontal="center"/>
    </xf>
    <xf numFmtId="4" fontId="297" fillId="0" borderId="3" xfId="0" applyNumberFormat="1" applyFont="1" applyBorder="1" applyAlignment="1">
      <alignment horizontal="right" vertical="center"/>
    </xf>
    <xf numFmtId="0" fontId="152" fillId="0" borderId="3" xfId="0" applyFont="1" applyBorder="1" applyAlignment="1">
      <alignment horizontal="left" wrapText="1"/>
    </xf>
    <xf numFmtId="164" fontId="24" fillId="0" borderId="3" xfId="0" applyNumberFormat="1" applyFont="1" applyBorder="1" applyAlignment="1">
      <alignment vertical="center"/>
    </xf>
    <xf numFmtId="0" fontId="24" fillId="0" borderId="3" xfId="0" applyFont="1" applyBorder="1" applyAlignment="1">
      <alignment horizontal="center" wrapText="1"/>
    </xf>
    <xf numFmtId="43" fontId="24" fillId="3" borderId="3" xfId="1" applyFont="1" applyFill="1" applyBorder="1" applyAlignment="1"/>
    <xf numFmtId="43" fontId="152" fillId="3" borderId="3" xfId="1" applyFont="1" applyFill="1" applyBorder="1" applyAlignment="1">
      <alignment horizontal="left" wrapText="1"/>
    </xf>
    <xf numFmtId="43" fontId="152" fillId="0" borderId="3" xfId="1" applyFont="1" applyBorder="1" applyAlignment="1">
      <alignment horizontal="justify" wrapText="1"/>
    </xf>
    <xf numFmtId="4" fontId="118" fillId="3" borderId="0" xfId="0" applyNumberFormat="1" applyFont="1" applyFill="1"/>
    <xf numFmtId="49" fontId="152" fillId="3" borderId="3" xfId="1" applyNumberFormat="1" applyFont="1" applyFill="1" applyBorder="1" applyAlignment="1">
      <alignment vertical="center"/>
    </xf>
    <xf numFmtId="12" fontId="152" fillId="3" borderId="3" xfId="1" applyNumberFormat="1" applyFont="1" applyFill="1" applyBorder="1" applyAlignment="1">
      <alignment horizontal="right"/>
    </xf>
    <xf numFmtId="0" fontId="240" fillId="3" borderId="3" xfId="0" applyFont="1" applyFill="1" applyBorder="1" applyAlignment="1">
      <alignment horizontal="center"/>
    </xf>
    <xf numFmtId="0" fontId="240" fillId="0" borderId="3" xfId="0" applyFont="1" applyBorder="1" applyAlignment="1">
      <alignment horizontal="center" vertical="center" wrapText="1"/>
    </xf>
    <xf numFmtId="43" fontId="240" fillId="0" borderId="3" xfId="1" applyFont="1" applyBorder="1" applyAlignment="1">
      <alignment vertical="center" wrapText="1"/>
    </xf>
    <xf numFmtId="0" fontId="240" fillId="0" borderId="4" xfId="0" applyFont="1" applyBorder="1"/>
    <xf numFmtId="43" fontId="152" fillId="0" borderId="3" xfId="1" applyFont="1" applyBorder="1" applyAlignment="1">
      <alignment horizontal="right" vertical="center"/>
    </xf>
    <xf numFmtId="0" fontId="295" fillId="0" borderId="3" xfId="0" applyFont="1" applyBorder="1" applyAlignment="1">
      <alignment horizontal="justify"/>
    </xf>
    <xf numFmtId="0" fontId="295" fillId="0" borderId="3" xfId="0" applyFont="1" applyFill="1" applyBorder="1" applyAlignment="1">
      <alignment horizontal="left" wrapText="1"/>
    </xf>
    <xf numFmtId="0" fontId="250" fillId="3" borderId="3" xfId="0" applyFont="1" applyFill="1" applyBorder="1" applyAlignment="1">
      <alignment horizontal="left" wrapText="1"/>
    </xf>
    <xf numFmtId="0" fontId="250" fillId="0" borderId="3" xfId="0" applyFont="1" applyBorder="1" applyAlignment="1">
      <alignment horizontal="left" wrapText="1"/>
    </xf>
    <xf numFmtId="0" fontId="240" fillId="0" borderId="3" xfId="0" applyFont="1" applyBorder="1" applyAlignment="1">
      <alignment horizontal="right" vertical="top"/>
    </xf>
    <xf numFmtId="0" fontId="250" fillId="0" borderId="3" xfId="0" applyFont="1" applyFill="1" applyBorder="1" applyAlignment="1">
      <alignment horizontal="left" wrapText="1"/>
    </xf>
    <xf numFmtId="12" fontId="152" fillId="0" borderId="4" xfId="1" applyNumberFormat="1" applyFont="1" applyBorder="1" applyAlignment="1"/>
    <xf numFmtId="12" fontId="152" fillId="3" borderId="4" xfId="1" applyNumberFormat="1" applyFont="1" applyFill="1" applyBorder="1" applyAlignment="1">
      <alignment wrapText="1"/>
    </xf>
    <xf numFmtId="4" fontId="240" fillId="0" borderId="3" xfId="0" applyNumberFormat="1" applyFont="1" applyBorder="1" applyAlignment="1">
      <alignment horizontal="right"/>
    </xf>
    <xf numFmtId="0" fontId="250" fillId="3" borderId="3" xfId="0" applyFont="1" applyFill="1" applyBorder="1" applyAlignment="1">
      <alignment horizontal="left"/>
    </xf>
    <xf numFmtId="0" fontId="240" fillId="3" borderId="4" xfId="0" applyFont="1" applyFill="1" applyBorder="1" applyAlignment="1"/>
    <xf numFmtId="0" fontId="250" fillId="0" borderId="3" xfId="0" applyFont="1" applyBorder="1" applyAlignment="1">
      <alignment horizontal="left"/>
    </xf>
    <xf numFmtId="43" fontId="152" fillId="0" borderId="3" xfId="1" applyFont="1" applyBorder="1" applyAlignment="1">
      <alignment horizontal="center" vertical="top" wrapText="1"/>
    </xf>
    <xf numFmtId="0" fontId="152" fillId="3" borderId="8" xfId="0" applyFont="1" applyFill="1" applyBorder="1" applyAlignment="1">
      <alignment wrapText="1"/>
    </xf>
    <xf numFmtId="0" fontId="250" fillId="0" borderId="3" xfId="0" applyFont="1" applyBorder="1"/>
    <xf numFmtId="1" fontId="152" fillId="3" borderId="4" xfId="0" applyNumberFormat="1" applyFont="1" applyFill="1" applyBorder="1" applyAlignment="1"/>
    <xf numFmtId="1" fontId="152" fillId="0" borderId="4" xfId="0" applyNumberFormat="1" applyFont="1" applyBorder="1" applyAlignment="1"/>
    <xf numFmtId="164" fontId="152" fillId="3" borderId="4" xfId="1" applyNumberFormat="1" applyFont="1" applyFill="1" applyBorder="1" applyAlignment="1"/>
    <xf numFmtId="43" fontId="118" fillId="0" borderId="3" xfId="1" applyFont="1" applyBorder="1" applyAlignment="1">
      <alignment horizontal="center" wrapText="1"/>
    </xf>
    <xf numFmtId="4" fontId="63" fillId="3" borderId="3" xfId="0" applyNumberFormat="1" applyFont="1" applyFill="1" applyBorder="1" applyAlignment="1">
      <alignment vertical="center"/>
    </xf>
    <xf numFmtId="1" fontId="152" fillId="0" borderId="3" xfId="0" applyNumberFormat="1" applyFont="1" applyBorder="1" applyAlignment="1">
      <alignment wrapText="1"/>
    </xf>
    <xf numFmtId="0" fontId="0" fillId="5" borderId="3" xfId="0" applyFill="1" applyBorder="1" applyAlignment="1"/>
    <xf numFmtId="0" fontId="3" fillId="5" borderId="3" xfId="0" applyFont="1" applyFill="1" applyBorder="1"/>
    <xf numFmtId="0" fontId="27" fillId="0" borderId="9" xfId="0" applyFont="1" applyFill="1" applyBorder="1" applyAlignment="1">
      <alignment vertical="center"/>
    </xf>
    <xf numFmtId="0" fontId="298" fillId="0" borderId="2" xfId="0" applyFont="1" applyBorder="1" applyAlignment="1">
      <alignment vertical="center"/>
    </xf>
    <xf numFmtId="1" fontId="154" fillId="14" borderId="3" xfId="0" applyNumberFormat="1" applyFont="1" applyFill="1" applyBorder="1" applyAlignment="1"/>
    <xf numFmtId="0" fontId="298" fillId="0" borderId="9" xfId="0" applyFont="1" applyBorder="1" applyAlignment="1">
      <alignment vertical="center"/>
    </xf>
    <xf numFmtId="0" fontId="298" fillId="0" borderId="6" xfId="0" applyFont="1" applyBorder="1" applyAlignment="1">
      <alignment vertical="center"/>
    </xf>
    <xf numFmtId="1" fontId="154" fillId="0" borderId="3" xfId="0" applyNumberFormat="1" applyFont="1" applyBorder="1" applyAlignment="1"/>
    <xf numFmtId="0" fontId="298" fillId="0" borderId="4" xfId="0" applyFont="1" applyBorder="1" applyAlignment="1">
      <alignment vertical="center"/>
    </xf>
    <xf numFmtId="0" fontId="27" fillId="0" borderId="2" xfId="0" applyFont="1" applyBorder="1" applyAlignment="1">
      <alignment horizontal="left" vertical="center" wrapText="1"/>
    </xf>
    <xf numFmtId="1" fontId="22" fillId="0" borderId="3" xfId="0" applyNumberFormat="1" applyFont="1" applyBorder="1" applyAlignment="1">
      <alignment wrapText="1"/>
    </xf>
    <xf numFmtId="0" fontId="27" fillId="0" borderId="6" xfId="0" applyFont="1" applyBorder="1" applyAlignment="1">
      <alignment horizontal="left" vertical="center"/>
    </xf>
    <xf numFmtId="0" fontId="27" fillId="0" borderId="2" xfId="0" applyFont="1" applyBorder="1" applyAlignment="1">
      <alignment horizontal="left" vertical="center"/>
    </xf>
    <xf numFmtId="1" fontId="22" fillId="0" borderId="3" xfId="0" applyNumberFormat="1" applyFont="1" applyBorder="1" applyAlignment="1">
      <alignment horizontal="center"/>
    </xf>
    <xf numFmtId="0" fontId="55" fillId="5" borderId="3" xfId="0" applyFont="1" applyFill="1" applyBorder="1" applyAlignment="1">
      <alignment horizontal="center" wrapText="1"/>
    </xf>
    <xf numFmtId="0" fontId="55" fillId="5" borderId="3" xfId="0" applyFont="1" applyFill="1" applyBorder="1" applyAlignment="1">
      <alignment horizontal="center"/>
    </xf>
    <xf numFmtId="164" fontId="70" fillId="3" borderId="3" xfId="1" applyNumberFormat="1" applyFont="1" applyFill="1" applyBorder="1"/>
    <xf numFmtId="43" fontId="59" fillId="3" borderId="6" xfId="1" applyNumberFormat="1" applyFont="1" applyFill="1" applyBorder="1"/>
    <xf numFmtId="43" fontId="59" fillId="3" borderId="3" xfId="1" applyNumberFormat="1" applyFont="1" applyFill="1" applyBorder="1"/>
    <xf numFmtId="9" fontId="59" fillId="3" borderId="3" xfId="2" applyFont="1" applyFill="1" applyBorder="1"/>
    <xf numFmtId="43" fontId="59" fillId="3" borderId="3" xfId="1" applyNumberFormat="1" applyFont="1" applyFill="1" applyBorder="1" applyAlignment="1">
      <alignment wrapText="1"/>
    </xf>
    <xf numFmtId="43" fontId="59" fillId="3" borderId="6" xfId="1" applyNumberFormat="1" applyFont="1" applyFill="1" applyBorder="1" applyAlignment="1"/>
    <xf numFmtId="12" fontId="59" fillId="3" borderId="6" xfId="1" applyNumberFormat="1" applyFont="1" applyFill="1" applyBorder="1"/>
    <xf numFmtId="43" fontId="59" fillId="3" borderId="3" xfId="1" applyNumberFormat="1" applyFont="1" applyFill="1" applyBorder="1" applyAlignment="1"/>
    <xf numFmtId="43" fontId="70" fillId="3" borderId="3" xfId="1" applyNumberFormat="1" applyFont="1" applyFill="1" applyBorder="1" applyAlignment="1"/>
    <xf numFmtId="43" fontId="70" fillId="3" borderId="6" xfId="1" applyNumberFormat="1" applyFont="1" applyFill="1" applyBorder="1" applyAlignment="1"/>
    <xf numFmtId="0" fontId="59" fillId="12" borderId="3" xfId="0" applyFont="1" applyFill="1" applyBorder="1"/>
    <xf numFmtId="43" fontId="47" fillId="12" borderId="3" xfId="0" applyNumberFormat="1" applyFont="1" applyFill="1" applyBorder="1"/>
    <xf numFmtId="0" fontId="47" fillId="12" borderId="3" xfId="0" applyFont="1" applyFill="1" applyBorder="1" applyAlignment="1">
      <alignment horizontal="center"/>
    </xf>
    <xf numFmtId="43" fontId="47" fillId="12" borderId="3" xfId="0" applyNumberFormat="1" applyFont="1" applyFill="1" applyBorder="1" applyAlignment="1">
      <alignment horizontal="center"/>
    </xf>
    <xf numFmtId="43" fontId="59" fillId="12" borderId="3" xfId="0" applyNumberFormat="1" applyFont="1" applyFill="1" applyBorder="1"/>
    <xf numFmtId="43" fontId="59" fillId="12" borderId="3" xfId="2" applyNumberFormat="1" applyFont="1" applyFill="1" applyBorder="1"/>
    <xf numFmtId="9" fontId="59" fillId="12" borderId="3" xfId="2" applyFont="1" applyFill="1" applyBorder="1"/>
    <xf numFmtId="43" fontId="0" fillId="0" borderId="3" xfId="0" applyNumberFormat="1" applyBorder="1"/>
    <xf numFmtId="43" fontId="3" fillId="0" borderId="3" xfId="0" applyNumberFormat="1" applyFont="1" applyBorder="1"/>
    <xf numFmtId="43" fontId="59" fillId="3" borderId="3" xfId="0" applyNumberFormat="1" applyFont="1" applyFill="1" applyBorder="1"/>
    <xf numFmtId="43" fontId="0" fillId="3" borderId="3" xfId="0" applyNumberFormat="1" applyFill="1" applyBorder="1"/>
    <xf numFmtId="164" fontId="40" fillId="3" borderId="3" xfId="1" applyNumberFormat="1" applyFont="1" applyFill="1" applyBorder="1"/>
    <xf numFmtId="43" fontId="28" fillId="3" borderId="6" xfId="1" applyNumberFormat="1" applyFont="1" applyFill="1" applyBorder="1" applyAlignment="1"/>
    <xf numFmtId="43" fontId="28" fillId="3" borderId="3" xfId="0" applyNumberFormat="1" applyFont="1" applyFill="1" applyBorder="1"/>
    <xf numFmtId="43" fontId="28" fillId="3" borderId="3" xfId="1" applyNumberFormat="1" applyFont="1" applyFill="1" applyBorder="1" applyAlignment="1"/>
    <xf numFmtId="164" fontId="70" fillId="3" borderId="3" xfId="1" applyNumberFormat="1" applyFont="1" applyFill="1" applyBorder="1" applyAlignment="1">
      <alignment horizontal="center"/>
    </xf>
    <xf numFmtId="43" fontId="59" fillId="3" borderId="3" xfId="1" applyNumberFormat="1" applyFont="1" applyFill="1" applyBorder="1" applyAlignment="1">
      <alignment horizontal="center"/>
    </xf>
    <xf numFmtId="43" fontId="59" fillId="3" borderId="3" xfId="1" applyNumberFormat="1" applyFont="1" applyFill="1" applyBorder="1" applyAlignment="1">
      <alignment horizontal="left"/>
    </xf>
    <xf numFmtId="43" fontId="59" fillId="3" borderId="3" xfId="0" applyNumberFormat="1" applyFont="1" applyFill="1" applyBorder="1" applyAlignment="1">
      <alignment horizontal="center"/>
    </xf>
    <xf numFmtId="0" fontId="59" fillId="3" borderId="3" xfId="0" applyFont="1" applyFill="1" applyBorder="1"/>
    <xf numFmtId="43" fontId="47" fillId="3" borderId="3" xfId="0" applyNumberFormat="1" applyFont="1" applyFill="1" applyBorder="1"/>
    <xf numFmtId="0" fontId="47" fillId="3" borderId="3" xfId="0" applyFont="1" applyFill="1" applyBorder="1" applyAlignment="1">
      <alignment horizontal="center"/>
    </xf>
    <xf numFmtId="43" fontId="25" fillId="3" borderId="3" xfId="1" applyNumberFormat="1" applyFont="1" applyFill="1" applyBorder="1"/>
    <xf numFmtId="43" fontId="47" fillId="3" borderId="3" xfId="0" applyNumberFormat="1" applyFont="1" applyFill="1" applyBorder="1" applyAlignment="1">
      <alignment horizontal="center"/>
    </xf>
    <xf numFmtId="9" fontId="25" fillId="3" borderId="3" xfId="2" applyFont="1" applyFill="1" applyBorder="1"/>
    <xf numFmtId="43" fontId="25" fillId="3" borderId="3" xfId="0" applyNumberFormat="1" applyFont="1" applyFill="1" applyBorder="1"/>
    <xf numFmtId="43" fontId="3" fillId="3" borderId="3" xfId="0" applyNumberFormat="1" applyFont="1" applyFill="1" applyBorder="1"/>
    <xf numFmtId="0" fontId="0" fillId="12" borderId="3" xfId="0" applyFill="1" applyBorder="1"/>
    <xf numFmtId="0" fontId="23" fillId="0" borderId="3" xfId="0" applyFont="1" applyFill="1" applyBorder="1" applyAlignment="1">
      <alignment vertical="center" wrapText="1"/>
    </xf>
    <xf numFmtId="0" fontId="35" fillId="0" borderId="3" xfId="0" applyFont="1" applyBorder="1" applyAlignment="1">
      <alignment horizontal="left" vertical="center" wrapText="1"/>
    </xf>
    <xf numFmtId="0" fontId="55" fillId="0" borderId="3" xfId="0" applyFont="1" applyBorder="1"/>
    <xf numFmtId="164" fontId="35" fillId="3" borderId="3" xfId="1" applyNumberFormat="1" applyFont="1" applyFill="1" applyBorder="1" applyAlignment="1">
      <alignment horizontal="left"/>
    </xf>
    <xf numFmtId="0" fontId="69" fillId="3" borderId="3" xfId="0" applyFont="1" applyFill="1" applyBorder="1"/>
    <xf numFmtId="0" fontId="50" fillId="0" borderId="3" xfId="0" applyFont="1" applyFill="1" applyBorder="1" applyAlignment="1">
      <alignment wrapText="1"/>
    </xf>
    <xf numFmtId="0" fontId="50" fillId="5" borderId="3" xfId="0" applyFont="1" applyFill="1" applyBorder="1" applyAlignment="1"/>
    <xf numFmtId="0" fontId="50" fillId="0" borderId="3" xfId="0" applyFont="1" applyFill="1" applyBorder="1" applyAlignment="1"/>
    <xf numFmtId="0" fontId="50" fillId="14" borderId="3" xfId="0" applyFont="1" applyFill="1" applyBorder="1" applyAlignment="1">
      <alignment vertical="center" wrapText="1"/>
    </xf>
    <xf numFmtId="0" fontId="50" fillId="14" borderId="3" xfId="0" applyFont="1" applyFill="1" applyBorder="1" applyAlignment="1">
      <alignment horizontal="left" vertical="center" wrapText="1"/>
    </xf>
    <xf numFmtId="0" fontId="40" fillId="0" borderId="3" xfId="0" applyFont="1" applyFill="1" applyBorder="1" applyAlignment="1">
      <alignment horizontal="left" vertical="center" wrapText="1"/>
    </xf>
    <xf numFmtId="43" fontId="59" fillId="0" borderId="3" xfId="1" applyFont="1" applyBorder="1" applyAlignment="1">
      <alignment horizontal="right" wrapText="1"/>
    </xf>
    <xf numFmtId="43" fontId="303" fillId="3" borderId="3" xfId="1" applyFont="1" applyFill="1" applyBorder="1" applyAlignment="1">
      <alignment horizontal="right" vertical="top" wrapText="1"/>
    </xf>
    <xf numFmtId="43" fontId="4" fillId="0" borderId="3" xfId="1" applyFont="1" applyBorder="1" applyAlignment="1">
      <alignment horizontal="right" vertical="center" wrapText="1"/>
    </xf>
    <xf numFmtId="43" fontId="4" fillId="0" borderId="3" xfId="1" applyFont="1" applyBorder="1" applyAlignment="1">
      <alignment horizontal="right" wrapText="1"/>
    </xf>
    <xf numFmtId="43" fontId="4" fillId="0" borderId="3" xfId="1" applyNumberFormat="1" applyFont="1" applyFill="1" applyBorder="1" applyAlignment="1">
      <alignment horizontal="right"/>
    </xf>
    <xf numFmtId="43" fontId="28" fillId="0" borderId="3" xfId="1" applyFont="1" applyBorder="1" applyAlignment="1">
      <alignment horizontal="right"/>
    </xf>
    <xf numFmtId="0" fontId="38" fillId="0" borderId="3" xfId="0" applyFont="1" applyBorder="1" applyAlignment="1">
      <alignment horizontal="right"/>
    </xf>
    <xf numFmtId="43" fontId="28" fillId="3" borderId="3" xfId="1" applyFont="1" applyFill="1" applyBorder="1" applyAlignment="1">
      <alignment horizontal="right" vertical="center" wrapText="1"/>
    </xf>
    <xf numFmtId="49" fontId="38" fillId="0" borderId="3" xfId="0" applyNumberFormat="1" applyFont="1" applyBorder="1" applyAlignment="1">
      <alignment horizontal="right"/>
    </xf>
    <xf numFmtId="4" fontId="38" fillId="0" borderId="3" xfId="0" applyNumberFormat="1" applyFont="1" applyBorder="1" applyAlignment="1">
      <alignment horizontal="right"/>
    </xf>
    <xf numFmtId="2" fontId="38" fillId="0" borderId="3" xfId="0" applyNumberFormat="1" applyFont="1" applyBorder="1" applyAlignment="1">
      <alignment horizontal="right"/>
    </xf>
    <xf numFmtId="164" fontId="28" fillId="0" borderId="3" xfId="1" applyNumberFormat="1" applyFont="1" applyBorder="1" applyAlignment="1">
      <alignment horizontal="right"/>
    </xf>
    <xf numFmtId="43" fontId="28" fillId="13" borderId="3" xfId="1" applyFont="1" applyFill="1" applyBorder="1" applyAlignment="1">
      <alignment horizontal="right"/>
    </xf>
    <xf numFmtId="4" fontId="38" fillId="0" borderId="3" xfId="0" applyNumberFormat="1" applyFont="1" applyBorder="1" applyAlignment="1">
      <alignment horizontal="right" wrapText="1"/>
    </xf>
    <xf numFmtId="43" fontId="4" fillId="0" borderId="3" xfId="1" applyFont="1" applyBorder="1" applyAlignment="1">
      <alignment horizontal="right"/>
    </xf>
    <xf numFmtId="43" fontId="4" fillId="3" borderId="3" xfId="1" applyFont="1" applyFill="1" applyBorder="1" applyAlignment="1">
      <alignment horizontal="right" vertical="center" wrapText="1"/>
    </xf>
    <xf numFmtId="43" fontId="295" fillId="0" borderId="3" xfId="1" applyFont="1" applyFill="1" applyBorder="1" applyAlignment="1">
      <alignment horizontal="right"/>
    </xf>
    <xf numFmtId="43" fontId="4" fillId="3" borderId="3" xfId="1" applyFont="1" applyFill="1" applyBorder="1" applyAlignment="1">
      <alignment horizontal="right"/>
    </xf>
    <xf numFmtId="4" fontId="1" fillId="0" borderId="3" xfId="0" applyNumberFormat="1" applyFont="1" applyBorder="1" applyAlignment="1">
      <alignment horizontal="right" vertical="center"/>
    </xf>
    <xf numFmtId="4" fontId="254" fillId="0" borderId="3" xfId="0" applyNumberFormat="1" applyFont="1" applyBorder="1" applyAlignment="1">
      <alignment horizontal="right"/>
    </xf>
    <xf numFmtId="43" fontId="28" fillId="0" borderId="3" xfId="1" applyFont="1" applyBorder="1" applyAlignment="1">
      <alignment horizontal="right" vertical="center"/>
    </xf>
    <xf numFmtId="43" fontId="28" fillId="0" borderId="3" xfId="1" applyFont="1" applyBorder="1" applyAlignment="1">
      <alignment horizontal="right" vertical="center" wrapText="1"/>
    </xf>
    <xf numFmtId="4" fontId="304" fillId="3" borderId="3" xfId="0" applyNumberFormat="1" applyFont="1" applyFill="1" applyBorder="1" applyAlignment="1">
      <alignment horizontal="right"/>
    </xf>
    <xf numFmtId="43" fontId="304" fillId="3" borderId="3" xfId="1" applyFont="1" applyFill="1" applyBorder="1" applyAlignment="1">
      <alignment horizontal="right"/>
    </xf>
    <xf numFmtId="43" fontId="75" fillId="0" borderId="3" xfId="1" applyFont="1" applyBorder="1" applyAlignment="1">
      <alignment horizontal="right"/>
    </xf>
    <xf numFmtId="43" fontId="28" fillId="3" borderId="3" xfId="1" applyFont="1" applyFill="1" applyBorder="1" applyAlignment="1">
      <alignment horizontal="right" vertical="top" wrapText="1"/>
    </xf>
    <xf numFmtId="0" fontId="1" fillId="0" borderId="3" xfId="0" applyFont="1" applyBorder="1" applyAlignment="1">
      <alignment horizontal="right"/>
    </xf>
    <xf numFmtId="43" fontId="28" fillId="3" borderId="3" xfId="1" applyFont="1" applyFill="1" applyBorder="1" applyAlignment="1">
      <alignment horizontal="right"/>
    </xf>
    <xf numFmtId="4" fontId="30" fillId="0" borderId="3" xfId="0" applyNumberFormat="1" applyFont="1" applyBorder="1" applyAlignment="1">
      <alignment horizontal="right" vertical="center" wrapText="1"/>
    </xf>
    <xf numFmtId="43" fontId="53" fillId="3" borderId="3" xfId="1" applyFont="1" applyFill="1" applyBorder="1" applyAlignment="1">
      <alignment horizontal="right" vertical="center"/>
    </xf>
    <xf numFmtId="43" fontId="4" fillId="0" borderId="3" xfId="1" applyFont="1" applyBorder="1" applyAlignment="1">
      <alignment horizontal="right" vertical="center"/>
    </xf>
    <xf numFmtId="43" fontId="295" fillId="3" borderId="3" xfId="1" applyFont="1" applyFill="1" applyBorder="1" applyAlignment="1">
      <alignment horizontal="right" vertical="center" wrapText="1"/>
    </xf>
    <xf numFmtId="43" fontId="4" fillId="3" borderId="3" xfId="1" applyFont="1" applyFill="1" applyBorder="1" applyAlignment="1">
      <alignment horizontal="right" vertical="center"/>
    </xf>
    <xf numFmtId="43" fontId="4" fillId="0" borderId="3" xfId="1" applyFont="1" applyFill="1" applyBorder="1" applyAlignment="1">
      <alignment horizontal="right" vertical="center"/>
    </xf>
    <xf numFmtId="43" fontId="305" fillId="0" borderId="3" xfId="1" applyFont="1" applyBorder="1" applyAlignment="1">
      <alignment horizontal="right"/>
    </xf>
    <xf numFmtId="49" fontId="300" fillId="0" borderId="3" xfId="1" applyNumberFormat="1" applyFont="1" applyBorder="1" applyAlignment="1">
      <alignment horizontal="right"/>
    </xf>
    <xf numFmtId="49" fontId="300" fillId="3" borderId="3" xfId="1" applyNumberFormat="1" applyFont="1" applyFill="1" applyBorder="1" applyAlignment="1">
      <alignment horizontal="right"/>
    </xf>
    <xf numFmtId="43" fontId="59" fillId="0" borderId="3" xfId="1" applyFont="1" applyBorder="1" applyAlignment="1">
      <alignment horizontal="right"/>
    </xf>
    <xf numFmtId="43" fontId="301" fillId="0" borderId="3" xfId="1" applyFont="1" applyBorder="1" applyAlignment="1">
      <alignment horizontal="right"/>
    </xf>
    <xf numFmtId="43" fontId="301" fillId="3" borderId="3" xfId="1" applyFont="1" applyFill="1" applyBorder="1" applyAlignment="1">
      <alignment horizontal="right"/>
    </xf>
    <xf numFmtId="49" fontId="59" fillId="3" borderId="3" xfId="1" applyNumberFormat="1" applyFont="1" applyFill="1" applyBorder="1" applyAlignment="1">
      <alignment horizontal="right"/>
    </xf>
    <xf numFmtId="43" fontId="302" fillId="3" borderId="3" xfId="1" applyFont="1" applyFill="1" applyBorder="1" applyAlignment="1">
      <alignment horizontal="right"/>
    </xf>
    <xf numFmtId="43" fontId="302" fillId="0" borderId="3" xfId="1" applyFont="1" applyBorder="1" applyAlignment="1">
      <alignment horizontal="right"/>
    </xf>
    <xf numFmtId="43" fontId="1" fillId="0" borderId="3" xfId="1" applyFont="1" applyBorder="1" applyAlignment="1">
      <alignment horizontal="right"/>
    </xf>
    <xf numFmtId="0" fontId="306" fillId="0" borderId="3" xfId="0" applyFont="1" applyBorder="1" applyAlignment="1">
      <alignment horizontal="right" vertical="center"/>
    </xf>
    <xf numFmtId="43" fontId="28" fillId="0" borderId="3" xfId="1" applyFont="1" applyBorder="1" applyAlignment="1">
      <alignment horizontal="right" vertical="top" wrapText="1"/>
    </xf>
    <xf numFmtId="3" fontId="295" fillId="0" borderId="3" xfId="0" applyNumberFormat="1" applyFont="1" applyBorder="1" applyAlignment="1">
      <alignment horizontal="right"/>
    </xf>
    <xf numFmtId="0" fontId="304" fillId="3" borderId="3" xfId="0" applyFont="1" applyFill="1" applyBorder="1" applyAlignment="1">
      <alignment horizontal="right"/>
    </xf>
    <xf numFmtId="43" fontId="22" fillId="3" borderId="3" xfId="1" applyFont="1" applyFill="1" applyBorder="1" applyAlignment="1">
      <alignment horizontal="right" textRotation="90"/>
    </xf>
    <xf numFmtId="49" fontId="28" fillId="0" borderId="3" xfId="1" applyNumberFormat="1" applyFont="1" applyBorder="1" applyAlignment="1">
      <alignment horizontal="right"/>
    </xf>
    <xf numFmtId="0" fontId="158" fillId="3" borderId="3" xfId="0" applyFont="1" applyFill="1" applyBorder="1" applyAlignment="1">
      <alignment horizontal="right" vertical="center" wrapText="1"/>
    </xf>
    <xf numFmtId="43" fontId="28" fillId="3" borderId="3" xfId="1" applyFont="1" applyFill="1" applyBorder="1" applyAlignment="1">
      <alignment horizontal="right" wrapText="1"/>
    </xf>
    <xf numFmtId="4" fontId="304" fillId="14" borderId="0" xfId="0" applyNumberFormat="1" applyFont="1" applyFill="1" applyAlignment="1">
      <alignment horizontal="right"/>
    </xf>
    <xf numFmtId="0" fontId="304" fillId="14" borderId="0" xfId="0" applyFont="1" applyFill="1" applyAlignment="1">
      <alignment horizontal="right"/>
    </xf>
    <xf numFmtId="43" fontId="299" fillId="0" borderId="5" xfId="1" applyFont="1" applyBorder="1" applyAlignment="1" applyProtection="1">
      <alignment horizontal="right"/>
    </xf>
    <xf numFmtId="43" fontId="299" fillId="0" borderId="3" xfId="1" applyFont="1" applyBorder="1" applyAlignment="1" applyProtection="1">
      <alignment horizontal="right"/>
    </xf>
    <xf numFmtId="43" fontId="22" fillId="0" borderId="5" xfId="1" applyFont="1" applyBorder="1" applyAlignment="1">
      <alignment horizontal="right"/>
    </xf>
    <xf numFmtId="43" fontId="28" fillId="0" borderId="5" xfId="1" applyFont="1" applyBorder="1" applyAlignment="1">
      <alignment horizontal="right"/>
    </xf>
    <xf numFmtId="4" fontId="38" fillId="0" borderId="0" xfId="0" applyNumberFormat="1" applyFont="1" applyAlignment="1">
      <alignment horizontal="right"/>
    </xf>
    <xf numFmtId="0" fontId="54" fillId="0" borderId="3" xfId="0" applyFont="1" applyBorder="1" applyAlignment="1">
      <alignment horizontal="right"/>
    </xf>
    <xf numFmtId="0" fontId="54" fillId="0" borderId="0" xfId="0" applyFont="1" applyAlignment="1">
      <alignment horizontal="right"/>
    </xf>
    <xf numFmtId="168" fontId="3" fillId="0" borderId="3" xfId="0" applyNumberFormat="1" applyFont="1" applyBorder="1"/>
    <xf numFmtId="1" fontId="28" fillId="3" borderId="3" xfId="0" applyNumberFormat="1" applyFont="1" applyFill="1" applyBorder="1" applyAlignment="1">
      <alignment vertical="center"/>
    </xf>
    <xf numFmtId="0" fontId="55" fillId="0" borderId="3" xfId="0" applyFont="1" applyBorder="1" applyAlignment="1">
      <alignment horizontal="left"/>
    </xf>
    <xf numFmtId="0" fontId="7" fillId="5" borderId="3" xfId="0" applyFont="1" applyFill="1" applyBorder="1" applyAlignment="1">
      <alignment horizontal="center" wrapText="1"/>
    </xf>
    <xf numFmtId="0" fontId="7" fillId="5" borderId="5" xfId="0" applyNumberFormat="1" applyFont="1" applyFill="1" applyBorder="1" applyAlignment="1">
      <alignment horizontal="center"/>
    </xf>
    <xf numFmtId="0" fontId="28" fillId="0" borderId="0" xfId="0" applyFont="1" applyAlignment="1">
      <alignment horizontal="center"/>
    </xf>
    <xf numFmtId="0" fontId="46" fillId="0" borderId="3" xfId="0" applyFont="1" applyBorder="1" applyAlignment="1">
      <alignment horizontal="left" vertical="center"/>
    </xf>
    <xf numFmtId="0" fontId="28" fillId="0" borderId="3" xfId="0" applyFont="1" applyBorder="1" applyAlignment="1">
      <alignment horizontal="center" vertical="center" wrapText="1"/>
    </xf>
    <xf numFmtId="0" fontId="67" fillId="3" borderId="3" xfId="0" applyNumberFormat="1" applyFont="1" applyFill="1" applyBorder="1" applyAlignment="1">
      <alignment vertical="center"/>
    </xf>
    <xf numFmtId="1" fontId="26" fillId="3" borderId="3" xfId="0" applyNumberFormat="1" applyFont="1" applyFill="1" applyBorder="1" applyAlignment="1"/>
    <xf numFmtId="0" fontId="43" fillId="3" borderId="3" xfId="0" applyFont="1" applyFill="1" applyBorder="1" applyAlignment="1">
      <alignment vertical="center" wrapText="1"/>
    </xf>
    <xf numFmtId="0" fontId="67" fillId="3" borderId="2" xfId="0" applyNumberFormat="1" applyFont="1" applyFill="1" applyBorder="1" applyAlignment="1">
      <alignment vertical="center"/>
    </xf>
    <xf numFmtId="0" fontId="77" fillId="3" borderId="2" xfId="0" applyFont="1" applyFill="1" applyBorder="1" applyAlignment="1">
      <alignment horizontal="left" vertical="center"/>
    </xf>
    <xf numFmtId="0" fontId="67" fillId="3" borderId="9" xfId="0" applyNumberFormat="1" applyFont="1" applyFill="1" applyBorder="1" applyAlignment="1">
      <alignment vertical="center"/>
    </xf>
    <xf numFmtId="0" fontId="43" fillId="3" borderId="3" xfId="0" applyFont="1" applyFill="1" applyBorder="1" applyAlignment="1">
      <alignment horizontal="left" vertical="center" wrapText="1"/>
    </xf>
    <xf numFmtId="0" fontId="26" fillId="3" borderId="3" xfId="0" applyFont="1" applyFill="1" applyBorder="1" applyAlignment="1">
      <alignment vertical="center" wrapText="1"/>
    </xf>
    <xf numFmtId="0" fontId="77" fillId="3" borderId="3" xfId="0" applyFont="1" applyFill="1" applyBorder="1" applyAlignment="1">
      <alignment horizontal="left" vertical="center" wrapText="1"/>
    </xf>
    <xf numFmtId="0" fontId="67" fillId="3" borderId="6" xfId="0" applyNumberFormat="1" applyFont="1" applyFill="1" applyBorder="1" applyAlignment="1">
      <alignment vertical="center"/>
    </xf>
    <xf numFmtId="0" fontId="73" fillId="3" borderId="3" xfId="0" applyFont="1" applyFill="1" applyBorder="1" applyAlignment="1">
      <alignment horizontal="left" vertical="center"/>
    </xf>
    <xf numFmtId="43" fontId="72" fillId="3" borderId="3" xfId="1" applyFont="1" applyFill="1" applyBorder="1" applyAlignment="1">
      <alignment horizontal="left" vertical="center"/>
    </xf>
    <xf numFmtId="43" fontId="40" fillId="3" borderId="3" xfId="1" applyFont="1" applyFill="1" applyBorder="1" applyAlignment="1">
      <alignment vertical="center"/>
    </xf>
    <xf numFmtId="0" fontId="69" fillId="3" borderId="2" xfId="0" applyFont="1" applyFill="1" applyBorder="1" applyAlignment="1">
      <alignment horizontal="left" vertical="center"/>
    </xf>
    <xf numFmtId="0" fontId="55" fillId="3" borderId="3" xfId="0" applyFont="1" applyFill="1" applyBorder="1" applyAlignment="1">
      <alignment horizontal="left" vertical="center"/>
    </xf>
    <xf numFmtId="43" fontId="70" fillId="3" borderId="3" xfId="1" applyFont="1" applyFill="1" applyBorder="1" applyAlignment="1">
      <alignment horizontal="left" vertical="center"/>
    </xf>
    <xf numFmtId="43" fontId="70" fillId="3" borderId="3" xfId="1" applyFont="1" applyFill="1" applyBorder="1" applyAlignment="1">
      <alignment horizontal="justify" vertical="center" wrapText="1"/>
    </xf>
    <xf numFmtId="0" fontId="69" fillId="3" borderId="3" xfId="0" applyFont="1" applyFill="1" applyBorder="1" applyAlignment="1">
      <alignment vertical="center"/>
    </xf>
    <xf numFmtId="0" fontId="86" fillId="3" borderId="3" xfId="0" applyFont="1" applyFill="1" applyBorder="1" applyAlignment="1">
      <alignment horizontal="left" vertical="center" wrapText="1"/>
    </xf>
    <xf numFmtId="43" fontId="86" fillId="3" borderId="3" xfId="1" applyFont="1" applyFill="1" applyBorder="1" applyAlignment="1">
      <alignment vertical="center"/>
    </xf>
    <xf numFmtId="0" fontId="28" fillId="0" borderId="3" xfId="0" applyFont="1" applyBorder="1" applyAlignment="1">
      <alignment horizontal="center" vertical="center" wrapText="1"/>
    </xf>
    <xf numFmtId="0" fontId="27" fillId="0" borderId="2" xfId="0" applyFont="1" applyBorder="1" applyAlignment="1">
      <alignment horizontal="center" vertical="center"/>
    </xf>
    <xf numFmtId="0" fontId="27" fillId="0" borderId="6" xfId="0" applyFont="1" applyBorder="1" applyAlignment="1">
      <alignment horizontal="center" vertical="center"/>
    </xf>
    <xf numFmtId="0" fontId="27" fillId="13" borderId="3" xfId="0" applyFont="1" applyFill="1" applyBorder="1" applyAlignment="1">
      <alignment horizontal="left" vertical="center" wrapText="1" indent="1"/>
    </xf>
    <xf numFmtId="0" fontId="27" fillId="13" borderId="3" xfId="0" applyFont="1" applyFill="1" applyBorder="1" applyAlignment="1">
      <alignment vertical="center"/>
    </xf>
    <xf numFmtId="1" fontId="28" fillId="13" borderId="3" xfId="0" applyNumberFormat="1" applyFont="1" applyFill="1" applyBorder="1" applyAlignment="1"/>
    <xf numFmtId="0" fontId="134" fillId="13" borderId="3" xfId="0" applyFont="1" applyFill="1" applyBorder="1" applyAlignment="1">
      <alignment horizontal="center" vertical="center" wrapText="1"/>
    </xf>
    <xf numFmtId="0" fontId="28" fillId="13" borderId="3" xfId="0" applyFont="1" applyFill="1" applyBorder="1" applyAlignment="1">
      <alignment vertical="center" wrapText="1"/>
    </xf>
    <xf numFmtId="0" fontId="4" fillId="3" borderId="3" xfId="0" applyFont="1" applyFill="1" applyBorder="1" applyAlignment="1">
      <alignment vertical="top" wrapText="1"/>
    </xf>
    <xf numFmtId="0" fontId="27" fillId="0" borderId="14" xfId="0" applyFont="1" applyFill="1" applyBorder="1" applyAlignment="1">
      <alignment horizontal="left" vertical="center" wrapText="1" indent="1"/>
    </xf>
    <xf numFmtId="0" fontId="27" fillId="0" borderId="4" xfId="0" applyFont="1" applyBorder="1" applyAlignment="1">
      <alignment vertical="center"/>
    </xf>
    <xf numFmtId="1" fontId="307" fillId="0" borderId="3" xfId="0" applyNumberFormat="1" applyFont="1" applyBorder="1" applyAlignment="1">
      <alignment horizontal="center" vertical="center"/>
    </xf>
    <xf numFmtId="0" fontId="50" fillId="0" borderId="3" xfId="0" applyFont="1" applyBorder="1" applyAlignment="1">
      <alignment vertical="top" wrapText="1"/>
    </xf>
    <xf numFmtId="43" fontId="40" fillId="0" borderId="3" xfId="1" applyFont="1" applyBorder="1" applyAlignment="1">
      <alignment horizontal="center" vertical="center"/>
    </xf>
    <xf numFmtId="0" fontId="125" fillId="0" borderId="3" xfId="0" applyFont="1" applyBorder="1" applyAlignment="1">
      <alignment horizontal="center" vertical="center" wrapText="1"/>
    </xf>
    <xf numFmtId="43" fontId="35" fillId="0" borderId="3" xfId="1" applyFont="1" applyBorder="1" applyAlignment="1">
      <alignment horizontal="center" vertical="center"/>
    </xf>
    <xf numFmtId="43" fontId="28" fillId="0" borderId="3" xfId="1" applyFont="1" applyBorder="1" applyAlignment="1">
      <alignment horizontal="center"/>
    </xf>
    <xf numFmtId="0" fontId="141" fillId="0" borderId="3" xfId="0" applyFont="1" applyBorder="1" applyAlignment="1">
      <alignment horizontal="center" vertical="center" wrapText="1"/>
    </xf>
    <xf numFmtId="0" fontId="26" fillId="0" borderId="3" xfId="0" applyFont="1" applyBorder="1" applyAlignment="1">
      <alignment horizontal="center" vertical="center" wrapText="1"/>
    </xf>
    <xf numFmtId="1" fontId="26" fillId="0" borderId="3" xfId="0" applyNumberFormat="1" applyFont="1" applyBorder="1" applyAlignment="1">
      <alignment horizontal="center" vertical="center"/>
    </xf>
    <xf numFmtId="0" fontId="136" fillId="0" borderId="3" xfId="0" applyFont="1" applyBorder="1" applyAlignment="1">
      <alignment horizontal="left" vertical="center" wrapText="1"/>
    </xf>
    <xf numFmtId="1" fontId="35" fillId="0" borderId="3" xfId="0" applyNumberFormat="1" applyFont="1" applyBorder="1" applyAlignment="1">
      <alignment horizontal="center" vertical="center" wrapText="1"/>
    </xf>
    <xf numFmtId="43" fontId="59" fillId="0" borderId="3" xfId="1" applyFont="1" applyBorder="1" applyAlignment="1">
      <alignment wrapText="1"/>
    </xf>
    <xf numFmtId="43" fontId="59" fillId="0" borderId="3" xfId="1" applyFont="1" applyBorder="1" applyAlignment="1">
      <alignment horizontal="left" vertical="center"/>
    </xf>
    <xf numFmtId="0" fontId="59" fillId="0" borderId="3" xfId="0" applyFont="1" applyBorder="1"/>
    <xf numFmtId="43" fontId="59" fillId="0" borderId="6" xfId="1" applyFont="1" applyBorder="1" applyAlignment="1">
      <alignment horizontal="center"/>
    </xf>
    <xf numFmtId="0" fontId="59" fillId="0" borderId="4" xfId="0" applyFont="1" applyBorder="1" applyAlignment="1">
      <alignment vertical="center"/>
    </xf>
    <xf numFmtId="1" fontId="59" fillId="0" borderId="3" xfId="0" applyNumberFormat="1" applyFont="1" applyBorder="1" applyAlignment="1">
      <alignment horizontal="center" vertical="center"/>
    </xf>
    <xf numFmtId="0" fontId="59" fillId="0" borderId="4" xfId="0" applyFont="1" applyBorder="1" applyAlignment="1">
      <alignment horizontal="center" vertical="center"/>
    </xf>
    <xf numFmtId="0" fontId="59" fillId="0" borderId="3" xfId="0" applyFont="1" applyBorder="1" applyAlignment="1">
      <alignment horizontal="center" vertical="center" wrapText="1"/>
    </xf>
    <xf numFmtId="0" fontId="59" fillId="0" borderId="3" xfId="1" applyNumberFormat="1" applyFont="1" applyBorder="1" applyAlignment="1">
      <alignment horizontal="left" vertical="center"/>
    </xf>
    <xf numFmtId="0" fontId="59" fillId="0" borderId="3" xfId="0" applyFont="1" applyBorder="1" applyAlignment="1">
      <alignment horizontal="left" vertical="top" wrapText="1"/>
    </xf>
    <xf numFmtId="43" fontId="59" fillId="0" borderId="3" xfId="1" applyFont="1" applyBorder="1" applyAlignment="1">
      <alignment horizontal="left" vertical="center" wrapText="1"/>
    </xf>
    <xf numFmtId="0" fontId="59" fillId="0" borderId="2" xfId="0" applyFont="1" applyBorder="1" applyAlignment="1">
      <alignment horizontal="left" vertical="center" wrapText="1"/>
    </xf>
    <xf numFmtId="0" fontId="59" fillId="0" borderId="3" xfId="0" applyFont="1" applyBorder="1" applyAlignment="1">
      <alignment horizontal="left" vertical="center" wrapText="1"/>
    </xf>
    <xf numFmtId="0" fontId="46" fillId="0" borderId="4" xfId="0" applyFont="1" applyBorder="1" applyAlignment="1">
      <alignment horizontal="left" vertical="center"/>
    </xf>
    <xf numFmtId="1" fontId="28" fillId="0" borderId="3" xfId="0" applyNumberFormat="1" applyFont="1" applyBorder="1" applyAlignment="1">
      <alignment horizontal="left"/>
    </xf>
    <xf numFmtId="43" fontId="28" fillId="0" borderId="3" xfId="1" applyFont="1" applyBorder="1" applyAlignment="1">
      <alignment horizontal="left"/>
    </xf>
    <xf numFmtId="43" fontId="28" fillId="0" borderId="3" xfId="1" applyFont="1" applyBorder="1" applyAlignment="1">
      <alignment horizontal="left" vertical="center" wrapText="1"/>
    </xf>
    <xf numFmtId="43" fontId="28" fillId="0" borderId="5" xfId="1" applyFont="1" applyBorder="1" applyAlignment="1">
      <alignment horizontal="center" wrapText="1"/>
    </xf>
    <xf numFmtId="43" fontId="28" fillId="0" borderId="3" xfId="1" applyFont="1" applyBorder="1" applyAlignment="1">
      <alignment horizontal="center" wrapText="1"/>
    </xf>
    <xf numFmtId="0" fontId="108" fillId="0" borderId="0" xfId="0" applyFont="1" applyAlignment="1">
      <alignment vertical="top" wrapText="1"/>
    </xf>
    <xf numFmtId="4" fontId="40" fillId="0" borderId="0" xfId="0" applyNumberFormat="1" applyFont="1"/>
    <xf numFmtId="0" fontId="28" fillId="0" borderId="3" xfId="0" applyFont="1" applyBorder="1"/>
    <xf numFmtId="0" fontId="39" fillId="0" borderId="3" xfId="0" applyFont="1" applyBorder="1"/>
    <xf numFmtId="2" fontId="40" fillId="0" borderId="3" xfId="0" applyNumberFormat="1" applyFont="1" applyBorder="1"/>
    <xf numFmtId="3" fontId="39" fillId="0" borderId="5" xfId="1" applyNumberFormat="1" applyFont="1" applyBorder="1" applyAlignment="1"/>
    <xf numFmtId="0" fontId="136" fillId="0" borderId="3" xfId="0" applyFont="1" applyFill="1" applyBorder="1" applyAlignment="1">
      <alignment vertical="center" wrapText="1"/>
    </xf>
    <xf numFmtId="0" fontId="108" fillId="0" borderId="3" xfId="0" applyFont="1" applyBorder="1" applyAlignment="1">
      <alignment horizontal="center" vertical="top" wrapText="1"/>
    </xf>
    <xf numFmtId="0" fontId="308" fillId="3" borderId="4" xfId="0" applyFont="1" applyFill="1" applyBorder="1" applyAlignment="1">
      <alignment vertical="center"/>
    </xf>
    <xf numFmtId="1" fontId="94" fillId="3" borderId="3" xfId="0" applyNumberFormat="1" applyFont="1" applyFill="1" applyBorder="1" applyAlignment="1"/>
    <xf numFmtId="43" fontId="94" fillId="3" borderId="3" xfId="1" applyFont="1" applyFill="1" applyBorder="1" applyAlignment="1">
      <alignment horizontal="right" vertical="center" wrapText="1"/>
    </xf>
    <xf numFmtId="4" fontId="108" fillId="0" borderId="3" xfId="0" applyNumberFormat="1" applyFont="1" applyBorder="1" applyAlignment="1">
      <alignment vertical="top" wrapText="1"/>
    </xf>
    <xf numFmtId="0" fontId="94" fillId="3" borderId="3" xfId="0" applyFont="1" applyFill="1" applyBorder="1" applyAlignment="1">
      <alignment vertical="center" wrapText="1"/>
    </xf>
    <xf numFmtId="0" fontId="308" fillId="0" borderId="4" xfId="0" applyFont="1" applyBorder="1" applyAlignment="1">
      <alignment vertical="center"/>
    </xf>
    <xf numFmtId="43" fontId="94" fillId="0" borderId="3" xfId="1" applyFont="1" applyBorder="1" applyAlignment="1">
      <alignment vertical="center" wrapText="1"/>
    </xf>
    <xf numFmtId="1" fontId="94" fillId="0" borderId="3" xfId="0" applyNumberFormat="1" applyFont="1" applyBorder="1" applyAlignment="1">
      <alignment horizontal="center"/>
    </xf>
    <xf numFmtId="43" fontId="28" fillId="0" borderId="5" xfId="1" applyFont="1" applyBorder="1" applyAlignment="1">
      <alignment wrapText="1"/>
    </xf>
    <xf numFmtId="43" fontId="40" fillId="0" borderId="3" xfId="1" applyFont="1" applyBorder="1" applyAlignment="1">
      <alignment horizontal="left" wrapText="1"/>
    </xf>
    <xf numFmtId="4" fontId="235" fillId="3" borderId="3" xfId="0" applyNumberFormat="1" applyFont="1" applyFill="1" applyBorder="1" applyAlignment="1">
      <alignment vertical="top"/>
    </xf>
    <xf numFmtId="0" fontId="155" fillId="3" borderId="3" xfId="0" applyFont="1" applyFill="1" applyBorder="1" applyAlignment="1">
      <alignment vertical="center" wrapText="1"/>
    </xf>
    <xf numFmtId="3" fontId="294" fillId="3" borderId="3" xfId="0" applyNumberFormat="1" applyFont="1" applyFill="1" applyBorder="1" applyAlignment="1">
      <alignment horizontal="center" vertical="center"/>
    </xf>
    <xf numFmtId="0" fontId="50" fillId="13" borderId="3" xfId="0" applyFont="1" applyFill="1" applyBorder="1" applyAlignment="1">
      <alignment vertical="center" wrapText="1"/>
    </xf>
    <xf numFmtId="0" fontId="50" fillId="13" borderId="3" xfId="0" applyFont="1" applyFill="1" applyBorder="1" applyAlignment="1"/>
    <xf numFmtId="0" fontId="70" fillId="13" borderId="3" xfId="0" applyFont="1" applyFill="1" applyBorder="1" applyAlignment="1">
      <alignment horizontal="left"/>
    </xf>
    <xf numFmtId="2" fontId="52" fillId="0" borderId="6" xfId="0" applyNumberFormat="1" applyFont="1" applyBorder="1" applyAlignment="1"/>
    <xf numFmtId="43" fontId="205" fillId="0" borderId="5" xfId="1" applyFont="1" applyBorder="1" applyAlignment="1">
      <alignment vertical="top"/>
    </xf>
    <xf numFmtId="43" fontId="209" fillId="0" borderId="3" xfId="1" applyFont="1" applyBorder="1" applyAlignment="1">
      <alignment vertical="top" wrapText="1"/>
    </xf>
    <xf numFmtId="43" fontId="205" fillId="0" borderId="5" xfId="1" applyFont="1" applyBorder="1" applyAlignment="1">
      <alignment vertical="top" wrapText="1"/>
    </xf>
    <xf numFmtId="0" fontId="205" fillId="0" borderId="20" xfId="0" applyFont="1" applyBorder="1" applyAlignment="1">
      <alignment horizontal="center" vertical="top" wrapText="1"/>
    </xf>
    <xf numFmtId="0" fontId="67" fillId="0" borderId="2" xfId="0" applyNumberFormat="1" applyFont="1" applyFill="1" applyBorder="1" applyAlignment="1">
      <alignment horizontal="left" vertical="center"/>
    </xf>
    <xf numFmtId="0" fontId="67" fillId="0" borderId="6" xfId="0" applyNumberFormat="1" applyFont="1" applyFill="1" applyBorder="1" applyAlignment="1">
      <alignment vertical="center"/>
    </xf>
    <xf numFmtId="0" fontId="67" fillId="0" borderId="2" xfId="0" applyNumberFormat="1" applyFont="1" applyFill="1" applyBorder="1" applyAlignment="1">
      <alignment horizontal="center" vertical="center"/>
    </xf>
    <xf numFmtId="0" fontId="67" fillId="0" borderId="6" xfId="0" applyNumberFormat="1" applyFont="1" applyFill="1" applyBorder="1" applyAlignment="1">
      <alignment horizontal="center" vertical="center"/>
    </xf>
    <xf numFmtId="0" fontId="67" fillId="0" borderId="9" xfId="0" applyNumberFormat="1" applyFont="1" applyFill="1" applyBorder="1" applyAlignment="1">
      <alignment horizontal="center" vertical="center"/>
    </xf>
    <xf numFmtId="0" fontId="67" fillId="3" borderId="2" xfId="0" applyNumberFormat="1" applyFont="1" applyFill="1" applyBorder="1" applyAlignment="1">
      <alignment horizontal="center" vertical="center"/>
    </xf>
    <xf numFmtId="0" fontId="67" fillId="3" borderId="9" xfId="0" applyNumberFormat="1" applyFont="1" applyFill="1" applyBorder="1" applyAlignment="1">
      <alignment horizontal="center" vertical="center"/>
    </xf>
    <xf numFmtId="0" fontId="67" fillId="3" borderId="6" xfId="0" applyNumberFormat="1" applyFont="1" applyFill="1" applyBorder="1" applyAlignment="1">
      <alignment horizontal="center" vertical="center"/>
    </xf>
    <xf numFmtId="0" fontId="67" fillId="0" borderId="6" xfId="0" applyNumberFormat="1" applyFont="1" applyFill="1" applyBorder="1" applyAlignment="1">
      <alignment horizontal="left" vertical="center"/>
    </xf>
    <xf numFmtId="0" fontId="67" fillId="0" borderId="9" xfId="0" applyNumberFormat="1" applyFont="1" applyFill="1" applyBorder="1" applyAlignment="1">
      <alignment vertical="center"/>
    </xf>
    <xf numFmtId="0" fontId="67" fillId="0" borderId="2" xfId="0" applyNumberFormat="1" applyFont="1" applyFill="1" applyBorder="1" applyAlignment="1">
      <alignment vertical="center"/>
    </xf>
    <xf numFmtId="0" fontId="67" fillId="0" borderId="9" xfId="0" applyNumberFormat="1" applyFont="1" applyFill="1" applyBorder="1" applyAlignment="1">
      <alignment horizontal="left" vertical="center"/>
    </xf>
    <xf numFmtId="0" fontId="288" fillId="0" borderId="6" xfId="0" applyFont="1" applyBorder="1" applyAlignment="1">
      <alignment vertical="center"/>
    </xf>
    <xf numFmtId="0" fontId="27" fillId="0" borderId="2" xfId="0" applyFont="1" applyBorder="1" applyAlignment="1">
      <alignment vertical="center"/>
    </xf>
    <xf numFmtId="43" fontId="28" fillId="0" borderId="4" xfId="1" applyFont="1" applyBorder="1" applyAlignment="1">
      <alignment vertical="center"/>
    </xf>
    <xf numFmtId="0" fontId="78" fillId="13" borderId="4" xfId="0" applyNumberFormat="1" applyFont="1" applyFill="1" applyBorder="1" applyAlignment="1">
      <alignment horizontal="center"/>
    </xf>
    <xf numFmtId="14" fontId="76" fillId="13" borderId="3" xfId="0" applyNumberFormat="1" applyFont="1" applyFill="1" applyBorder="1" applyAlignment="1">
      <alignment horizontal="center"/>
    </xf>
    <xf numFmtId="0" fontId="83" fillId="13" borderId="5" xfId="0" applyNumberFormat="1" applyFont="1" applyFill="1" applyBorder="1" applyAlignment="1">
      <alignment vertical="center" wrapText="1"/>
    </xf>
    <xf numFmtId="43" fontId="78" fillId="13" borderId="3" xfId="1" applyFont="1" applyFill="1" applyBorder="1" applyAlignment="1"/>
    <xf numFmtId="0" fontId="6" fillId="13" borderId="3" xfId="0" applyFont="1" applyFill="1" applyBorder="1" applyAlignment="1">
      <alignment horizontal="center"/>
    </xf>
    <xf numFmtId="14" fontId="28" fillId="13" borderId="3" xfId="0" applyNumberFormat="1" applyFont="1" applyFill="1" applyBorder="1" applyAlignment="1">
      <alignment horizontal="center"/>
    </xf>
    <xf numFmtId="0" fontId="91" fillId="13" borderId="5" xfId="0" applyNumberFormat="1" applyFont="1" applyFill="1" applyBorder="1" applyAlignment="1">
      <alignment vertical="center" wrapText="1"/>
    </xf>
    <xf numFmtId="43" fontId="73" fillId="13" borderId="3" xfId="1" applyFont="1" applyFill="1" applyBorder="1" applyAlignment="1"/>
    <xf numFmtId="0" fontId="26" fillId="13" borderId="4" xfId="0" applyNumberFormat="1" applyFont="1" applyFill="1" applyBorder="1" applyAlignment="1">
      <alignment horizontal="center" vertical="center"/>
    </xf>
    <xf numFmtId="14" fontId="26" fillId="13" borderId="3" xfId="0" applyNumberFormat="1" applyFont="1" applyFill="1" applyBorder="1" applyAlignment="1">
      <alignment horizontal="center" vertical="center"/>
    </xf>
    <xf numFmtId="0" fontId="72" fillId="13" borderId="5" xfId="0" applyNumberFormat="1" applyFont="1" applyFill="1" applyBorder="1" applyAlignment="1">
      <alignment vertical="center" wrapText="1"/>
    </xf>
    <xf numFmtId="43" fontId="26" fillId="13" borderId="3" xfId="1" applyFont="1" applyFill="1" applyBorder="1" applyAlignment="1">
      <alignment vertical="center"/>
    </xf>
    <xf numFmtId="0" fontId="77" fillId="13" borderId="5" xfId="0" applyNumberFormat="1" applyFont="1" applyFill="1" applyBorder="1" applyAlignment="1">
      <alignment horizontal="left" vertical="center" wrapText="1"/>
    </xf>
    <xf numFmtId="0" fontId="43" fillId="13" borderId="5" xfId="0" applyNumberFormat="1" applyFont="1" applyFill="1" applyBorder="1" applyAlignment="1">
      <alignment horizontal="left" vertical="center" wrapText="1"/>
    </xf>
    <xf numFmtId="1" fontId="26" fillId="13" borderId="4" xfId="0" applyNumberFormat="1" applyFont="1" applyFill="1" applyBorder="1" applyAlignment="1">
      <alignment horizontal="center"/>
    </xf>
    <xf numFmtId="14" fontId="26" fillId="13" borderId="3" xfId="0" applyNumberFormat="1" applyFont="1" applyFill="1" applyBorder="1" applyAlignment="1">
      <alignment horizontal="center"/>
    </xf>
    <xf numFmtId="0" fontId="83" fillId="13" borderId="5" xfId="0" applyFont="1" applyFill="1" applyBorder="1" applyAlignment="1">
      <alignment vertical="top" wrapText="1"/>
    </xf>
    <xf numFmtId="164" fontId="26" fillId="3" borderId="3" xfId="1" applyNumberFormat="1" applyFont="1" applyFill="1" applyBorder="1" applyAlignment="1">
      <alignment horizontal="center"/>
    </xf>
    <xf numFmtId="164" fontId="26" fillId="3" borderId="3" xfId="1" applyNumberFormat="1" applyFont="1" applyFill="1" applyBorder="1" applyAlignment="1">
      <alignment horizontal="center" vertical="center" wrapText="1"/>
    </xf>
    <xf numFmtId="164" fontId="40" fillId="3" borderId="3" xfId="1" applyNumberFormat="1" applyFont="1" applyFill="1" applyBorder="1" applyAlignment="1">
      <alignment horizontal="center" vertical="center"/>
    </xf>
    <xf numFmtId="0" fontId="75" fillId="13" borderId="5" xfId="0" applyFont="1" applyFill="1" applyBorder="1" applyAlignment="1">
      <alignment horizontal="left" vertical="center" wrapText="1"/>
    </xf>
    <xf numFmtId="164" fontId="28" fillId="13" borderId="4" xfId="1" applyNumberFormat="1" applyFont="1" applyFill="1" applyBorder="1" applyAlignment="1">
      <alignment horizontal="center" vertical="center"/>
    </xf>
    <xf numFmtId="0" fontId="108" fillId="13" borderId="5" xfId="0" applyFont="1" applyFill="1" applyBorder="1" applyAlignment="1">
      <alignment vertical="center" wrapText="1"/>
    </xf>
    <xf numFmtId="43" fontId="28" fillId="13" borderId="3" xfId="1" applyFont="1" applyFill="1" applyBorder="1" applyAlignment="1">
      <alignment vertical="center"/>
    </xf>
    <xf numFmtId="0" fontId="67" fillId="0" borderId="4" xfId="0" applyNumberFormat="1" applyFont="1" applyFill="1" applyBorder="1" applyAlignment="1">
      <alignment horizontal="left" wrapText="1"/>
    </xf>
    <xf numFmtId="0" fontId="309" fillId="0" borderId="3" xfId="0" applyFont="1" applyBorder="1"/>
    <xf numFmtId="164" fontId="6" fillId="0" borderId="3" xfId="0" applyNumberFormat="1" applyFont="1" applyFill="1" applyBorder="1" applyAlignment="1">
      <alignment horizontal="center"/>
    </xf>
    <xf numFmtId="0" fontId="310" fillId="0" borderId="3" xfId="0" applyFont="1" applyBorder="1"/>
    <xf numFmtId="0" fontId="310" fillId="0" borderId="0" xfId="0" applyFont="1" applyAlignment="1">
      <alignment wrapText="1"/>
    </xf>
    <xf numFmtId="0" fontId="310" fillId="0" borderId="3" xfId="0" applyFont="1" applyBorder="1" applyAlignment="1">
      <alignment wrapText="1"/>
    </xf>
    <xf numFmtId="0" fontId="312" fillId="6" borderId="0" xfId="0" applyFont="1" applyFill="1" applyAlignment="1">
      <alignment wrapText="1"/>
    </xf>
    <xf numFmtId="0" fontId="313" fillId="0" borderId="0" xfId="0" applyFont="1" applyAlignment="1">
      <alignment wrapText="1"/>
    </xf>
    <xf numFmtId="0" fontId="310" fillId="0" borderId="3" xfId="0" applyFont="1" applyBorder="1" applyAlignment="1">
      <alignment horizontal="justify" vertical="center" wrapText="1"/>
    </xf>
    <xf numFmtId="0" fontId="314" fillId="0" borderId="3" xfId="0" applyFont="1" applyBorder="1" applyAlignment="1">
      <alignment horizontal="justify" vertical="center" wrapText="1"/>
    </xf>
    <xf numFmtId="0" fontId="314" fillId="0" borderId="3" xfId="0" applyFont="1" applyBorder="1" applyAlignment="1">
      <alignment wrapText="1"/>
    </xf>
    <xf numFmtId="0" fontId="4" fillId="6" borderId="3" xfId="0" applyNumberFormat="1" applyFont="1" applyFill="1" applyBorder="1" applyAlignment="1">
      <alignment horizontal="center" wrapText="1"/>
    </xf>
    <xf numFmtId="0" fontId="6" fillId="4" borderId="3" xfId="0" applyNumberFormat="1" applyFont="1" applyFill="1" applyBorder="1" applyAlignment="1">
      <alignment horizontal="center" vertical="center" wrapText="1"/>
    </xf>
    <xf numFmtId="0" fontId="20" fillId="4" borderId="3" xfId="0" applyNumberFormat="1" applyFont="1" applyFill="1" applyBorder="1" applyAlignment="1">
      <alignment horizontal="left" wrapText="1"/>
    </xf>
    <xf numFmtId="0" fontId="6" fillId="4" borderId="3" xfId="0" applyNumberFormat="1" applyFont="1" applyFill="1" applyBorder="1" applyAlignment="1">
      <alignment horizontal="left" wrapText="1"/>
    </xf>
    <xf numFmtId="0" fontId="20" fillId="3" borderId="3" xfId="0" applyNumberFormat="1" applyFont="1" applyFill="1" applyBorder="1" applyAlignment="1">
      <alignment horizontal="left" wrapText="1"/>
    </xf>
    <xf numFmtId="0" fontId="27" fillId="0" borderId="6" xfId="0" applyFont="1" applyBorder="1" applyAlignment="1">
      <alignment horizontal="center" vertical="center"/>
    </xf>
    <xf numFmtId="1" fontId="28" fillId="0" borderId="4" xfId="0" applyNumberFormat="1" applyFont="1" applyBorder="1" applyAlignment="1"/>
    <xf numFmtId="0" fontId="27" fillId="0" borderId="6" xfId="0" applyFont="1" applyBorder="1" applyAlignment="1">
      <alignment horizontal="left" vertical="center"/>
    </xf>
    <xf numFmtId="43" fontId="40" fillId="0" borderId="3" xfId="1" applyNumberFormat="1" applyFont="1" applyBorder="1" applyAlignment="1"/>
    <xf numFmtId="0" fontId="228" fillId="0" borderId="3" xfId="0" applyFont="1" applyBorder="1"/>
    <xf numFmtId="0" fontId="108" fillId="0" borderId="3" xfId="0" applyFont="1" applyBorder="1" applyAlignment="1">
      <alignment horizontal="justify" wrapText="1"/>
    </xf>
    <xf numFmtId="0" fontId="108" fillId="0" borderId="3" xfId="0" applyFont="1" applyBorder="1" applyAlignment="1">
      <alignment horizontal="left" wrapText="1"/>
    </xf>
    <xf numFmtId="43" fontId="229" fillId="0" borderId="3" xfId="1" applyFont="1" applyFill="1" applyBorder="1" applyAlignment="1">
      <alignment horizontal="left" wrapText="1"/>
    </xf>
    <xf numFmtId="164" fontId="259" fillId="0" borderId="3" xfId="1" applyNumberFormat="1" applyFont="1" applyBorder="1" applyAlignment="1">
      <alignment horizontal="justify" wrapText="1"/>
    </xf>
    <xf numFmtId="164" fontId="315" fillId="0" borderId="3" xfId="1" applyNumberFormat="1" applyFont="1" applyBorder="1" applyAlignment="1"/>
    <xf numFmtId="43" fontId="315" fillId="3" borderId="3" xfId="1" applyNumberFormat="1" applyFont="1" applyFill="1" applyBorder="1" applyAlignment="1"/>
    <xf numFmtId="43" fontId="228" fillId="0" borderId="3" xfId="0" applyNumberFormat="1" applyFont="1" applyBorder="1"/>
    <xf numFmtId="0" fontId="228" fillId="3" borderId="3" xfId="0" applyFont="1" applyFill="1" applyBorder="1"/>
    <xf numFmtId="0" fontId="108" fillId="0" borderId="3" xfId="0" applyFont="1" applyBorder="1"/>
    <xf numFmtId="43" fontId="229" fillId="0" borderId="3" xfId="1" applyFont="1" applyFill="1" applyBorder="1"/>
    <xf numFmtId="164" fontId="259" fillId="3" borderId="3" xfId="1" applyNumberFormat="1" applyFont="1" applyFill="1" applyBorder="1" applyAlignment="1">
      <alignment horizontal="left" vertical="top" wrapText="1"/>
    </xf>
    <xf numFmtId="164" fontId="315" fillId="3" borderId="3" xfId="1" applyNumberFormat="1" applyFont="1" applyFill="1" applyBorder="1" applyAlignment="1">
      <alignment vertical="top"/>
    </xf>
    <xf numFmtId="43" fontId="315" fillId="3" borderId="3" xfId="1" applyNumberFormat="1" applyFont="1" applyFill="1" applyBorder="1" applyAlignment="1">
      <alignment vertical="top"/>
    </xf>
    <xf numFmtId="43" fontId="228" fillId="0" borderId="3" xfId="1" applyFont="1" applyFill="1" applyBorder="1"/>
    <xf numFmtId="164" fontId="228" fillId="3" borderId="3" xfId="1" applyNumberFormat="1" applyFont="1" applyFill="1" applyBorder="1"/>
    <xf numFmtId="43" fontId="228" fillId="3" borderId="3" xfId="1" applyNumberFormat="1" applyFont="1" applyFill="1" applyBorder="1"/>
    <xf numFmtId="0" fontId="228" fillId="3" borderId="3" xfId="0" applyFont="1" applyFill="1" applyBorder="1" applyAlignment="1">
      <alignment horizontal="justify" wrapText="1"/>
    </xf>
    <xf numFmtId="1" fontId="228" fillId="3" borderId="3" xfId="0" applyNumberFormat="1" applyFont="1" applyFill="1" applyBorder="1" applyAlignment="1">
      <alignment horizontal="left" wrapText="1"/>
    </xf>
    <xf numFmtId="1" fontId="229" fillId="3" borderId="3" xfId="1" applyNumberFormat="1" applyFont="1" applyFill="1" applyBorder="1" applyAlignment="1">
      <alignment horizontal="left" wrapText="1"/>
    </xf>
    <xf numFmtId="164" fontId="90" fillId="3" borderId="3" xfId="1" applyNumberFormat="1" applyFont="1" applyFill="1" applyBorder="1" applyAlignment="1">
      <alignment horizontal="justify" wrapText="1"/>
    </xf>
    <xf numFmtId="164" fontId="90" fillId="3" borderId="3" xfId="1" applyNumberFormat="1" applyFont="1" applyFill="1" applyBorder="1" applyAlignment="1">
      <alignment horizontal="right" wrapText="1"/>
    </xf>
    <xf numFmtId="164" fontId="229" fillId="3" borderId="3" xfId="1" applyNumberFormat="1" applyFont="1" applyFill="1" applyBorder="1" applyAlignment="1">
      <alignment wrapText="1"/>
    </xf>
    <xf numFmtId="43" fontId="229" fillId="3" borderId="3" xfId="1" applyNumberFormat="1" applyFont="1" applyFill="1" applyBorder="1" applyAlignment="1">
      <alignment wrapText="1"/>
    </xf>
    <xf numFmtId="1" fontId="90" fillId="3" borderId="3" xfId="1" applyNumberFormat="1" applyFont="1" applyFill="1" applyBorder="1" applyAlignment="1">
      <alignment horizontal="left" wrapText="1"/>
    </xf>
    <xf numFmtId="164" fontId="228" fillId="3" borderId="3" xfId="1" applyNumberFormat="1" applyFont="1" applyFill="1" applyBorder="1" applyAlignment="1">
      <alignment wrapText="1"/>
    </xf>
    <xf numFmtId="164" fontId="228" fillId="3" borderId="3" xfId="1" applyNumberFormat="1" applyFont="1" applyFill="1" applyBorder="1" applyAlignment="1">
      <alignment horizontal="right" wrapText="1"/>
    </xf>
    <xf numFmtId="164" fontId="229" fillId="3" borderId="3" xfId="1" applyNumberFormat="1" applyFont="1" applyFill="1" applyBorder="1" applyAlignment="1">
      <alignment horizontal="center" wrapText="1"/>
    </xf>
    <xf numFmtId="43" fontId="90" fillId="3" borderId="3" xfId="1" applyNumberFormat="1" applyFont="1" applyFill="1" applyBorder="1"/>
    <xf numFmtId="164" fontId="90" fillId="3" borderId="3" xfId="1" applyNumberFormat="1" applyFont="1" applyFill="1" applyBorder="1" applyAlignment="1">
      <alignment wrapText="1"/>
    </xf>
    <xf numFmtId="164" fontId="229" fillId="3" borderId="3" xfId="1" applyNumberFormat="1" applyFont="1" applyFill="1" applyBorder="1" applyAlignment="1">
      <alignment horizontal="right" wrapText="1"/>
    </xf>
    <xf numFmtId="43" fontId="90" fillId="3" borderId="0" xfId="1" applyNumberFormat="1" applyFont="1" applyFill="1"/>
    <xf numFmtId="164" fontId="90" fillId="3" borderId="3" xfId="1" applyNumberFormat="1" applyFont="1" applyFill="1" applyBorder="1" applyAlignment="1">
      <alignment horizontal="left" wrapText="1"/>
    </xf>
    <xf numFmtId="1" fontId="228" fillId="3" borderId="3" xfId="0" applyNumberFormat="1" applyFont="1" applyFill="1" applyBorder="1" applyAlignment="1">
      <alignment wrapText="1"/>
    </xf>
    <xf numFmtId="1" fontId="228" fillId="3" borderId="3" xfId="1" applyNumberFormat="1" applyFont="1" applyFill="1" applyBorder="1" applyAlignment="1">
      <alignment wrapText="1"/>
    </xf>
    <xf numFmtId="164" fontId="90" fillId="3" borderId="3" xfId="1" applyNumberFormat="1" applyFont="1" applyFill="1" applyBorder="1" applyAlignment="1">
      <alignment horizontal="center"/>
    </xf>
    <xf numFmtId="1" fontId="228" fillId="3" borderId="3" xfId="0" applyNumberFormat="1" applyFont="1" applyFill="1" applyBorder="1" applyAlignment="1">
      <alignment horizontal="center" vertical="center" wrapText="1"/>
    </xf>
    <xf numFmtId="43" fontId="228" fillId="3" borderId="3" xfId="1" applyNumberFormat="1" applyFont="1" applyFill="1" applyBorder="1" applyAlignment="1">
      <alignment wrapText="1"/>
    </xf>
    <xf numFmtId="43" fontId="90" fillId="0" borderId="3" xfId="1" applyFont="1" applyFill="1" applyBorder="1" applyAlignment="1">
      <alignment vertical="center" wrapText="1"/>
    </xf>
    <xf numFmtId="164" fontId="259" fillId="0" borderId="3" xfId="1" applyNumberFormat="1" applyFont="1" applyBorder="1" applyAlignment="1">
      <alignment horizontal="center" wrapText="1"/>
    </xf>
    <xf numFmtId="164" fontId="259" fillId="0" borderId="3" xfId="1" applyNumberFormat="1" applyFont="1" applyBorder="1" applyAlignment="1">
      <alignment vertical="top" wrapText="1"/>
    </xf>
    <xf numFmtId="164" fontId="259" fillId="0" borderId="3" xfId="1" applyNumberFormat="1" applyFont="1" applyBorder="1" applyAlignment="1">
      <alignment horizontal="center" vertical="top" wrapText="1"/>
    </xf>
    <xf numFmtId="43" fontId="315" fillId="0" borderId="3" xfId="1" applyNumberFormat="1" applyFont="1" applyBorder="1" applyAlignment="1"/>
    <xf numFmtId="0" fontId="108" fillId="3" borderId="3" xfId="0" applyFont="1" applyFill="1" applyBorder="1" applyAlignment="1">
      <alignment horizontal="left" wrapText="1"/>
    </xf>
    <xf numFmtId="43" fontId="90" fillId="0" borderId="3" xfId="1" applyFont="1" applyFill="1" applyBorder="1" applyAlignment="1">
      <alignment horizontal="left" vertical="center" wrapText="1"/>
    </xf>
    <xf numFmtId="164" fontId="259" fillId="3" borderId="3" xfId="1" applyNumberFormat="1" applyFont="1" applyFill="1" applyBorder="1" applyAlignment="1">
      <alignment horizontal="left" vertical="center" wrapText="1"/>
    </xf>
    <xf numFmtId="164" fontId="315" fillId="3" borderId="3" xfId="1" applyNumberFormat="1" applyFont="1" applyFill="1" applyBorder="1" applyAlignment="1"/>
    <xf numFmtId="164" fontId="259" fillId="3" borderId="3" xfId="1" applyNumberFormat="1" applyFont="1" applyFill="1" applyBorder="1" applyAlignment="1">
      <alignment horizontal="center" vertical="center" wrapText="1"/>
    </xf>
    <xf numFmtId="164" fontId="315" fillId="3" borderId="3" xfId="1" applyNumberFormat="1" applyFont="1" applyFill="1" applyBorder="1" applyAlignment="1">
      <alignment horizontal="right"/>
    </xf>
    <xf numFmtId="43" fontId="90" fillId="0" borderId="3" xfId="1" applyNumberFormat="1" applyFont="1" applyBorder="1"/>
    <xf numFmtId="164" fontId="259" fillId="3" borderId="3" xfId="1" applyNumberFormat="1" applyFont="1" applyFill="1" applyBorder="1" applyAlignment="1">
      <alignment vertical="top" wrapText="1"/>
    </xf>
    <xf numFmtId="164" fontId="259" fillId="3" borderId="3" xfId="1" applyNumberFormat="1" applyFont="1" applyFill="1" applyBorder="1" applyAlignment="1">
      <alignment horizontal="center" vertical="top" wrapText="1"/>
    </xf>
    <xf numFmtId="164" fontId="315" fillId="3" borderId="3" xfId="1" applyNumberFormat="1" applyFont="1" applyFill="1" applyBorder="1" applyAlignment="1">
      <alignment horizontal="right" vertical="top" wrapText="1"/>
    </xf>
    <xf numFmtId="43" fontId="90" fillId="0" borderId="3" xfId="1" applyFont="1" applyFill="1" applyBorder="1" applyAlignment="1">
      <alignment horizontal="left" vertical="top" wrapText="1"/>
    </xf>
    <xf numFmtId="164" fontId="259" fillId="0" borderId="3" xfId="1" applyNumberFormat="1" applyFont="1" applyBorder="1" applyAlignment="1">
      <alignment horizontal="left" wrapText="1"/>
    </xf>
    <xf numFmtId="164" fontId="315" fillId="3" borderId="3" xfId="1" applyNumberFormat="1" applyFont="1" applyFill="1" applyBorder="1" applyAlignment="1">
      <alignment vertical="center" wrapText="1"/>
    </xf>
    <xf numFmtId="164" fontId="315" fillId="0" borderId="3" xfId="1" applyNumberFormat="1" applyFont="1" applyBorder="1" applyAlignment="1">
      <alignment horizontal="right" vertical="top"/>
    </xf>
    <xf numFmtId="43" fontId="315" fillId="0" borderId="3" xfId="1" applyNumberFormat="1" applyFont="1" applyBorder="1" applyAlignment="1">
      <alignment horizontal="center"/>
    </xf>
    <xf numFmtId="164" fontId="315" fillId="0" borderId="3" xfId="1" applyNumberFormat="1" applyFont="1" applyBorder="1" applyAlignment="1">
      <alignment horizontal="right"/>
    </xf>
    <xf numFmtId="164" fontId="315" fillId="3" borderId="3" xfId="1" applyNumberFormat="1" applyFont="1" applyFill="1" applyBorder="1" applyAlignment="1">
      <alignment horizontal="center" vertical="center" wrapText="1"/>
    </xf>
    <xf numFmtId="164" fontId="228" fillId="3" borderId="3" xfId="1" applyNumberFormat="1" applyFont="1" applyFill="1" applyBorder="1" applyAlignment="1">
      <alignment horizontal="center"/>
    </xf>
    <xf numFmtId="164" fontId="228" fillId="3" borderId="3" xfId="1" applyNumberFormat="1" applyFont="1" applyFill="1" applyBorder="1" applyAlignment="1">
      <alignment horizontal="right"/>
    </xf>
    <xf numFmtId="43" fontId="90" fillId="0" borderId="0" xfId="1" applyNumberFormat="1" applyFont="1"/>
    <xf numFmtId="164" fontId="259" fillId="3" borderId="3" xfId="1" applyNumberFormat="1" applyFont="1" applyFill="1" applyBorder="1" applyAlignment="1">
      <alignment vertical="center" wrapText="1"/>
    </xf>
    <xf numFmtId="164" fontId="229" fillId="3" borderId="3" xfId="1" applyNumberFormat="1" applyFont="1" applyFill="1" applyBorder="1" applyAlignment="1">
      <alignment horizontal="right"/>
    </xf>
    <xf numFmtId="43" fontId="315" fillId="3" borderId="3" xfId="1" applyNumberFormat="1" applyFont="1" applyFill="1" applyBorder="1" applyAlignment="1">
      <alignment horizontal="center" vertical="center" wrapText="1"/>
    </xf>
    <xf numFmtId="0" fontId="108" fillId="0" borderId="3" xfId="0" applyFont="1" applyFill="1" applyBorder="1" applyAlignment="1">
      <alignment horizontal="left" wrapText="1"/>
    </xf>
    <xf numFmtId="43" fontId="90" fillId="0" borderId="3" xfId="1" applyFont="1" applyFill="1" applyBorder="1" applyAlignment="1">
      <alignment horizontal="left" wrapText="1"/>
    </xf>
    <xf numFmtId="164" fontId="259" fillId="0" borderId="3" xfId="1" applyNumberFormat="1" applyFont="1" applyBorder="1" applyAlignment="1">
      <alignment horizontal="left" vertical="center" wrapText="1"/>
    </xf>
    <xf numFmtId="164" fontId="259" fillId="0" borderId="3" xfId="1" applyNumberFormat="1" applyFont="1" applyBorder="1" applyAlignment="1">
      <alignment horizontal="center" vertical="center" wrapText="1"/>
    </xf>
    <xf numFmtId="0" fontId="108" fillId="0" borderId="3" xfId="0" applyFont="1" applyBorder="1" applyAlignment="1">
      <alignment horizontal="left"/>
    </xf>
    <xf numFmtId="43" fontId="228" fillId="0" borderId="3" xfId="1" applyFont="1" applyFill="1" applyBorder="1" applyAlignment="1">
      <alignment vertical="top" wrapText="1"/>
    </xf>
    <xf numFmtId="164" fontId="90" fillId="0" borderId="3" xfId="1" applyNumberFormat="1" applyFont="1" applyBorder="1" applyAlignment="1">
      <alignment horizontal="right" vertical="center"/>
    </xf>
    <xf numFmtId="43" fontId="90" fillId="0" borderId="3" xfId="1" applyNumberFormat="1" applyFont="1" applyBorder="1" applyAlignment="1">
      <alignment vertical="center"/>
    </xf>
    <xf numFmtId="0" fontId="108" fillId="0" borderId="6" xfId="0" applyFont="1" applyBorder="1" applyAlignment="1">
      <alignment horizontal="justify" wrapText="1"/>
    </xf>
    <xf numFmtId="0" fontId="108" fillId="3" borderId="6" xfId="0" applyFont="1" applyFill="1" applyBorder="1"/>
    <xf numFmtId="43" fontId="90" fillId="0" borderId="6" xfId="1" applyFont="1" applyFill="1" applyBorder="1" applyAlignment="1">
      <alignment wrapText="1"/>
    </xf>
    <xf numFmtId="164" fontId="228" fillId="3" borderId="6" xfId="1" applyNumberFormat="1" applyFont="1" applyFill="1" applyBorder="1"/>
    <xf numFmtId="164" fontId="228" fillId="3" borderId="6" xfId="1" applyNumberFormat="1" applyFont="1" applyFill="1" applyBorder="1" applyAlignment="1">
      <alignment horizontal="center"/>
    </xf>
    <xf numFmtId="164" fontId="228" fillId="3" borderId="6" xfId="1" applyNumberFormat="1" applyFont="1" applyFill="1" applyBorder="1" applyAlignment="1">
      <alignment horizontal="right"/>
    </xf>
    <xf numFmtId="43" fontId="228" fillId="3" borderId="6" xfId="1" applyNumberFormat="1" applyFont="1" applyFill="1" applyBorder="1"/>
    <xf numFmtId="0" fontId="108" fillId="3" borderId="3" xfId="0" applyFont="1" applyFill="1" applyBorder="1"/>
    <xf numFmtId="164" fontId="229" fillId="3" borderId="3" xfId="1" applyNumberFormat="1" applyFont="1" applyFill="1" applyBorder="1" applyAlignment="1">
      <alignment horizontal="right" vertical="top" wrapText="1"/>
    </xf>
    <xf numFmtId="43" fontId="315" fillId="3" borderId="3" xfId="1" applyNumberFormat="1" applyFont="1" applyFill="1" applyBorder="1" applyAlignment="1">
      <alignment horizontal="right" vertical="top" wrapText="1"/>
    </xf>
    <xf numFmtId="164" fontId="315" fillId="3" borderId="3" xfId="1" applyNumberFormat="1" applyFont="1" applyFill="1" applyBorder="1" applyAlignment="1">
      <alignment vertical="top" wrapText="1"/>
    </xf>
    <xf numFmtId="164" fontId="315" fillId="5" borderId="3" xfId="1" applyNumberFormat="1" applyFont="1" applyFill="1" applyBorder="1" applyAlignment="1">
      <alignment vertical="top"/>
    </xf>
    <xf numFmtId="164" fontId="229" fillId="0" borderId="3" xfId="1" applyNumberFormat="1" applyFont="1" applyBorder="1" applyAlignment="1"/>
    <xf numFmtId="43" fontId="90" fillId="0" borderId="3" xfId="1" applyFont="1" applyFill="1" applyBorder="1" applyAlignment="1">
      <alignment wrapText="1"/>
    </xf>
    <xf numFmtId="0" fontId="315" fillId="0" borderId="3" xfId="0" applyFont="1" applyBorder="1"/>
    <xf numFmtId="43" fontId="229" fillId="0" borderId="3" xfId="1" applyFont="1" applyFill="1" applyBorder="1" applyAlignment="1">
      <alignment wrapText="1"/>
    </xf>
    <xf numFmtId="164" fontId="315" fillId="0" borderId="3" xfId="1" applyNumberFormat="1" applyFont="1" applyBorder="1" applyAlignment="1">
      <alignment vertical="top"/>
    </xf>
    <xf numFmtId="43" fontId="108" fillId="0" borderId="3" xfId="1" applyNumberFormat="1" applyFont="1" applyBorder="1" applyAlignment="1">
      <alignment vertical="top"/>
    </xf>
    <xf numFmtId="14" fontId="108" fillId="0" borderId="3" xfId="0" applyNumberFormat="1" applyFont="1" applyBorder="1"/>
    <xf numFmtId="43" fontId="259" fillId="0" borderId="3" xfId="1" applyFont="1" applyFill="1" applyBorder="1" applyAlignment="1">
      <alignment horizontal="left" vertical="center" wrapText="1"/>
    </xf>
    <xf numFmtId="164" fontId="108" fillId="0" borderId="3" xfId="1" applyNumberFormat="1" applyFont="1" applyBorder="1" applyAlignment="1">
      <alignment horizontal="left" vertical="center" wrapText="1"/>
    </xf>
    <xf numFmtId="164" fontId="108" fillId="0" borderId="3" xfId="1" applyNumberFormat="1" applyFont="1" applyBorder="1" applyAlignment="1"/>
    <xf numFmtId="43" fontId="108" fillId="0" borderId="3" xfId="1" applyNumberFormat="1" applyFont="1" applyBorder="1" applyAlignment="1"/>
    <xf numFmtId="164" fontId="315" fillId="0" borderId="3" xfId="1" applyNumberFormat="1" applyFont="1" applyBorder="1" applyAlignment="1">
      <alignment horizontal="justify" wrapText="1"/>
    </xf>
    <xf numFmtId="43" fontId="228" fillId="0" borderId="0" xfId="1" applyNumberFormat="1" applyFont="1"/>
    <xf numFmtId="43" fontId="228" fillId="0" borderId="3" xfId="1" applyNumberFormat="1" applyFont="1" applyBorder="1"/>
    <xf numFmtId="43" fontId="228" fillId="0" borderId="3" xfId="1" applyFont="1" applyFill="1" applyBorder="1" applyAlignment="1">
      <alignment horizontal="left"/>
    </xf>
    <xf numFmtId="43" fontId="228" fillId="0" borderId="0" xfId="1" applyNumberFormat="1" applyFont="1" applyFill="1" applyBorder="1"/>
    <xf numFmtId="14" fontId="108" fillId="0" borderId="3" xfId="0" applyNumberFormat="1" applyFont="1" applyBorder="1" applyAlignment="1">
      <alignment horizontal="left" wrapText="1"/>
    </xf>
    <xf numFmtId="164" fontId="315" fillId="5" borderId="3" xfId="1" applyNumberFormat="1" applyFont="1" applyFill="1" applyBorder="1" applyAlignment="1"/>
    <xf numFmtId="43" fontId="315" fillId="0" borderId="3" xfId="1" quotePrefix="1" applyNumberFormat="1" applyFont="1" applyBorder="1" applyAlignment="1">
      <alignment horizontal="center" vertical="center"/>
    </xf>
    <xf numFmtId="164" fontId="229" fillId="0" borderId="3" xfId="1" applyNumberFormat="1" applyFont="1" applyBorder="1" applyAlignment="1">
      <alignment horizontal="center"/>
    </xf>
    <xf numFmtId="164" fontId="259" fillId="0" borderId="3" xfId="1" applyNumberFormat="1" applyFont="1" applyBorder="1" applyAlignment="1">
      <alignment horizontal="right" wrapText="1"/>
    </xf>
    <xf numFmtId="164" fontId="90" fillId="0" borderId="0" xfId="1" applyNumberFormat="1" applyFont="1"/>
    <xf numFmtId="43" fontId="228" fillId="0" borderId="3" xfId="1" applyFont="1" applyFill="1" applyBorder="1" applyAlignment="1">
      <alignment wrapText="1"/>
    </xf>
    <xf numFmtId="164" fontId="259" fillId="0" borderId="3" xfId="1" applyNumberFormat="1" applyFont="1" applyBorder="1" applyAlignment="1">
      <alignment horizontal="left" vertical="top" wrapText="1"/>
    </xf>
    <xf numFmtId="43" fontId="315" fillId="0" borderId="5" xfId="1" applyNumberFormat="1" applyFont="1" applyBorder="1" applyAlignment="1">
      <alignment vertical="top"/>
    </xf>
    <xf numFmtId="164" fontId="228" fillId="5" borderId="3" xfId="1" applyNumberFormat="1" applyFont="1" applyFill="1" applyBorder="1"/>
    <xf numFmtId="164" fontId="259" fillId="0" borderId="0" xfId="1" applyNumberFormat="1" applyFont="1" applyBorder="1" applyAlignment="1">
      <alignment horizontal="left" vertical="center" wrapText="1"/>
    </xf>
    <xf numFmtId="164" fontId="228" fillId="3" borderId="0" xfId="1" applyNumberFormat="1" applyFont="1" applyFill="1"/>
    <xf numFmtId="164" fontId="315" fillId="3" borderId="3" xfId="1" applyNumberFormat="1" applyFont="1" applyFill="1" applyBorder="1" applyAlignment="1">
      <alignment horizontal="right" vertical="center" wrapText="1"/>
    </xf>
    <xf numFmtId="14" fontId="108" fillId="3" borderId="3" xfId="0" applyNumberFormat="1" applyFont="1" applyFill="1" applyBorder="1" applyAlignment="1">
      <alignment horizontal="left" wrapText="1"/>
    </xf>
    <xf numFmtId="43" fontId="315" fillId="0" borderId="5" xfId="1" applyNumberFormat="1" applyFont="1" applyBorder="1" applyAlignment="1"/>
    <xf numFmtId="43" fontId="90" fillId="18" borderId="3" xfId="1" applyFont="1" applyFill="1" applyBorder="1" applyAlignment="1">
      <alignment horizontal="left" wrapText="1"/>
    </xf>
    <xf numFmtId="164" fontId="259" fillId="18" borderId="3" xfId="1" applyNumberFormat="1" applyFont="1" applyFill="1" applyBorder="1" applyAlignment="1">
      <alignment horizontal="center" wrapText="1"/>
    </xf>
    <xf numFmtId="164" fontId="315" fillId="3" borderId="3" xfId="1" applyNumberFormat="1" applyFont="1" applyFill="1" applyBorder="1" applyAlignment="1">
      <alignment horizontal="center"/>
    </xf>
    <xf numFmtId="0" fontId="90" fillId="0" borderId="0" xfId="0" applyFont="1"/>
    <xf numFmtId="43" fontId="90" fillId="3" borderId="3" xfId="1" applyFont="1" applyFill="1" applyBorder="1" applyAlignment="1">
      <alignment horizontal="left" vertical="center" wrapText="1"/>
    </xf>
    <xf numFmtId="164" fontId="259" fillId="3" borderId="3" xfId="1" applyNumberFormat="1" applyFont="1" applyFill="1" applyBorder="1" applyAlignment="1">
      <alignment wrapText="1"/>
    </xf>
    <xf numFmtId="43" fontId="229" fillId="3" borderId="3" xfId="1" applyFont="1" applyFill="1" applyBorder="1" applyAlignment="1">
      <alignment horizontal="left" wrapText="1"/>
    </xf>
    <xf numFmtId="164" fontId="259" fillId="3" borderId="3" xfId="1" applyNumberFormat="1" applyFont="1" applyFill="1" applyBorder="1" applyAlignment="1">
      <alignment horizontal="justify" wrapText="1"/>
    </xf>
    <xf numFmtId="14" fontId="108" fillId="0" borderId="3" xfId="0" applyNumberFormat="1" applyFont="1" applyBorder="1" applyAlignment="1">
      <alignment wrapText="1"/>
    </xf>
    <xf numFmtId="164" fontId="315" fillId="0" borderId="3" xfId="1" applyNumberFormat="1" applyFont="1" applyBorder="1" applyAlignment="1">
      <alignment horizontal="left" vertical="center" wrapText="1"/>
    </xf>
    <xf numFmtId="2" fontId="108" fillId="0" borderId="6" xfId="0" applyNumberFormat="1" applyFont="1" applyBorder="1" applyAlignment="1">
      <alignment horizontal="left" wrapText="1"/>
    </xf>
    <xf numFmtId="164" fontId="259" fillId="0" borderId="6" xfId="1" applyNumberFormat="1" applyFont="1" applyBorder="1" applyAlignment="1">
      <alignment vertical="top" wrapText="1"/>
    </xf>
    <xf numFmtId="164" fontId="259" fillId="0" borderId="6" xfId="1" applyNumberFormat="1" applyFont="1" applyBorder="1" applyAlignment="1">
      <alignment horizontal="right" wrapText="1"/>
    </xf>
    <xf numFmtId="164" fontId="315" fillId="0" borderId="6" xfId="1" applyNumberFormat="1" applyFont="1" applyBorder="1" applyAlignment="1"/>
    <xf numFmtId="43" fontId="315" fillId="0" borderId="6" xfId="1" applyNumberFormat="1" applyFont="1" applyBorder="1" applyAlignment="1"/>
    <xf numFmtId="164" fontId="259" fillId="0" borderId="3" xfId="1" applyNumberFormat="1" applyFont="1" applyFill="1" applyBorder="1" applyAlignment="1">
      <alignment horizontal="left" vertical="center" wrapText="1"/>
    </xf>
    <xf numFmtId="164" fontId="259" fillId="3" borderId="3" xfId="1" applyNumberFormat="1" applyFont="1" applyFill="1" applyBorder="1" applyAlignment="1">
      <alignment horizontal="right" vertical="center" wrapText="1"/>
    </xf>
    <xf numFmtId="0" fontId="259" fillId="0" borderId="3" xfId="0" applyFont="1" applyBorder="1" applyAlignment="1">
      <alignment horizontal="left" vertical="top" wrapText="1"/>
    </xf>
    <xf numFmtId="43" fontId="315" fillId="0" borderId="3" xfId="1" applyNumberFormat="1" applyFont="1" applyBorder="1" applyAlignment="1">
      <alignment horizontal="left"/>
    </xf>
    <xf numFmtId="164" fontId="259" fillId="0" borderId="9" xfId="1" applyNumberFormat="1" applyFont="1" applyFill="1" applyBorder="1" applyAlignment="1">
      <alignment horizontal="justify" wrapText="1"/>
    </xf>
    <xf numFmtId="164" fontId="228" fillId="0" borderId="3" xfId="1" applyNumberFormat="1" applyFont="1" applyBorder="1" applyAlignment="1">
      <alignment horizontal="right"/>
    </xf>
    <xf numFmtId="164" fontId="259" fillId="0" borderId="3" xfId="1" applyNumberFormat="1" applyFont="1" applyBorder="1" applyAlignment="1">
      <alignment vertical="center" wrapText="1"/>
    </xf>
    <xf numFmtId="164" fontId="315" fillId="0" borderId="3" xfId="1" applyNumberFormat="1" applyFont="1" applyBorder="1" applyAlignment="1">
      <alignment horizontal="center" vertical="center"/>
    </xf>
    <xf numFmtId="43" fontId="315" fillId="0" borderId="3" xfId="1" applyNumberFormat="1" applyFont="1" applyBorder="1" applyAlignment="1">
      <alignment horizontal="right" vertical="center"/>
    </xf>
    <xf numFmtId="43" fontId="259" fillId="0" borderId="3" xfId="1" applyFont="1" applyFill="1" applyBorder="1" applyAlignment="1">
      <alignment wrapText="1"/>
    </xf>
    <xf numFmtId="164" fontId="259" fillId="0" borderId="3" xfId="1" applyNumberFormat="1" applyFont="1" applyBorder="1" applyAlignment="1">
      <alignment horizontal="right" vertical="center" wrapText="1"/>
    </xf>
    <xf numFmtId="43" fontId="315" fillId="3" borderId="3" xfId="1" applyNumberFormat="1" applyFont="1" applyFill="1" applyBorder="1" applyAlignment="1">
      <alignment vertical="center" wrapText="1"/>
    </xf>
    <xf numFmtId="164" fontId="315" fillId="0" borderId="3" xfId="1" applyNumberFormat="1" applyFont="1" applyFill="1" applyBorder="1" applyAlignment="1"/>
    <xf numFmtId="0" fontId="108" fillId="3" borderId="3" xfId="0" applyFont="1" applyFill="1" applyBorder="1" applyAlignment="1">
      <alignment horizontal="justify" wrapText="1"/>
    </xf>
    <xf numFmtId="43" fontId="315" fillId="3" borderId="3" xfId="1" applyNumberFormat="1" applyFont="1" applyFill="1" applyBorder="1" applyAlignment="1">
      <alignment horizontal="right"/>
    </xf>
    <xf numFmtId="43" fontId="315" fillId="3" borderId="3" xfId="1" applyNumberFormat="1" applyFont="1" applyFill="1" applyBorder="1" applyAlignment="1">
      <alignment horizontal="right" vertical="center"/>
    </xf>
    <xf numFmtId="43" fontId="259" fillId="0" borderId="3" xfId="1" applyNumberFormat="1" applyFont="1" applyFill="1" applyBorder="1" applyAlignment="1">
      <alignment horizontal="right" vertical="center" wrapText="1"/>
    </xf>
    <xf numFmtId="164" fontId="315" fillId="3" borderId="3" xfId="1" applyNumberFormat="1" applyFont="1" applyFill="1" applyBorder="1" applyAlignment="1">
      <alignment horizontal="center" vertical="top" wrapText="1"/>
    </xf>
    <xf numFmtId="164" fontId="315" fillId="0" borderId="3" xfId="1" applyNumberFormat="1" applyFont="1" applyBorder="1" applyAlignment="1">
      <alignment vertical="top" wrapText="1"/>
    </xf>
    <xf numFmtId="43" fontId="229" fillId="0" borderId="3" xfId="1" applyNumberFormat="1" applyFont="1" applyBorder="1"/>
    <xf numFmtId="164" fontId="317" fillId="3" borderId="3" xfId="1" applyNumberFormat="1" applyFont="1" applyFill="1" applyBorder="1" applyAlignment="1">
      <alignment horizontal="left" vertical="center" wrapText="1"/>
    </xf>
    <xf numFmtId="43" fontId="229" fillId="0" borderId="0" xfId="1" applyNumberFormat="1" applyFont="1"/>
    <xf numFmtId="43" fontId="90" fillId="3" borderId="3" xfId="1" applyFont="1" applyFill="1" applyBorder="1" applyAlignment="1">
      <alignment vertical="center" wrapText="1"/>
    </xf>
    <xf numFmtId="43" fontId="90" fillId="3" borderId="3" xfId="1" applyFont="1" applyFill="1" applyBorder="1" applyAlignment="1">
      <alignment horizontal="left" wrapText="1"/>
    </xf>
    <xf numFmtId="164" fontId="229" fillId="3" borderId="3" xfId="1" applyNumberFormat="1" applyFont="1" applyFill="1" applyBorder="1" applyAlignment="1"/>
    <xf numFmtId="164" fontId="90" fillId="3" borderId="3" xfId="1" applyNumberFormat="1" applyFont="1" applyFill="1" applyBorder="1" applyAlignment="1">
      <alignment vertical="top" wrapText="1"/>
    </xf>
    <xf numFmtId="164" fontId="259" fillId="3" borderId="3" xfId="1" applyNumberFormat="1" applyFont="1" applyFill="1" applyBorder="1" applyAlignment="1">
      <alignment horizontal="right" wrapText="1"/>
    </xf>
    <xf numFmtId="0" fontId="315" fillId="3" borderId="3" xfId="0" applyFont="1" applyFill="1" applyBorder="1" applyAlignment="1">
      <alignment horizontal="left" wrapText="1"/>
    </xf>
    <xf numFmtId="43" fontId="229" fillId="0" borderId="3" xfId="1" applyFont="1" applyFill="1" applyBorder="1" applyAlignment="1">
      <alignment horizontal="left" vertical="center" wrapText="1"/>
    </xf>
    <xf numFmtId="43" fontId="315" fillId="0" borderId="3" xfId="1" applyNumberFormat="1" applyFont="1" applyBorder="1" applyAlignment="1">
      <alignment vertical="top"/>
    </xf>
    <xf numFmtId="43" fontId="90" fillId="0" borderId="3" xfId="1" applyFont="1" applyFill="1" applyBorder="1" applyAlignment="1">
      <alignment horizontal="left"/>
    </xf>
    <xf numFmtId="164" fontId="259" fillId="0" borderId="3" xfId="1" applyNumberFormat="1" applyFont="1" applyFill="1" applyBorder="1" applyAlignment="1">
      <alignment vertical="top" wrapText="1"/>
    </xf>
    <xf numFmtId="164" fontId="259" fillId="0" borderId="3" xfId="1" applyNumberFormat="1" applyFont="1" applyFill="1" applyBorder="1" applyAlignment="1">
      <alignment horizontal="right"/>
    </xf>
    <xf numFmtId="164" fontId="259" fillId="0" borderId="3" xfId="1" applyNumberFormat="1" applyFont="1" applyFill="1" applyBorder="1" applyAlignment="1">
      <alignment horizontal="center" vertical="top" wrapText="1"/>
    </xf>
    <xf numFmtId="164" fontId="259" fillId="0" borderId="3" xfId="1" applyNumberFormat="1" applyFont="1" applyFill="1" applyBorder="1" applyAlignment="1">
      <alignment vertical="top"/>
    </xf>
    <xf numFmtId="43" fontId="315" fillId="0" borderId="3" xfId="1" applyNumberFormat="1" applyFont="1" applyFill="1" applyBorder="1" applyAlignment="1">
      <alignment horizontal="right"/>
    </xf>
    <xf numFmtId="14" fontId="108" fillId="0" borderId="3" xfId="0" applyNumberFormat="1" applyFont="1" applyFill="1" applyBorder="1" applyAlignment="1">
      <alignment horizontal="left" wrapText="1"/>
    </xf>
    <xf numFmtId="164" fontId="315" fillId="0" borderId="3" xfId="1" applyNumberFormat="1" applyFont="1" applyFill="1" applyBorder="1" applyAlignment="1">
      <alignment horizontal="right"/>
    </xf>
    <xf numFmtId="43" fontId="315" fillId="0" borderId="3" xfId="1" applyNumberFormat="1" applyFont="1" applyFill="1" applyBorder="1" applyAlignment="1"/>
    <xf numFmtId="164" fontId="259" fillId="0" borderId="3" xfId="1" applyNumberFormat="1" applyFont="1" applyFill="1" applyBorder="1" applyAlignment="1">
      <alignment horizontal="justify" wrapText="1"/>
    </xf>
    <xf numFmtId="164" fontId="259" fillId="0" borderId="3" xfId="1" applyNumberFormat="1" applyFont="1" applyFill="1" applyBorder="1" applyAlignment="1">
      <alignment horizontal="right" wrapText="1"/>
    </xf>
    <xf numFmtId="164" fontId="228" fillId="0" borderId="3" xfId="1" applyNumberFormat="1" applyFont="1" applyFill="1" applyBorder="1"/>
    <xf numFmtId="164" fontId="315" fillId="0" borderId="3" xfId="1" applyNumberFormat="1" applyFont="1" applyFill="1" applyBorder="1" applyAlignment="1">
      <alignment horizontal="center" vertical="center" wrapText="1"/>
    </xf>
    <xf numFmtId="43" fontId="315" fillId="0" borderId="3" xfId="1" applyNumberFormat="1" applyFont="1" applyFill="1" applyBorder="1" applyAlignment="1">
      <alignment horizontal="center" vertical="center" wrapText="1"/>
    </xf>
    <xf numFmtId="164" fontId="259" fillId="0" borderId="3" xfId="1" applyNumberFormat="1" applyFont="1" applyFill="1" applyBorder="1" applyAlignment="1">
      <alignment horizontal="center" vertical="center" wrapText="1"/>
    </xf>
    <xf numFmtId="43" fontId="315" fillId="0" borderId="5" xfId="1" applyNumberFormat="1" applyFont="1" applyFill="1" applyBorder="1" applyAlignment="1"/>
    <xf numFmtId="43" fontId="108" fillId="0" borderId="3" xfId="1" applyFont="1" applyFill="1" applyBorder="1" applyAlignment="1">
      <alignment wrapText="1"/>
    </xf>
    <xf numFmtId="164" fontId="315" fillId="0" borderId="3" xfId="1" applyNumberFormat="1" applyFont="1" applyFill="1" applyBorder="1" applyAlignment="1">
      <alignment horizontal="center" vertical="top"/>
    </xf>
    <xf numFmtId="43" fontId="315" fillId="0" borderId="5" xfId="1" applyNumberFormat="1" applyFont="1" applyFill="1" applyBorder="1" applyAlignment="1">
      <alignment vertical="top"/>
    </xf>
    <xf numFmtId="0" fontId="108" fillId="0" borderId="3" xfId="0" applyFont="1" applyFill="1" applyBorder="1" applyAlignment="1">
      <alignment horizontal="left"/>
    </xf>
    <xf numFmtId="164" fontId="315" fillId="0" borderId="3" xfId="1" applyNumberFormat="1" applyFont="1" applyFill="1" applyBorder="1" applyAlignment="1">
      <alignment vertical="center" wrapText="1"/>
    </xf>
    <xf numFmtId="43" fontId="315" fillId="0" borderId="3" xfId="1" applyNumberFormat="1" applyFont="1" applyFill="1" applyBorder="1" applyAlignment="1">
      <alignment horizontal="right" vertical="top" wrapText="1"/>
    </xf>
    <xf numFmtId="0" fontId="108" fillId="0" borderId="3" xfId="0" applyFont="1" applyFill="1" applyBorder="1"/>
    <xf numFmtId="164" fontId="259" fillId="0" borderId="3" xfId="1" applyNumberFormat="1" applyFont="1" applyFill="1" applyBorder="1" applyAlignment="1">
      <alignment horizontal="left" vertical="top" wrapText="1"/>
    </xf>
    <xf numFmtId="164" fontId="315" fillId="0" borderId="3" xfId="1" applyNumberFormat="1" applyFont="1" applyFill="1" applyBorder="1" applyAlignment="1">
      <alignment vertical="top"/>
    </xf>
    <xf numFmtId="164" fontId="315" fillId="0" borderId="3" xfId="1" applyNumberFormat="1" applyFont="1" applyFill="1" applyBorder="1" applyAlignment="1">
      <alignment horizontal="left" wrapText="1"/>
    </xf>
    <xf numFmtId="43" fontId="228" fillId="0" borderId="3" xfId="1" applyNumberFormat="1" applyFont="1" applyFill="1" applyBorder="1"/>
    <xf numFmtId="164" fontId="315" fillId="0" borderId="3" xfId="1" applyNumberFormat="1" applyFont="1" applyFill="1" applyBorder="1" applyAlignment="1">
      <alignment horizontal="center" vertical="top" wrapText="1"/>
    </xf>
    <xf numFmtId="43" fontId="315" fillId="0" borderId="3" xfId="1" applyNumberFormat="1" applyFont="1" applyFill="1" applyBorder="1" applyAlignment="1">
      <alignment vertical="top"/>
    </xf>
    <xf numFmtId="0" fontId="315" fillId="0" borderId="3" xfId="0" applyFont="1" applyFill="1" applyBorder="1" applyAlignment="1">
      <alignment horizontal="left" wrapText="1"/>
    </xf>
    <xf numFmtId="164" fontId="315" fillId="0" borderId="3" xfId="1" applyNumberFormat="1" applyFont="1" applyFill="1" applyBorder="1" applyAlignment="1">
      <alignment horizontal="left" vertical="center" wrapText="1"/>
    </xf>
    <xf numFmtId="164" fontId="315" fillId="0" borderId="3" xfId="1" applyNumberFormat="1" applyFont="1" applyFill="1" applyBorder="1" applyAlignment="1">
      <alignment horizontal="center"/>
    </xf>
    <xf numFmtId="14" fontId="108" fillId="0" borderId="3" xfId="0" applyNumberFormat="1" applyFont="1" applyFill="1" applyBorder="1"/>
    <xf numFmtId="14" fontId="318" fillId="0" borderId="3" xfId="0" applyNumberFormat="1" applyFont="1" applyBorder="1" applyAlignment="1">
      <alignment horizontal="left" wrapText="1"/>
    </xf>
    <xf numFmtId="43" fontId="315" fillId="0" borderId="3" xfId="1" applyNumberFormat="1" applyFont="1" applyBorder="1" applyAlignment="1">
      <alignment vertical="center" wrapText="1"/>
    </xf>
    <xf numFmtId="43" fontId="108" fillId="0" borderId="3" xfId="1" applyNumberFormat="1" applyFont="1" applyBorder="1" applyAlignment="1">
      <alignment vertical="center" wrapText="1"/>
    </xf>
    <xf numFmtId="43" fontId="259" fillId="0" borderId="3" xfId="1" applyNumberFormat="1" applyFont="1" applyBorder="1" applyAlignment="1">
      <alignment horizontal="right" wrapText="1"/>
    </xf>
    <xf numFmtId="164" fontId="90" fillId="0" borderId="3" xfId="1" applyNumberFormat="1" applyFont="1" applyBorder="1" applyAlignment="1">
      <alignment horizontal="justify" wrapText="1"/>
    </xf>
    <xf numFmtId="164" fontId="315" fillId="5" borderId="3" xfId="1" applyNumberFormat="1" applyFont="1" applyFill="1" applyBorder="1" applyAlignment="1">
      <alignment horizontal="center" vertical="center" wrapText="1"/>
    </xf>
    <xf numFmtId="0" fontId="108" fillId="0" borderId="3" xfId="0" applyFont="1" applyBorder="1" applyAlignment="1">
      <alignment horizontal="justify"/>
    </xf>
    <xf numFmtId="43" fontId="90" fillId="0" borderId="2" xfId="1" applyFont="1" applyFill="1" applyBorder="1" applyAlignment="1">
      <alignment horizontal="left" wrapText="1"/>
    </xf>
    <xf numFmtId="164" fontId="259" fillId="3" borderId="2" xfId="1" applyNumberFormat="1" applyFont="1" applyFill="1" applyBorder="1" applyAlignment="1">
      <alignment horizontal="center" vertical="center" wrapText="1"/>
    </xf>
    <xf numFmtId="164" fontId="315" fillId="3" borderId="2" xfId="1" applyNumberFormat="1" applyFont="1" applyFill="1" applyBorder="1" applyAlignment="1">
      <alignment horizontal="center" vertical="center" wrapText="1"/>
    </xf>
    <xf numFmtId="164" fontId="315" fillId="3" borderId="2" xfId="1" applyNumberFormat="1" applyFont="1" applyFill="1" applyBorder="1" applyAlignment="1">
      <alignment horizontal="center"/>
    </xf>
    <xf numFmtId="43" fontId="315" fillId="3" borderId="2" xfId="1" applyNumberFormat="1" applyFont="1" applyFill="1" applyBorder="1" applyAlignment="1">
      <alignment horizontal="center" vertical="center" wrapText="1"/>
    </xf>
    <xf numFmtId="164" fontId="315" fillId="3" borderId="0" xfId="1" applyNumberFormat="1" applyFont="1" applyFill="1" applyBorder="1" applyAlignment="1">
      <alignment horizontal="center"/>
    </xf>
    <xf numFmtId="0" fontId="108" fillId="3" borderId="3" xfId="0" applyFont="1" applyFill="1" applyBorder="1" applyAlignment="1">
      <alignment horizontal="left"/>
    </xf>
    <xf numFmtId="164" fontId="315" fillId="5" borderId="3" xfId="1" applyNumberFormat="1" applyFont="1" applyFill="1" applyBorder="1" applyAlignment="1">
      <alignment horizontal="center" vertical="top" wrapText="1"/>
    </xf>
    <xf numFmtId="43" fontId="315" fillId="0" borderId="3" xfId="1" applyNumberFormat="1" applyFont="1" applyBorder="1" applyAlignment="1">
      <alignment vertical="top" wrapText="1"/>
    </xf>
    <xf numFmtId="164" fontId="259" fillId="0" borderId="3" xfId="1" applyNumberFormat="1" applyFont="1" applyBorder="1" applyAlignment="1">
      <alignment horizontal="right" vertical="top" wrapText="1"/>
    </xf>
    <xf numFmtId="43" fontId="315" fillId="0" borderId="3" xfId="1" applyNumberFormat="1" applyFont="1" applyBorder="1" applyAlignment="1">
      <alignment horizontal="right"/>
    </xf>
    <xf numFmtId="164" fontId="259" fillId="3" borderId="3" xfId="1" applyNumberFormat="1" applyFont="1" applyFill="1" applyBorder="1" applyAlignment="1">
      <alignment horizontal="right" vertical="top" wrapText="1"/>
    </xf>
    <xf numFmtId="164" fontId="315" fillId="5" borderId="3" xfId="1" applyNumberFormat="1" applyFont="1" applyFill="1" applyBorder="1" applyAlignment="1">
      <alignment horizontal="right" vertical="top"/>
    </xf>
    <xf numFmtId="164" fontId="228" fillId="0" borderId="0" xfId="1" applyNumberFormat="1" applyFont="1" applyAlignment="1">
      <alignment horizontal="right"/>
    </xf>
    <xf numFmtId="43" fontId="315" fillId="3" borderId="3" xfId="1" applyNumberFormat="1" applyFont="1" applyFill="1" applyBorder="1" applyAlignment="1">
      <alignment horizontal="right" vertical="center" wrapText="1"/>
    </xf>
    <xf numFmtId="43" fontId="228" fillId="3" borderId="3" xfId="1" applyNumberFormat="1" applyFont="1" applyFill="1" applyBorder="1" applyAlignment="1">
      <alignment horizontal="right"/>
    </xf>
    <xf numFmtId="164" fontId="315" fillId="0" borderId="3" xfId="1" applyNumberFormat="1" applyFont="1" applyBorder="1" applyAlignment="1">
      <alignment horizontal="right" vertical="center" wrapText="1"/>
    </xf>
    <xf numFmtId="164" fontId="315" fillId="5" borderId="3" xfId="1" applyNumberFormat="1" applyFont="1" applyFill="1" applyBorder="1" applyAlignment="1">
      <alignment horizontal="right" vertical="center" wrapText="1"/>
    </xf>
    <xf numFmtId="43" fontId="259" fillId="0" borderId="3" xfId="1" applyFont="1" applyFill="1" applyBorder="1" applyAlignment="1">
      <alignment horizontal="left" wrapText="1"/>
    </xf>
    <xf numFmtId="164" fontId="108" fillId="5" borderId="3" xfId="1" applyNumberFormat="1" applyFont="1" applyFill="1" applyBorder="1" applyAlignment="1">
      <alignment horizontal="right" vertical="center" wrapText="1"/>
    </xf>
    <xf numFmtId="43" fontId="108" fillId="0" borderId="3" xfId="1" applyNumberFormat="1" applyFont="1" applyBorder="1" applyAlignment="1">
      <alignment horizontal="right" vertical="center" wrapText="1"/>
    </xf>
    <xf numFmtId="164" fontId="108" fillId="0" borderId="3" xfId="1" applyNumberFormat="1" applyFont="1" applyBorder="1" applyAlignment="1">
      <alignment horizontal="left" wrapText="1"/>
    </xf>
    <xf numFmtId="164" fontId="315" fillId="0" borderId="3" xfId="1" applyNumberFormat="1" applyFont="1" applyBorder="1" applyAlignment="1">
      <alignment horizontal="right" wrapText="1"/>
    </xf>
    <xf numFmtId="43" fontId="228" fillId="0" borderId="3" xfId="1" applyNumberFormat="1" applyFont="1" applyBorder="1" applyAlignment="1">
      <alignment horizontal="right"/>
    </xf>
    <xf numFmtId="0" fontId="108" fillId="0" borderId="2" xfId="0" applyFont="1" applyBorder="1"/>
    <xf numFmtId="43" fontId="259" fillId="0" borderId="2" xfId="1" applyFont="1" applyFill="1" applyBorder="1" applyAlignment="1">
      <alignment horizontal="left" wrapText="1"/>
    </xf>
    <xf numFmtId="164" fontId="108" fillId="0" borderId="2" xfId="1" applyNumberFormat="1" applyFont="1" applyBorder="1" applyAlignment="1">
      <alignment horizontal="left" wrapText="1"/>
    </xf>
    <xf numFmtId="164" fontId="259" fillId="0" borderId="2" xfId="1" applyNumberFormat="1" applyFont="1" applyBorder="1" applyAlignment="1">
      <alignment horizontal="right" vertical="top" wrapText="1"/>
    </xf>
    <xf numFmtId="164" fontId="315" fillId="0" borderId="2" xfId="1" applyNumberFormat="1" applyFont="1" applyBorder="1" applyAlignment="1">
      <alignment horizontal="right" wrapText="1"/>
    </xf>
    <xf numFmtId="43" fontId="228" fillId="0" borderId="2" xfId="1" applyNumberFormat="1" applyFont="1" applyBorder="1" applyAlignment="1">
      <alignment horizontal="right"/>
    </xf>
    <xf numFmtId="0" fontId="229" fillId="0" borderId="3" xfId="0" applyFont="1" applyFill="1" applyBorder="1" applyAlignment="1">
      <alignment vertical="center"/>
    </xf>
    <xf numFmtId="164" fontId="108" fillId="0" borderId="3" xfId="1" applyNumberFormat="1" applyFont="1" applyBorder="1" applyAlignment="1">
      <alignment horizontal="right" wrapText="1"/>
    </xf>
    <xf numFmtId="0" fontId="228" fillId="18" borderId="3" xfId="0" applyFont="1" applyFill="1" applyBorder="1"/>
    <xf numFmtId="164" fontId="315" fillId="18" borderId="3" xfId="1" applyNumberFormat="1" applyFont="1" applyFill="1" applyBorder="1" applyAlignment="1">
      <alignment horizontal="right" wrapText="1"/>
    </xf>
    <xf numFmtId="0" fontId="229" fillId="0" borderId="3" xfId="0" applyFont="1" applyFill="1" applyBorder="1" applyAlignment="1">
      <alignment vertical="center" wrapText="1"/>
    </xf>
    <xf numFmtId="43" fontId="319" fillId="3" borderId="3" xfId="1" applyFont="1" applyFill="1" applyBorder="1" applyAlignment="1">
      <alignment horizontal="left" wrapText="1"/>
    </xf>
    <xf numFmtId="0" fontId="90" fillId="3" borderId="3" xfId="1" applyNumberFormat="1" applyFont="1" applyFill="1" applyBorder="1" applyAlignment="1">
      <alignment horizontal="left" wrapText="1"/>
    </xf>
    <xf numFmtId="0" fontId="320" fillId="0" borderId="3" xfId="0" applyFont="1" applyFill="1" applyBorder="1" applyAlignment="1">
      <alignment vertical="center" wrapText="1"/>
    </xf>
    <xf numFmtId="0" fontId="0" fillId="0" borderId="3" xfId="0" applyBorder="1" applyAlignment="1">
      <alignment horizontal="center"/>
    </xf>
    <xf numFmtId="0" fontId="28" fillId="0" borderId="3" xfId="0" applyFont="1" applyBorder="1" applyAlignment="1">
      <alignment horizontal="center" vertical="center" wrapText="1"/>
    </xf>
    <xf numFmtId="0" fontId="27" fillId="0" borderId="2" xfId="0" applyFont="1" applyBorder="1" applyAlignment="1">
      <alignment vertical="center"/>
    </xf>
    <xf numFmtId="0" fontId="27" fillId="0" borderId="9" xfId="0" applyFont="1" applyBorder="1" applyAlignment="1">
      <alignment vertical="center"/>
    </xf>
    <xf numFmtId="0" fontId="27" fillId="0" borderId="6" xfId="0" applyFont="1" applyBorder="1" applyAlignment="1">
      <alignment vertical="center"/>
    </xf>
    <xf numFmtId="0" fontId="321" fillId="0" borderId="3" xfId="0" applyFont="1" applyFill="1" applyBorder="1" applyAlignment="1">
      <alignment horizontal="center" vertical="center" wrapText="1"/>
    </xf>
    <xf numFmtId="0" fontId="321" fillId="0" borderId="3" xfId="0" applyFont="1" applyFill="1" applyBorder="1" applyAlignment="1">
      <alignment vertical="center" wrapText="1"/>
    </xf>
    <xf numFmtId="0" fontId="322" fillId="0" borderId="3" xfId="0" applyFont="1" applyFill="1" applyBorder="1" applyAlignment="1">
      <alignment horizontal="left" vertical="center"/>
    </xf>
    <xf numFmtId="1" fontId="323" fillId="0" borderId="3" xfId="0" applyNumberFormat="1" applyFont="1" applyFill="1" applyBorder="1" applyAlignment="1"/>
    <xf numFmtId="0" fontId="324" fillId="0" borderId="3" xfId="0" applyFont="1" applyFill="1" applyBorder="1" applyAlignment="1">
      <alignment horizontal="left" vertical="center" wrapText="1"/>
    </xf>
    <xf numFmtId="164" fontId="323" fillId="0" borderId="3" xfId="8" applyNumberFormat="1" applyFont="1" applyFill="1" applyBorder="1" applyAlignment="1" applyProtection="1">
      <alignment horizontal="center" vertical="center"/>
    </xf>
    <xf numFmtId="164" fontId="323" fillId="0" borderId="3" xfId="8" applyNumberFormat="1" applyFont="1" applyFill="1" applyBorder="1" applyAlignment="1" applyProtection="1">
      <alignment horizontal="center" vertical="center" wrapText="1"/>
    </xf>
    <xf numFmtId="164" fontId="326" fillId="0" borderId="3" xfId="8" applyNumberFormat="1" applyFont="1" applyFill="1" applyBorder="1" applyAlignment="1" applyProtection="1">
      <alignment horizontal="center" vertical="center" wrapText="1"/>
    </xf>
    <xf numFmtId="164" fontId="327" fillId="0" borderId="3" xfId="8" applyNumberFormat="1" applyFont="1" applyFill="1" applyBorder="1" applyAlignment="1" applyProtection="1"/>
    <xf numFmtId="43" fontId="323" fillId="0" borderId="3" xfId="8" applyFont="1" applyFill="1" applyBorder="1" applyAlignment="1" applyProtection="1">
      <alignment horizontal="center"/>
    </xf>
    <xf numFmtId="164" fontId="323" fillId="0" borderId="3" xfId="8" applyNumberFormat="1" applyFont="1" applyFill="1" applyBorder="1" applyAlignment="1" applyProtection="1">
      <alignment horizontal="center"/>
    </xf>
    <xf numFmtId="0" fontId="328" fillId="0" borderId="21" xfId="0" applyFont="1" applyFill="1" applyBorder="1" applyAlignment="1"/>
    <xf numFmtId="43" fontId="329" fillId="0" borderId="3" xfId="8" applyFont="1" applyFill="1" applyBorder="1" applyAlignment="1" applyProtection="1"/>
    <xf numFmtId="0" fontId="324" fillId="0" borderId="3" xfId="0" applyFont="1" applyFill="1" applyBorder="1" applyAlignment="1">
      <alignment horizontal="left" vertical="top" wrapText="1"/>
    </xf>
    <xf numFmtId="43" fontId="323" fillId="0" borderId="3" xfId="8" applyFont="1" applyFill="1" applyBorder="1" applyAlignment="1" applyProtection="1"/>
    <xf numFmtId="164" fontId="327" fillId="0" borderId="3" xfId="8" applyNumberFormat="1" applyFont="1" applyFill="1" applyBorder="1" applyAlignment="1" applyProtection="1">
      <alignment horizontal="center" vertical="center"/>
    </xf>
    <xf numFmtId="4" fontId="331" fillId="0" borderId="3" xfId="0" applyNumberFormat="1" applyFont="1" applyFill="1" applyBorder="1" applyAlignment="1"/>
    <xf numFmtId="0" fontId="323" fillId="0" borderId="3" xfId="0" applyFont="1" applyFill="1" applyBorder="1" applyAlignment="1">
      <alignment vertical="center" wrapText="1"/>
    </xf>
    <xf numFmtId="0" fontId="324" fillId="0" borderId="3" xfId="0" applyFont="1" applyFill="1" applyBorder="1" applyAlignment="1">
      <alignment horizontal="left" wrapText="1"/>
    </xf>
    <xf numFmtId="0" fontId="324" fillId="0" borderId="3" xfId="9" applyFont="1" applyFill="1" applyBorder="1" applyAlignment="1" applyProtection="1">
      <alignment horizontal="left" wrapText="1"/>
    </xf>
    <xf numFmtId="164" fontId="327" fillId="0" borderId="3" xfId="9" applyNumberFormat="1" applyFont="1" applyFill="1" applyBorder="1" applyAlignment="1" applyProtection="1">
      <alignment horizontal="justify" vertical="center" wrapText="1"/>
    </xf>
    <xf numFmtId="43" fontId="323" fillId="0" borderId="3" xfId="8" applyFont="1" applyFill="1" applyBorder="1" applyAlignment="1" applyProtection="1">
      <alignment vertical="center" wrapText="1"/>
    </xf>
    <xf numFmtId="43" fontId="327" fillId="0" borderId="3" xfId="8" applyFont="1" applyFill="1" applyBorder="1" applyAlignment="1" applyProtection="1"/>
    <xf numFmtId="4" fontId="332" fillId="0" borderId="3" xfId="9" applyNumberFormat="1" applyFont="1" applyFill="1" applyBorder="1" applyAlignment="1" applyProtection="1"/>
    <xf numFmtId="0" fontId="328" fillId="13" borderId="21" xfId="0" applyFont="1" applyFill="1" applyBorder="1" applyAlignment="1"/>
    <xf numFmtId="0" fontId="333" fillId="0" borderId="3" xfId="0" applyFont="1" applyFill="1" applyBorder="1" applyAlignment="1">
      <alignment horizontal="left" vertical="center"/>
    </xf>
    <xf numFmtId="0" fontId="323" fillId="0" borderId="3" xfId="0" applyFont="1" applyFill="1" applyBorder="1" applyAlignment="1">
      <alignment horizontal="left" vertical="center"/>
    </xf>
    <xf numFmtId="164" fontId="327" fillId="0" borderId="3" xfId="8" applyNumberFormat="1" applyFont="1" applyFill="1" applyBorder="1" applyAlignment="1" applyProtection="1">
      <alignment horizontal="center"/>
    </xf>
    <xf numFmtId="0" fontId="334" fillId="0" borderId="3" xfId="0" applyFont="1" applyFill="1" applyBorder="1" applyAlignment="1">
      <alignment horizontal="left"/>
    </xf>
    <xf numFmtId="164" fontId="323" fillId="0" borderId="3" xfId="8" applyNumberFormat="1" applyFont="1" applyFill="1" applyBorder="1" applyAlignment="1" applyProtection="1"/>
    <xf numFmtId="164" fontId="323" fillId="0" borderId="3" xfId="0" applyNumberFormat="1" applyFont="1" applyFill="1" applyBorder="1" applyAlignment="1">
      <alignment horizontal="center"/>
    </xf>
    <xf numFmtId="164" fontId="329" fillId="0" borderId="3" xfId="0" applyNumberFormat="1" applyFont="1" applyFill="1" applyBorder="1" applyAlignment="1"/>
    <xf numFmtId="4" fontId="335" fillId="0" borderId="3" xfId="0" applyNumberFormat="1" applyFont="1" applyFill="1" applyBorder="1" applyAlignment="1"/>
    <xf numFmtId="0" fontId="324" fillId="0" borderId="3" xfId="0" applyFont="1" applyFill="1" applyBorder="1" applyAlignment="1">
      <alignment vertical="center" wrapText="1"/>
    </xf>
    <xf numFmtId="4" fontId="329" fillId="0" borderId="3" xfId="0" applyNumberFormat="1" applyFont="1" applyFill="1" applyBorder="1" applyAlignment="1"/>
    <xf numFmtId="4" fontId="336" fillId="0" borderId="3" xfId="0" applyNumberFormat="1" applyFont="1" applyFill="1" applyBorder="1" applyAlignment="1"/>
    <xf numFmtId="0" fontId="324" fillId="0" borderId="3" xfId="0" applyFont="1" applyFill="1" applyBorder="1" applyAlignment="1">
      <alignment wrapText="1"/>
    </xf>
    <xf numFmtId="43" fontId="323" fillId="0" borderId="3" xfId="8" applyFont="1" applyFill="1" applyBorder="1" applyAlignment="1" applyProtection="1">
      <alignment horizontal="right" vertical="center" wrapText="1"/>
    </xf>
    <xf numFmtId="165" fontId="323" fillId="0" borderId="3" xfId="0" applyNumberFormat="1" applyFont="1" applyFill="1" applyBorder="1" applyAlignment="1"/>
    <xf numFmtId="43" fontId="323" fillId="0" borderId="3" xfId="1" applyFont="1" applyFill="1" applyBorder="1" applyAlignment="1" applyProtection="1">
      <alignment horizontal="center"/>
    </xf>
    <xf numFmtId="43" fontId="323" fillId="0" borderId="3" xfId="8" applyFont="1" applyFill="1" applyBorder="1" applyAlignment="1" applyProtection="1">
      <alignment horizontal="center" vertical="center" wrapText="1"/>
    </xf>
    <xf numFmtId="166" fontId="323" fillId="0" borderId="3" xfId="0" applyNumberFormat="1" applyFont="1" applyFill="1" applyBorder="1" applyAlignment="1"/>
    <xf numFmtId="0" fontId="324" fillId="0" borderId="3" xfId="9" applyFont="1" applyFill="1" applyBorder="1" applyAlignment="1" applyProtection="1">
      <alignment wrapText="1"/>
    </xf>
    <xf numFmtId="14" fontId="323" fillId="0" borderId="3" xfId="0" applyNumberFormat="1" applyFont="1" applyFill="1" applyBorder="1" applyAlignment="1"/>
    <xf numFmtId="164" fontId="323" fillId="0" borderId="3" xfId="8" applyNumberFormat="1" applyFont="1" applyFill="1" applyBorder="1" applyAlignment="1" applyProtection="1">
      <alignment vertical="center" wrapText="1"/>
    </xf>
    <xf numFmtId="0" fontId="329" fillId="0" borderId="3" xfId="0" applyFont="1" applyFill="1" applyBorder="1" applyAlignment="1"/>
    <xf numFmtId="14" fontId="323" fillId="0" borderId="3" xfId="0" applyNumberFormat="1" applyFont="1" applyFill="1" applyBorder="1" applyAlignment="1">
      <alignment vertical="center" wrapText="1"/>
    </xf>
    <xf numFmtId="0" fontId="323" fillId="0" borderId="3" xfId="0" applyNumberFormat="1" applyFont="1" applyFill="1" applyBorder="1" applyAlignment="1"/>
    <xf numFmtId="43" fontId="337" fillId="0" borderId="3" xfId="8" applyFont="1" applyFill="1" applyBorder="1" applyAlignment="1" applyProtection="1">
      <alignment horizontal="center"/>
    </xf>
    <xf numFmtId="43" fontId="327" fillId="0" borderId="3" xfId="8" applyFont="1" applyFill="1" applyBorder="1" applyAlignment="1" applyProtection="1">
      <alignment horizontal="center" vertical="center"/>
    </xf>
    <xf numFmtId="43" fontId="338" fillId="0" borderId="3" xfId="8" applyFont="1" applyFill="1" applyBorder="1" applyAlignment="1" applyProtection="1"/>
    <xf numFmtId="4" fontId="339" fillId="0" borderId="3" xfId="9" applyNumberFormat="1" applyFont="1" applyFill="1" applyBorder="1" applyAlignment="1" applyProtection="1"/>
    <xf numFmtId="0" fontId="324" fillId="0" borderId="3" xfId="0" applyFont="1" applyFill="1" applyBorder="1" applyAlignment="1">
      <alignment vertical="top" wrapText="1"/>
    </xf>
    <xf numFmtId="1" fontId="338" fillId="0" borderId="3" xfId="0" applyNumberFormat="1" applyFont="1" applyFill="1" applyBorder="1" applyAlignment="1"/>
    <xf numFmtId="164" fontId="327" fillId="0" borderId="3" xfId="8" applyNumberFormat="1" applyFont="1" applyFill="1" applyBorder="1" applyAlignment="1" applyProtection="1">
      <alignment horizontal="right"/>
    </xf>
    <xf numFmtId="43" fontId="323" fillId="0" borderId="3" xfId="8" applyFont="1" applyFill="1" applyBorder="1" applyAlignment="1" applyProtection="1">
      <alignment horizontal="center" wrapText="1"/>
    </xf>
    <xf numFmtId="0" fontId="334" fillId="0" borderId="3" xfId="0" applyFont="1" applyFill="1" applyBorder="1" applyAlignment="1">
      <alignment horizontal="left" wrapText="1"/>
    </xf>
    <xf numFmtId="164" fontId="332" fillId="0" borderId="3" xfId="8" applyNumberFormat="1" applyFont="1" applyFill="1" applyBorder="1" applyAlignment="1" applyProtection="1"/>
    <xf numFmtId="0" fontId="340" fillId="0" borderId="3" xfId="0" applyFont="1" applyFill="1" applyBorder="1" applyAlignment="1">
      <alignment horizontal="left"/>
    </xf>
    <xf numFmtId="164" fontId="332" fillId="0" borderId="3" xfId="8" applyNumberFormat="1" applyFont="1" applyFill="1" applyBorder="1" applyAlignment="1" applyProtection="1">
      <alignment horizontal="center" vertical="center"/>
    </xf>
    <xf numFmtId="0" fontId="334" fillId="0" borderId="3" xfId="0" applyFont="1" applyFill="1" applyBorder="1" applyAlignment="1">
      <alignment horizontal="left" vertical="center" wrapText="1"/>
    </xf>
    <xf numFmtId="164" fontId="341" fillId="0" borderId="3" xfId="8" applyNumberFormat="1" applyFont="1" applyFill="1" applyBorder="1" applyAlignment="1" applyProtection="1"/>
    <xf numFmtId="43" fontId="332" fillId="0" borderId="3" xfId="8" applyFont="1" applyFill="1" applyBorder="1" applyAlignment="1" applyProtection="1"/>
    <xf numFmtId="0" fontId="334" fillId="0" borderId="3" xfId="0" applyFont="1" applyFill="1" applyBorder="1" applyAlignment="1">
      <alignment horizontal="justify" wrapText="1"/>
    </xf>
    <xf numFmtId="164" fontId="332" fillId="0" borderId="3" xfId="8" applyNumberFormat="1" applyFont="1" applyFill="1" applyBorder="1" applyAlignment="1" applyProtection="1">
      <alignment horizontal="center"/>
    </xf>
    <xf numFmtId="164" fontId="342" fillId="0" borderId="3" xfId="0" applyNumberFormat="1" applyFont="1" applyFill="1" applyBorder="1" applyAlignment="1"/>
    <xf numFmtId="43" fontId="332" fillId="0" borderId="3" xfId="8" applyFont="1" applyFill="1" applyBorder="1" applyAlignment="1" applyProtection="1">
      <alignment horizontal="center"/>
    </xf>
    <xf numFmtId="0" fontId="334" fillId="0" borderId="3" xfId="9" applyFont="1" applyFill="1" applyBorder="1" applyAlignment="1" applyProtection="1">
      <alignment wrapText="1"/>
    </xf>
    <xf numFmtId="0" fontId="343" fillId="0" borderId="3" xfId="0" applyFont="1" applyFill="1" applyBorder="1" applyAlignment="1">
      <alignment horizontal="left" vertical="center"/>
    </xf>
    <xf numFmtId="1" fontId="321" fillId="0" borderId="3" xfId="0" applyNumberFormat="1" applyFont="1" applyFill="1" applyBorder="1" applyAlignment="1"/>
    <xf numFmtId="164" fontId="321" fillId="0" borderId="3" xfId="8" applyNumberFormat="1" applyFont="1" applyFill="1" applyBorder="1" applyAlignment="1" applyProtection="1">
      <alignment horizontal="center" vertical="center"/>
    </xf>
    <xf numFmtId="164" fontId="321" fillId="0" borderId="3" xfId="8" applyNumberFormat="1" applyFont="1" applyFill="1" applyBorder="1" applyAlignment="1" applyProtection="1">
      <alignment horizontal="center" vertical="center" wrapText="1"/>
    </xf>
    <xf numFmtId="164" fontId="344" fillId="0" borderId="3" xfId="8" applyNumberFormat="1" applyFont="1" applyFill="1" applyBorder="1" applyAlignment="1" applyProtection="1">
      <alignment horizontal="center" vertical="center" wrapText="1"/>
    </xf>
    <xf numFmtId="164" fontId="345" fillId="0" borderId="3" xfId="8" applyNumberFormat="1" applyFont="1" applyFill="1" applyBorder="1" applyAlignment="1" applyProtection="1"/>
    <xf numFmtId="4" fontId="346" fillId="0" borderId="3" xfId="0" applyNumberFormat="1" applyFont="1" applyFill="1" applyBorder="1" applyAlignment="1"/>
    <xf numFmtId="43" fontId="323" fillId="0" borderId="3" xfId="8" applyFont="1" applyFill="1" applyBorder="1" applyAlignment="1" applyProtection="1">
      <alignment horizontal="center" vertical="center"/>
    </xf>
    <xf numFmtId="164" fontId="344" fillId="0" borderId="3" xfId="9" applyNumberFormat="1" applyFont="1" applyFill="1" applyBorder="1" applyAlignment="1" applyProtection="1">
      <alignment horizontal="left" wrapText="1"/>
    </xf>
    <xf numFmtId="164" fontId="345" fillId="0" borderId="3" xfId="8" applyNumberFormat="1" applyFont="1" applyFill="1" applyBorder="1" applyAlignment="1" applyProtection="1">
      <alignment horizontal="center" vertical="center"/>
    </xf>
    <xf numFmtId="43" fontId="321" fillId="0" borderId="3" xfId="8" applyFont="1" applyFill="1" applyBorder="1" applyAlignment="1" applyProtection="1"/>
    <xf numFmtId="164" fontId="321" fillId="0" borderId="3" xfId="8" applyNumberFormat="1" applyFont="1" applyFill="1" applyBorder="1" applyAlignment="1" applyProtection="1">
      <alignment horizontal="center"/>
    </xf>
    <xf numFmtId="43" fontId="321" fillId="0" borderId="3" xfId="8" applyFont="1" applyFill="1" applyBorder="1" applyAlignment="1" applyProtection="1">
      <alignment horizontal="center"/>
    </xf>
    <xf numFmtId="43" fontId="345" fillId="0" borderId="3" xfId="8" applyFont="1" applyFill="1" applyBorder="1" applyAlignment="1" applyProtection="1"/>
    <xf numFmtId="0" fontId="347" fillId="0" borderId="3" xfId="0" applyFont="1" applyFill="1" applyBorder="1" applyAlignment="1">
      <alignment horizontal="left" vertical="center"/>
    </xf>
    <xf numFmtId="164" fontId="348" fillId="0" borderId="3" xfId="8" applyNumberFormat="1" applyFont="1" applyFill="1" applyBorder="1" applyAlignment="1" applyProtection="1"/>
    <xf numFmtId="43" fontId="349" fillId="0" borderId="3" xfId="8" applyFont="1" applyFill="1" applyBorder="1" applyAlignment="1" applyProtection="1">
      <alignment horizontal="center"/>
    </xf>
    <xf numFmtId="164" fontId="348" fillId="0" borderId="3" xfId="8" applyNumberFormat="1" applyFont="1" applyFill="1" applyBorder="1" applyAlignment="1" applyProtection="1">
      <alignment horizontal="center" vertical="center"/>
    </xf>
    <xf numFmtId="164" fontId="350" fillId="0" borderId="3" xfId="8" applyNumberFormat="1" applyFont="1" applyFill="1" applyBorder="1" applyAlignment="1" applyProtection="1">
      <alignment horizontal="center" vertical="center" wrapText="1"/>
    </xf>
    <xf numFmtId="43" fontId="348" fillId="0" borderId="3" xfId="8" applyFont="1" applyFill="1" applyBorder="1" applyAlignment="1" applyProtection="1"/>
    <xf numFmtId="4" fontId="351" fillId="0" borderId="3" xfId="0" applyNumberFormat="1" applyFont="1" applyFill="1" applyBorder="1" applyAlignment="1"/>
    <xf numFmtId="43" fontId="326" fillId="0" borderId="3" xfId="8" applyFont="1" applyFill="1" applyBorder="1" applyAlignment="1" applyProtection="1">
      <alignment horizontal="center" vertical="center" wrapText="1"/>
    </xf>
    <xf numFmtId="14" fontId="323" fillId="0" borderId="3" xfId="0" applyNumberFormat="1" applyFont="1" applyFill="1" applyBorder="1" applyAlignment="1">
      <alignment horizontal="left" vertical="center"/>
    </xf>
    <xf numFmtId="164" fontId="327" fillId="0" borderId="3" xfId="8" applyNumberFormat="1" applyFont="1" applyFill="1" applyBorder="1" applyAlignment="1" applyProtection="1">
      <alignment vertical="center"/>
    </xf>
    <xf numFmtId="164" fontId="338" fillId="0" borderId="3" xfId="8" applyNumberFormat="1" applyFont="1" applyFill="1" applyBorder="1" applyAlignment="1" applyProtection="1">
      <alignment horizontal="center"/>
    </xf>
    <xf numFmtId="164" fontId="338" fillId="0" borderId="3" xfId="8" applyNumberFormat="1" applyFont="1" applyFill="1" applyBorder="1" applyAlignment="1" applyProtection="1">
      <alignment horizontal="center" vertical="center" wrapText="1"/>
    </xf>
    <xf numFmtId="164" fontId="352" fillId="0" borderId="3" xfId="8" applyNumberFormat="1" applyFont="1" applyFill="1" applyBorder="1" applyAlignment="1" applyProtection="1">
      <alignment horizontal="center" vertical="center"/>
    </xf>
    <xf numFmtId="164" fontId="353" fillId="0" borderId="3" xfId="8" applyNumberFormat="1" applyFont="1" applyFill="1" applyBorder="1" applyAlignment="1" applyProtection="1">
      <alignment horizontal="center" vertical="center" wrapText="1"/>
    </xf>
    <xf numFmtId="43" fontId="338" fillId="0" borderId="3" xfId="8" applyFont="1" applyFill="1" applyBorder="1" applyAlignment="1" applyProtection="1">
      <alignment horizontal="center"/>
    </xf>
    <xf numFmtId="43" fontId="354" fillId="0" borderId="3" xfId="8" applyFont="1" applyFill="1" applyBorder="1" applyAlignment="1" applyProtection="1"/>
    <xf numFmtId="164" fontId="354" fillId="0" borderId="3" xfId="0" applyNumberFormat="1" applyFont="1" applyFill="1" applyBorder="1" applyAlignment="1"/>
    <xf numFmtId="43" fontId="353" fillId="0" borderId="3" xfId="8" applyFont="1" applyFill="1" applyBorder="1" applyAlignment="1" applyProtection="1">
      <alignment horizontal="center" vertical="center" wrapText="1"/>
    </xf>
    <xf numFmtId="1" fontId="355" fillId="0" borderId="3" xfId="0" applyNumberFormat="1" applyFont="1" applyFill="1" applyBorder="1" applyAlignment="1"/>
    <xf numFmtId="0" fontId="356" fillId="0" borderId="3" xfId="0" applyFont="1" applyFill="1" applyBorder="1" applyAlignment="1">
      <alignment horizontal="left" vertical="center"/>
    </xf>
    <xf numFmtId="164" fontId="355" fillId="0" borderId="3" xfId="8" applyNumberFormat="1" applyFont="1" applyFill="1" applyBorder="1" applyAlignment="1" applyProtection="1">
      <alignment horizontal="center"/>
    </xf>
    <xf numFmtId="164" fontId="355" fillId="0" borderId="3" xfId="8" applyNumberFormat="1" applyFont="1" applyFill="1" applyBorder="1" applyAlignment="1" applyProtection="1">
      <alignment horizontal="center" vertical="center" wrapText="1"/>
    </xf>
    <xf numFmtId="164" fontId="357" fillId="0" borderId="3" xfId="8" applyNumberFormat="1" applyFont="1" applyFill="1" applyBorder="1" applyAlignment="1" applyProtection="1">
      <alignment horizontal="center" vertical="center"/>
    </xf>
    <xf numFmtId="43" fontId="355" fillId="0" borderId="3" xfId="8" applyFont="1" applyFill="1" applyBorder="1" applyAlignment="1" applyProtection="1">
      <alignment horizontal="center"/>
    </xf>
    <xf numFmtId="43" fontId="357" fillId="0" borderId="3" xfId="8" applyFont="1" applyFill="1" applyBorder="1" applyAlignment="1" applyProtection="1"/>
    <xf numFmtId="1" fontId="358" fillId="0" borderId="3" xfId="0" applyNumberFormat="1" applyFont="1" applyFill="1" applyBorder="1" applyAlignment="1"/>
    <xf numFmtId="0" fontId="356" fillId="0" borderId="3" xfId="0" applyFont="1" applyFill="1" applyBorder="1" applyAlignment="1">
      <alignment horizontal="left" vertical="center" wrapText="1"/>
    </xf>
    <xf numFmtId="164" fontId="358" fillId="0" borderId="3" xfId="8" applyNumberFormat="1" applyFont="1" applyFill="1" applyBorder="1" applyAlignment="1" applyProtection="1">
      <alignment horizontal="center"/>
    </xf>
    <xf numFmtId="164" fontId="358" fillId="0" borderId="3" xfId="8" applyNumberFormat="1" applyFont="1" applyFill="1" applyBorder="1" applyAlignment="1" applyProtection="1">
      <alignment horizontal="center" vertical="center" wrapText="1"/>
    </xf>
    <xf numFmtId="164" fontId="359" fillId="0" borderId="3" xfId="8" applyNumberFormat="1" applyFont="1" applyFill="1" applyBorder="1" applyAlignment="1" applyProtection="1">
      <alignment horizontal="center" vertical="center"/>
    </xf>
    <xf numFmtId="43" fontId="358" fillId="0" borderId="3" xfId="8" applyFont="1" applyFill="1" applyBorder="1" applyAlignment="1" applyProtection="1">
      <alignment horizontal="center"/>
    </xf>
    <xf numFmtId="43" fontId="359" fillId="0" borderId="3" xfId="8" applyFont="1" applyFill="1" applyBorder="1" applyAlignment="1" applyProtection="1"/>
    <xf numFmtId="43" fontId="355" fillId="0" borderId="3" xfId="8" applyFont="1" applyFill="1" applyBorder="1" applyAlignment="1" applyProtection="1">
      <alignment horizontal="center" vertical="center" wrapText="1"/>
    </xf>
    <xf numFmtId="0" fontId="355" fillId="0" borderId="3" xfId="0" applyFont="1" applyFill="1" applyBorder="1" applyAlignment="1">
      <alignment vertical="center" wrapText="1"/>
    </xf>
    <xf numFmtId="0" fontId="356" fillId="0" borderId="3" xfId="0" applyFont="1" applyFill="1" applyBorder="1" applyAlignment="1">
      <alignment horizontal="left" wrapText="1"/>
    </xf>
    <xf numFmtId="164" fontId="355" fillId="0" borderId="3" xfId="8" applyNumberFormat="1" applyFont="1" applyFill="1" applyBorder="1" applyAlignment="1" applyProtection="1">
      <alignment horizontal="center" vertical="center"/>
    </xf>
    <xf numFmtId="164" fontId="357" fillId="0" borderId="3" xfId="8" applyNumberFormat="1" applyFont="1" applyFill="1" applyBorder="1" applyAlignment="1" applyProtection="1"/>
    <xf numFmtId="0" fontId="360" fillId="0" borderId="3" xfId="0" applyFont="1" applyFill="1" applyBorder="1" applyAlignment="1">
      <alignment horizontal="left" vertical="center"/>
    </xf>
    <xf numFmtId="0" fontId="356" fillId="0" borderId="3" xfId="0" applyFont="1" applyFill="1" applyBorder="1" applyAlignment="1">
      <alignment horizontal="justify" wrapText="1"/>
    </xf>
    <xf numFmtId="164" fontId="357" fillId="0" borderId="3" xfId="8" applyNumberFormat="1" applyFont="1" applyFill="1" applyBorder="1" applyAlignment="1" applyProtection="1">
      <alignment horizontal="center"/>
    </xf>
    <xf numFmtId="164" fontId="357" fillId="0" borderId="3" xfId="0" applyNumberFormat="1" applyFont="1" applyFill="1" applyBorder="1" applyAlignment="1"/>
    <xf numFmtId="43" fontId="357" fillId="0" borderId="3" xfId="8" applyFont="1" applyFill="1" applyBorder="1" applyAlignment="1" applyProtection="1">
      <alignment horizontal="center"/>
    </xf>
    <xf numFmtId="0" fontId="356" fillId="0" borderId="3" xfId="9" applyFont="1" applyFill="1" applyBorder="1" applyAlignment="1" applyProtection="1">
      <alignment wrapText="1"/>
    </xf>
    <xf numFmtId="0" fontId="361" fillId="0" borderId="3" xfId="0" applyFont="1" applyFill="1" applyBorder="1" applyAlignment="1">
      <alignment horizontal="left" vertical="center"/>
    </xf>
    <xf numFmtId="0" fontId="362" fillId="0" borderId="3" xfId="0" applyFont="1" applyFill="1" applyBorder="1" applyAlignment="1">
      <alignment horizontal="left"/>
    </xf>
    <xf numFmtId="164" fontId="358" fillId="0" borderId="3" xfId="8" applyNumberFormat="1" applyFont="1" applyFill="1" applyBorder="1" applyAlignment="1" applyProtection="1"/>
    <xf numFmtId="164" fontId="358" fillId="0" borderId="3" xfId="0" applyNumberFormat="1" applyFont="1" applyFill="1" applyBorder="1" applyAlignment="1">
      <alignment horizontal="center"/>
    </xf>
    <xf numFmtId="4" fontId="357" fillId="0" borderId="3" xfId="0" applyNumberFormat="1" applyFont="1" applyFill="1" applyBorder="1" applyAlignment="1"/>
    <xf numFmtId="0" fontId="323" fillId="0" borderId="3" xfId="0" applyFont="1" applyFill="1" applyBorder="1" applyAlignment="1">
      <alignment wrapText="1"/>
    </xf>
    <xf numFmtId="167" fontId="323" fillId="0" borderId="3" xfId="0" applyNumberFormat="1" applyFont="1" applyFill="1" applyBorder="1" applyAlignment="1"/>
    <xf numFmtId="43" fontId="363" fillId="0" borderId="3" xfId="8" applyFont="1" applyFill="1" applyBorder="1" applyAlignment="1" applyProtection="1"/>
    <xf numFmtId="0" fontId="335" fillId="0" borderId="3" xfId="0" applyFont="1" applyFill="1" applyBorder="1" applyAlignment="1"/>
    <xf numFmtId="168" fontId="329" fillId="0" borderId="3" xfId="6" applyFont="1" applyFill="1" applyBorder="1" applyAlignment="1" applyProtection="1"/>
    <xf numFmtId="0" fontId="353" fillId="0" borderId="3" xfId="0" applyFont="1" applyFill="1" applyBorder="1" applyAlignment="1">
      <alignment horizontal="left" wrapText="1"/>
    </xf>
    <xf numFmtId="1" fontId="323" fillId="0" borderId="3" xfId="0" applyNumberFormat="1" applyFont="1" applyFill="1" applyBorder="1" applyAlignment="1">
      <alignment horizontal="center"/>
    </xf>
    <xf numFmtId="4" fontId="329" fillId="0" borderId="3" xfId="0" applyNumberFormat="1" applyFont="1" applyFill="1" applyBorder="1" applyAlignment="1">
      <alignment horizontal="right"/>
    </xf>
    <xf numFmtId="2" fontId="329" fillId="0" borderId="3" xfId="0" applyNumberFormat="1" applyFont="1" applyFill="1" applyBorder="1" applyAlignment="1"/>
    <xf numFmtId="0" fontId="338" fillId="0" borderId="3" xfId="0" applyFont="1" applyFill="1" applyBorder="1" applyAlignment="1">
      <alignment vertical="center" wrapText="1"/>
    </xf>
    <xf numFmtId="14" fontId="323" fillId="0" borderId="3" xfId="0" applyNumberFormat="1" applyFont="1" applyFill="1" applyBorder="1" applyAlignment="1">
      <alignment horizontal="left" vertical="center" wrapText="1"/>
    </xf>
    <xf numFmtId="0" fontId="324" fillId="0" borderId="3" xfId="9" applyFont="1" applyFill="1" applyBorder="1" applyAlignment="1" applyProtection="1">
      <alignment vertical="center" wrapText="1"/>
    </xf>
    <xf numFmtId="164" fontId="327" fillId="0" borderId="3" xfId="9" applyNumberFormat="1" applyFont="1" applyFill="1" applyBorder="1" applyAlignment="1" applyProtection="1">
      <alignment horizontal="center" wrapText="1"/>
    </xf>
    <xf numFmtId="164" fontId="327" fillId="0" borderId="3" xfId="9" applyNumberFormat="1" applyFont="1" applyFill="1" applyBorder="1" applyAlignment="1" applyProtection="1">
      <alignment horizontal="right" wrapText="1"/>
    </xf>
    <xf numFmtId="43" fontId="327" fillId="0" borderId="3" xfId="8" applyFont="1" applyFill="1" applyBorder="1" applyAlignment="1" applyProtection="1">
      <alignment horizontal="center" wrapText="1"/>
    </xf>
    <xf numFmtId="3" fontId="329" fillId="0" borderId="3" xfId="0" applyNumberFormat="1" applyFont="1" applyFill="1" applyBorder="1" applyAlignment="1"/>
    <xf numFmtId="0" fontId="364" fillId="0" borderId="3" xfId="0" applyFont="1" applyFill="1" applyBorder="1" applyAlignment="1">
      <alignment horizontal="left"/>
    </xf>
    <xf numFmtId="164" fontId="326" fillId="0" borderId="3" xfId="9" applyNumberFormat="1" applyFont="1" applyFill="1" applyBorder="1" applyAlignment="1" applyProtection="1">
      <alignment horizontal="left" wrapText="1"/>
    </xf>
    <xf numFmtId="164" fontId="344" fillId="0" borderId="3" xfId="8" applyNumberFormat="1" applyFont="1" applyFill="1" applyBorder="1" applyAlignment="1" applyProtection="1">
      <alignment horizontal="center" vertical="center"/>
    </xf>
    <xf numFmtId="0" fontId="333" fillId="0" borderId="3" xfId="0" applyFont="1" applyFill="1" applyBorder="1" applyAlignment="1">
      <alignment horizontal="left" wrapText="1"/>
    </xf>
    <xf numFmtId="0" fontId="333" fillId="0" borderId="3" xfId="0" applyFont="1" applyFill="1" applyBorder="1" applyAlignment="1">
      <alignment horizontal="center" wrapText="1"/>
    </xf>
    <xf numFmtId="0" fontId="365" fillId="0" borderId="3" xfId="9" applyFont="1" applyFill="1" applyBorder="1" applyAlignment="1" applyProtection="1">
      <alignment horizontal="center" vertical="center"/>
    </xf>
    <xf numFmtId="0" fontId="365" fillId="0" borderId="3" xfId="9" applyFont="1" applyFill="1" applyBorder="1" applyAlignment="1" applyProtection="1">
      <alignment horizontal="center"/>
    </xf>
    <xf numFmtId="0" fontId="365" fillId="0" borderId="3" xfId="9" applyFont="1" applyFill="1" applyBorder="1" applyAlignment="1" applyProtection="1">
      <alignment horizontal="center" wrapText="1"/>
    </xf>
    <xf numFmtId="49" fontId="365" fillId="0" borderId="3" xfId="9" applyNumberFormat="1" applyFont="1" applyFill="1" applyBorder="1" applyAlignment="1" applyProtection="1">
      <alignment horizontal="center" vertical="center" wrapText="1"/>
    </xf>
    <xf numFmtId="43" fontId="365" fillId="0" borderId="3" xfId="8" applyFont="1" applyFill="1" applyBorder="1" applyAlignment="1" applyProtection="1">
      <alignment horizontal="center" wrapText="1"/>
    </xf>
    <xf numFmtId="0" fontId="333" fillId="0" borderId="3" xfId="0" applyFont="1" applyFill="1" applyBorder="1" applyAlignment="1">
      <alignment vertical="center" wrapText="1"/>
    </xf>
    <xf numFmtId="164" fontId="338" fillId="0" borderId="3" xfId="8" applyNumberFormat="1" applyFont="1" applyFill="1" applyBorder="1" applyAlignment="1" applyProtection="1">
      <alignment horizontal="center" vertical="center"/>
    </xf>
    <xf numFmtId="164" fontId="366" fillId="0" borderId="3" xfId="8" applyNumberFormat="1" applyFont="1" applyFill="1" applyBorder="1" applyAlignment="1" applyProtection="1">
      <alignment horizontal="center" vertical="center" wrapText="1"/>
    </xf>
    <xf numFmtId="43" fontId="366" fillId="0" borderId="3" xfId="8" applyFont="1" applyFill="1" applyBorder="1" applyAlignment="1" applyProtection="1">
      <alignment vertical="center" wrapText="1"/>
    </xf>
    <xf numFmtId="49" fontId="366" fillId="0" borderId="3" xfId="8" applyNumberFormat="1" applyFont="1" applyFill="1" applyBorder="1" applyAlignment="1" applyProtection="1">
      <alignment horizontal="center" vertical="center" wrapText="1"/>
    </xf>
    <xf numFmtId="0" fontId="366" fillId="0" borderId="3" xfId="8" applyNumberFormat="1" applyFont="1" applyFill="1" applyBorder="1" applyAlignment="1" applyProtection="1">
      <alignment horizontal="center" vertical="center" wrapText="1"/>
    </xf>
    <xf numFmtId="164" fontId="367" fillId="0" borderId="3" xfId="8" applyNumberFormat="1" applyFont="1" applyFill="1" applyBorder="1" applyAlignment="1" applyProtection="1">
      <alignment horizontal="center" vertical="center" wrapText="1"/>
    </xf>
    <xf numFmtId="43" fontId="324" fillId="0" borderId="3" xfId="8" applyFont="1" applyFill="1" applyBorder="1" applyAlignment="1" applyProtection="1"/>
    <xf numFmtId="0" fontId="368" fillId="0" borderId="3" xfId="0" applyFont="1" applyFill="1" applyBorder="1" applyAlignment="1">
      <alignment vertical="top" wrapText="1"/>
    </xf>
    <xf numFmtId="164" fontId="369" fillId="0" borderId="3" xfId="8" applyNumberFormat="1" applyFont="1" applyFill="1" applyBorder="1" applyAlignment="1" applyProtection="1">
      <alignment horizontal="center" vertical="center"/>
    </xf>
    <xf numFmtId="0" fontId="368" fillId="0" borderId="3" xfId="0" applyFont="1" applyFill="1" applyBorder="1" applyAlignment="1">
      <alignment horizontal="left" vertical="top" wrapText="1"/>
    </xf>
    <xf numFmtId="43" fontId="366" fillId="0" borderId="3" xfId="8" applyFont="1" applyFill="1" applyBorder="1" applyAlignment="1" applyProtection="1">
      <alignment horizontal="center" vertical="center" wrapText="1"/>
    </xf>
    <xf numFmtId="14" fontId="368" fillId="0" borderId="3" xfId="0" applyNumberFormat="1" applyFont="1" applyFill="1" applyBorder="1" applyAlignment="1">
      <alignment horizontal="left" vertical="top" wrapText="1"/>
    </xf>
    <xf numFmtId="0" fontId="370" fillId="0" borderId="3" xfId="0" applyFont="1" applyFill="1" applyBorder="1" applyAlignment="1">
      <alignment wrapText="1"/>
    </xf>
    <xf numFmtId="43" fontId="366" fillId="0" borderId="3" xfId="8" applyFont="1" applyFill="1" applyBorder="1" applyAlignment="1" applyProtection="1">
      <alignment horizontal="center" vertical="center"/>
    </xf>
    <xf numFmtId="43" fontId="323" fillId="14" borderId="3" xfId="1" applyFont="1" applyFill="1" applyBorder="1" applyAlignment="1" applyProtection="1">
      <alignment vertical="center" wrapText="1"/>
    </xf>
    <xf numFmtId="0" fontId="334" fillId="0" borderId="3" xfId="0" applyFont="1" applyFill="1" applyBorder="1" applyAlignment="1">
      <alignment wrapText="1"/>
    </xf>
    <xf numFmtId="43" fontId="371" fillId="0" borderId="3" xfId="8" applyFont="1" applyFill="1" applyBorder="1" applyAlignment="1" applyProtection="1"/>
    <xf numFmtId="1" fontId="326" fillId="0" borderId="3" xfId="0" applyNumberFormat="1" applyFont="1" applyFill="1" applyBorder="1" applyAlignment="1"/>
    <xf numFmtId="164" fontId="326" fillId="0" borderId="3" xfId="8" applyNumberFormat="1" applyFont="1" applyFill="1" applyBorder="1" applyAlignment="1" applyProtection="1">
      <alignment horizontal="center"/>
    </xf>
    <xf numFmtId="43" fontId="326" fillId="0" borderId="3" xfId="8" applyFont="1" applyFill="1" applyBorder="1" applyAlignment="1" applyProtection="1">
      <alignment horizontal="center"/>
    </xf>
    <xf numFmtId="14" fontId="326" fillId="0" borderId="3" xfId="0" applyNumberFormat="1" applyFont="1" applyFill="1" applyBorder="1" applyAlignment="1">
      <alignment vertical="center" wrapText="1"/>
    </xf>
    <xf numFmtId="164" fontId="326" fillId="0" borderId="3" xfId="8" applyNumberFormat="1" applyFont="1" applyFill="1" applyBorder="1" applyAlignment="1" applyProtection="1">
      <alignment horizontal="center" vertical="center"/>
    </xf>
    <xf numFmtId="43" fontId="335" fillId="0" borderId="3" xfId="8" applyFont="1" applyFill="1" applyBorder="1" applyAlignment="1" applyProtection="1"/>
    <xf numFmtId="164" fontId="372" fillId="0" borderId="3" xfId="0" applyNumberFormat="1" applyFont="1" applyFill="1" applyBorder="1" applyAlignment="1"/>
    <xf numFmtId="0" fontId="322" fillId="0" borderId="3" xfId="0" applyFont="1" applyFill="1" applyBorder="1" applyAlignment="1">
      <alignment vertical="center"/>
    </xf>
    <xf numFmtId="4" fontId="327" fillId="0" borderId="3" xfId="9" applyNumberFormat="1" applyFont="1" applyFill="1" applyBorder="1" applyAlignment="1" applyProtection="1"/>
    <xf numFmtId="14" fontId="323" fillId="0" borderId="3" xfId="0" applyNumberFormat="1" applyFont="1" applyFill="1" applyBorder="1" applyAlignment="1">
      <alignment horizontal="center"/>
    </xf>
    <xf numFmtId="0" fontId="323" fillId="0" borderId="3" xfId="0" applyFont="1" applyFill="1" applyBorder="1" applyAlignment="1">
      <alignment horizontal="center" vertical="center" wrapText="1"/>
    </xf>
    <xf numFmtId="1" fontId="323" fillId="0" borderId="3" xfId="7" applyNumberFormat="1" applyFont="1" applyFill="1" applyBorder="1" applyAlignment="1" applyProtection="1"/>
    <xf numFmtId="0" fontId="324" fillId="0" borderId="3" xfId="7" applyFont="1" applyFill="1" applyBorder="1" applyAlignment="1" applyProtection="1">
      <alignment vertical="top" wrapText="1"/>
    </xf>
    <xf numFmtId="164" fontId="341" fillId="0" borderId="3" xfId="8" applyNumberFormat="1" applyFont="1" applyFill="1" applyBorder="1" applyAlignment="1" applyProtection="1">
      <alignment horizontal="center" vertical="center"/>
    </xf>
    <xf numFmtId="164" fontId="341" fillId="0" borderId="3" xfId="8" applyNumberFormat="1" applyFont="1" applyFill="1" applyBorder="1" applyAlignment="1" applyProtection="1">
      <alignment horizontal="center" vertical="center" wrapText="1"/>
    </xf>
    <xf numFmtId="164" fontId="348" fillId="0" borderId="3" xfId="8" applyNumberFormat="1" applyFont="1" applyFill="1" applyBorder="1" applyAlignment="1" applyProtection="1">
      <alignment horizontal="center" vertical="center" wrapText="1"/>
    </xf>
    <xf numFmtId="43" fontId="348" fillId="0" borderId="3" xfId="8" applyFont="1" applyFill="1" applyBorder="1" applyAlignment="1" applyProtection="1">
      <alignment horizontal="center" vertical="center"/>
    </xf>
    <xf numFmtId="43" fontId="325" fillId="0" borderId="3" xfId="8" applyFont="1" applyFill="1" applyBorder="1" applyAlignment="1" applyProtection="1"/>
    <xf numFmtId="0" fontId="322" fillId="0" borderId="3" xfId="7" applyFont="1" applyFill="1" applyBorder="1" applyAlignment="1" applyProtection="1">
      <alignment horizontal="left" vertical="center"/>
    </xf>
    <xf numFmtId="0" fontId="330" fillId="0" borderId="3" xfId="7" applyFont="1" applyFill="1" applyBorder="1" applyAlignment="1" applyProtection="1">
      <alignment horizontal="left" vertical="center" wrapText="1"/>
    </xf>
    <xf numFmtId="164" fontId="368" fillId="0" borderId="3" xfId="8" applyNumberFormat="1" applyFont="1" applyFill="1" applyBorder="1" applyAlignment="1" applyProtection="1">
      <alignment horizontal="center"/>
    </xf>
    <xf numFmtId="164" fontId="368" fillId="0" borderId="3" xfId="8" applyNumberFormat="1" applyFont="1" applyFill="1" applyBorder="1" applyAlignment="1" applyProtection="1">
      <alignment horizontal="center" vertical="center" wrapText="1"/>
    </xf>
    <xf numFmtId="164" fontId="373" fillId="0" borderId="3" xfId="8" applyNumberFormat="1" applyFont="1" applyFill="1" applyBorder="1" applyAlignment="1" applyProtection="1">
      <alignment horizontal="center" vertical="center"/>
    </xf>
    <xf numFmtId="164" fontId="373" fillId="0" borderId="3" xfId="8" applyNumberFormat="1" applyFont="1" applyFill="1" applyBorder="1" applyAlignment="1" applyProtection="1">
      <alignment horizontal="center" vertical="center" wrapText="1"/>
    </xf>
    <xf numFmtId="4" fontId="331" fillId="0" borderId="3" xfId="7" applyNumberFormat="1" applyFont="1" applyFill="1" applyBorder="1" applyAlignment="1" applyProtection="1">
      <alignment vertical="center"/>
    </xf>
    <xf numFmtId="43" fontId="368" fillId="0" borderId="3" xfId="8" applyFont="1" applyFill="1" applyBorder="1" applyAlignment="1" applyProtection="1">
      <alignment horizontal="center" vertical="center" wrapText="1"/>
    </xf>
    <xf numFmtId="0" fontId="323" fillId="0" borderId="3" xfId="7" applyFont="1" applyFill="1" applyBorder="1" applyAlignment="1" applyProtection="1">
      <alignment vertical="center" wrapText="1"/>
    </xf>
    <xf numFmtId="0" fontId="330" fillId="0" borderId="3" xfId="7" applyFont="1" applyFill="1" applyBorder="1" applyAlignment="1" applyProtection="1">
      <alignment wrapText="1"/>
    </xf>
    <xf numFmtId="164" fontId="374" fillId="0" borderId="3" xfId="8" applyNumberFormat="1" applyFont="1" applyFill="1" applyBorder="1" applyAlignment="1" applyProtection="1">
      <alignment horizontal="center" vertical="center"/>
    </xf>
    <xf numFmtId="164" fontId="374" fillId="0" borderId="3" xfId="8" applyNumberFormat="1" applyFont="1" applyFill="1" applyBorder="1" applyAlignment="1" applyProtection="1">
      <alignment horizontal="center" vertical="center" wrapText="1"/>
    </xf>
    <xf numFmtId="164" fontId="375" fillId="0" borderId="3" xfId="8" applyNumberFormat="1" applyFont="1" applyFill="1" applyBorder="1" applyAlignment="1" applyProtection="1">
      <alignment horizontal="center" vertical="center" wrapText="1"/>
    </xf>
    <xf numFmtId="164" fontId="375" fillId="0" borderId="3" xfId="8" applyNumberFormat="1" applyFont="1" applyFill="1" applyBorder="1" applyAlignment="1" applyProtection="1"/>
    <xf numFmtId="43" fontId="373" fillId="0" borderId="3" xfId="8" applyFont="1" applyFill="1" applyBorder="1" applyAlignment="1" applyProtection="1"/>
    <xf numFmtId="0" fontId="324" fillId="0" borderId="3" xfId="7" applyFont="1" applyFill="1" applyBorder="1" applyAlignment="1" applyProtection="1">
      <alignment horizontal="left" wrapText="1"/>
    </xf>
    <xf numFmtId="164" fontId="368" fillId="0" borderId="3" xfId="8" applyNumberFormat="1" applyFont="1" applyFill="1" applyBorder="1" applyAlignment="1" applyProtection="1">
      <alignment horizontal="center" vertical="center"/>
    </xf>
    <xf numFmtId="164" fontId="373" fillId="0" borderId="3" xfId="8" applyNumberFormat="1" applyFont="1" applyFill="1" applyBorder="1" applyAlignment="1" applyProtection="1"/>
    <xf numFmtId="4" fontId="368" fillId="0" borderId="3" xfId="9" applyNumberFormat="1" applyFont="1" applyFill="1" applyBorder="1" applyAlignment="1" applyProtection="1"/>
    <xf numFmtId="0" fontId="324" fillId="0" borderId="3" xfId="7" applyFont="1" applyFill="1" applyBorder="1" applyAlignment="1" applyProtection="1">
      <alignment horizontal="justify" wrapText="1"/>
    </xf>
    <xf numFmtId="164" fontId="373" fillId="0" borderId="3" xfId="8" applyNumberFormat="1" applyFont="1" applyFill="1" applyBorder="1" applyAlignment="1" applyProtection="1">
      <alignment horizontal="center"/>
    </xf>
    <xf numFmtId="164" fontId="375" fillId="0" borderId="3" xfId="7" applyNumberFormat="1" applyFont="1" applyFill="1" applyBorder="1" applyAlignment="1" applyProtection="1"/>
    <xf numFmtId="43" fontId="373" fillId="0" borderId="3" xfId="8" applyFont="1" applyFill="1" applyBorder="1" applyAlignment="1" applyProtection="1">
      <alignment horizontal="center"/>
    </xf>
    <xf numFmtId="49" fontId="323" fillId="0" borderId="3" xfId="0" applyNumberFormat="1" applyFont="1" applyFill="1" applyBorder="1" applyAlignment="1"/>
    <xf numFmtId="49" fontId="323" fillId="0" borderId="3" xfId="0" applyNumberFormat="1" applyFont="1" applyFill="1" applyBorder="1" applyAlignment="1">
      <alignment vertical="center" wrapText="1"/>
    </xf>
    <xf numFmtId="0" fontId="324" fillId="0" borderId="3" xfId="0" applyFont="1" applyFill="1" applyBorder="1" applyAlignment="1">
      <alignment horizontal="justify" vertical="center" wrapText="1"/>
    </xf>
    <xf numFmtId="4" fontId="372" fillId="0" borderId="3" xfId="0" applyNumberFormat="1" applyFont="1" applyFill="1" applyBorder="1" applyAlignment="1">
      <alignment vertical="center"/>
    </xf>
    <xf numFmtId="0" fontId="324" fillId="0" borderId="3" xfId="0" applyFont="1" applyFill="1" applyBorder="1" applyAlignment="1">
      <alignment horizontal="justify" wrapText="1"/>
    </xf>
    <xf numFmtId="43" fontId="327" fillId="0" borderId="3" xfId="8" applyFont="1" applyFill="1" applyBorder="1" applyAlignment="1" applyProtection="1">
      <alignment horizontal="center"/>
    </xf>
    <xf numFmtId="49" fontId="323" fillId="0" borderId="3" xfId="0" applyNumberFormat="1" applyFont="1" applyFill="1" applyBorder="1" applyAlignment="1">
      <alignment horizontal="left" vertical="center"/>
    </xf>
    <xf numFmtId="0" fontId="330" fillId="0" borderId="3" xfId="0" applyFont="1" applyFill="1" applyBorder="1" applyAlignment="1"/>
    <xf numFmtId="43" fontId="326" fillId="0" borderId="3" xfId="8" applyFont="1" applyFill="1" applyBorder="1" applyAlignment="1" applyProtection="1">
      <alignment vertical="center" wrapText="1"/>
    </xf>
    <xf numFmtId="43" fontId="326" fillId="0" borderId="3" xfId="8" applyFont="1" applyFill="1" applyBorder="1" applyAlignment="1" applyProtection="1"/>
    <xf numFmtId="1" fontId="323" fillId="0" borderId="3" xfId="0" quotePrefix="1" applyNumberFormat="1" applyFont="1" applyFill="1" applyBorder="1" applyAlignment="1">
      <alignment horizontal="left"/>
    </xf>
    <xf numFmtId="43" fontId="323" fillId="0" borderId="3" xfId="8" quotePrefix="1" applyFont="1" applyFill="1" applyBorder="1" applyAlignment="1" applyProtection="1">
      <alignment horizontal="center"/>
    </xf>
    <xf numFmtId="0" fontId="324" fillId="0" borderId="3" xfId="0" applyFont="1" applyFill="1" applyBorder="1" applyAlignment="1">
      <alignment horizontal="center" vertical="center" wrapText="1"/>
    </xf>
    <xf numFmtId="0" fontId="323" fillId="0" borderId="3" xfId="0" quotePrefix="1" applyFont="1" applyFill="1" applyBorder="1" applyAlignment="1">
      <alignment horizontal="left" vertical="center"/>
    </xf>
    <xf numFmtId="0" fontId="376" fillId="0" borderId="3" xfId="0" applyFont="1" applyFill="1" applyBorder="1" applyAlignment="1">
      <alignment horizontal="left" vertical="center"/>
    </xf>
    <xf numFmtId="1" fontId="332" fillId="0" borderId="3" xfId="0" applyNumberFormat="1" applyFont="1" applyFill="1" applyBorder="1" applyAlignment="1">
      <alignment horizontal="center"/>
    </xf>
    <xf numFmtId="43" fontId="341" fillId="0" borderId="3" xfId="8" applyFont="1" applyFill="1" applyBorder="1" applyAlignment="1" applyProtection="1"/>
    <xf numFmtId="164" fontId="341" fillId="0" borderId="3" xfId="8" applyNumberFormat="1" applyFont="1" applyFill="1" applyBorder="1" applyAlignment="1" applyProtection="1">
      <alignment horizontal="center"/>
    </xf>
    <xf numFmtId="43" fontId="341" fillId="0" borderId="3" xfId="8" applyFont="1" applyFill="1" applyBorder="1" applyAlignment="1" applyProtection="1">
      <alignment horizontal="center"/>
    </xf>
    <xf numFmtId="43" fontId="341" fillId="0" borderId="3" xfId="8" applyFont="1" applyFill="1" applyBorder="1" applyAlignment="1" applyProtection="1">
      <alignment horizontal="center" vertical="center" wrapText="1"/>
    </xf>
    <xf numFmtId="0" fontId="332" fillId="0" borderId="3" xfId="0" applyFont="1" applyFill="1" applyBorder="1" applyAlignment="1">
      <alignment horizontal="center" vertical="center" wrapText="1"/>
    </xf>
    <xf numFmtId="0" fontId="324" fillId="0" borderId="3" xfId="0" applyFont="1" applyFill="1" applyBorder="1" applyAlignment="1"/>
    <xf numFmtId="164" fontId="341" fillId="0" borderId="3" xfId="8" applyNumberFormat="1" applyFont="1" applyFill="1" applyBorder="1" applyAlignment="1" applyProtection="1">
      <alignment vertical="center" wrapText="1"/>
    </xf>
    <xf numFmtId="164" fontId="341" fillId="0" borderId="3" xfId="0" applyNumberFormat="1" applyFont="1" applyFill="1" applyBorder="1" applyAlignment="1">
      <alignment horizontal="center"/>
    </xf>
    <xf numFmtId="164" fontId="377" fillId="0" borderId="3" xfId="0" applyNumberFormat="1" applyFont="1" applyFill="1" applyBorder="1" applyAlignment="1"/>
    <xf numFmtId="43" fontId="377" fillId="0" borderId="3" xfId="8" applyFont="1" applyFill="1" applyBorder="1" applyAlignment="1" applyProtection="1"/>
    <xf numFmtId="14" fontId="332" fillId="0" borderId="3" xfId="0" applyNumberFormat="1" applyFont="1" applyFill="1" applyBorder="1" applyAlignment="1">
      <alignment horizontal="center" vertical="center" wrapText="1"/>
    </xf>
    <xf numFmtId="43" fontId="341" fillId="0" borderId="3" xfId="8" applyFont="1" applyFill="1" applyBorder="1" applyAlignment="1" applyProtection="1">
      <alignment vertical="center" wrapText="1"/>
    </xf>
    <xf numFmtId="1" fontId="332" fillId="0" borderId="3" xfId="0" applyNumberFormat="1" applyFont="1" applyFill="1" applyBorder="1" applyAlignment="1"/>
    <xf numFmtId="4" fontId="341" fillId="0" borderId="3" xfId="9" applyNumberFormat="1" applyFont="1" applyFill="1" applyBorder="1" applyAlignment="1" applyProtection="1"/>
    <xf numFmtId="4" fontId="377" fillId="0" borderId="3" xfId="0" applyNumberFormat="1" applyFont="1" applyFill="1" applyBorder="1" applyAlignment="1"/>
    <xf numFmtId="0" fontId="322" fillId="0" borderId="4" xfId="0" applyFont="1" applyBorder="1" applyAlignment="1">
      <alignment vertical="center"/>
    </xf>
    <xf numFmtId="17" fontId="329" fillId="0" borderId="3" xfId="0" applyNumberFormat="1" applyFont="1" applyBorder="1" applyAlignment="1"/>
    <xf numFmtId="0" fontId="353" fillId="0" borderId="3" xfId="0" applyFont="1" applyBorder="1" applyAlignment="1">
      <alignment horizontal="left" wrapText="1"/>
    </xf>
    <xf numFmtId="0" fontId="326" fillId="14" borderId="3" xfId="9" applyFont="1" applyFill="1" applyBorder="1" applyAlignment="1" applyProtection="1">
      <alignment horizontal="left" wrapText="1"/>
    </xf>
    <xf numFmtId="43" fontId="323" fillId="14" borderId="3" xfId="8" applyFont="1" applyFill="1" applyBorder="1" applyAlignment="1" applyProtection="1">
      <alignment horizontal="center" vertical="center" wrapText="1"/>
    </xf>
    <xf numFmtId="43" fontId="326" fillId="14" borderId="5" xfId="8" applyFont="1" applyFill="1" applyBorder="1" applyAlignment="1" applyProtection="1">
      <alignment horizontal="center" vertical="center" wrapText="1"/>
    </xf>
    <xf numFmtId="43" fontId="327" fillId="14" borderId="3" xfId="8" applyFont="1" applyFill="1" applyBorder="1" applyAlignment="1" applyProtection="1">
      <alignment horizontal="center" vertical="center"/>
    </xf>
    <xf numFmtId="43" fontId="327" fillId="14" borderId="3" xfId="8" applyFont="1" applyFill="1" applyBorder="1" applyAlignment="1" applyProtection="1"/>
    <xf numFmtId="43" fontId="323" fillId="14" borderId="3" xfId="8" applyFont="1" applyFill="1" applyBorder="1" applyAlignment="1" applyProtection="1">
      <alignment horizontal="center"/>
    </xf>
    <xf numFmtId="0" fontId="353" fillId="0" borderId="3" xfId="0" applyFont="1" applyBorder="1" applyAlignment="1">
      <alignment vertical="center" wrapText="1"/>
    </xf>
    <xf numFmtId="43" fontId="323" fillId="14" borderId="3" xfId="8" applyFont="1" applyFill="1" applyBorder="1" applyAlignment="1" applyProtection="1">
      <alignment horizontal="center" vertical="center"/>
    </xf>
    <xf numFmtId="0" fontId="378" fillId="0" borderId="3" xfId="0" applyFont="1" applyBorder="1" applyAlignment="1">
      <alignment horizontal="center" vertical="center" wrapText="1"/>
    </xf>
    <xf numFmtId="0" fontId="322" fillId="0" borderId="3" xfId="0" applyFont="1" applyBorder="1" applyAlignment="1">
      <alignment vertical="center"/>
    </xf>
    <xf numFmtId="0" fontId="367" fillId="19" borderId="3" xfId="0" applyFont="1" applyFill="1" applyBorder="1" applyAlignment="1">
      <alignment wrapText="1"/>
    </xf>
    <xf numFmtId="43" fontId="323" fillId="14" borderId="5" xfId="8" applyFont="1" applyFill="1" applyBorder="1" applyAlignment="1" applyProtection="1"/>
    <xf numFmtId="0" fontId="367" fillId="0" borderId="3" xfId="0" applyFont="1" applyBorder="1" applyAlignment="1">
      <alignment horizontal="left" wrapText="1"/>
    </xf>
    <xf numFmtId="4" fontId="332" fillId="14" borderId="0" xfId="9" applyNumberFormat="1" applyFont="1" applyFill="1" applyAlignment="1" applyProtection="1"/>
    <xf numFmtId="0" fontId="333" fillId="0" borderId="3" xfId="0" applyFont="1" applyBorder="1" applyAlignment="1">
      <alignment vertical="center"/>
    </xf>
    <xf numFmtId="0" fontId="338" fillId="14" borderId="3" xfId="9" applyFont="1" applyFill="1" applyBorder="1" applyAlignment="1" applyProtection="1">
      <alignment wrapText="1"/>
    </xf>
    <xf numFmtId="0" fontId="329" fillId="0" borderId="3" xfId="0" applyFont="1" applyBorder="1" applyAlignment="1"/>
    <xf numFmtId="43" fontId="327" fillId="14" borderId="3" xfId="8" applyFont="1" applyFill="1" applyBorder="1" applyAlignment="1" applyProtection="1">
      <alignment horizontal="center"/>
    </xf>
    <xf numFmtId="43" fontId="323" fillId="14" borderId="3" xfId="8" applyFont="1" applyFill="1" applyBorder="1" applyAlignment="1" applyProtection="1"/>
    <xf numFmtId="0" fontId="352" fillId="14" borderId="3" xfId="9" applyFont="1" applyFill="1" applyBorder="1" applyAlignment="1" applyProtection="1">
      <alignment wrapText="1"/>
    </xf>
    <xf numFmtId="164" fontId="377" fillId="20" borderId="3" xfId="0" applyNumberFormat="1" applyFont="1" applyFill="1" applyBorder="1" applyAlignment="1">
      <alignment horizontal="center"/>
    </xf>
    <xf numFmtId="164" fontId="329" fillId="0" borderId="0" xfId="0" applyNumberFormat="1" applyFont="1" applyAlignment="1"/>
    <xf numFmtId="164" fontId="377" fillId="20" borderId="3" xfId="0" applyNumberFormat="1" applyFont="1" applyFill="1" applyBorder="1" applyAlignment="1"/>
    <xf numFmtId="164" fontId="329" fillId="0" borderId="3" xfId="0" applyNumberFormat="1" applyFont="1" applyBorder="1" applyAlignment="1"/>
    <xf numFmtId="164" fontId="325" fillId="0" borderId="3" xfId="0" applyNumberFormat="1" applyFont="1" applyBorder="1" applyAlignment="1"/>
    <xf numFmtId="9" fontId="351" fillId="7" borderId="0" xfId="2" applyFont="1" applyFill="1" applyAlignment="1" applyProtection="1"/>
    <xf numFmtId="164" fontId="377" fillId="21" borderId="3" xfId="0" applyNumberFormat="1" applyFont="1" applyFill="1" applyBorder="1" applyAlignment="1"/>
    <xf numFmtId="1" fontId="379" fillId="0" borderId="3" xfId="0" applyNumberFormat="1" applyFont="1" applyBorder="1" applyAlignment="1">
      <alignment horizontal="center"/>
    </xf>
    <xf numFmtId="43" fontId="120" fillId="0" borderId="3" xfId="1" applyFont="1" applyBorder="1" applyAlignment="1"/>
    <xf numFmtId="0" fontId="120" fillId="0" borderId="3" xfId="0" applyFont="1" applyBorder="1" applyAlignment="1">
      <alignment wrapText="1"/>
    </xf>
    <xf numFmtId="43" fontId="379" fillId="0" borderId="3" xfId="1" applyFont="1" applyBorder="1" applyAlignment="1">
      <alignment horizontal="right"/>
    </xf>
    <xf numFmtId="1" fontId="120" fillId="0" borderId="3" xfId="0" applyNumberFormat="1" applyFont="1" applyFill="1" applyBorder="1" applyAlignment="1">
      <alignment horizontal="center" wrapText="1"/>
    </xf>
    <xf numFmtId="43" fontId="380" fillId="0" borderId="3" xfId="1" applyFont="1" applyBorder="1" applyAlignment="1"/>
    <xf numFmtId="0" fontId="120" fillId="0" borderId="3" xfId="0" applyFont="1" applyBorder="1" applyAlignment="1"/>
    <xf numFmtId="0" fontId="381" fillId="0" borderId="0" xfId="0" applyFont="1" applyAlignment="1">
      <alignment wrapText="1"/>
    </xf>
    <xf numFmtId="14" fontId="2" fillId="0" borderId="0" xfId="0" applyNumberFormat="1" applyFont="1" applyAlignment="1">
      <alignment wrapText="1"/>
    </xf>
    <xf numFmtId="43" fontId="120" fillId="0" borderId="3" xfId="1" applyFont="1" applyBorder="1" applyAlignment="1">
      <alignment wrapText="1"/>
    </xf>
    <xf numFmtId="0" fontId="382" fillId="0" borderId="3" xfId="0" applyFont="1" applyBorder="1" applyAlignment="1">
      <alignment horizontal="left" wrapText="1"/>
    </xf>
    <xf numFmtId="0" fontId="383" fillId="0" borderId="3" xfId="0" applyFont="1" applyBorder="1"/>
    <xf numFmtId="0" fontId="185" fillId="0" borderId="3" xfId="0" applyFont="1" applyBorder="1"/>
    <xf numFmtId="0" fontId="185" fillId="0" borderId="3" xfId="0" applyFont="1" applyBorder="1" applyAlignment="1">
      <alignment vertical="center"/>
    </xf>
    <xf numFmtId="0" fontId="163" fillId="13" borderId="3" xfId="0" applyFont="1" applyFill="1" applyBorder="1" applyAlignment="1">
      <alignment horizontal="center" vertical="center"/>
    </xf>
    <xf numFmtId="0" fontId="140" fillId="13" borderId="3" xfId="0" applyFont="1" applyFill="1" applyBorder="1" applyAlignment="1">
      <alignment vertical="top" wrapText="1"/>
    </xf>
    <xf numFmtId="0" fontId="192" fillId="13" borderId="3" xfId="0" applyFont="1" applyFill="1" applyBorder="1" applyAlignment="1">
      <alignment horizontal="justify" wrapText="1"/>
    </xf>
    <xf numFmtId="0" fontId="194" fillId="13" borderId="3" xfId="0" applyFont="1" applyFill="1" applyBorder="1" applyAlignment="1">
      <alignment horizontal="center" vertical="center" wrapText="1"/>
    </xf>
    <xf numFmtId="0" fontId="194" fillId="13" borderId="3" xfId="0" applyFont="1" applyFill="1" applyBorder="1" applyAlignment="1">
      <alignment horizontal="left" vertical="top" wrapText="1"/>
    </xf>
    <xf numFmtId="0" fontId="187" fillId="13" borderId="3" xfId="0" applyFont="1" applyFill="1" applyBorder="1" applyAlignment="1">
      <alignment horizontal="center" vertical="center" wrapText="1"/>
    </xf>
    <xf numFmtId="0" fontId="187" fillId="13" borderId="3" xfId="0" applyFont="1" applyFill="1" applyBorder="1" applyAlignment="1">
      <alignment vertical="center" wrapText="1"/>
    </xf>
    <xf numFmtId="4" fontId="185" fillId="13" borderId="4" xfId="0" applyNumberFormat="1" applyFont="1" applyFill="1" applyBorder="1"/>
    <xf numFmtId="164" fontId="51" fillId="13" borderId="3" xfId="0" applyNumberFormat="1" applyFont="1" applyFill="1" applyBorder="1" applyAlignment="1">
      <alignment vertical="top" wrapText="1"/>
    </xf>
    <xf numFmtId="0" fontId="185" fillId="13" borderId="3" xfId="0" applyFont="1" applyFill="1" applyBorder="1"/>
    <xf numFmtId="164" fontId="185" fillId="0" borderId="3" xfId="0" applyNumberFormat="1" applyFont="1" applyBorder="1"/>
    <xf numFmtId="0" fontId="185" fillId="3" borderId="3" xfId="0" applyFont="1" applyFill="1" applyBorder="1"/>
    <xf numFmtId="0" fontId="2" fillId="13" borderId="3" xfId="0" applyFont="1" applyFill="1" applyBorder="1"/>
    <xf numFmtId="43" fontId="25" fillId="3" borderId="6" xfId="1" applyNumberFormat="1" applyFont="1" applyFill="1" applyBorder="1"/>
    <xf numFmtId="43" fontId="17" fillId="0" borderId="3" xfId="1" applyFont="1" applyBorder="1" applyAlignment="1">
      <alignment horizontal="center"/>
    </xf>
    <xf numFmtId="43" fontId="49" fillId="0" borderId="3" xfId="1" applyFont="1" applyFill="1" applyBorder="1" applyAlignment="1">
      <alignment wrapText="1"/>
    </xf>
    <xf numFmtId="0" fontId="0" fillId="0" borderId="3" xfId="0" applyBorder="1" applyAlignment="1">
      <alignment wrapText="1"/>
    </xf>
    <xf numFmtId="0" fontId="29" fillId="0" borderId="3" xfId="0" applyFont="1" applyBorder="1" applyAlignment="1">
      <alignment horizontal="center" vertical="center" wrapText="1"/>
    </xf>
    <xf numFmtId="0" fontId="231" fillId="0" borderId="3" xfId="0" applyFont="1" applyBorder="1" applyAlignment="1">
      <alignment vertical="center" wrapText="1"/>
    </xf>
    <xf numFmtId="0" fontId="234" fillId="0" borderId="3" xfId="0" applyFont="1" applyBorder="1" applyAlignment="1">
      <alignment vertical="center" wrapText="1"/>
    </xf>
    <xf numFmtId="0" fontId="63" fillId="14" borderId="3" xfId="0" applyFont="1" applyFill="1" applyBorder="1" applyAlignment="1">
      <alignment vertical="center" wrapText="1"/>
    </xf>
    <xf numFmtId="0" fontId="22" fillId="0" borderId="0" xfId="0" applyFont="1" applyAlignment="1">
      <alignment horizontal="center"/>
    </xf>
    <xf numFmtId="0" fontId="22" fillId="0" borderId="2" xfId="0" applyFont="1" applyBorder="1" applyAlignment="1">
      <alignment horizontal="center" wrapText="1"/>
    </xf>
    <xf numFmtId="0" fontId="22" fillId="0" borderId="9" xfId="0" applyFont="1" applyBorder="1" applyAlignment="1">
      <alignment horizontal="center" wrapText="1"/>
    </xf>
    <xf numFmtId="0" fontId="22" fillId="0" borderId="6" xfId="0" applyFont="1" applyBorder="1" applyAlignment="1">
      <alignment horizontal="center" wrapText="1"/>
    </xf>
    <xf numFmtId="0" fontId="22" fillId="0" borderId="3" xfId="0" applyFont="1" applyBorder="1" applyAlignment="1">
      <alignment horizontal="center" wrapText="1"/>
    </xf>
    <xf numFmtId="0" fontId="0" fillId="0" borderId="3" xfId="0" applyBorder="1" applyAlignment="1">
      <alignment horizontal="center"/>
    </xf>
    <xf numFmtId="0" fontId="25" fillId="5" borderId="3" xfId="0" applyFont="1" applyFill="1" applyBorder="1" applyAlignment="1">
      <alignment horizontal="center" wrapText="1"/>
    </xf>
    <xf numFmtId="0" fontId="131" fillId="0" borderId="1" xfId="0" applyFont="1" applyBorder="1" applyAlignment="1">
      <alignment horizontal="center"/>
    </xf>
    <xf numFmtId="0" fontId="55" fillId="5" borderId="2" xfId="0" applyFont="1" applyFill="1" applyBorder="1" applyAlignment="1">
      <alignment horizontal="center"/>
    </xf>
    <xf numFmtId="0" fontId="55" fillId="5" borderId="6" xfId="0" applyFont="1" applyFill="1" applyBorder="1" applyAlignment="1">
      <alignment horizontal="center"/>
    </xf>
    <xf numFmtId="0" fontId="55" fillId="5" borderId="2" xfId="0" applyFont="1" applyFill="1" applyBorder="1" applyAlignment="1">
      <alignment horizontal="center" wrapText="1"/>
    </xf>
    <xf numFmtId="0" fontId="55" fillId="5" borderId="6" xfId="0" applyFont="1" applyFill="1" applyBorder="1" applyAlignment="1">
      <alignment horizontal="center" wrapText="1"/>
    </xf>
    <xf numFmtId="0" fontId="25" fillId="5" borderId="4" xfId="0" applyFont="1" applyFill="1" applyBorder="1" applyAlignment="1">
      <alignment horizontal="center"/>
    </xf>
    <xf numFmtId="0" fontId="25" fillId="5" borderId="7" xfId="0" applyFont="1" applyFill="1" applyBorder="1" applyAlignment="1">
      <alignment horizontal="center"/>
    </xf>
    <xf numFmtId="0" fontId="25" fillId="5" borderId="5" xfId="0" applyFont="1" applyFill="1" applyBorder="1" applyAlignment="1">
      <alignment horizontal="center"/>
    </xf>
    <xf numFmtId="0" fontId="73" fillId="5" borderId="8" xfId="0" applyFont="1" applyFill="1" applyBorder="1" applyAlignment="1">
      <alignment horizontal="center"/>
    </xf>
    <xf numFmtId="0" fontId="73" fillId="5" borderId="11" xfId="0" applyFont="1" applyFill="1" applyBorder="1" applyAlignment="1">
      <alignment horizontal="center"/>
    </xf>
    <xf numFmtId="0" fontId="73" fillId="5" borderId="10" xfId="0" applyFont="1" applyFill="1" applyBorder="1" applyAlignment="1">
      <alignment horizontal="center"/>
    </xf>
    <xf numFmtId="0" fontId="73" fillId="5" borderId="12" xfId="0" applyFont="1" applyFill="1" applyBorder="1" applyAlignment="1">
      <alignment horizontal="center"/>
    </xf>
    <xf numFmtId="0" fontId="25" fillId="5" borderId="8" xfId="0" applyFont="1" applyFill="1" applyBorder="1" applyAlignment="1">
      <alignment horizontal="center" wrapText="1"/>
    </xf>
    <xf numFmtId="0" fontId="25" fillId="5" borderId="19" xfId="0" applyFont="1" applyFill="1" applyBorder="1" applyAlignment="1">
      <alignment horizontal="center" wrapText="1"/>
    </xf>
    <xf numFmtId="0" fontId="25" fillId="5" borderId="10" xfId="0" applyFont="1" applyFill="1" applyBorder="1" applyAlignment="1">
      <alignment horizontal="center" wrapText="1"/>
    </xf>
    <xf numFmtId="0" fontId="25" fillId="5" borderId="1" xfId="0" applyFont="1" applyFill="1" applyBorder="1" applyAlignment="1">
      <alignment horizontal="center" wrapText="1"/>
    </xf>
    <xf numFmtId="0" fontId="73" fillId="5" borderId="19" xfId="0" applyFont="1" applyFill="1" applyBorder="1" applyAlignment="1">
      <alignment horizontal="center" wrapText="1"/>
    </xf>
    <xf numFmtId="0" fontId="73" fillId="5" borderId="1" xfId="0" applyFont="1" applyFill="1" applyBorder="1" applyAlignment="1">
      <alignment horizontal="center" wrapText="1"/>
    </xf>
    <xf numFmtId="164" fontId="73" fillId="5" borderId="19" xfId="0" applyNumberFormat="1" applyFont="1" applyFill="1" applyBorder="1" applyAlignment="1">
      <alignment horizontal="center" wrapText="1"/>
    </xf>
    <xf numFmtId="164" fontId="73" fillId="5" borderId="11" xfId="0" applyNumberFormat="1" applyFont="1" applyFill="1" applyBorder="1" applyAlignment="1">
      <alignment horizontal="center" wrapText="1"/>
    </xf>
    <xf numFmtId="164" fontId="73" fillId="5" borderId="1" xfId="0" applyNumberFormat="1" applyFont="1" applyFill="1" applyBorder="1" applyAlignment="1">
      <alignment horizontal="center" wrapText="1"/>
    </xf>
    <xf numFmtId="164" fontId="73" fillId="5" borderId="12" xfId="0" applyNumberFormat="1" applyFont="1" applyFill="1" applyBorder="1" applyAlignment="1">
      <alignment horizontal="center" wrapText="1"/>
    </xf>
    <xf numFmtId="0" fontId="55" fillId="5" borderId="4" xfId="0" applyFont="1" applyFill="1" applyBorder="1" applyAlignment="1">
      <alignment horizontal="center"/>
    </xf>
    <xf numFmtId="0" fontId="55" fillId="5" borderId="7" xfId="0" applyFont="1" applyFill="1" applyBorder="1" applyAlignment="1">
      <alignment horizontal="center"/>
    </xf>
    <xf numFmtId="0" fontId="55" fillId="5" borderId="5" xfId="0" applyFont="1" applyFill="1" applyBorder="1" applyAlignment="1">
      <alignment horizontal="center"/>
    </xf>
    <xf numFmtId="0" fontId="73" fillId="5" borderId="4" xfId="0" applyFont="1" applyFill="1" applyBorder="1" applyAlignment="1">
      <alignment horizontal="center"/>
    </xf>
    <xf numFmtId="0" fontId="73" fillId="5" borderId="5" xfId="0" applyFont="1" applyFill="1" applyBorder="1" applyAlignment="1">
      <alignment horizontal="center"/>
    </xf>
    <xf numFmtId="0" fontId="73" fillId="5" borderId="4" xfId="0" applyFont="1" applyFill="1" applyBorder="1" applyAlignment="1">
      <alignment horizontal="center" wrapText="1"/>
    </xf>
    <xf numFmtId="0" fontId="73" fillId="5" borderId="5" xfId="0" applyFont="1" applyFill="1" applyBorder="1" applyAlignment="1">
      <alignment horizontal="center" wrapText="1"/>
    </xf>
    <xf numFmtId="0" fontId="55" fillId="5" borderId="3" xfId="0" applyFont="1" applyFill="1" applyBorder="1" applyAlignment="1">
      <alignment horizontal="center"/>
    </xf>
    <xf numFmtId="0" fontId="55" fillId="5" borderId="3" xfId="0" applyFont="1" applyFill="1" applyBorder="1" applyAlignment="1">
      <alignment horizontal="center" wrapText="1"/>
    </xf>
    <xf numFmtId="0" fontId="25" fillId="5" borderId="3" xfId="0" applyFont="1" applyFill="1" applyBorder="1" applyAlignment="1">
      <alignment horizontal="center"/>
    </xf>
    <xf numFmtId="0" fontId="73" fillId="5" borderId="2" xfId="0" applyFont="1" applyFill="1" applyBorder="1" applyAlignment="1">
      <alignment horizontal="center"/>
    </xf>
    <xf numFmtId="0" fontId="73" fillId="5" borderId="6" xfId="0" applyFont="1" applyFill="1" applyBorder="1" applyAlignment="1">
      <alignment horizontal="center"/>
    </xf>
    <xf numFmtId="0" fontId="73" fillId="5" borderId="3" xfId="0" applyFont="1" applyFill="1" applyBorder="1" applyAlignment="1">
      <alignment horizontal="center" wrapText="1"/>
    </xf>
    <xf numFmtId="164" fontId="73" fillId="5" borderId="3" xfId="0" applyNumberFormat="1" applyFont="1" applyFill="1" applyBorder="1" applyAlignment="1">
      <alignment horizontal="center" wrapText="1"/>
    </xf>
    <xf numFmtId="0" fontId="6" fillId="2" borderId="2" xfId="0" applyFont="1" applyFill="1" applyBorder="1" applyAlignment="1">
      <alignment horizontal="center" wrapText="1"/>
    </xf>
    <xf numFmtId="0" fontId="6" fillId="2" borderId="6" xfId="0" applyFont="1" applyFill="1" applyBorder="1" applyAlignment="1">
      <alignment horizontal="center" wrapText="1"/>
    </xf>
    <xf numFmtId="0" fontId="6" fillId="2" borderId="3" xfId="0" applyFont="1" applyFill="1" applyBorder="1" applyAlignment="1">
      <alignment horizontal="center" wrapText="1"/>
    </xf>
    <xf numFmtId="0" fontId="7" fillId="2" borderId="4" xfId="0" applyFont="1" applyFill="1" applyBorder="1" applyAlignment="1">
      <alignment horizontal="center"/>
    </xf>
    <xf numFmtId="0" fontId="7" fillId="2" borderId="5" xfId="0" applyFont="1" applyFill="1" applyBorder="1" applyAlignment="1">
      <alignment horizontal="center"/>
    </xf>
    <xf numFmtId="1" fontId="7" fillId="2" borderId="2" xfId="0" applyNumberFormat="1" applyFont="1" applyFill="1" applyBorder="1" applyAlignment="1">
      <alignment horizontal="center" wrapText="1"/>
    </xf>
    <xf numFmtId="1" fontId="7" fillId="2" borderId="6" xfId="0" applyNumberFormat="1" applyFont="1" applyFill="1" applyBorder="1" applyAlignment="1">
      <alignment horizontal="center" wrapText="1"/>
    </xf>
    <xf numFmtId="0" fontId="4" fillId="0" borderId="0" xfId="0" applyFont="1" applyAlignment="1">
      <alignment horizontal="center"/>
    </xf>
    <xf numFmtId="0" fontId="4" fillId="0" borderId="1" xfId="0" applyFont="1" applyBorder="1" applyAlignment="1">
      <alignment horizontal="center"/>
    </xf>
    <xf numFmtId="43" fontId="7" fillId="2" borderId="2" xfId="1" applyFont="1" applyFill="1" applyBorder="1" applyAlignment="1">
      <alignment horizontal="center" wrapText="1"/>
    </xf>
    <xf numFmtId="43" fontId="7" fillId="2" borderId="6" xfId="1" applyFont="1" applyFill="1" applyBorder="1" applyAlignment="1">
      <alignment horizontal="center" wrapText="1"/>
    </xf>
    <xf numFmtId="0" fontId="7" fillId="2" borderId="3" xfId="0" applyFont="1" applyFill="1" applyBorder="1" applyAlignment="1">
      <alignment horizontal="center" wrapText="1"/>
    </xf>
    <xf numFmtId="0" fontId="16" fillId="0" borderId="4" xfId="0" applyFont="1" applyBorder="1" applyAlignment="1">
      <alignment horizontal="center"/>
    </xf>
    <xf numFmtId="0" fontId="16" fillId="0" borderId="5" xfId="0" applyFont="1" applyBorder="1" applyAlignment="1">
      <alignment horizontal="center"/>
    </xf>
    <xf numFmtId="0" fontId="6" fillId="4" borderId="2" xfId="0" applyFont="1" applyFill="1" applyBorder="1" applyAlignment="1">
      <alignment horizontal="left" vertical="center"/>
    </xf>
    <xf numFmtId="0" fontId="6" fillId="4" borderId="6" xfId="0" applyFont="1" applyFill="1" applyBorder="1" applyAlignment="1">
      <alignment horizontal="left" vertical="center"/>
    </xf>
    <xf numFmtId="0" fontId="22" fillId="0" borderId="2" xfId="0" applyFont="1" applyBorder="1" applyAlignment="1">
      <alignment horizontal="center"/>
    </xf>
    <xf numFmtId="0" fontId="22" fillId="0" borderId="0" xfId="0" applyFont="1" applyBorder="1" applyAlignment="1">
      <alignment horizontal="center"/>
    </xf>
    <xf numFmtId="0" fontId="22" fillId="5" borderId="3" xfId="0" applyFont="1" applyFill="1" applyBorder="1" applyAlignment="1">
      <alignment horizontal="center" vertical="center" wrapText="1"/>
    </xf>
    <xf numFmtId="164" fontId="25" fillId="5" borderId="4" xfId="5" applyNumberFormat="1" applyFont="1" applyFill="1" applyBorder="1" applyAlignment="1">
      <alignment horizontal="center"/>
    </xf>
    <xf numFmtId="164" fontId="25" fillId="5" borderId="5" xfId="5" applyNumberFormat="1" applyFont="1" applyFill="1" applyBorder="1" applyAlignment="1">
      <alignment horizontal="center"/>
    </xf>
    <xf numFmtId="0" fontId="7" fillId="5" borderId="3" xfId="0" applyFont="1" applyFill="1" applyBorder="1" applyAlignment="1">
      <alignment horizontal="center" wrapText="1"/>
    </xf>
    <xf numFmtId="0" fontId="67" fillId="0" borderId="2" xfId="0" applyNumberFormat="1" applyFont="1" applyFill="1" applyBorder="1" applyAlignment="1">
      <alignment horizontal="center" vertical="center"/>
    </xf>
    <xf numFmtId="0" fontId="67" fillId="0" borderId="9" xfId="0" applyNumberFormat="1" applyFont="1" applyFill="1" applyBorder="1" applyAlignment="1">
      <alignment horizontal="center" vertical="center"/>
    </xf>
    <xf numFmtId="0" fontId="67" fillId="0" borderId="6" xfId="0" applyNumberFormat="1" applyFont="1" applyFill="1" applyBorder="1" applyAlignment="1">
      <alignment horizontal="center" vertical="center"/>
    </xf>
    <xf numFmtId="0" fontId="7" fillId="5" borderId="2" xfId="1" applyNumberFormat="1" applyFont="1" applyFill="1" applyBorder="1" applyAlignment="1">
      <alignment horizontal="center" wrapText="1"/>
    </xf>
    <xf numFmtId="0" fontId="7" fillId="5" borderId="6" xfId="1" applyNumberFormat="1" applyFont="1" applyFill="1" applyBorder="1" applyAlignment="1">
      <alignment horizontal="center" wrapText="1"/>
    </xf>
    <xf numFmtId="0" fontId="7" fillId="5" borderId="3" xfId="1" applyNumberFormat="1" applyFont="1" applyFill="1" applyBorder="1" applyAlignment="1">
      <alignment wrapText="1"/>
    </xf>
    <xf numFmtId="0" fontId="6" fillId="5" borderId="8" xfId="0" applyNumberFormat="1" applyFont="1" applyFill="1" applyBorder="1" applyAlignment="1">
      <alignment horizontal="center" wrapText="1"/>
    </xf>
    <xf numFmtId="0" fontId="6" fillId="5" borderId="10" xfId="0" applyNumberFormat="1" applyFont="1" applyFill="1" applyBorder="1" applyAlignment="1">
      <alignment horizontal="center" wrapText="1"/>
    </xf>
    <xf numFmtId="14" fontId="6" fillId="5" borderId="3" xfId="0" applyNumberFormat="1" applyFont="1" applyFill="1" applyBorder="1" applyAlignment="1">
      <alignment horizontal="center" wrapText="1"/>
    </xf>
    <xf numFmtId="0" fontId="6" fillId="5" borderId="5" xfId="0" applyNumberFormat="1" applyFont="1" applyFill="1" applyBorder="1" applyAlignment="1">
      <alignment horizontal="center" wrapText="1"/>
    </xf>
    <xf numFmtId="43" fontId="6" fillId="5" borderId="2" xfId="1" applyFont="1" applyFill="1" applyBorder="1" applyAlignment="1">
      <alignment wrapText="1"/>
    </xf>
    <xf numFmtId="43" fontId="6" fillId="5" borderId="6" xfId="1" applyFont="1" applyFill="1" applyBorder="1" applyAlignment="1">
      <alignment wrapText="1"/>
    </xf>
    <xf numFmtId="0" fontId="66" fillId="0" borderId="0" xfId="0" applyNumberFormat="1" applyFont="1" applyAlignment="1">
      <alignment horizontal="center"/>
    </xf>
    <xf numFmtId="0" fontId="66" fillId="0" borderId="0" xfId="0" applyNumberFormat="1" applyFont="1" applyAlignment="1"/>
    <xf numFmtId="0" fontId="66" fillId="0" borderId="1" xfId="0" applyNumberFormat="1" applyFont="1" applyBorder="1" applyAlignment="1">
      <alignment horizontal="center"/>
    </xf>
    <xf numFmtId="0" fontId="66" fillId="0" borderId="1" xfId="0" applyNumberFormat="1" applyFont="1" applyBorder="1" applyAlignment="1"/>
    <xf numFmtId="0" fontId="6" fillId="5" borderId="2" xfId="0" applyFont="1" applyFill="1" applyBorder="1" applyAlignment="1">
      <alignment horizontal="center" wrapText="1"/>
    </xf>
    <xf numFmtId="0" fontId="6" fillId="5" borderId="6" xfId="0" applyFont="1" applyFill="1" applyBorder="1" applyAlignment="1">
      <alignment horizontal="center" wrapText="1"/>
    </xf>
    <xf numFmtId="0" fontId="6" fillId="5" borderId="2" xfId="0" applyNumberFormat="1" applyFont="1" applyFill="1" applyBorder="1" applyAlignment="1">
      <alignment horizontal="center"/>
    </xf>
    <xf numFmtId="0" fontId="6" fillId="5" borderId="6" xfId="0" applyNumberFormat="1" applyFont="1" applyFill="1" applyBorder="1" applyAlignment="1">
      <alignment horizontal="center"/>
    </xf>
    <xf numFmtId="0" fontId="6" fillId="5" borderId="3" xfId="0" applyNumberFormat="1" applyFont="1" applyFill="1" applyBorder="1" applyAlignment="1">
      <alignment horizontal="left" wrapText="1"/>
    </xf>
    <xf numFmtId="0" fontId="6" fillId="5" borderId="2" xfId="0" applyNumberFormat="1" applyFont="1" applyFill="1" applyBorder="1" applyAlignment="1">
      <alignment horizontal="left" wrapText="1"/>
    </xf>
    <xf numFmtId="0" fontId="6" fillId="5" borderId="2" xfId="0" applyNumberFormat="1" applyFont="1" applyFill="1" applyBorder="1" applyAlignment="1">
      <alignment vertical="center"/>
    </xf>
    <xf numFmtId="0" fontId="6" fillId="5" borderId="6" xfId="0" applyNumberFormat="1" applyFont="1" applyFill="1" applyBorder="1" applyAlignment="1">
      <alignment vertical="center"/>
    </xf>
    <xf numFmtId="0" fontId="132" fillId="0" borderId="4" xfId="0" applyNumberFormat="1" applyFont="1" applyFill="1" applyBorder="1" applyAlignment="1">
      <alignment horizontal="center" wrapText="1"/>
    </xf>
    <xf numFmtId="0" fontId="132" fillId="0" borderId="5" xfId="0" applyNumberFormat="1" applyFont="1" applyFill="1" applyBorder="1" applyAlignment="1">
      <alignment horizontal="center" wrapText="1"/>
    </xf>
    <xf numFmtId="0" fontId="6" fillId="5" borderId="3" xfId="0" applyNumberFormat="1" applyFont="1" applyFill="1" applyBorder="1" applyAlignment="1">
      <alignment horizontal="center" wrapText="1"/>
    </xf>
    <xf numFmtId="0" fontId="6" fillId="5" borderId="3" xfId="0" applyNumberFormat="1" applyFont="1" applyFill="1" applyBorder="1" applyAlignment="1">
      <alignment vertical="center" wrapText="1"/>
    </xf>
    <xf numFmtId="0" fontId="7" fillId="5" borderId="4" xfId="0" applyNumberFormat="1" applyFont="1" applyFill="1" applyBorder="1" applyAlignment="1">
      <alignment horizontal="center"/>
    </xf>
    <xf numFmtId="0" fontId="7" fillId="5" borderId="5" xfId="0" applyNumberFormat="1" applyFont="1" applyFill="1" applyBorder="1" applyAlignment="1">
      <alignment horizontal="center"/>
    </xf>
    <xf numFmtId="0" fontId="23" fillId="5" borderId="3" xfId="0" applyFont="1" applyFill="1" applyBorder="1" applyAlignment="1">
      <alignment horizontal="center"/>
    </xf>
    <xf numFmtId="0" fontId="23" fillId="5" borderId="3" xfId="0" applyFont="1" applyFill="1" applyBorder="1" applyAlignment="1">
      <alignment horizontal="center" wrapText="1"/>
    </xf>
    <xf numFmtId="0" fontId="28" fillId="5" borderId="3" xfId="0" applyFont="1" applyFill="1" applyBorder="1" applyAlignment="1">
      <alignment horizontal="center"/>
    </xf>
    <xf numFmtId="43" fontId="23" fillId="5" borderId="3" xfId="19" applyFont="1" applyFill="1" applyBorder="1" applyAlignment="1">
      <alignment horizontal="center" wrapText="1"/>
    </xf>
    <xf numFmtId="0" fontId="28" fillId="5" borderId="3" xfId="0" applyFont="1" applyFill="1" applyBorder="1" applyAlignment="1">
      <alignment horizontal="center" wrapText="1"/>
    </xf>
    <xf numFmtId="0" fontId="28" fillId="5" borderId="2" xfId="0" applyFont="1" applyFill="1" applyBorder="1" applyAlignment="1">
      <alignment horizontal="center" wrapText="1"/>
    </xf>
    <xf numFmtId="43" fontId="28" fillId="5" borderId="2" xfId="1" applyFont="1" applyFill="1" applyBorder="1" applyAlignment="1">
      <alignment horizontal="center" wrapText="1"/>
    </xf>
    <xf numFmtId="43" fontId="28" fillId="5" borderId="9" xfId="1" applyFont="1" applyFill="1" applyBorder="1" applyAlignment="1">
      <alignment horizontal="center" wrapText="1"/>
    </xf>
    <xf numFmtId="0" fontId="28" fillId="5" borderId="4" xfId="0" applyFont="1" applyFill="1" applyBorder="1" applyAlignment="1">
      <alignment horizontal="center"/>
    </xf>
    <xf numFmtId="0" fontId="28" fillId="5" borderId="7" xfId="0" applyFont="1" applyFill="1" applyBorder="1" applyAlignment="1">
      <alignment horizontal="center"/>
    </xf>
    <xf numFmtId="0" fontId="28" fillId="5" borderId="5" xfId="0" applyFont="1" applyFill="1" applyBorder="1" applyAlignment="1">
      <alignment horizontal="center"/>
    </xf>
    <xf numFmtId="0" fontId="28" fillId="0" borderId="0" xfId="0" applyFont="1" applyAlignment="1">
      <alignment horizontal="center"/>
    </xf>
    <xf numFmtId="0" fontId="28" fillId="0" borderId="1" xfId="0" applyFont="1" applyBorder="1" applyAlignment="1">
      <alignment horizontal="center"/>
    </xf>
    <xf numFmtId="0" fontId="28" fillId="5" borderId="9" xfId="0" applyFont="1" applyFill="1" applyBorder="1" applyAlignment="1">
      <alignment horizontal="center" wrapText="1"/>
    </xf>
    <xf numFmtId="0" fontId="28" fillId="5" borderId="2" xfId="0" applyFont="1" applyFill="1" applyBorder="1" applyAlignment="1">
      <alignment wrapText="1"/>
    </xf>
    <xf numFmtId="0" fontId="28" fillId="5" borderId="9" xfId="0" applyFont="1" applyFill="1" applyBorder="1" applyAlignment="1">
      <alignment wrapText="1"/>
    </xf>
    <xf numFmtId="0" fontId="0" fillId="0" borderId="4"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3" fillId="5" borderId="4" xfId="0" applyFont="1" applyFill="1" applyBorder="1" applyAlignment="1">
      <alignment horizontal="center"/>
    </xf>
    <xf numFmtId="0" fontId="3" fillId="5" borderId="5" xfId="0" applyFont="1" applyFill="1" applyBorder="1" applyAlignment="1">
      <alignment horizontal="center"/>
    </xf>
    <xf numFmtId="0" fontId="73" fillId="5" borderId="2" xfId="0" applyFont="1" applyFill="1" applyBorder="1" applyAlignment="1">
      <alignment horizontal="center" vertical="center"/>
    </xf>
    <xf numFmtId="0" fontId="73" fillId="5" borderId="6" xfId="0" applyFont="1" applyFill="1" applyBorder="1" applyAlignment="1">
      <alignment horizontal="center" vertical="center"/>
    </xf>
    <xf numFmtId="0" fontId="73" fillId="5" borderId="2" xfId="0" applyFont="1" applyFill="1" applyBorder="1" applyAlignment="1">
      <alignment horizontal="center" vertical="center" wrapText="1"/>
    </xf>
    <xf numFmtId="0" fontId="73" fillId="5" borderId="6" xfId="0" applyFont="1" applyFill="1" applyBorder="1" applyAlignment="1">
      <alignment horizontal="center" vertical="center" wrapText="1"/>
    </xf>
    <xf numFmtId="0" fontId="73" fillId="5" borderId="2" xfId="0" applyFont="1" applyFill="1" applyBorder="1" applyAlignment="1">
      <alignment horizontal="left" vertical="center"/>
    </xf>
    <xf numFmtId="0" fontId="73" fillId="5" borderId="6" xfId="0" applyFont="1" applyFill="1" applyBorder="1" applyAlignment="1">
      <alignment horizontal="left" vertical="center"/>
    </xf>
    <xf numFmtId="43" fontId="73" fillId="5" borderId="2" xfId="1" applyFont="1" applyFill="1" applyBorder="1" applyAlignment="1">
      <alignment horizontal="center" vertical="center" wrapText="1"/>
    </xf>
    <xf numFmtId="43" fontId="73" fillId="5" borderId="6" xfId="1" applyFont="1" applyFill="1" applyBorder="1" applyAlignment="1">
      <alignment horizontal="center" vertical="center" wrapText="1"/>
    </xf>
    <xf numFmtId="0" fontId="73" fillId="5" borderId="7" xfId="0" applyFont="1" applyFill="1" applyBorder="1" applyAlignment="1">
      <alignment horizontal="center"/>
    </xf>
    <xf numFmtId="164" fontId="73" fillId="5" borderId="2" xfId="0" applyNumberFormat="1" applyFont="1" applyFill="1" applyBorder="1" applyAlignment="1">
      <alignment horizontal="center" vertical="center" wrapText="1"/>
    </xf>
    <xf numFmtId="164" fontId="73" fillId="5" borderId="6" xfId="0" applyNumberFormat="1" applyFont="1" applyFill="1" applyBorder="1" applyAlignment="1">
      <alignment horizontal="center" vertical="center" wrapText="1"/>
    </xf>
    <xf numFmtId="0" fontId="139" fillId="3" borderId="3" xfId="0" applyFont="1" applyFill="1" applyBorder="1" applyAlignment="1">
      <alignment horizontal="center" vertical="center" wrapText="1"/>
    </xf>
    <xf numFmtId="0" fontId="145" fillId="0" borderId="2" xfId="0" applyFont="1" applyFill="1" applyBorder="1" applyAlignment="1">
      <alignment horizontal="center" vertical="center" wrapText="1"/>
    </xf>
    <xf numFmtId="0" fontId="145" fillId="0" borderId="9" xfId="0" applyFont="1" applyFill="1" applyBorder="1" applyAlignment="1">
      <alignment horizontal="center" vertical="center" wrapText="1"/>
    </xf>
    <xf numFmtId="0" fontId="145" fillId="0" borderId="6" xfId="0" applyFont="1" applyFill="1" applyBorder="1" applyAlignment="1">
      <alignment horizontal="center" vertical="center" wrapText="1"/>
    </xf>
    <xf numFmtId="0" fontId="145" fillId="0" borderId="3" xfId="0" applyFont="1" applyBorder="1" applyAlignment="1">
      <alignment vertical="center" wrapText="1"/>
    </xf>
    <xf numFmtId="0" fontId="55" fillId="5" borderId="2" xfId="0" applyFont="1" applyFill="1" applyBorder="1" applyAlignment="1">
      <alignment horizontal="left"/>
    </xf>
    <xf numFmtId="0" fontId="55" fillId="5" borderId="6" xfId="0" applyFont="1" applyFill="1" applyBorder="1" applyAlignment="1">
      <alignment horizontal="left"/>
    </xf>
    <xf numFmtId="164" fontId="73" fillId="5" borderId="2" xfId="0" applyNumberFormat="1" applyFont="1" applyFill="1" applyBorder="1" applyAlignment="1">
      <alignment vertical="center" wrapText="1"/>
    </xf>
    <xf numFmtId="164" fontId="73" fillId="5" borderId="6" xfId="0" applyNumberFormat="1" applyFont="1" applyFill="1" applyBorder="1" applyAlignment="1">
      <alignment vertical="center" wrapText="1"/>
    </xf>
    <xf numFmtId="43" fontId="73" fillId="5" borderId="2" xfId="1" applyFont="1" applyFill="1" applyBorder="1" applyAlignment="1">
      <alignment horizontal="center" wrapText="1"/>
    </xf>
    <xf numFmtId="43" fontId="73" fillId="5" borderId="6" xfId="1" applyFont="1" applyFill="1" applyBorder="1" applyAlignment="1">
      <alignment horizontal="center" wrapText="1"/>
    </xf>
    <xf numFmtId="0" fontId="27" fillId="0" borderId="3" xfId="0" applyFont="1" applyBorder="1" applyAlignment="1">
      <alignment horizontal="left" vertical="center"/>
    </xf>
    <xf numFmtId="0" fontId="28" fillId="0" borderId="3" xfId="0" applyFont="1" applyBorder="1" applyAlignment="1">
      <alignment horizontal="center" vertical="center" wrapText="1"/>
    </xf>
    <xf numFmtId="0" fontId="42" fillId="0" borderId="3" xfId="0" applyFont="1" applyBorder="1" applyAlignment="1">
      <alignment horizontal="left" vertical="center"/>
    </xf>
    <xf numFmtId="0" fontId="35" fillId="0" borderId="3" xfId="0" applyFont="1" applyBorder="1" applyAlignment="1">
      <alignment horizontal="center" vertical="center"/>
    </xf>
    <xf numFmtId="0" fontId="35" fillId="0" borderId="3" xfId="0" applyFont="1" applyBorder="1" applyAlignment="1">
      <alignment horizontal="left" vertical="center"/>
    </xf>
    <xf numFmtId="0" fontId="27" fillId="0" borderId="9" xfId="0" applyFont="1" applyBorder="1" applyAlignment="1">
      <alignment horizontal="left" vertical="center"/>
    </xf>
    <xf numFmtId="0" fontId="73" fillId="5" borderId="2" xfId="0" applyFont="1" applyFill="1" applyBorder="1" applyAlignment="1">
      <alignment horizontal="center" vertical="top"/>
    </xf>
    <xf numFmtId="0" fontId="73" fillId="5" borderId="6" xfId="0" applyFont="1" applyFill="1" applyBorder="1" applyAlignment="1">
      <alignment horizontal="center" vertical="top"/>
    </xf>
    <xf numFmtId="43" fontId="73" fillId="5" borderId="2" xfId="1" applyFont="1" applyFill="1" applyBorder="1" applyAlignment="1">
      <alignment horizontal="center"/>
    </xf>
    <xf numFmtId="43" fontId="73" fillId="5" borderId="6" xfId="1" applyFont="1" applyFill="1" applyBorder="1" applyAlignment="1">
      <alignment horizontal="center"/>
    </xf>
    <xf numFmtId="1" fontId="40" fillId="0" borderId="2" xfId="0" applyNumberFormat="1" applyFont="1" applyBorder="1" applyAlignment="1">
      <alignment horizontal="center"/>
    </xf>
    <xf numFmtId="1" fontId="40" fillId="0" borderId="9" xfId="0" applyNumberFormat="1" applyFont="1" applyBorder="1" applyAlignment="1">
      <alignment horizontal="center"/>
    </xf>
    <xf numFmtId="1" fontId="40" fillId="0" borderId="6" xfId="0" applyNumberFormat="1" applyFont="1" applyBorder="1" applyAlignment="1">
      <alignment horizontal="center"/>
    </xf>
    <xf numFmtId="0" fontId="27" fillId="0" borderId="2" xfId="0" applyFont="1" applyBorder="1" applyAlignment="1">
      <alignment vertical="center"/>
    </xf>
    <xf numFmtId="0" fontId="27" fillId="0" borderId="9" xfId="0" applyFont="1" applyBorder="1" applyAlignment="1">
      <alignment vertical="center"/>
    </xf>
    <xf numFmtId="0" fontId="27" fillId="0" borderId="6" xfId="0" applyFont="1" applyBorder="1" applyAlignment="1">
      <alignment vertical="center"/>
    </xf>
    <xf numFmtId="0" fontId="35" fillId="0" borderId="2" xfId="0" applyFont="1" applyBorder="1" applyAlignment="1">
      <alignment vertical="center"/>
    </xf>
    <xf numFmtId="0" fontId="35" fillId="0" borderId="6" xfId="0" applyFont="1" applyBorder="1" applyAlignment="1">
      <alignment vertical="center"/>
    </xf>
    <xf numFmtId="1" fontId="28" fillId="0" borderId="2" xfId="0" applyNumberFormat="1" applyFont="1" applyBorder="1" applyAlignment="1">
      <alignment horizontal="center"/>
    </xf>
    <xf numFmtId="1" fontId="28" fillId="0" borderId="6" xfId="0" applyNumberFormat="1" applyFont="1"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27" fillId="0" borderId="2" xfId="0" applyFont="1" applyBorder="1" applyAlignment="1">
      <alignment horizontal="center" vertical="center"/>
    </xf>
    <xf numFmtId="0" fontId="27" fillId="0" borderId="9" xfId="0" applyFont="1" applyBorder="1" applyAlignment="1">
      <alignment horizontal="center" vertical="center"/>
    </xf>
    <xf numFmtId="0" fontId="27" fillId="0" borderId="6" xfId="0" applyFont="1" applyBorder="1" applyAlignment="1">
      <alignment horizontal="center" vertical="center"/>
    </xf>
    <xf numFmtId="0" fontId="22" fillId="0" borderId="1" xfId="0" applyFont="1" applyBorder="1" applyAlignment="1">
      <alignment horizontal="center"/>
    </xf>
    <xf numFmtId="0" fontId="28" fillId="5" borderId="4" xfId="0" applyFont="1" applyFill="1" applyBorder="1" applyAlignment="1">
      <alignment horizontal="center" wrapText="1"/>
    </xf>
    <xf numFmtId="0" fontId="28" fillId="5" borderId="7" xfId="0" applyFont="1" applyFill="1" applyBorder="1" applyAlignment="1">
      <alignment horizontal="center" wrapText="1"/>
    </xf>
    <xf numFmtId="0" fontId="28" fillId="5" borderId="5" xfId="0" applyFont="1" applyFill="1" applyBorder="1" applyAlignment="1">
      <alignment horizontal="center" wrapText="1"/>
    </xf>
    <xf numFmtId="0" fontId="41" fillId="2" borderId="3" xfId="0" applyFont="1" applyFill="1" applyBorder="1" applyAlignment="1">
      <alignment horizontal="center" wrapText="1"/>
    </xf>
    <xf numFmtId="0" fontId="22" fillId="4" borderId="3" xfId="0" applyFont="1" applyFill="1" applyBorder="1" applyAlignment="1">
      <alignment horizontal="center" vertical="center"/>
    </xf>
    <xf numFmtId="43" fontId="41" fillId="2" borderId="2" xfId="1" applyFont="1" applyFill="1" applyBorder="1" applyAlignment="1">
      <alignment horizontal="center" wrapText="1"/>
    </xf>
    <xf numFmtId="43" fontId="41" fillId="2" borderId="6" xfId="1" applyFont="1" applyFill="1" applyBorder="1" applyAlignment="1">
      <alignment horizontal="center" wrapText="1"/>
    </xf>
    <xf numFmtId="43" fontId="41" fillId="2" borderId="3" xfId="1" applyFont="1" applyFill="1" applyBorder="1" applyAlignment="1">
      <alignment horizontal="center" wrapText="1"/>
    </xf>
    <xf numFmtId="0" fontId="41" fillId="2" borderId="5" xfId="0" applyFont="1" applyFill="1" applyBorder="1" applyAlignment="1">
      <alignment horizontal="center" wrapText="1"/>
    </xf>
    <xf numFmtId="0" fontId="41" fillId="2" borderId="2" xfId="0" applyFont="1" applyFill="1" applyBorder="1" applyAlignment="1">
      <alignment horizontal="center" wrapText="1"/>
    </xf>
    <xf numFmtId="0" fontId="41" fillId="2" borderId="6" xfId="0" applyFont="1" applyFill="1" applyBorder="1" applyAlignment="1">
      <alignment horizontal="center" wrapText="1"/>
    </xf>
    <xf numFmtId="43" fontId="41" fillId="2" borderId="2" xfId="16" applyFont="1" applyFill="1" applyBorder="1" applyAlignment="1">
      <alignment horizontal="center" wrapText="1"/>
    </xf>
    <xf numFmtId="43" fontId="41" fillId="2" borderId="6" xfId="16" applyFont="1" applyFill="1" applyBorder="1" applyAlignment="1">
      <alignment horizontal="center" wrapText="1"/>
    </xf>
    <xf numFmtId="0" fontId="41" fillId="2" borderId="4" xfId="0" applyFont="1" applyFill="1" applyBorder="1" applyAlignment="1">
      <alignment horizontal="center"/>
    </xf>
    <xf numFmtId="0" fontId="41" fillId="2" borderId="5" xfId="0" applyFont="1" applyFill="1" applyBorder="1" applyAlignment="1">
      <alignment horizontal="center"/>
    </xf>
    <xf numFmtId="0" fontId="20" fillId="0" borderId="4" xfId="0" applyFont="1" applyBorder="1" applyAlignment="1">
      <alignment horizontal="center"/>
    </xf>
    <xf numFmtId="0" fontId="20" fillId="0" borderId="5" xfId="0" applyFont="1" applyBorder="1" applyAlignment="1">
      <alignment horizontal="center"/>
    </xf>
    <xf numFmtId="0" fontId="23" fillId="0" borderId="0" xfId="0" applyFont="1" applyAlignment="1">
      <alignment horizontal="center"/>
    </xf>
    <xf numFmtId="0" fontId="279" fillId="0" borderId="0" xfId="0" applyFont="1" applyAlignment="1">
      <alignment horizontal="center"/>
    </xf>
    <xf numFmtId="0" fontId="279" fillId="0" borderId="1" xfId="0" applyFont="1" applyBorder="1" applyAlignment="1">
      <alignment horizontal="center"/>
    </xf>
    <xf numFmtId="0" fontId="7" fillId="3" borderId="3" xfId="0" applyFont="1" applyFill="1" applyBorder="1" applyAlignment="1">
      <alignment horizontal="center" wrapText="1"/>
    </xf>
    <xf numFmtId="0" fontId="7" fillId="3" borderId="2" xfId="0" applyFont="1" applyFill="1" applyBorder="1" applyAlignment="1">
      <alignment horizontal="center" wrapText="1"/>
    </xf>
    <xf numFmtId="0" fontId="7" fillId="3" borderId="6" xfId="0" applyFont="1" applyFill="1" applyBorder="1" applyAlignment="1">
      <alignment horizontal="center" wrapText="1"/>
    </xf>
    <xf numFmtId="43" fontId="7" fillId="3" borderId="2" xfId="16" applyFont="1" applyFill="1" applyBorder="1" applyAlignment="1">
      <alignment horizontal="center" wrapText="1"/>
    </xf>
    <xf numFmtId="43" fontId="7" fillId="3" borderId="6" xfId="16" applyFont="1" applyFill="1" applyBorder="1" applyAlignment="1">
      <alignment horizontal="center" wrapText="1"/>
    </xf>
    <xf numFmtId="43" fontId="7" fillId="3" borderId="2" xfId="1" applyFont="1" applyFill="1" applyBorder="1" applyAlignment="1">
      <alignment horizontal="center" wrapText="1"/>
    </xf>
    <xf numFmtId="43" fontId="7" fillId="3" borderId="6" xfId="1" applyFont="1" applyFill="1" applyBorder="1" applyAlignment="1">
      <alignment horizontal="center" wrapText="1"/>
    </xf>
    <xf numFmtId="43" fontId="7" fillId="3" borderId="3" xfId="1" applyFont="1" applyFill="1" applyBorder="1" applyAlignment="1">
      <alignment horizontal="center" wrapText="1"/>
    </xf>
    <xf numFmtId="164" fontId="7" fillId="3" borderId="3" xfId="1" applyNumberFormat="1" applyFont="1" applyFill="1" applyBorder="1" applyAlignment="1">
      <alignment horizontal="center" wrapText="1"/>
    </xf>
    <xf numFmtId="0" fontId="3" fillId="0" borderId="4" xfId="0" applyFont="1" applyBorder="1" applyAlignment="1">
      <alignment horizontal="center"/>
    </xf>
    <xf numFmtId="0" fontId="3" fillId="0" borderId="7" xfId="0" applyFont="1" applyBorder="1" applyAlignment="1">
      <alignment horizontal="center"/>
    </xf>
    <xf numFmtId="0" fontId="3" fillId="0" borderId="5" xfId="0" applyFont="1" applyBorder="1" applyAlignment="1">
      <alignment horizontal="center"/>
    </xf>
    <xf numFmtId="0" fontId="22" fillId="5" borderId="3" xfId="0" applyFont="1" applyFill="1" applyBorder="1" applyAlignment="1">
      <alignment horizontal="center" wrapText="1"/>
    </xf>
    <xf numFmtId="0" fontId="78" fillId="5" borderId="3" xfId="0" applyFont="1" applyFill="1" applyBorder="1" applyAlignment="1">
      <alignment horizontal="center" wrapText="1"/>
    </xf>
    <xf numFmtId="0" fontId="73" fillId="5" borderId="3" xfId="0" applyFont="1" applyFill="1" applyBorder="1" applyAlignment="1">
      <alignment horizontal="center"/>
    </xf>
    <xf numFmtId="0" fontId="7" fillId="3" borderId="4" xfId="0" applyFont="1" applyFill="1" applyBorder="1" applyAlignment="1">
      <alignment horizontal="center"/>
    </xf>
    <xf numFmtId="0" fontId="7" fillId="3" borderId="5" xfId="0" applyFont="1" applyFill="1" applyBorder="1" applyAlignment="1">
      <alignment horizontal="center"/>
    </xf>
    <xf numFmtId="43" fontId="78" fillId="5" borderId="3" xfId="23" applyFont="1" applyFill="1" applyBorder="1" applyAlignment="1">
      <alignment horizontal="center"/>
    </xf>
    <xf numFmtId="0" fontId="73" fillId="5" borderId="2" xfId="0" applyFont="1" applyFill="1" applyBorder="1" applyAlignment="1">
      <alignment horizontal="center" wrapText="1"/>
    </xf>
    <xf numFmtId="164" fontId="22" fillId="5" borderId="2" xfId="1" applyNumberFormat="1" applyFont="1" applyFill="1" applyBorder="1" applyAlignment="1">
      <alignment wrapText="1"/>
    </xf>
    <xf numFmtId="164" fontId="22" fillId="5" borderId="9" xfId="1" applyNumberFormat="1" applyFont="1" applyFill="1" applyBorder="1" applyAlignment="1">
      <alignment wrapText="1"/>
    </xf>
    <xf numFmtId="43" fontId="22" fillId="5" borderId="3" xfId="1" applyFont="1" applyFill="1" applyBorder="1" applyAlignment="1">
      <alignment horizontal="center" wrapText="1"/>
    </xf>
    <xf numFmtId="164" fontId="73" fillId="5" borderId="2" xfId="0" applyNumberFormat="1" applyFont="1" applyFill="1" applyBorder="1" applyAlignment="1">
      <alignment wrapText="1"/>
    </xf>
    <xf numFmtId="164" fontId="73" fillId="5" borderId="6" xfId="0" applyNumberFormat="1" applyFont="1" applyFill="1" applyBorder="1" applyAlignment="1">
      <alignment wrapText="1"/>
    </xf>
    <xf numFmtId="9" fontId="59" fillId="3" borderId="3" xfId="2" applyNumberFormat="1" applyFont="1" applyFill="1" applyBorder="1"/>
  </cellXfs>
  <cellStyles count="24">
    <cellStyle name="20% - Accent5 3" xfId="22"/>
    <cellStyle name="Accent3" xfId="12" builtinId="37"/>
    <cellStyle name="Bad" xfId="11" builtinId="27"/>
    <cellStyle name="Comma" xfId="1" builtinId="3"/>
    <cellStyle name="Comma 10 10 2 2" xfId="4"/>
    <cellStyle name="Comma 10 10 2 5" xfId="20"/>
    <cellStyle name="Comma 17" xfId="15"/>
    <cellStyle name="Comma 18" xfId="17"/>
    <cellStyle name="Comma 2" xfId="6"/>
    <cellStyle name="Comma 21" xfId="8"/>
    <cellStyle name="Comma 25" xfId="14"/>
    <cellStyle name="Comma 3" xfId="16"/>
    <cellStyle name="Comma 3 2 3 10 2 4" xfId="21"/>
    <cellStyle name="Comma 4" xfId="19"/>
    <cellStyle name="Comma 84" xfId="23"/>
    <cellStyle name="Currency" xfId="10" builtinId="4"/>
    <cellStyle name="Normal" xfId="0" builtinId="0"/>
    <cellStyle name="Normal 10 10 2 2" xfId="3"/>
    <cellStyle name="Normal 11" xfId="5"/>
    <cellStyle name="Normal 11 3" xfId="9"/>
    <cellStyle name="Normal 12" xfId="7"/>
    <cellStyle name="Normal 4" xfId="18"/>
    <cellStyle name="Normal 5" xfId="13"/>
    <cellStyle name="Percent" xfId="2" builtinId="5"/>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0</xdr:col>
      <xdr:colOff>685800</xdr:colOff>
      <xdr:row>44</xdr:row>
      <xdr:rowOff>0</xdr:rowOff>
    </xdr:from>
    <xdr:ext cx="184731" cy="264560"/>
    <xdr:sp macro="" textlink="">
      <xdr:nvSpPr>
        <xdr:cNvPr id="2" name="TextBox 1"/>
        <xdr:cNvSpPr txBox="1"/>
      </xdr:nvSpPr>
      <xdr:spPr>
        <a:xfrm>
          <a:off x="400050" y="136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685800</xdr:colOff>
      <xdr:row>44</xdr:row>
      <xdr:rowOff>0</xdr:rowOff>
    </xdr:from>
    <xdr:ext cx="184731" cy="264560"/>
    <xdr:sp macro="" textlink="">
      <xdr:nvSpPr>
        <xdr:cNvPr id="3" name="TextBox 2"/>
        <xdr:cNvSpPr txBox="1"/>
      </xdr:nvSpPr>
      <xdr:spPr>
        <a:xfrm>
          <a:off x="400050" y="136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685800</xdr:colOff>
      <xdr:row>33</xdr:row>
      <xdr:rowOff>0</xdr:rowOff>
    </xdr:from>
    <xdr:ext cx="184731" cy="264560"/>
    <xdr:sp macro="" textlink="">
      <xdr:nvSpPr>
        <xdr:cNvPr id="4" name="TextBox 3"/>
        <xdr:cNvSpPr txBox="1"/>
      </xdr:nvSpPr>
      <xdr:spPr>
        <a:xfrm>
          <a:off x="609600" y="864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685800</xdr:colOff>
      <xdr:row>33</xdr:row>
      <xdr:rowOff>0</xdr:rowOff>
    </xdr:from>
    <xdr:ext cx="184731" cy="264560"/>
    <xdr:sp macro="" textlink="">
      <xdr:nvSpPr>
        <xdr:cNvPr id="5" name="TextBox 4"/>
        <xdr:cNvSpPr txBox="1"/>
      </xdr:nvSpPr>
      <xdr:spPr>
        <a:xfrm>
          <a:off x="609600" y="864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12</xdr:col>
      <xdr:colOff>1010888</xdr:colOff>
      <xdr:row>232</xdr:row>
      <xdr:rowOff>110450</xdr:rowOff>
    </xdr:from>
    <xdr:ext cx="1126763" cy="540257"/>
    <xdr:sp macro="" textlink="">
      <xdr:nvSpPr>
        <xdr:cNvPr id="2" name="Rectangle 1"/>
        <xdr:cNvSpPr/>
      </xdr:nvSpPr>
      <xdr:spPr>
        <a:xfrm rot="3212680">
          <a:off x="12419816" y="75331397"/>
          <a:ext cx="540257" cy="1126763"/>
        </a:xfrm>
        <a:prstGeom prst="rect">
          <a:avLst/>
        </a:prstGeom>
        <a:noFill/>
      </xdr:spPr>
      <xdr:txBody>
        <a:bodyPr wrap="square" lIns="91440" tIns="45720" rIns="91440" bIns="45720">
          <a:noAutofit/>
        </a:bodyPr>
        <a:lstStyle/>
        <a:p>
          <a:pPr algn="ctr"/>
          <a:r>
            <a:rPr lang="en-US" sz="5400" b="1" cap="none" spc="50">
              <a:ln w="12700" cmpd="sng">
                <a:solidFill>
                  <a:schemeClr val="accent6">
                    <a:satMod val="120000"/>
                    <a:shade val="80000"/>
                  </a:schemeClr>
                </a:solidFill>
                <a:prstDash val="solid"/>
              </a:ln>
              <a:solidFill>
                <a:schemeClr val="accent6">
                  <a:tint val="1000"/>
                </a:schemeClr>
              </a:solidFill>
              <a:effectLst>
                <a:glow rad="53100">
                  <a:schemeClr val="accent6">
                    <a:satMod val="180000"/>
                    <a:alpha val="30000"/>
                  </a:schemeClr>
                </a:glow>
              </a:effectLst>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emesgen.Abate/Downloads/Monthly%20Aud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iled report for branches"/>
    </sheetNames>
    <sheetDataSet>
      <sheetData sheetId="0" refreshError="1">
        <row r="8">
          <cell r="F8">
            <v>32445.58</v>
          </cell>
        </row>
        <row r="10">
          <cell r="F10">
            <v>2802276.04</v>
          </cell>
        </row>
        <row r="11">
          <cell r="F11">
            <v>-11155.07</v>
          </cell>
        </row>
        <row r="12">
          <cell r="F12">
            <v>14353395.060000001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topLeftCell="A23" workbookViewId="0">
      <selection activeCell="G44" sqref="G44"/>
    </sheetView>
  </sheetViews>
  <sheetFormatPr defaultRowHeight="15"/>
  <cols>
    <col min="2" max="3" width="18.28515625" customWidth="1"/>
    <col min="4" max="4" width="24.5703125" customWidth="1"/>
  </cols>
  <sheetData>
    <row r="1" spans="1:4">
      <c r="A1" s="3406" t="s">
        <v>0</v>
      </c>
      <c r="B1" s="3406"/>
      <c r="C1" s="3406"/>
      <c r="D1" s="3406"/>
    </row>
    <row r="2" spans="1:4">
      <c r="A2" s="3406" t="s">
        <v>761</v>
      </c>
      <c r="B2" s="3406"/>
      <c r="C2" s="3406"/>
      <c r="D2" s="3406"/>
    </row>
    <row r="3" spans="1:4">
      <c r="A3" s="3406" t="s">
        <v>762</v>
      </c>
      <c r="B3" s="3406"/>
      <c r="C3" s="3406"/>
      <c r="D3" s="3406"/>
    </row>
    <row r="4" spans="1:4">
      <c r="A4" s="3406" t="s">
        <v>763</v>
      </c>
      <c r="B4" s="3406"/>
      <c r="C4" s="3406"/>
      <c r="D4" s="3406"/>
    </row>
    <row r="5" spans="1:4">
      <c r="A5" s="3407" t="s">
        <v>764</v>
      </c>
      <c r="B5" s="3410" t="s">
        <v>765</v>
      </c>
      <c r="C5" s="3410" t="s">
        <v>2956</v>
      </c>
      <c r="D5" s="3410" t="s">
        <v>766</v>
      </c>
    </row>
    <row r="6" spans="1:4">
      <c r="A6" s="3408"/>
      <c r="B6" s="3410"/>
      <c r="C6" s="3410"/>
      <c r="D6" s="3410"/>
    </row>
    <row r="7" spans="1:4">
      <c r="A7" s="3409"/>
      <c r="B7" s="3407"/>
      <c r="C7" s="3407"/>
      <c r="D7" s="3407" t="s">
        <v>6</v>
      </c>
    </row>
    <row r="8" spans="1:4">
      <c r="A8" s="2621">
        <v>1</v>
      </c>
      <c r="B8" s="2623" t="s">
        <v>767</v>
      </c>
      <c r="C8" s="2695" t="s">
        <v>1018</v>
      </c>
      <c r="D8" s="1064" t="s">
        <v>768</v>
      </c>
    </row>
    <row r="9" spans="1:4">
      <c r="A9" s="2621">
        <v>2</v>
      </c>
      <c r="B9" s="2624" t="s">
        <v>1015</v>
      </c>
      <c r="C9" s="2624" t="s">
        <v>1019</v>
      </c>
      <c r="D9" s="2625" t="s">
        <v>1016</v>
      </c>
    </row>
    <row r="10" spans="1:4">
      <c r="A10" s="2621">
        <v>3</v>
      </c>
      <c r="B10" s="2624" t="s">
        <v>1017</v>
      </c>
      <c r="C10" s="2624" t="s">
        <v>1019</v>
      </c>
      <c r="D10" s="2625" t="s">
        <v>1016</v>
      </c>
    </row>
    <row r="11" spans="1:4">
      <c r="A11" s="2621">
        <v>4</v>
      </c>
      <c r="B11" s="2623" t="s">
        <v>1574</v>
      </c>
      <c r="C11" s="2695" t="s">
        <v>1575</v>
      </c>
      <c r="D11" s="2623" t="s">
        <v>1576</v>
      </c>
    </row>
    <row r="12" spans="1:4">
      <c r="A12" s="2621">
        <v>5</v>
      </c>
      <c r="B12" s="2623" t="s">
        <v>1843</v>
      </c>
      <c r="C12" s="2695" t="s">
        <v>1588</v>
      </c>
      <c r="D12" s="2623" t="s">
        <v>1576</v>
      </c>
    </row>
    <row r="13" spans="1:4">
      <c r="A13" s="2621">
        <v>6</v>
      </c>
      <c r="B13" s="2623" t="s">
        <v>2197</v>
      </c>
      <c r="C13" s="2695" t="s">
        <v>2084</v>
      </c>
      <c r="D13" s="2623" t="s">
        <v>2202</v>
      </c>
    </row>
    <row r="14" spans="1:4">
      <c r="A14" s="2621">
        <v>7</v>
      </c>
      <c r="B14" s="2623" t="s">
        <v>2198</v>
      </c>
      <c r="C14" s="2695" t="s">
        <v>2084</v>
      </c>
      <c r="D14" s="2625" t="s">
        <v>1016</v>
      </c>
    </row>
    <row r="15" spans="1:4">
      <c r="A15" s="2621">
        <v>8</v>
      </c>
      <c r="B15" s="2623" t="s">
        <v>2199</v>
      </c>
      <c r="C15" s="2695" t="s">
        <v>2084</v>
      </c>
      <c r="D15" s="2625" t="s">
        <v>1016</v>
      </c>
    </row>
    <row r="16" spans="1:4">
      <c r="A16" s="2621">
        <v>9</v>
      </c>
      <c r="B16" s="2623" t="s">
        <v>2200</v>
      </c>
      <c r="C16" s="2695" t="s">
        <v>2084</v>
      </c>
      <c r="D16" s="2625" t="s">
        <v>1016</v>
      </c>
    </row>
    <row r="17" spans="1:4">
      <c r="A17" s="2621">
        <v>10</v>
      </c>
      <c r="B17" s="2623" t="s">
        <v>2201</v>
      </c>
      <c r="C17" s="2695" t="s">
        <v>2084</v>
      </c>
      <c r="D17" s="2623" t="s">
        <v>2203</v>
      </c>
    </row>
    <row r="18" spans="1:4">
      <c r="A18" s="2621">
        <v>11</v>
      </c>
      <c r="B18" s="2623" t="s">
        <v>2073</v>
      </c>
      <c r="C18" s="2695" t="s">
        <v>2074</v>
      </c>
      <c r="D18" s="2623" t="s">
        <v>1576</v>
      </c>
    </row>
    <row r="19" spans="1:4">
      <c r="A19" s="2621">
        <v>12</v>
      </c>
      <c r="B19" s="2623" t="s">
        <v>2540</v>
      </c>
      <c r="C19" s="2695" t="s">
        <v>2399</v>
      </c>
      <c r="D19" s="2623" t="s">
        <v>2202</v>
      </c>
    </row>
    <row r="20" spans="1:4">
      <c r="A20" s="2621">
        <v>13</v>
      </c>
      <c r="B20" s="2623" t="s">
        <v>2541</v>
      </c>
      <c r="C20" s="2695" t="s">
        <v>2399</v>
      </c>
      <c r="D20" s="2623" t="s">
        <v>2202</v>
      </c>
    </row>
    <row r="21" spans="1:4">
      <c r="A21" s="2621">
        <v>14</v>
      </c>
      <c r="B21" s="2623" t="s">
        <v>2542</v>
      </c>
      <c r="C21" s="2695" t="s">
        <v>2399</v>
      </c>
      <c r="D21" s="2623" t="s">
        <v>2202</v>
      </c>
    </row>
    <row r="22" spans="1:4">
      <c r="A22" s="2621">
        <v>15</v>
      </c>
      <c r="B22" s="2623" t="s">
        <v>2545</v>
      </c>
      <c r="C22" s="2695" t="s">
        <v>2399</v>
      </c>
      <c r="D22" s="2623" t="s">
        <v>2202</v>
      </c>
    </row>
    <row r="23" spans="1:4">
      <c r="A23" s="2621">
        <v>16</v>
      </c>
      <c r="B23" s="2623" t="s">
        <v>2543</v>
      </c>
      <c r="C23" s="2695" t="s">
        <v>2399</v>
      </c>
      <c r="D23" s="2623" t="s">
        <v>2202</v>
      </c>
    </row>
    <row r="24" spans="1:4">
      <c r="A24" s="2621">
        <v>17</v>
      </c>
      <c r="B24" s="2623" t="s">
        <v>2544</v>
      </c>
      <c r="C24" s="2695" t="s">
        <v>2399</v>
      </c>
      <c r="D24" s="2623" t="s">
        <v>2202</v>
      </c>
    </row>
    <row r="25" spans="1:4">
      <c r="A25" s="2621">
        <v>18</v>
      </c>
      <c r="B25" s="2623" t="s">
        <v>2395</v>
      </c>
      <c r="C25" s="2695" t="s">
        <v>2206</v>
      </c>
      <c r="D25" s="1064" t="s">
        <v>2389</v>
      </c>
    </row>
    <row r="26" spans="1:4">
      <c r="A26" s="2621">
        <v>19</v>
      </c>
      <c r="B26" s="2623" t="s">
        <v>2396</v>
      </c>
      <c r="C26" s="2695" t="s">
        <v>2206</v>
      </c>
      <c r="D26" s="1064" t="s">
        <v>2390</v>
      </c>
    </row>
    <row r="27" spans="1:4">
      <c r="A27" s="2621">
        <v>20</v>
      </c>
      <c r="B27" s="2623" t="s">
        <v>2391</v>
      </c>
      <c r="C27" s="2695" t="s">
        <v>2206</v>
      </c>
      <c r="D27" s="1064" t="s">
        <v>2392</v>
      </c>
    </row>
    <row r="28" spans="1:4">
      <c r="A28" s="2621">
        <v>21</v>
      </c>
      <c r="B28" s="2623" t="s">
        <v>2379</v>
      </c>
      <c r="C28" s="2695" t="s">
        <v>2206</v>
      </c>
      <c r="D28" s="2622" t="s">
        <v>2393</v>
      </c>
    </row>
    <row r="29" spans="1:4">
      <c r="A29" s="2621">
        <v>22</v>
      </c>
      <c r="B29" s="2623" t="s">
        <v>2397</v>
      </c>
      <c r="C29" s="2695" t="s">
        <v>2206</v>
      </c>
      <c r="D29" s="1064" t="s">
        <v>2394</v>
      </c>
    </row>
    <row r="30" spans="1:4">
      <c r="A30" s="2621">
        <v>23</v>
      </c>
      <c r="B30" s="2623" t="s">
        <v>2679</v>
      </c>
      <c r="C30" s="2695" t="s">
        <v>2549</v>
      </c>
      <c r="D30" s="2623" t="s">
        <v>1576</v>
      </c>
    </row>
    <row r="31" spans="1:4">
      <c r="A31" s="2621">
        <v>24</v>
      </c>
      <c r="B31" s="2623" t="s">
        <v>2680</v>
      </c>
      <c r="C31" s="2695" t="s">
        <v>2549</v>
      </c>
      <c r="D31" s="2623" t="s">
        <v>2202</v>
      </c>
    </row>
    <row r="32" spans="1:4">
      <c r="A32" s="2621">
        <v>25</v>
      </c>
      <c r="B32" s="2623" t="s">
        <v>2681</v>
      </c>
      <c r="C32" s="2695" t="s">
        <v>2549</v>
      </c>
      <c r="D32" s="2623" t="s">
        <v>2678</v>
      </c>
    </row>
    <row r="33" spans="1:4">
      <c r="A33" s="2621">
        <v>26</v>
      </c>
      <c r="B33" s="2623" t="s">
        <v>2726</v>
      </c>
      <c r="C33" s="2695" t="s">
        <v>2701</v>
      </c>
      <c r="D33" s="2623" t="s">
        <v>2202</v>
      </c>
    </row>
    <row r="34" spans="1:4">
      <c r="A34" s="2621">
        <v>27</v>
      </c>
      <c r="B34" s="2623" t="s">
        <v>2727</v>
      </c>
      <c r="C34" s="2695" t="s">
        <v>2701</v>
      </c>
      <c r="D34" s="2623" t="s">
        <v>2202</v>
      </c>
    </row>
    <row r="35" spans="1:4">
      <c r="A35" s="2621">
        <v>28</v>
      </c>
      <c r="B35" s="2623" t="s">
        <v>2728</v>
      </c>
      <c r="C35" s="2695" t="s">
        <v>2701</v>
      </c>
      <c r="D35" s="2623" t="s">
        <v>2202</v>
      </c>
    </row>
    <row r="36" spans="1:4">
      <c r="A36" s="2621">
        <v>29</v>
      </c>
      <c r="B36" s="2623" t="s">
        <v>2729</v>
      </c>
      <c r="C36" s="2695" t="s">
        <v>2701</v>
      </c>
      <c r="D36" s="2623" t="s">
        <v>2202</v>
      </c>
    </row>
    <row r="37" spans="1:4">
      <c r="A37" s="2621">
        <v>30</v>
      </c>
      <c r="B37" s="2623" t="s">
        <v>2730</v>
      </c>
      <c r="C37" s="2695" t="s">
        <v>2701</v>
      </c>
      <c r="D37" s="2623" t="s">
        <v>2202</v>
      </c>
    </row>
    <row r="38" spans="1:4">
      <c r="A38" s="2621">
        <v>31</v>
      </c>
      <c r="B38" s="2623" t="s">
        <v>2731</v>
      </c>
      <c r="C38" s="2695" t="s">
        <v>2701</v>
      </c>
      <c r="D38" s="2623" t="s">
        <v>2202</v>
      </c>
    </row>
    <row r="39" spans="1:4">
      <c r="A39" s="2621">
        <v>32</v>
      </c>
      <c r="B39" s="2623" t="s">
        <v>2732</v>
      </c>
      <c r="C39" s="2695" t="s">
        <v>2701</v>
      </c>
      <c r="D39" s="2623" t="s">
        <v>2202</v>
      </c>
    </row>
    <row r="40" spans="1:4">
      <c r="A40" s="2621">
        <v>33</v>
      </c>
      <c r="B40" s="2623" t="s">
        <v>2733</v>
      </c>
      <c r="C40" s="2695" t="s">
        <v>2701</v>
      </c>
      <c r="D40" s="2623" t="s">
        <v>2202</v>
      </c>
    </row>
    <row r="41" spans="1:4">
      <c r="A41" s="2621">
        <v>34</v>
      </c>
      <c r="B41" s="2623" t="s">
        <v>2734</v>
      </c>
      <c r="C41" s="2695" t="s">
        <v>2701</v>
      </c>
      <c r="D41" s="2623" t="s">
        <v>2202</v>
      </c>
    </row>
    <row r="42" spans="1:4">
      <c r="A42" s="2621">
        <v>35</v>
      </c>
      <c r="B42" s="2623" t="s">
        <v>2735</v>
      </c>
      <c r="C42" s="2695" t="s">
        <v>2701</v>
      </c>
      <c r="D42" s="2623" t="s">
        <v>2202</v>
      </c>
    </row>
    <row r="43" spans="1:4">
      <c r="A43" s="2621">
        <v>36</v>
      </c>
      <c r="B43" s="2623" t="s">
        <v>2736</v>
      </c>
      <c r="C43" s="2695" t="s">
        <v>2701</v>
      </c>
      <c r="D43" s="2623" t="s">
        <v>2202</v>
      </c>
    </row>
    <row r="44" spans="1:4">
      <c r="A44" s="2621">
        <v>37</v>
      </c>
      <c r="B44" s="2624" t="s">
        <v>2814</v>
      </c>
      <c r="C44" s="2695" t="s">
        <v>2739</v>
      </c>
      <c r="D44" s="2625" t="s">
        <v>2815</v>
      </c>
    </row>
    <row r="45" spans="1:4">
      <c r="A45" s="2621">
        <v>38</v>
      </c>
      <c r="B45" s="2624" t="s">
        <v>2816</v>
      </c>
      <c r="C45" s="2695" t="s">
        <v>2739</v>
      </c>
      <c r="D45" s="2625" t="s">
        <v>2817</v>
      </c>
    </row>
    <row r="46" spans="1:4">
      <c r="A46" s="2621">
        <v>39</v>
      </c>
      <c r="B46" s="2624" t="s">
        <v>2818</v>
      </c>
      <c r="C46" s="2695" t="s">
        <v>2739</v>
      </c>
      <c r="D46" s="2625" t="s">
        <v>2819</v>
      </c>
    </row>
    <row r="47" spans="1:4">
      <c r="A47" s="2621">
        <v>40</v>
      </c>
      <c r="B47" s="2624" t="s">
        <v>2820</v>
      </c>
      <c r="C47" s="2695" t="s">
        <v>2739</v>
      </c>
      <c r="D47" s="2625" t="s">
        <v>2819</v>
      </c>
    </row>
    <row r="48" spans="1:4">
      <c r="A48" s="2621">
        <v>41</v>
      </c>
      <c r="B48" s="2624" t="s">
        <v>2821</v>
      </c>
      <c r="C48" s="2695" t="s">
        <v>2739</v>
      </c>
      <c r="D48" s="2625" t="s">
        <v>2819</v>
      </c>
    </row>
    <row r="49" spans="1:4">
      <c r="A49" s="2621">
        <v>42</v>
      </c>
      <c r="B49" s="2624" t="s">
        <v>2822</v>
      </c>
      <c r="C49" s="2695" t="s">
        <v>2739</v>
      </c>
      <c r="D49" s="2625" t="s">
        <v>2819</v>
      </c>
    </row>
    <row r="50" spans="1:4">
      <c r="A50" s="2621">
        <v>43</v>
      </c>
      <c r="B50" s="2624" t="s">
        <v>2823</v>
      </c>
      <c r="C50" s="2695" t="s">
        <v>2739</v>
      </c>
      <c r="D50" s="2625" t="s">
        <v>2819</v>
      </c>
    </row>
    <row r="51" spans="1:4">
      <c r="A51" s="2621">
        <v>44</v>
      </c>
      <c r="B51" s="2624" t="s">
        <v>2824</v>
      </c>
      <c r="C51" s="2695" t="s">
        <v>2739</v>
      </c>
      <c r="D51" s="2625" t="s">
        <v>2819</v>
      </c>
    </row>
    <row r="52" spans="1:4">
      <c r="A52" s="2621">
        <v>45</v>
      </c>
      <c r="B52" s="2624" t="s">
        <v>2825</v>
      </c>
      <c r="C52" s="2695" t="s">
        <v>2739</v>
      </c>
      <c r="D52" s="2625" t="s">
        <v>2819</v>
      </c>
    </row>
    <row r="53" spans="1:4">
      <c r="A53" s="2621">
        <v>46</v>
      </c>
      <c r="B53" s="2624" t="s">
        <v>2826</v>
      </c>
      <c r="C53" s="2695" t="s">
        <v>2739</v>
      </c>
      <c r="D53" s="2625" t="s">
        <v>2819</v>
      </c>
    </row>
    <row r="54" spans="1:4">
      <c r="A54" s="2621">
        <v>47</v>
      </c>
      <c r="B54" s="2624" t="s">
        <v>2827</v>
      </c>
      <c r="C54" s="2695" t="s">
        <v>2739</v>
      </c>
      <c r="D54" s="2625" t="s">
        <v>2819</v>
      </c>
    </row>
    <row r="55" spans="1:4">
      <c r="A55" s="2621">
        <v>48</v>
      </c>
      <c r="B55" s="2624" t="s">
        <v>2828</v>
      </c>
      <c r="C55" s="2695" t="s">
        <v>2739</v>
      </c>
      <c r="D55" s="2625" t="s">
        <v>2819</v>
      </c>
    </row>
    <row r="56" spans="1:4">
      <c r="A56" s="2621">
        <v>49</v>
      </c>
      <c r="B56" s="2624" t="s">
        <v>2829</v>
      </c>
      <c r="C56" s="2695" t="s">
        <v>2739</v>
      </c>
      <c r="D56" s="2625" t="s">
        <v>2819</v>
      </c>
    </row>
    <row r="57" spans="1:4">
      <c r="A57" s="2621">
        <v>50</v>
      </c>
      <c r="B57" s="2624" t="s">
        <v>2830</v>
      </c>
      <c r="C57" s="2695" t="s">
        <v>2739</v>
      </c>
      <c r="D57" s="2625" t="s">
        <v>2819</v>
      </c>
    </row>
  </sheetData>
  <mergeCells count="8">
    <mergeCell ref="A1:D1"/>
    <mergeCell ref="A2:D2"/>
    <mergeCell ref="A3:D3"/>
    <mergeCell ref="A4:D4"/>
    <mergeCell ref="A5:A7"/>
    <mergeCell ref="B5:B7"/>
    <mergeCell ref="D5:D7"/>
    <mergeCell ref="C5:C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tabSelected="1" workbookViewId="0">
      <selection activeCell="M9" sqref="M9"/>
    </sheetView>
  </sheetViews>
  <sheetFormatPr defaultRowHeight="15"/>
  <cols>
    <col min="1" max="1" width="5" bestFit="1" customWidth="1"/>
    <col min="2" max="2" width="12.28515625" customWidth="1"/>
    <col min="3" max="3" width="14.7109375" customWidth="1"/>
    <col min="4" max="4" width="13.140625" customWidth="1"/>
    <col min="5" max="5" width="14.5703125" customWidth="1"/>
    <col min="6" max="6" width="15" customWidth="1"/>
    <col min="7" max="7" width="16.42578125" customWidth="1"/>
    <col min="8" max="8" width="11.5703125" bestFit="1" customWidth="1"/>
    <col min="9" max="9" width="11" bestFit="1" customWidth="1"/>
    <col min="10" max="10" width="15.140625" customWidth="1"/>
    <col min="11" max="11" width="11.7109375" customWidth="1"/>
    <col min="12" max="12" width="16" customWidth="1"/>
    <col min="13" max="13" width="13.42578125" bestFit="1" customWidth="1"/>
    <col min="14" max="14" width="11.85546875" customWidth="1"/>
    <col min="15" max="15" width="11" bestFit="1" customWidth="1"/>
    <col min="16" max="16" width="11.5703125" bestFit="1" customWidth="1"/>
    <col min="17" max="17" width="11.42578125" customWidth="1"/>
    <col min="18" max="18" width="15" customWidth="1"/>
    <col min="19" max="19" width="12.7109375" customWidth="1"/>
    <col min="20" max="20" width="14.28515625" bestFit="1" customWidth="1"/>
  </cols>
  <sheetData>
    <row r="1" spans="1:21" ht="18">
      <c r="A1" s="3413" t="s">
        <v>2957</v>
      </c>
      <c r="B1" s="3413"/>
      <c r="C1" s="3413"/>
      <c r="D1" s="3413"/>
      <c r="E1" s="3413"/>
      <c r="F1" s="3413"/>
      <c r="G1" s="3413"/>
      <c r="H1" s="3413"/>
      <c r="I1" s="3413"/>
      <c r="J1" s="3413"/>
      <c r="K1" s="3413"/>
      <c r="L1" s="3413"/>
      <c r="M1" s="3413"/>
      <c r="N1" s="3413"/>
      <c r="O1" s="3413"/>
      <c r="P1" s="3413"/>
      <c r="Q1" s="3413"/>
      <c r="R1" s="3413"/>
      <c r="S1" s="3413"/>
      <c r="T1" s="3413"/>
      <c r="U1" s="3413"/>
    </row>
    <row r="2" spans="1:21">
      <c r="A2" s="3414" t="s">
        <v>1579</v>
      </c>
      <c r="B2" s="3416" t="s">
        <v>2937</v>
      </c>
      <c r="C2" s="3414" t="s">
        <v>5</v>
      </c>
      <c r="D2" s="3418" t="s">
        <v>7</v>
      </c>
      <c r="E2" s="3419"/>
      <c r="F2" s="3419"/>
      <c r="G2" s="3420"/>
      <c r="H2" s="3421" t="s">
        <v>756</v>
      </c>
      <c r="I2" s="3422"/>
      <c r="J2" s="3425" t="s">
        <v>2938</v>
      </c>
      <c r="K2" s="3426"/>
      <c r="L2" s="3426" t="s">
        <v>1841</v>
      </c>
      <c r="M2" s="3426"/>
      <c r="N2" s="3429" t="s">
        <v>758</v>
      </c>
      <c r="O2" s="3429"/>
      <c r="P2" s="3431" t="s">
        <v>1842</v>
      </c>
      <c r="Q2" s="3432"/>
      <c r="R2" s="3435" t="s">
        <v>16</v>
      </c>
      <c r="S2" s="3436"/>
      <c r="T2" s="3436"/>
      <c r="U2" s="3437"/>
    </row>
    <row r="3" spans="1:21" ht="39">
      <c r="A3" s="3415"/>
      <c r="B3" s="3417"/>
      <c r="C3" s="3415"/>
      <c r="D3" s="3438" t="s">
        <v>17</v>
      </c>
      <c r="E3" s="3439"/>
      <c r="F3" s="3440" t="s">
        <v>18</v>
      </c>
      <c r="G3" s="3441"/>
      <c r="H3" s="3423"/>
      <c r="I3" s="3424"/>
      <c r="J3" s="3427"/>
      <c r="K3" s="3428"/>
      <c r="L3" s="3428"/>
      <c r="M3" s="3428"/>
      <c r="N3" s="3430"/>
      <c r="O3" s="3430"/>
      <c r="P3" s="3433"/>
      <c r="Q3" s="3434"/>
      <c r="R3" s="2581" t="s">
        <v>3160</v>
      </c>
      <c r="S3" s="2582" t="s">
        <v>22</v>
      </c>
      <c r="T3" s="2581" t="s">
        <v>3161</v>
      </c>
      <c r="U3" s="2581" t="s">
        <v>2939</v>
      </c>
    </row>
    <row r="4" spans="1:21" ht="26.25">
      <c r="A4" s="2582"/>
      <c r="B4" s="2582" t="s">
        <v>2940</v>
      </c>
      <c r="C4" s="2582" t="s">
        <v>2941</v>
      </c>
      <c r="D4" s="2581" t="s">
        <v>3162</v>
      </c>
      <c r="E4" s="2581" t="s">
        <v>22</v>
      </c>
      <c r="F4" s="2581" t="s">
        <v>3159</v>
      </c>
      <c r="G4" s="2581" t="s">
        <v>22</v>
      </c>
      <c r="H4" s="2581" t="s">
        <v>3159</v>
      </c>
      <c r="I4" s="2581" t="s">
        <v>22</v>
      </c>
      <c r="J4" s="2581" t="s">
        <v>3159</v>
      </c>
      <c r="K4" s="2581" t="s">
        <v>22</v>
      </c>
      <c r="L4" s="2581" t="s">
        <v>3159</v>
      </c>
      <c r="M4" s="2581" t="s">
        <v>22</v>
      </c>
      <c r="N4" s="2581" t="s">
        <v>3159</v>
      </c>
      <c r="O4" s="2581" t="s">
        <v>22</v>
      </c>
      <c r="P4" s="2581" t="s">
        <v>3159</v>
      </c>
      <c r="Q4" s="2581" t="s">
        <v>22</v>
      </c>
      <c r="R4" s="2582" t="s">
        <v>2942</v>
      </c>
      <c r="S4" s="2582" t="s">
        <v>2943</v>
      </c>
      <c r="T4" s="2582"/>
      <c r="U4" s="2582"/>
    </row>
    <row r="5" spans="1:21">
      <c r="A5" s="2583">
        <v>1</v>
      </c>
      <c r="B5" s="2584">
        <v>49</v>
      </c>
      <c r="C5" s="2584" t="s">
        <v>1018</v>
      </c>
      <c r="D5" s="2584">
        <f>East!E763</f>
        <v>0</v>
      </c>
      <c r="E5" s="2584">
        <f>East!O766</f>
        <v>0</v>
      </c>
      <c r="F5" s="2584">
        <f>East!F760</f>
        <v>25057</v>
      </c>
      <c r="G5" s="2584">
        <f>East!O767</f>
        <v>6</v>
      </c>
      <c r="H5" s="2584">
        <f>East!G760</f>
        <v>135</v>
      </c>
      <c r="I5" s="2584">
        <f>East!O768</f>
        <v>4</v>
      </c>
      <c r="J5" s="2584">
        <f>East!H760</f>
        <v>3973</v>
      </c>
      <c r="K5" s="2584">
        <f>East!O768</f>
        <v>4</v>
      </c>
      <c r="L5" s="2584">
        <f>East!I760</f>
        <v>87889</v>
      </c>
      <c r="M5" s="2584">
        <f>East!O770</f>
        <v>90</v>
      </c>
      <c r="N5" s="2584">
        <f>East!J760</f>
        <v>49</v>
      </c>
      <c r="O5" s="2584">
        <f>East!O771</f>
        <v>0</v>
      </c>
      <c r="P5" s="2584">
        <f>East!K760</f>
        <v>625</v>
      </c>
      <c r="Q5" s="2585">
        <f>East!O772</f>
        <v>241</v>
      </c>
      <c r="R5" s="2585">
        <f>D5+F5+H5+J5+L5+N5+P5</f>
        <v>117728</v>
      </c>
      <c r="S5" s="2585">
        <f>E5+G5+K5+I5+M5+O5+Q5</f>
        <v>345</v>
      </c>
      <c r="T5" s="2585">
        <f>R5-S5</f>
        <v>117383</v>
      </c>
      <c r="U5" s="2586"/>
    </row>
    <row r="6" spans="1:21">
      <c r="A6" s="2583">
        <v>2</v>
      </c>
      <c r="B6" s="2587">
        <v>42</v>
      </c>
      <c r="C6" s="2585" t="s">
        <v>1019</v>
      </c>
      <c r="D6" s="2584">
        <f>North!G377</f>
        <v>5283</v>
      </c>
      <c r="E6" s="2584">
        <f>North!K382</f>
        <v>90</v>
      </c>
      <c r="F6" s="2584">
        <f>North!H377</f>
        <v>16438</v>
      </c>
      <c r="G6" s="2584">
        <f>North!K383</f>
        <v>38</v>
      </c>
      <c r="H6" s="2584">
        <f>North!I377</f>
        <v>129</v>
      </c>
      <c r="I6" s="2584">
        <f>North!K384</f>
        <v>1</v>
      </c>
      <c r="J6" s="2584">
        <f>North!J377</f>
        <v>6798</v>
      </c>
      <c r="K6" s="2584">
        <f>North!K385</f>
        <v>143</v>
      </c>
      <c r="L6" s="2584">
        <f>North!K377</f>
        <v>27137</v>
      </c>
      <c r="M6" s="2584">
        <f>North!K386</f>
        <v>58</v>
      </c>
      <c r="N6" s="2584">
        <f>North!L377</f>
        <v>990</v>
      </c>
      <c r="O6" s="2584">
        <f>North!K387</f>
        <v>0</v>
      </c>
      <c r="P6" s="2584">
        <f>North!M377</f>
        <v>228</v>
      </c>
      <c r="Q6" s="2585">
        <f>North!K388</f>
        <v>65</v>
      </c>
      <c r="R6" s="2585">
        <f t="shared" ref="R6:R18" si="0">D6+F6+H6+J6+L6+N6+P6</f>
        <v>57003</v>
      </c>
      <c r="S6" s="2585">
        <f>E6+G6+K6+I6+M6+O6+Q6</f>
        <v>395</v>
      </c>
      <c r="T6" s="2585">
        <f t="shared" ref="T6:T17" si="1">R6-S6</f>
        <v>56608</v>
      </c>
      <c r="U6" s="3614">
        <f t="shared" ref="U6:U17" si="2">S6/R6</f>
        <v>6.9294598529901939E-3</v>
      </c>
    </row>
    <row r="7" spans="1:21">
      <c r="A7" s="2583">
        <v>3</v>
      </c>
      <c r="B7" s="2588">
        <v>57</v>
      </c>
      <c r="C7" s="2588" t="s">
        <v>1575</v>
      </c>
      <c r="D7" s="2584">
        <f>South!E1066</f>
        <v>8018</v>
      </c>
      <c r="E7" s="2584">
        <f>South!O1072</f>
        <v>0</v>
      </c>
      <c r="F7" s="2584">
        <f>South!F1066</f>
        <v>27504</v>
      </c>
      <c r="G7" s="2584">
        <f>South!O1073</f>
        <v>0</v>
      </c>
      <c r="H7" s="2584">
        <f>South!G1066</f>
        <v>312</v>
      </c>
      <c r="I7" s="2584">
        <f>South!O1074</f>
        <v>0</v>
      </c>
      <c r="J7" s="2584">
        <f>South!H1066</f>
        <v>9969</v>
      </c>
      <c r="K7" s="2584">
        <f>South!O1075</f>
        <v>0</v>
      </c>
      <c r="L7" s="2584">
        <f>South!I1066</f>
        <v>158159</v>
      </c>
      <c r="M7" s="2584">
        <f>South!O1076</f>
        <v>0</v>
      </c>
      <c r="N7" s="2584">
        <f>South!J1066</f>
        <v>971</v>
      </c>
      <c r="O7" s="2584">
        <f>South!O1077</f>
        <v>0</v>
      </c>
      <c r="P7" s="2584">
        <f>South!K1066</f>
        <v>818</v>
      </c>
      <c r="Q7" s="2585">
        <f>South!O1078</f>
        <v>8</v>
      </c>
      <c r="R7" s="2585">
        <f t="shared" si="0"/>
        <v>205751</v>
      </c>
      <c r="S7" s="2585">
        <f>E7+G7+K7+I7+M7+O7+Q7</f>
        <v>8</v>
      </c>
      <c r="T7" s="2585">
        <f t="shared" si="1"/>
        <v>205743</v>
      </c>
      <c r="U7" s="2586">
        <f t="shared" si="2"/>
        <v>3.8881949540949981E-5</v>
      </c>
    </row>
    <row r="8" spans="1:21">
      <c r="A8" s="2583">
        <v>4</v>
      </c>
      <c r="B8" s="2585">
        <v>65</v>
      </c>
      <c r="C8" s="2585" t="s">
        <v>1588</v>
      </c>
      <c r="D8" s="2584">
        <f>West!E514</f>
        <v>5776</v>
      </c>
      <c r="E8" s="2589">
        <f>West!F524</f>
        <v>0</v>
      </c>
      <c r="F8" s="2584">
        <f>West!F514</f>
        <v>19909</v>
      </c>
      <c r="G8" s="2584">
        <f>West!F525</f>
        <v>0</v>
      </c>
      <c r="H8" s="2584">
        <f>West!G514</f>
        <v>193</v>
      </c>
      <c r="I8" s="2584">
        <f>West!F526</f>
        <v>0</v>
      </c>
      <c r="J8" s="2584">
        <f>West!H514</f>
        <v>864</v>
      </c>
      <c r="K8" s="2584">
        <f>West!F527</f>
        <v>0</v>
      </c>
      <c r="L8" s="2584">
        <f>West!I514</f>
        <v>91240</v>
      </c>
      <c r="M8" s="2584">
        <f>West!F528</f>
        <v>0</v>
      </c>
      <c r="N8" s="2584">
        <f>West!J514</f>
        <v>2773</v>
      </c>
      <c r="O8" s="2584">
        <f>West!F528</f>
        <v>0</v>
      </c>
      <c r="P8" s="2584">
        <f>West!K514</f>
        <v>160</v>
      </c>
      <c r="Q8" s="2585">
        <f>West!F530</f>
        <v>20</v>
      </c>
      <c r="R8" s="2585">
        <f t="shared" si="0"/>
        <v>120915</v>
      </c>
      <c r="S8" s="2585">
        <f t="shared" ref="S8:S17" si="3">E8+G8+K8+I8+M8+O8+Q8</f>
        <v>20</v>
      </c>
      <c r="T8" s="2585">
        <f t="shared" si="1"/>
        <v>120895</v>
      </c>
      <c r="U8" s="2586">
        <f t="shared" si="2"/>
        <v>1.6540545010958112E-4</v>
      </c>
    </row>
    <row r="9" spans="1:21">
      <c r="A9" s="2583">
        <v>5</v>
      </c>
      <c r="B9" s="2590">
        <v>33</v>
      </c>
      <c r="C9" s="2591" t="s">
        <v>2399</v>
      </c>
      <c r="D9" s="2584">
        <f>Adama!E282</f>
        <v>1232</v>
      </c>
      <c r="E9" s="2589">
        <f>Adama!F292</f>
        <v>20</v>
      </c>
      <c r="F9" s="2584">
        <f>Adama!F282</f>
        <v>16571</v>
      </c>
      <c r="G9" s="2584">
        <f>Adama!F293</f>
        <v>5</v>
      </c>
      <c r="H9" s="2584">
        <f>Adama!G282</f>
        <v>73</v>
      </c>
      <c r="I9" s="2584">
        <f>Adama!F294</f>
        <v>22</v>
      </c>
      <c r="J9" s="2584">
        <f>Adama!H282</f>
        <v>274</v>
      </c>
      <c r="K9" s="2584">
        <f>Adama!F295</f>
        <v>10</v>
      </c>
      <c r="L9" s="2584">
        <f>Adama!I282</f>
        <v>94745</v>
      </c>
      <c r="M9" s="2584">
        <f>Adama!F296</f>
        <v>0</v>
      </c>
      <c r="N9" s="2584">
        <f>Adama!J282</f>
        <v>0</v>
      </c>
      <c r="O9" s="2584">
        <f>Adama!F297</f>
        <v>0</v>
      </c>
      <c r="P9" s="2584">
        <f>Adama!K282</f>
        <v>207</v>
      </c>
      <c r="Q9" s="2585">
        <f>Adama!F298</f>
        <v>20</v>
      </c>
      <c r="R9" s="2585">
        <f t="shared" si="0"/>
        <v>113102</v>
      </c>
      <c r="S9" s="2585">
        <f t="shared" si="3"/>
        <v>77</v>
      </c>
      <c r="T9" s="2585">
        <f t="shared" si="1"/>
        <v>113025</v>
      </c>
      <c r="U9" s="2586">
        <f t="shared" si="2"/>
        <v>6.8080140050573814E-4</v>
      </c>
    </row>
    <row r="10" spans="1:21">
      <c r="A10" s="2583">
        <v>6</v>
      </c>
      <c r="B10" s="2590">
        <v>25</v>
      </c>
      <c r="C10" s="2590" t="s">
        <v>2944</v>
      </c>
      <c r="D10" s="2584">
        <f>'B-Dar'!F235</f>
        <v>1565</v>
      </c>
      <c r="E10" s="2584">
        <f>'B-Dar'!G240</f>
        <v>12</v>
      </c>
      <c r="F10" s="2584">
        <f>'B-Dar'!G235</f>
        <v>8851</v>
      </c>
      <c r="G10" s="2584">
        <f>'B-Dar'!G241</f>
        <v>16</v>
      </c>
      <c r="H10" s="2584">
        <f>'B-Dar'!H235</f>
        <v>44</v>
      </c>
      <c r="I10" s="2584">
        <f>'B-Dar'!G242</f>
        <v>2</v>
      </c>
      <c r="J10" s="2584">
        <f>'B-Dar'!I235</f>
        <v>12</v>
      </c>
      <c r="K10" s="2584">
        <f>'B-Dar'!G243</f>
        <v>11</v>
      </c>
      <c r="L10" s="2584">
        <f>'B-Dar'!J235</f>
        <v>25540</v>
      </c>
      <c r="M10" s="2584">
        <f>'B-Dar'!G244</f>
        <v>1126</v>
      </c>
      <c r="N10" s="2584">
        <f>'B-Dar'!K235</f>
        <v>345</v>
      </c>
      <c r="O10" s="2584">
        <f>'B-Dar'!G245</f>
        <v>0</v>
      </c>
      <c r="P10" s="2584">
        <f>'B-Dar'!L235</f>
        <v>4342</v>
      </c>
      <c r="Q10" s="2585">
        <f>'B-Dar'!G246</f>
        <v>252</v>
      </c>
      <c r="R10" s="2585">
        <f t="shared" si="0"/>
        <v>40699</v>
      </c>
      <c r="S10" s="2585">
        <f t="shared" si="3"/>
        <v>1419</v>
      </c>
      <c r="T10" s="2585">
        <f t="shared" si="1"/>
        <v>39280</v>
      </c>
      <c r="U10" s="2586">
        <f t="shared" si="2"/>
        <v>3.4865721516499179E-2</v>
      </c>
    </row>
    <row r="11" spans="1:21">
      <c r="A11" s="2583">
        <v>7</v>
      </c>
      <c r="B11" s="2590">
        <v>11</v>
      </c>
      <c r="C11" s="2590" t="s">
        <v>2886</v>
      </c>
      <c r="D11" s="2584">
        <f>Desie!F161</f>
        <v>1105</v>
      </c>
      <c r="E11" s="2584">
        <f>Desie!G167</f>
        <v>0</v>
      </c>
      <c r="F11" s="2584">
        <f>Desie!G161</f>
        <v>2660</v>
      </c>
      <c r="G11" s="2584">
        <f>Desie!G168</f>
        <v>20</v>
      </c>
      <c r="H11" s="2584">
        <f>Desie!H161</f>
        <v>28</v>
      </c>
      <c r="I11" s="2584">
        <f>Desie!G169</f>
        <v>2</v>
      </c>
      <c r="J11" s="2584">
        <f>Desie!I161</f>
        <v>3434</v>
      </c>
      <c r="K11" s="2584">
        <f>Desie!G170</f>
        <v>52</v>
      </c>
      <c r="L11" s="2584">
        <f>Desie!J161</f>
        <v>13815</v>
      </c>
      <c r="M11" s="2584">
        <f>Desie!G171</f>
        <v>240</v>
      </c>
      <c r="N11" s="2584">
        <f>Desie!K161</f>
        <v>1</v>
      </c>
      <c r="O11" s="2584">
        <f>Desie!G172</f>
        <v>0</v>
      </c>
      <c r="P11" s="2584">
        <f>Desie!L161</f>
        <v>268</v>
      </c>
      <c r="Q11" s="2585">
        <f>Desie!G173</f>
        <v>49</v>
      </c>
      <c r="R11" s="2585">
        <f t="shared" si="0"/>
        <v>21311</v>
      </c>
      <c r="S11" s="2585">
        <f t="shared" si="3"/>
        <v>363</v>
      </c>
      <c r="T11" s="2585">
        <f t="shared" si="1"/>
        <v>20948</v>
      </c>
      <c r="U11" s="2586">
        <f t="shared" si="2"/>
        <v>1.7033456900192388E-2</v>
      </c>
    </row>
    <row r="12" spans="1:21">
      <c r="A12" s="2583">
        <v>8</v>
      </c>
      <c r="B12" s="2588">
        <v>17</v>
      </c>
      <c r="C12" s="2592" t="s">
        <v>2945</v>
      </c>
      <c r="D12" s="2584">
        <f>'Dire Dawa'!E92</f>
        <v>1366</v>
      </c>
      <c r="E12" s="2584">
        <f>'Dire Dawa'!O98</f>
        <v>0</v>
      </c>
      <c r="F12" s="2584">
        <f>'Dire Dawa'!F92</f>
        <v>8041</v>
      </c>
      <c r="G12" s="2584">
        <f>'Dire Dawa'!O99</f>
        <v>0</v>
      </c>
      <c r="H12" s="2584">
        <f>'Dire Dawa'!G92</f>
        <v>4</v>
      </c>
      <c r="I12" s="2584">
        <f>'Dire Dawa'!O100</f>
        <v>0</v>
      </c>
      <c r="J12" s="2584">
        <f>'Dire Dawa'!H92</f>
        <v>1171</v>
      </c>
      <c r="K12" s="2584">
        <f>'Dire Dawa'!O101</f>
        <v>0</v>
      </c>
      <c r="L12" s="2584">
        <f>'Dire Dawa'!I92</f>
        <v>24004</v>
      </c>
      <c r="M12" s="2584">
        <f>'Dire Dawa'!O102</f>
        <v>0</v>
      </c>
      <c r="N12" s="2584">
        <f>'Dire Dawa'!J92</f>
        <v>0</v>
      </c>
      <c r="O12" s="2584">
        <f>'Dire Dawa'!O103</f>
        <v>0</v>
      </c>
      <c r="P12" s="2584">
        <f>'Dire Dawa'!K92</f>
        <v>240</v>
      </c>
      <c r="Q12" s="2585">
        <f>'Dire Dawa'!O104</f>
        <v>0</v>
      </c>
      <c r="R12" s="2585">
        <f t="shared" si="0"/>
        <v>34826</v>
      </c>
      <c r="S12" s="2585">
        <f t="shared" si="3"/>
        <v>0</v>
      </c>
      <c r="T12" s="2585">
        <f t="shared" si="1"/>
        <v>34826</v>
      </c>
      <c r="U12" s="2586">
        <f t="shared" si="2"/>
        <v>0</v>
      </c>
    </row>
    <row r="13" spans="1:21">
      <c r="A13" s="2583">
        <v>9</v>
      </c>
      <c r="B13" s="2590">
        <v>39</v>
      </c>
      <c r="C13" s="2590" t="s">
        <v>2084</v>
      </c>
      <c r="D13" s="2584">
        <f>Hawassa!G297</f>
        <v>3320</v>
      </c>
      <c r="E13" s="2584">
        <f>Hawassa!J300</f>
        <v>0</v>
      </c>
      <c r="F13" s="2584">
        <f>Hawassa!H297</f>
        <v>29868</v>
      </c>
      <c r="G13" s="2584">
        <f>Hawassa!J301</f>
        <v>0</v>
      </c>
      <c r="H13" s="2584">
        <f>Hawassa!I297</f>
        <v>94</v>
      </c>
      <c r="I13" s="2584">
        <f>Hawassa!J302</f>
        <v>0</v>
      </c>
      <c r="J13" s="2584">
        <f>Hawassa!J297</f>
        <v>130</v>
      </c>
      <c r="K13" s="2584">
        <f>Hawassa!J303</f>
        <v>0</v>
      </c>
      <c r="L13" s="2584">
        <f>Hawassa!K297</f>
        <v>18486</v>
      </c>
      <c r="M13" s="2584">
        <f>Hawassa!J304</f>
        <v>0</v>
      </c>
      <c r="N13" s="2584">
        <f>Hawassa!L297</f>
        <v>1</v>
      </c>
      <c r="O13" s="2584">
        <f>Hawassa!J305</f>
        <v>0</v>
      </c>
      <c r="P13" s="2584">
        <f>Hawassa!M297</f>
        <v>582</v>
      </c>
      <c r="Q13" s="2585">
        <f>Hawassa!J306</f>
        <v>0</v>
      </c>
      <c r="R13" s="2585">
        <f t="shared" si="0"/>
        <v>52481</v>
      </c>
      <c r="S13" s="2585">
        <f t="shared" si="3"/>
        <v>0</v>
      </c>
      <c r="T13" s="2585">
        <f t="shared" si="1"/>
        <v>52481</v>
      </c>
      <c r="U13" s="2586">
        <f t="shared" si="2"/>
        <v>0</v>
      </c>
    </row>
    <row r="14" spans="1:21">
      <c r="A14" s="2583">
        <v>10</v>
      </c>
      <c r="B14" s="2590">
        <v>36</v>
      </c>
      <c r="C14" s="2591" t="s">
        <v>2206</v>
      </c>
      <c r="D14" s="2584">
        <f>Hossaena!F209</f>
        <v>5961</v>
      </c>
      <c r="E14" s="2589">
        <f>Hossaena!G214</f>
        <v>1</v>
      </c>
      <c r="F14" s="2584">
        <f>Hossaena!G209</f>
        <v>47643</v>
      </c>
      <c r="G14" s="2584">
        <f>Hossaena!G215</f>
        <v>8</v>
      </c>
      <c r="H14" s="2584">
        <f>Hossaena!H209</f>
        <v>40</v>
      </c>
      <c r="I14" s="2584">
        <f>Hossaena!G216</f>
        <v>0</v>
      </c>
      <c r="J14" s="2584">
        <f>Hossaena!I209</f>
        <v>164</v>
      </c>
      <c r="K14" s="2584">
        <f>Hossaena!G217</f>
        <v>98</v>
      </c>
      <c r="L14" s="2584">
        <f>Hossaena!J209</f>
        <v>121170</v>
      </c>
      <c r="M14" s="2584">
        <f>Hossaena!G218</f>
        <v>968</v>
      </c>
      <c r="N14" s="2584">
        <f>Hossaena!K209</f>
        <v>1</v>
      </c>
      <c r="O14" s="2584">
        <f>Hossaena!G219</f>
        <v>1</v>
      </c>
      <c r="P14" s="2584">
        <f>Hossaena!L209</f>
        <v>234</v>
      </c>
      <c r="Q14" s="2585">
        <f>Hossaena!G220</f>
        <v>206</v>
      </c>
      <c r="R14" s="2585">
        <f t="shared" si="0"/>
        <v>175213</v>
      </c>
      <c r="S14" s="2585">
        <f t="shared" si="3"/>
        <v>1282</v>
      </c>
      <c r="T14" s="2585">
        <f t="shared" si="1"/>
        <v>173931</v>
      </c>
      <c r="U14" s="2586">
        <f t="shared" si="2"/>
        <v>7.3168086842871245E-3</v>
      </c>
    </row>
    <row r="15" spans="1:21">
      <c r="A15" s="2583">
        <v>11</v>
      </c>
      <c r="B15" s="2590">
        <v>26</v>
      </c>
      <c r="C15" s="2591" t="s">
        <v>2549</v>
      </c>
      <c r="D15" s="2584">
        <f>Wolkite!E185</f>
        <v>225</v>
      </c>
      <c r="E15" s="2589">
        <f>Wolkite!F194</f>
        <v>3</v>
      </c>
      <c r="F15" s="2584">
        <f>Wolkite!F185</f>
        <v>16435</v>
      </c>
      <c r="G15" s="2584">
        <f>Wolkite!F195</f>
        <v>10</v>
      </c>
      <c r="H15" s="2584">
        <f>Wolkite!G185</f>
        <v>42</v>
      </c>
      <c r="I15" s="2584">
        <f>Wolkite!F196</f>
        <v>2</v>
      </c>
      <c r="J15" s="2584">
        <f>Wolkite!H185</f>
        <v>294</v>
      </c>
      <c r="K15" s="2584">
        <f>Wolkite!F197</f>
        <v>125</v>
      </c>
      <c r="L15" s="2584">
        <f>Wolkite!I185</f>
        <v>53926</v>
      </c>
      <c r="M15" s="2584">
        <f>Wolkite!F198</f>
        <v>107</v>
      </c>
      <c r="N15" s="2584">
        <f>Wolkite!J185</f>
        <v>0</v>
      </c>
      <c r="O15" s="2584">
        <f>Wolkite!F199</f>
        <v>0</v>
      </c>
      <c r="P15" s="2584">
        <f>Wolkite!K185</f>
        <v>101</v>
      </c>
      <c r="Q15" s="2585">
        <f>Wolkite!F200</f>
        <v>11</v>
      </c>
      <c r="R15" s="2585">
        <f t="shared" si="0"/>
        <v>71023</v>
      </c>
      <c r="S15" s="2585">
        <f t="shared" si="3"/>
        <v>258</v>
      </c>
      <c r="T15" s="2585">
        <f t="shared" si="1"/>
        <v>70765</v>
      </c>
      <c r="U15" s="2586">
        <f t="shared" si="2"/>
        <v>3.6326260507159652E-3</v>
      </c>
    </row>
    <row r="16" spans="1:21">
      <c r="A16" s="2583">
        <v>12</v>
      </c>
      <c r="B16" s="2590">
        <v>20</v>
      </c>
      <c r="C16" s="2591" t="s">
        <v>2739</v>
      </c>
      <c r="D16" s="2584">
        <f>Jimma!G126</f>
        <v>129</v>
      </c>
      <c r="E16" s="2584">
        <f>Jimma!L135</f>
        <v>0</v>
      </c>
      <c r="F16" s="2584">
        <f>Jimma!H126</f>
        <v>4114</v>
      </c>
      <c r="G16" s="2584">
        <f>Jimma!L136</f>
        <v>0</v>
      </c>
      <c r="H16" s="2584">
        <f>Jimma!I126</f>
        <v>32</v>
      </c>
      <c r="I16" s="2584">
        <f>Jimma!L137</f>
        <v>0</v>
      </c>
      <c r="J16" s="2584">
        <f>Jimma!J126</f>
        <v>3238</v>
      </c>
      <c r="K16" s="2584">
        <f>Jimma!L138</f>
        <v>0</v>
      </c>
      <c r="L16" s="2584">
        <f>Jimma!K139</f>
        <v>62264</v>
      </c>
      <c r="M16" s="2584">
        <f>Jimma!L140</f>
        <v>0</v>
      </c>
      <c r="N16" s="2584">
        <f>Jimma!L126</f>
        <v>16</v>
      </c>
      <c r="O16" s="2584">
        <f>Jimma!L140</f>
        <v>0</v>
      </c>
      <c r="P16" s="2584">
        <f>Jimma!M126</f>
        <v>300</v>
      </c>
      <c r="Q16" s="2585">
        <f>Jimma!L141</f>
        <v>0</v>
      </c>
      <c r="R16" s="2585">
        <f t="shared" si="0"/>
        <v>70093</v>
      </c>
      <c r="S16" s="2585">
        <f t="shared" si="3"/>
        <v>0</v>
      </c>
      <c r="T16" s="2585">
        <f t="shared" si="1"/>
        <v>70093</v>
      </c>
      <c r="U16" s="2586"/>
    </row>
    <row r="17" spans="1:21">
      <c r="A17" s="2583">
        <v>13</v>
      </c>
      <c r="B17" s="2587">
        <v>7</v>
      </c>
      <c r="C17" s="2585" t="s">
        <v>2831</v>
      </c>
      <c r="D17" s="2584">
        <f>Mekelle!E26</f>
        <v>0</v>
      </c>
      <c r="E17" s="2589">
        <f>Mekelle!F36</f>
        <v>0</v>
      </c>
      <c r="F17" s="2584">
        <f>Mekelle!F26</f>
        <v>1536</v>
      </c>
      <c r="G17" s="2584">
        <f>Mekelle!F37</f>
        <v>2</v>
      </c>
      <c r="H17" s="2584">
        <f>Mekelle!G26</f>
        <v>0</v>
      </c>
      <c r="I17" s="2584">
        <f>Mekelle!F38</f>
        <v>0</v>
      </c>
      <c r="J17" s="2584">
        <f>Mekelle!H26</f>
        <v>0</v>
      </c>
      <c r="K17" s="2584">
        <f>Mekelle!F39</f>
        <v>0</v>
      </c>
      <c r="L17" s="2584">
        <f>Mekelle!I26</f>
        <v>6357</v>
      </c>
      <c r="M17" s="2584">
        <f>Mekelle!F40</f>
        <v>87</v>
      </c>
      <c r="N17" s="2584">
        <f>Mekelle!J26</f>
        <v>13</v>
      </c>
      <c r="O17" s="2584">
        <f>Mekelle!F41</f>
        <v>0</v>
      </c>
      <c r="P17" s="2584">
        <f>Mekelle!K26</f>
        <v>6</v>
      </c>
      <c r="Q17" s="2585">
        <f>Mekelle!F42</f>
        <v>3</v>
      </c>
      <c r="R17" s="2585">
        <f t="shared" si="0"/>
        <v>7912</v>
      </c>
      <c r="S17" s="2585">
        <f t="shared" si="3"/>
        <v>92</v>
      </c>
      <c r="T17" s="2585">
        <f t="shared" si="1"/>
        <v>7820</v>
      </c>
      <c r="U17" s="2586">
        <f t="shared" si="2"/>
        <v>1.1627906976744186E-2</v>
      </c>
    </row>
    <row r="18" spans="1:21">
      <c r="A18" s="2593"/>
      <c r="B18" s="2594">
        <f>SUM(B5:B17)</f>
        <v>427</v>
      </c>
      <c r="C18" s="2595" t="s">
        <v>760</v>
      </c>
      <c r="D18" s="2596">
        <f t="shared" ref="D18:U18" si="4">SUM(D5:D17)</f>
        <v>33980</v>
      </c>
      <c r="E18" s="2596">
        <f t="shared" si="4"/>
        <v>126</v>
      </c>
      <c r="F18" s="2596">
        <f t="shared" si="4"/>
        <v>224627</v>
      </c>
      <c r="G18" s="2596">
        <f t="shared" si="4"/>
        <v>105</v>
      </c>
      <c r="H18" s="2596">
        <f t="shared" si="4"/>
        <v>1126</v>
      </c>
      <c r="I18" s="2596">
        <f t="shared" si="4"/>
        <v>33</v>
      </c>
      <c r="J18" s="2596">
        <f t="shared" si="4"/>
        <v>30321</v>
      </c>
      <c r="K18" s="2596">
        <f>SUM(K5:K17)</f>
        <v>443</v>
      </c>
      <c r="L18" s="2596">
        <f>SUM(L5:L17)</f>
        <v>784732</v>
      </c>
      <c r="M18" s="2596">
        <f t="shared" si="4"/>
        <v>2676</v>
      </c>
      <c r="N18" s="2596">
        <f t="shared" si="4"/>
        <v>5160</v>
      </c>
      <c r="O18" s="2596">
        <f t="shared" si="4"/>
        <v>1</v>
      </c>
      <c r="P18" s="2596">
        <f t="shared" si="4"/>
        <v>8111</v>
      </c>
      <c r="Q18" s="2596">
        <f t="shared" si="4"/>
        <v>875</v>
      </c>
      <c r="R18" s="2585">
        <f t="shared" si="0"/>
        <v>1088057</v>
      </c>
      <c r="S18" s="2596">
        <f t="shared" si="4"/>
        <v>4259</v>
      </c>
      <c r="T18" s="2596">
        <f t="shared" si="4"/>
        <v>1083798</v>
      </c>
      <c r="U18" s="2596">
        <f t="shared" si="4"/>
        <v>8.2291068781585291E-2</v>
      </c>
    </row>
    <row r="19" spans="1:21">
      <c r="A19" s="2593"/>
      <c r="B19" s="2593"/>
      <c r="C19" s="2593"/>
      <c r="D19" s="2593"/>
      <c r="E19" s="2597">
        <f>D18-E18</f>
        <v>33854</v>
      </c>
      <c r="F19" s="2593"/>
      <c r="G19" s="2597">
        <f>F18-G18</f>
        <v>224522</v>
      </c>
      <c r="H19" s="2593"/>
      <c r="I19" s="2597">
        <f>H18-I18</f>
        <v>1093</v>
      </c>
      <c r="J19" s="2593"/>
      <c r="K19" s="2597">
        <f>J18-K18</f>
        <v>29878</v>
      </c>
      <c r="L19" s="2593"/>
      <c r="M19" s="2598">
        <f>L18-M18</f>
        <v>782056</v>
      </c>
      <c r="N19" s="2599"/>
      <c r="O19" s="2598">
        <f>N18-O18</f>
        <v>5159</v>
      </c>
      <c r="P19" s="2599"/>
      <c r="Q19" s="2599">
        <f>Q18/P18</f>
        <v>0.10787819011219332</v>
      </c>
      <c r="R19" s="2593"/>
      <c r="S19" s="2593"/>
      <c r="T19" s="2593"/>
      <c r="U19" s="2593"/>
    </row>
    <row r="21" spans="1:21">
      <c r="B21" s="92"/>
      <c r="C21" s="3411" t="s">
        <v>2946</v>
      </c>
      <c r="D21" s="3411"/>
      <c r="E21" s="3411" t="s">
        <v>2947</v>
      </c>
      <c r="F21" s="3411"/>
      <c r="G21" s="92"/>
      <c r="H21" s="92"/>
    </row>
    <row r="22" spans="1:21">
      <c r="B22" s="92"/>
      <c r="C22" s="3412" t="s">
        <v>1841</v>
      </c>
      <c r="D22" s="3412"/>
      <c r="E22" s="3412" t="s">
        <v>1841</v>
      </c>
      <c r="F22" s="3412"/>
      <c r="G22" s="92"/>
      <c r="H22" s="92"/>
    </row>
    <row r="23" spans="1:21">
      <c r="B23" s="92"/>
      <c r="C23" s="3412"/>
      <c r="D23" s="3412"/>
      <c r="E23" s="3412"/>
      <c r="F23" s="3412"/>
      <c r="G23" s="3411" t="s">
        <v>2948</v>
      </c>
      <c r="H23" s="3411"/>
    </row>
    <row r="24" spans="1:21">
      <c r="B24" s="92"/>
      <c r="C24" s="2581" t="s">
        <v>21</v>
      </c>
      <c r="D24" s="2581" t="s">
        <v>22</v>
      </c>
      <c r="E24" s="2581" t="s">
        <v>21</v>
      </c>
      <c r="F24" s="2581" t="s">
        <v>22</v>
      </c>
      <c r="G24" s="2581" t="s">
        <v>21</v>
      </c>
      <c r="H24" s="2581" t="s">
        <v>22</v>
      </c>
    </row>
    <row r="25" spans="1:21">
      <c r="B25" s="2585" t="s">
        <v>1018</v>
      </c>
      <c r="C25" s="1886"/>
      <c r="D25" s="1886"/>
      <c r="E25" s="1886"/>
      <c r="F25" s="2585"/>
      <c r="G25" s="2600">
        <f>C25-E25</f>
        <v>0</v>
      </c>
      <c r="H25" s="2600">
        <f>D25-F25</f>
        <v>0</v>
      </c>
    </row>
    <row r="26" spans="1:21">
      <c r="B26" s="2585" t="s">
        <v>1019</v>
      </c>
      <c r="C26" s="1886"/>
      <c r="D26" s="1886"/>
      <c r="E26" s="1886"/>
      <c r="F26" s="2585"/>
      <c r="G26" s="2600">
        <f>C26-E26</f>
        <v>0</v>
      </c>
      <c r="H26" s="2600">
        <f t="shared" ref="H26:H37" si="5">D26-F26</f>
        <v>0</v>
      </c>
    </row>
    <row r="27" spans="1:21">
      <c r="B27" s="2590" t="s">
        <v>1575</v>
      </c>
      <c r="C27" s="1886"/>
      <c r="D27" s="1886"/>
      <c r="E27" s="1886"/>
      <c r="F27" s="2585"/>
      <c r="G27" s="2600">
        <f t="shared" ref="G27:G37" si="6">C27-E27</f>
        <v>0</v>
      </c>
      <c r="H27" s="2600">
        <f t="shared" si="5"/>
        <v>0</v>
      </c>
    </row>
    <row r="28" spans="1:21">
      <c r="B28" s="2585" t="s">
        <v>1588</v>
      </c>
      <c r="C28" s="1886"/>
      <c r="D28" s="1886"/>
      <c r="E28" s="1886"/>
      <c r="F28" s="2585"/>
      <c r="G28" s="2600">
        <f t="shared" si="6"/>
        <v>0</v>
      </c>
      <c r="H28" s="2600">
        <f t="shared" si="5"/>
        <v>0</v>
      </c>
    </row>
    <row r="29" spans="1:21">
      <c r="B29" s="2591" t="s">
        <v>2399</v>
      </c>
      <c r="C29" s="1886"/>
      <c r="D29" s="1886"/>
      <c r="E29" s="1886"/>
      <c r="F29" s="2585"/>
      <c r="G29" s="2600">
        <f t="shared" si="6"/>
        <v>0</v>
      </c>
      <c r="H29" s="2600">
        <f t="shared" si="5"/>
        <v>0</v>
      </c>
    </row>
    <row r="30" spans="1:21">
      <c r="B30" s="2590" t="s">
        <v>2944</v>
      </c>
      <c r="C30" s="1886"/>
      <c r="D30" s="1886"/>
      <c r="E30" s="1886"/>
      <c r="F30" s="2585"/>
      <c r="G30" s="2600">
        <f t="shared" si="6"/>
        <v>0</v>
      </c>
      <c r="H30" s="2600">
        <f t="shared" si="5"/>
        <v>0</v>
      </c>
    </row>
    <row r="31" spans="1:21">
      <c r="B31" s="2590" t="s">
        <v>2886</v>
      </c>
      <c r="C31" s="1886"/>
      <c r="D31" s="1886"/>
      <c r="E31" s="1886"/>
      <c r="F31" s="2585"/>
      <c r="G31" s="2600">
        <f t="shared" si="6"/>
        <v>0</v>
      </c>
      <c r="H31" s="2600">
        <f t="shared" si="5"/>
        <v>0</v>
      </c>
    </row>
    <row r="32" spans="1:21">
      <c r="B32" s="2591" t="s">
        <v>2945</v>
      </c>
      <c r="C32" s="1886"/>
      <c r="D32" s="1886"/>
      <c r="E32" s="1886"/>
      <c r="F32" s="2585"/>
      <c r="G32" s="2600">
        <f t="shared" si="6"/>
        <v>0</v>
      </c>
      <c r="H32" s="2600">
        <f t="shared" si="5"/>
        <v>0</v>
      </c>
    </row>
    <row r="33" spans="2:8">
      <c r="B33" s="2590" t="s">
        <v>2084</v>
      </c>
      <c r="C33" s="1886"/>
      <c r="D33" s="1886"/>
      <c r="E33" s="1886"/>
      <c r="F33" s="2585"/>
      <c r="G33" s="2600">
        <f t="shared" si="6"/>
        <v>0</v>
      </c>
      <c r="H33" s="2600">
        <f t="shared" si="5"/>
        <v>0</v>
      </c>
    </row>
    <row r="34" spans="2:8">
      <c r="B34" s="2591" t="s">
        <v>2206</v>
      </c>
      <c r="C34" s="1886"/>
      <c r="D34" s="1886"/>
      <c r="E34" s="1886"/>
      <c r="F34" s="2585"/>
      <c r="G34" s="2600">
        <f t="shared" si="6"/>
        <v>0</v>
      </c>
      <c r="H34" s="2600">
        <f t="shared" si="5"/>
        <v>0</v>
      </c>
    </row>
    <row r="35" spans="2:8">
      <c r="B35" s="2591" t="s">
        <v>2549</v>
      </c>
      <c r="C35" s="1886"/>
      <c r="D35" s="1886"/>
      <c r="E35" s="1886"/>
      <c r="F35" s="2585"/>
      <c r="G35" s="2600">
        <f t="shared" si="6"/>
        <v>0</v>
      </c>
      <c r="H35" s="2600">
        <f t="shared" si="5"/>
        <v>0</v>
      </c>
    </row>
    <row r="36" spans="2:8">
      <c r="B36" s="2591" t="s">
        <v>2739</v>
      </c>
      <c r="C36" s="1886"/>
      <c r="D36" s="1886"/>
      <c r="E36" s="1886"/>
      <c r="F36" s="2585"/>
      <c r="G36" s="2600">
        <f t="shared" si="6"/>
        <v>0</v>
      </c>
      <c r="H36" s="2600">
        <f t="shared" si="5"/>
        <v>0</v>
      </c>
    </row>
    <row r="37" spans="2:8">
      <c r="B37" s="2585" t="s">
        <v>2831</v>
      </c>
      <c r="C37" s="1886"/>
      <c r="D37" s="1886"/>
      <c r="E37" s="1886"/>
      <c r="F37" s="2585"/>
      <c r="G37" s="2600">
        <f t="shared" si="6"/>
        <v>0</v>
      </c>
      <c r="H37" s="2600">
        <f t="shared" si="5"/>
        <v>0</v>
      </c>
    </row>
    <row r="38" spans="2:8">
      <c r="B38" s="92"/>
      <c r="C38" s="2600">
        <f>SUM(C25:C37)</f>
        <v>0</v>
      </c>
      <c r="D38" s="2600">
        <f>SUM(D25:D37)</f>
        <v>0</v>
      </c>
      <c r="E38" s="2596"/>
      <c r="F38" s="2596"/>
      <c r="G38" s="2601">
        <f>SUM(G25:G37)</f>
        <v>0</v>
      </c>
      <c r="H38" s="2601">
        <f>SUM(H25:H37)</f>
        <v>0</v>
      </c>
    </row>
    <row r="39" spans="2:8">
      <c r="B39" s="92"/>
      <c r="C39" s="92"/>
      <c r="D39" s="2600">
        <f>C38-D38</f>
        <v>0</v>
      </c>
      <c r="E39" s="2593"/>
      <c r="F39" s="2598">
        <f>E38-F38</f>
        <v>0</v>
      </c>
      <c r="G39" s="92"/>
      <c r="H39" s="92"/>
    </row>
  </sheetData>
  <mergeCells count="18">
    <mergeCell ref="A1:U1"/>
    <mergeCell ref="A2:A3"/>
    <mergeCell ref="B2:B3"/>
    <mergeCell ref="C2:C3"/>
    <mergeCell ref="D2:G2"/>
    <mergeCell ref="H2:I3"/>
    <mergeCell ref="J2:K3"/>
    <mergeCell ref="L2:M3"/>
    <mergeCell ref="N2:O3"/>
    <mergeCell ref="P2:Q3"/>
    <mergeCell ref="R2:U2"/>
    <mergeCell ref="D3:E3"/>
    <mergeCell ref="F3:G3"/>
    <mergeCell ref="C21:D21"/>
    <mergeCell ref="E21:F21"/>
    <mergeCell ref="C22:D23"/>
    <mergeCell ref="E22:F23"/>
    <mergeCell ref="G23:H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selection activeCell="J6" sqref="J6"/>
    </sheetView>
  </sheetViews>
  <sheetFormatPr defaultRowHeight="15"/>
  <cols>
    <col min="4" max="4" width="15" customWidth="1"/>
    <col min="5" max="5" width="16.42578125" customWidth="1"/>
    <col min="6" max="6" width="13" customWidth="1"/>
    <col min="7" max="7" width="14.28515625" customWidth="1"/>
    <col min="8" max="8" width="15.5703125" customWidth="1"/>
    <col min="9" max="9" width="13.140625" customWidth="1"/>
    <col min="10" max="10" width="11.5703125" customWidth="1"/>
    <col min="11" max="11" width="22.28515625" bestFit="1" customWidth="1"/>
    <col min="12" max="12" width="16.5703125" bestFit="1" customWidth="1"/>
    <col min="13" max="13" width="12.85546875" customWidth="1"/>
    <col min="17" max="17" width="16.140625" bestFit="1" customWidth="1"/>
  </cols>
  <sheetData>
    <row r="1" spans="1:17" ht="18">
      <c r="A1" s="3413" t="s">
        <v>2958</v>
      </c>
      <c r="B1" s="3413"/>
      <c r="C1" s="3413"/>
      <c r="D1" s="3413"/>
      <c r="E1" s="3413"/>
      <c r="F1" s="3413"/>
      <c r="G1" s="3413"/>
      <c r="H1" s="3413"/>
      <c r="I1" s="3413"/>
      <c r="J1" s="3413"/>
      <c r="K1" s="3413"/>
      <c r="L1" s="3413"/>
      <c r="M1" s="3413"/>
      <c r="N1" s="3413"/>
      <c r="O1" s="3413"/>
      <c r="P1" s="3413"/>
      <c r="Q1" s="3413"/>
    </row>
    <row r="2" spans="1:17">
      <c r="A2" s="3442" t="s">
        <v>1579</v>
      </c>
      <c r="B2" s="3443" t="s">
        <v>2937</v>
      </c>
      <c r="C2" s="3442" t="s">
        <v>5</v>
      </c>
      <c r="D2" s="3444" t="s">
        <v>7</v>
      </c>
      <c r="E2" s="3444"/>
      <c r="F2" s="3445" t="s">
        <v>756</v>
      </c>
      <c r="G2" s="3412" t="s">
        <v>1840</v>
      </c>
      <c r="H2" s="3412" t="s">
        <v>1841</v>
      </c>
      <c r="I2" s="3447" t="s">
        <v>758</v>
      </c>
      <c r="J2" s="3448" t="s">
        <v>2949</v>
      </c>
      <c r="K2" s="3443" t="s">
        <v>1022</v>
      </c>
      <c r="L2" s="3442" t="s">
        <v>16</v>
      </c>
      <c r="M2" s="3442"/>
      <c r="N2" s="3442"/>
      <c r="O2" s="3443" t="s">
        <v>2950</v>
      </c>
      <c r="P2" s="3443" t="s">
        <v>2951</v>
      </c>
      <c r="Q2" s="3443" t="s">
        <v>2952</v>
      </c>
    </row>
    <row r="3" spans="1:17" ht="39">
      <c r="A3" s="3442"/>
      <c r="B3" s="3443"/>
      <c r="C3" s="3442"/>
      <c r="D3" s="2341" t="s">
        <v>17</v>
      </c>
      <c r="E3" s="2342" t="s">
        <v>18</v>
      </c>
      <c r="F3" s="3446"/>
      <c r="G3" s="3412"/>
      <c r="H3" s="3412"/>
      <c r="I3" s="3447"/>
      <c r="J3" s="3448"/>
      <c r="K3" s="3443"/>
      <c r="L3" s="2582" t="s">
        <v>21</v>
      </c>
      <c r="M3" s="2582" t="s">
        <v>22</v>
      </c>
      <c r="N3" s="2581" t="s">
        <v>2939</v>
      </c>
      <c r="O3" s="3443"/>
      <c r="P3" s="3443"/>
      <c r="Q3" s="3443"/>
    </row>
    <row r="4" spans="1:17">
      <c r="A4" s="2582"/>
      <c r="B4" s="2582" t="s">
        <v>2940</v>
      </c>
      <c r="C4" s="2582" t="s">
        <v>2941</v>
      </c>
      <c r="D4" s="2581"/>
      <c r="E4" s="2581"/>
      <c r="F4" s="2581"/>
      <c r="G4" s="2581"/>
      <c r="H4" s="2581"/>
      <c r="I4" s="2581"/>
      <c r="J4" s="2581" t="s">
        <v>2953</v>
      </c>
      <c r="K4" s="2581" t="s">
        <v>2954</v>
      </c>
      <c r="L4" s="2582" t="s">
        <v>2942</v>
      </c>
      <c r="M4" s="2582" t="s">
        <v>2943</v>
      </c>
      <c r="N4" s="2582"/>
      <c r="O4" s="2581" t="s">
        <v>2955</v>
      </c>
      <c r="P4" s="2581" t="s">
        <v>2955</v>
      </c>
      <c r="Q4" s="2581"/>
    </row>
    <row r="5" spans="1:17">
      <c r="A5" s="2583">
        <v>1</v>
      </c>
      <c r="B5" s="2584">
        <v>49</v>
      </c>
      <c r="C5" s="2584" t="s">
        <v>1018</v>
      </c>
      <c r="D5" s="2584">
        <f>'Case Summarised'!D5</f>
        <v>0</v>
      </c>
      <c r="E5" s="2584">
        <f>'Case Summarised'!F5</f>
        <v>25057</v>
      </c>
      <c r="F5" s="2584">
        <f>'Case Summarised'!H5</f>
        <v>135</v>
      </c>
      <c r="G5" s="2584">
        <f>'Case Summarised'!J5</f>
        <v>3973</v>
      </c>
      <c r="H5" s="2584">
        <f>'Case Summarised'!L5</f>
        <v>87889</v>
      </c>
      <c r="I5" s="2584">
        <f>'Case Summarised'!N5</f>
        <v>49</v>
      </c>
      <c r="J5" s="2585">
        <f>'Case Summarised'!P5</f>
        <v>625</v>
      </c>
      <c r="K5" s="2585">
        <f>East!N760</f>
        <v>1484967980.57195</v>
      </c>
      <c r="L5" s="2585">
        <f>D5+E5+F5+G5+H5+I5+J5</f>
        <v>117728</v>
      </c>
      <c r="M5" s="2585">
        <f>'Case Summarised'!Q5</f>
        <v>241</v>
      </c>
      <c r="N5" s="2586">
        <f>M5/J5</f>
        <v>0.3856</v>
      </c>
      <c r="O5" s="2585">
        <v>1</v>
      </c>
      <c r="P5" s="2602">
        <f>B5-O5</f>
        <v>48</v>
      </c>
      <c r="Q5" s="2603">
        <f>D5+E5+F5+G5+H5+I5+J5</f>
        <v>117728</v>
      </c>
    </row>
    <row r="6" spans="1:17">
      <c r="A6" s="2583">
        <v>2</v>
      </c>
      <c r="B6" s="2587">
        <v>42</v>
      </c>
      <c r="C6" s="2585" t="s">
        <v>1019</v>
      </c>
      <c r="D6" s="2584">
        <f>'Case Summarised'!D6</f>
        <v>5283</v>
      </c>
      <c r="E6" s="2584">
        <f>'Case Summarised'!F6</f>
        <v>16438</v>
      </c>
      <c r="F6" s="2584">
        <f>'Case Summarised'!H6</f>
        <v>129</v>
      </c>
      <c r="G6" s="2584">
        <f>'Case Summarised'!J6</f>
        <v>6798</v>
      </c>
      <c r="H6" s="2584">
        <f>'Case Summarised'!L6</f>
        <v>27137</v>
      </c>
      <c r="I6" s="2584">
        <f>'Case Summarised'!N6</f>
        <v>990</v>
      </c>
      <c r="J6" s="2585">
        <f>'Case Summarised'!P6</f>
        <v>228</v>
      </c>
      <c r="K6" s="2585">
        <f>North!N377</f>
        <v>3693953553.1100006</v>
      </c>
      <c r="L6" s="2585">
        <f t="shared" ref="L6:L18" si="0">D6+E6+F6+G6+H6+I6+J6</f>
        <v>57003</v>
      </c>
      <c r="M6" s="2585">
        <f>'Case Summarised'!Q6</f>
        <v>65</v>
      </c>
      <c r="N6" s="2586">
        <f t="shared" ref="N6:N18" si="1">M6/J6</f>
        <v>0.28508771929824561</v>
      </c>
      <c r="O6" s="2585">
        <v>2</v>
      </c>
      <c r="P6" s="2602">
        <f t="shared" ref="P6:P18" si="2">B6-O6</f>
        <v>40</v>
      </c>
      <c r="Q6" s="2603">
        <f t="shared" ref="Q6:Q18" si="3">D6+E6+F6+G6+H6+I6+J6</f>
        <v>57003</v>
      </c>
    </row>
    <row r="7" spans="1:17">
      <c r="A7" s="2604">
        <v>3</v>
      </c>
      <c r="B7" s="2605">
        <v>57</v>
      </c>
      <c r="C7" s="2605" t="s">
        <v>1575</v>
      </c>
      <c r="D7" s="2584">
        <f>'Case Summarised'!D7</f>
        <v>8018</v>
      </c>
      <c r="E7" s="2584">
        <f>'Case Summarised'!F7</f>
        <v>27504</v>
      </c>
      <c r="F7" s="2584">
        <f>'Case Summarised'!H7</f>
        <v>312</v>
      </c>
      <c r="G7" s="2584">
        <f>'Case Summarised'!J7</f>
        <v>9969</v>
      </c>
      <c r="H7" s="2584">
        <f>'Case Summarised'!L7</f>
        <v>158159</v>
      </c>
      <c r="I7" s="2584">
        <f>'Case Summarised'!N7</f>
        <v>971</v>
      </c>
      <c r="J7" s="2585">
        <f>'Case Summarised'!P7</f>
        <v>818</v>
      </c>
      <c r="K7" s="2605">
        <f>South!N1066</f>
        <v>-3277679667.9700022</v>
      </c>
      <c r="L7" s="2585">
        <f t="shared" si="0"/>
        <v>205751</v>
      </c>
      <c r="M7" s="2585">
        <f>'Case Summarised'!Q7</f>
        <v>8</v>
      </c>
      <c r="N7" s="2586">
        <f t="shared" si="1"/>
        <v>9.7799511002444987E-3</v>
      </c>
      <c r="O7" s="2605">
        <v>1</v>
      </c>
      <c r="P7" s="2606">
        <f t="shared" si="2"/>
        <v>56</v>
      </c>
      <c r="Q7" s="2603">
        <f t="shared" si="3"/>
        <v>205751</v>
      </c>
    </row>
    <row r="8" spans="1:17">
      <c r="A8" s="2583">
        <v>4</v>
      </c>
      <c r="B8" s="2585">
        <v>57</v>
      </c>
      <c r="C8" s="2585" t="s">
        <v>1588</v>
      </c>
      <c r="D8" s="2584">
        <f>'Case Summarised'!D8</f>
        <v>5776</v>
      </c>
      <c r="E8" s="2584">
        <f>'Case Summarised'!F8</f>
        <v>19909</v>
      </c>
      <c r="F8" s="2584">
        <f>'Case Summarised'!H8</f>
        <v>193</v>
      </c>
      <c r="G8" s="2584">
        <f>'Case Summarised'!J8</f>
        <v>864</v>
      </c>
      <c r="H8" s="2584">
        <f>'Case Summarised'!L8</f>
        <v>91240</v>
      </c>
      <c r="I8" s="2584">
        <f>'Case Summarised'!N8</f>
        <v>2773</v>
      </c>
      <c r="J8" s="2585">
        <f>'Case Summarised'!P8</f>
        <v>160</v>
      </c>
      <c r="K8" s="2585">
        <f>West!N514</f>
        <v>3988225404.9299965</v>
      </c>
      <c r="L8" s="2585">
        <f t="shared" si="0"/>
        <v>120915</v>
      </c>
      <c r="M8" s="2585">
        <f>'Case Summarised'!Q8</f>
        <v>20</v>
      </c>
      <c r="N8" s="2586">
        <f t="shared" si="1"/>
        <v>0.125</v>
      </c>
      <c r="O8" s="2585">
        <v>1</v>
      </c>
      <c r="P8" s="2602">
        <f t="shared" si="2"/>
        <v>56</v>
      </c>
      <c r="Q8" s="2603">
        <f t="shared" si="3"/>
        <v>120915</v>
      </c>
    </row>
    <row r="9" spans="1:17">
      <c r="A9" s="2583">
        <v>5</v>
      </c>
      <c r="B9" s="2590">
        <v>33</v>
      </c>
      <c r="C9" s="2591" t="s">
        <v>2399</v>
      </c>
      <c r="D9" s="2584">
        <f>'Case Summarised'!D9</f>
        <v>1232</v>
      </c>
      <c r="E9" s="2584">
        <f>'Case Summarised'!F9</f>
        <v>16571</v>
      </c>
      <c r="F9" s="2584">
        <f>'Case Summarised'!H9</f>
        <v>73</v>
      </c>
      <c r="G9" s="2584">
        <f>'Case Summarised'!J9</f>
        <v>274</v>
      </c>
      <c r="H9" s="2584">
        <f>'Case Summarised'!L9</f>
        <v>94745</v>
      </c>
      <c r="I9" s="2584">
        <f>'Case Summarised'!N9</f>
        <v>0</v>
      </c>
      <c r="J9" s="2585">
        <f>'Case Summarised'!P9</f>
        <v>207</v>
      </c>
      <c r="K9" s="2607">
        <f>Adama!N282</f>
        <v>1064986361.0200003</v>
      </c>
      <c r="L9" s="2585">
        <f t="shared" si="0"/>
        <v>113102</v>
      </c>
      <c r="M9" s="2585">
        <f>'Case Summarised'!Q9</f>
        <v>20</v>
      </c>
      <c r="N9" s="2586">
        <f t="shared" si="1"/>
        <v>9.6618357487922704E-2</v>
      </c>
      <c r="O9" s="2590">
        <v>6</v>
      </c>
      <c r="P9" s="2602">
        <f t="shared" si="2"/>
        <v>27</v>
      </c>
      <c r="Q9" s="2603">
        <f t="shared" si="3"/>
        <v>113102</v>
      </c>
    </row>
    <row r="10" spans="1:17">
      <c r="A10" s="2583">
        <v>6</v>
      </c>
      <c r="B10" s="2590">
        <v>25</v>
      </c>
      <c r="C10" s="2590" t="s">
        <v>2944</v>
      </c>
      <c r="D10" s="2584">
        <f>'Case Summarised'!D10</f>
        <v>1565</v>
      </c>
      <c r="E10" s="2584">
        <f>'Case Summarised'!F10</f>
        <v>8851</v>
      </c>
      <c r="F10" s="2584">
        <f>'Case Summarised'!H10</f>
        <v>44</v>
      </c>
      <c r="G10" s="2584">
        <f>'Case Summarised'!J10</f>
        <v>12</v>
      </c>
      <c r="H10" s="2584">
        <f>'Case Summarised'!L10</f>
        <v>25540</v>
      </c>
      <c r="I10" s="2584">
        <f>'Case Summarised'!N10</f>
        <v>345</v>
      </c>
      <c r="J10" s="2585">
        <f>'Case Summarised'!P10</f>
        <v>4342</v>
      </c>
      <c r="K10" s="2590">
        <f>'B-Dar'!M235</f>
        <v>501405887.10000038</v>
      </c>
      <c r="L10" s="2585">
        <f t="shared" si="0"/>
        <v>40699</v>
      </c>
      <c r="M10" s="2585">
        <f>'Case Summarised'!Q10</f>
        <v>252</v>
      </c>
      <c r="N10" s="2586">
        <f t="shared" si="1"/>
        <v>5.8037770612620915E-2</v>
      </c>
      <c r="O10" s="2590">
        <v>1</v>
      </c>
      <c r="P10" s="2602">
        <f t="shared" si="2"/>
        <v>24</v>
      </c>
      <c r="Q10" s="2603">
        <f t="shared" si="3"/>
        <v>40699</v>
      </c>
    </row>
    <row r="11" spans="1:17">
      <c r="A11" s="2608">
        <v>7</v>
      </c>
      <c r="B11" s="2609">
        <v>11</v>
      </c>
      <c r="C11" s="2610" t="s">
        <v>2886</v>
      </c>
      <c r="D11" s="2584">
        <f>'Case Summarised'!D11</f>
        <v>1105</v>
      </c>
      <c r="E11" s="2584">
        <f>'Case Summarised'!F11</f>
        <v>2660</v>
      </c>
      <c r="F11" s="2584">
        <f>'Case Summarised'!H11</f>
        <v>28</v>
      </c>
      <c r="G11" s="2584">
        <f>'Case Summarised'!J11</f>
        <v>3434</v>
      </c>
      <c r="H11" s="2584">
        <f>'Case Summarised'!L11</f>
        <v>13815</v>
      </c>
      <c r="I11" s="2584">
        <f>'Case Summarised'!N11</f>
        <v>1</v>
      </c>
      <c r="J11" s="2585">
        <f>'Case Summarised'!P11</f>
        <v>268</v>
      </c>
      <c r="K11" s="2609">
        <f>Desie!M161</f>
        <v>112080836.54000002</v>
      </c>
      <c r="L11" s="2585">
        <f t="shared" si="0"/>
        <v>21311</v>
      </c>
      <c r="M11" s="2585">
        <f>'Case Summarised'!Q11</f>
        <v>49</v>
      </c>
      <c r="N11" s="2586">
        <f t="shared" si="1"/>
        <v>0.18283582089552239</v>
      </c>
      <c r="O11" s="2609"/>
      <c r="P11" s="2611">
        <f t="shared" si="2"/>
        <v>11</v>
      </c>
      <c r="Q11" s="2603">
        <f t="shared" si="3"/>
        <v>21311</v>
      </c>
    </row>
    <row r="12" spans="1:17">
      <c r="A12" s="2583">
        <v>8</v>
      </c>
      <c r="B12" s="2588">
        <v>18</v>
      </c>
      <c r="C12" s="2592" t="s">
        <v>2945</v>
      </c>
      <c r="D12" s="2584">
        <f>'Case Summarised'!D12</f>
        <v>1366</v>
      </c>
      <c r="E12" s="2584">
        <f>'Case Summarised'!F12</f>
        <v>8041</v>
      </c>
      <c r="F12" s="2584">
        <f>'Case Summarised'!H12</f>
        <v>4</v>
      </c>
      <c r="G12" s="2584">
        <f>'Case Summarised'!J12</f>
        <v>1171</v>
      </c>
      <c r="H12" s="2584">
        <f>'Case Summarised'!L12</f>
        <v>24004</v>
      </c>
      <c r="I12" s="2584">
        <f>'Case Summarised'!N12</f>
        <v>0</v>
      </c>
      <c r="J12" s="2585">
        <f>'Case Summarised'!P12</f>
        <v>240</v>
      </c>
      <c r="K12" s="2607">
        <f>'Dire Dawa'!N92</f>
        <v>-134264293.28</v>
      </c>
      <c r="L12" s="2585">
        <f t="shared" si="0"/>
        <v>34826</v>
      </c>
      <c r="M12" s="2585">
        <f>'Case Summarised'!Q12</f>
        <v>0</v>
      </c>
      <c r="N12" s="2586">
        <f t="shared" si="1"/>
        <v>0</v>
      </c>
      <c r="O12" s="2590">
        <v>11</v>
      </c>
      <c r="P12" s="2602">
        <f t="shared" si="2"/>
        <v>7</v>
      </c>
      <c r="Q12" s="2603">
        <f t="shared" si="3"/>
        <v>34826</v>
      </c>
    </row>
    <row r="13" spans="1:17">
      <c r="A13" s="2583">
        <v>9</v>
      </c>
      <c r="B13" s="2590">
        <v>39</v>
      </c>
      <c r="C13" s="2590" t="s">
        <v>2084</v>
      </c>
      <c r="D13" s="2584">
        <f>'Case Summarised'!D13</f>
        <v>3320</v>
      </c>
      <c r="E13" s="2584">
        <f>'Case Summarised'!F13</f>
        <v>29868</v>
      </c>
      <c r="F13" s="2584">
        <f>'Case Summarised'!H13</f>
        <v>94</v>
      </c>
      <c r="G13" s="2584">
        <f>'Case Summarised'!J13</f>
        <v>130</v>
      </c>
      <c r="H13" s="2584">
        <f>'Case Summarised'!L13</f>
        <v>18486</v>
      </c>
      <c r="I13" s="2584">
        <f>'Case Summarised'!N13</f>
        <v>1</v>
      </c>
      <c r="J13" s="2585">
        <f>'Case Summarised'!P13</f>
        <v>582</v>
      </c>
      <c r="K13" s="2587">
        <f>Hawassa!N297</f>
        <v>586890307.36999965</v>
      </c>
      <c r="L13" s="2585">
        <f t="shared" si="0"/>
        <v>52481</v>
      </c>
      <c r="M13" s="2585">
        <f>'Case Summarised'!Q13</f>
        <v>0</v>
      </c>
      <c r="N13" s="2586">
        <f t="shared" si="1"/>
        <v>0</v>
      </c>
      <c r="O13" s="2587">
        <v>5</v>
      </c>
      <c r="P13" s="2602">
        <f t="shared" si="2"/>
        <v>34</v>
      </c>
      <c r="Q13" s="2603">
        <f t="shared" si="3"/>
        <v>52481</v>
      </c>
    </row>
    <row r="14" spans="1:17">
      <c r="A14" s="2583">
        <v>10</v>
      </c>
      <c r="B14" s="2590">
        <v>36</v>
      </c>
      <c r="C14" s="2591" t="s">
        <v>2206</v>
      </c>
      <c r="D14" s="2584">
        <f>'Case Summarised'!D14</f>
        <v>5961</v>
      </c>
      <c r="E14" s="2584">
        <f>'Case Summarised'!F14</f>
        <v>47643</v>
      </c>
      <c r="F14" s="2584">
        <f>'Case Summarised'!H14</f>
        <v>40</v>
      </c>
      <c r="G14" s="2584">
        <f>'Case Summarised'!J14</f>
        <v>164</v>
      </c>
      <c r="H14" s="2584">
        <f>'Case Summarised'!L14</f>
        <v>121170</v>
      </c>
      <c r="I14" s="2584">
        <f>'Case Summarised'!N14</f>
        <v>1</v>
      </c>
      <c r="J14" s="2585">
        <f>'Case Summarised'!P14</f>
        <v>234</v>
      </c>
      <c r="K14" s="2587">
        <f>Hossaena!M209</f>
        <v>22785826.309999999</v>
      </c>
      <c r="L14" s="2585">
        <f t="shared" si="0"/>
        <v>175213</v>
      </c>
      <c r="M14" s="2585">
        <f>'Case Summarised'!Q14</f>
        <v>206</v>
      </c>
      <c r="N14" s="2586">
        <f t="shared" si="1"/>
        <v>0.88034188034188032</v>
      </c>
      <c r="O14" s="2590">
        <v>5</v>
      </c>
      <c r="P14" s="2602">
        <f t="shared" si="2"/>
        <v>31</v>
      </c>
      <c r="Q14" s="2603">
        <f t="shared" si="3"/>
        <v>175213</v>
      </c>
    </row>
    <row r="15" spans="1:17">
      <c r="A15" s="2583">
        <v>11</v>
      </c>
      <c r="B15" s="2590">
        <v>26</v>
      </c>
      <c r="C15" s="2591" t="s">
        <v>2549</v>
      </c>
      <c r="D15" s="2584">
        <f>'Case Summarised'!D15</f>
        <v>225</v>
      </c>
      <c r="E15" s="2584">
        <f>'Case Summarised'!F15</f>
        <v>16435</v>
      </c>
      <c r="F15" s="2584">
        <f>'Case Summarised'!H15</f>
        <v>42</v>
      </c>
      <c r="G15" s="2584">
        <f>'Case Summarised'!J15</f>
        <v>294</v>
      </c>
      <c r="H15" s="2584">
        <f>'Case Summarised'!L15</f>
        <v>53926</v>
      </c>
      <c r="I15" s="2584">
        <f>'Case Summarised'!N15</f>
        <v>0</v>
      </c>
      <c r="J15" s="2585">
        <f>'Case Summarised'!P15</f>
        <v>101</v>
      </c>
      <c r="K15" s="2587">
        <f>Wolkite!N185</f>
        <v>92500185.449999988</v>
      </c>
      <c r="L15" s="2585">
        <f t="shared" si="0"/>
        <v>71023</v>
      </c>
      <c r="M15" s="2585">
        <f>'Case Summarised'!Q15</f>
        <v>11</v>
      </c>
      <c r="N15" s="2586">
        <f t="shared" si="1"/>
        <v>0.10891089108910891</v>
      </c>
      <c r="O15" s="2590">
        <v>3</v>
      </c>
      <c r="P15" s="2602">
        <f t="shared" si="2"/>
        <v>23</v>
      </c>
      <c r="Q15" s="2603">
        <f t="shared" si="3"/>
        <v>71023</v>
      </c>
    </row>
    <row r="16" spans="1:17">
      <c r="A16" s="2583">
        <v>12</v>
      </c>
      <c r="B16" s="2590">
        <v>20</v>
      </c>
      <c r="C16" s="2591" t="s">
        <v>2739</v>
      </c>
      <c r="D16" s="2584">
        <f>'Case Summarised'!D16</f>
        <v>129</v>
      </c>
      <c r="E16" s="2584">
        <f>'Case Summarised'!F16</f>
        <v>4114</v>
      </c>
      <c r="F16" s="2584">
        <f>'Case Summarised'!H16</f>
        <v>32</v>
      </c>
      <c r="G16" s="2584">
        <f>'Case Summarised'!J16</f>
        <v>3238</v>
      </c>
      <c r="H16" s="2584">
        <f>'Case Summarised'!L16</f>
        <v>62264</v>
      </c>
      <c r="I16" s="2584">
        <f>'Case Summarised'!N16</f>
        <v>16</v>
      </c>
      <c r="J16" s="2585">
        <f>'Case Summarised'!P16</f>
        <v>300</v>
      </c>
      <c r="K16" s="2591">
        <f>Jimma!N126</f>
        <v>149316223.46000001</v>
      </c>
      <c r="L16" s="2585">
        <f t="shared" si="0"/>
        <v>70093</v>
      </c>
      <c r="M16" s="2585">
        <f>'Case Summarised'!Q16</f>
        <v>0</v>
      </c>
      <c r="N16" s="2586"/>
      <c r="O16" s="2590">
        <v>14</v>
      </c>
      <c r="P16" s="2602">
        <f t="shared" si="2"/>
        <v>6</v>
      </c>
      <c r="Q16" s="2603">
        <f t="shared" si="3"/>
        <v>70093</v>
      </c>
    </row>
    <row r="17" spans="1:17">
      <c r="A17" s="2583">
        <v>13</v>
      </c>
      <c r="B17" s="2587">
        <v>11</v>
      </c>
      <c r="C17" s="2585" t="s">
        <v>2831</v>
      </c>
      <c r="D17" s="2584">
        <f>'Case Summarised'!D17</f>
        <v>0</v>
      </c>
      <c r="E17" s="2584">
        <f>'Case Summarised'!F17</f>
        <v>1536</v>
      </c>
      <c r="F17" s="2584">
        <f>'Case Summarised'!H17</f>
        <v>0</v>
      </c>
      <c r="G17" s="2584">
        <f>'Case Summarised'!J17</f>
        <v>0</v>
      </c>
      <c r="H17" s="2584">
        <f>'Case Summarised'!L17</f>
        <v>6357</v>
      </c>
      <c r="I17" s="2584">
        <f>'Case Summarised'!N17</f>
        <v>13</v>
      </c>
      <c r="J17" s="2585">
        <f>'Case Summarised'!P17</f>
        <v>6</v>
      </c>
      <c r="K17" s="2585">
        <f>Mekelle!N26</f>
        <v>21633864.59</v>
      </c>
      <c r="L17" s="2585">
        <f t="shared" si="0"/>
        <v>7912</v>
      </c>
      <c r="M17" s="2585">
        <f>'Case Summarised'!Q17</f>
        <v>3</v>
      </c>
      <c r="N17" s="2586">
        <f t="shared" si="1"/>
        <v>0.5</v>
      </c>
      <c r="O17" s="2585"/>
      <c r="P17" s="2602">
        <f t="shared" si="2"/>
        <v>11</v>
      </c>
      <c r="Q17" s="2603">
        <f t="shared" si="3"/>
        <v>7912</v>
      </c>
    </row>
    <row r="18" spans="1:17">
      <c r="A18" s="2612"/>
      <c r="B18" s="2613">
        <f>SUM(B5:B17)</f>
        <v>424</v>
      </c>
      <c r="C18" s="2614" t="s">
        <v>760</v>
      </c>
      <c r="D18" s="2615">
        <f t="shared" ref="D18:K18" si="4">SUM(D5:D17)</f>
        <v>33980</v>
      </c>
      <c r="E18" s="3398">
        <f>'Case Summarised'!F18</f>
        <v>224627</v>
      </c>
      <c r="F18" s="3398">
        <f>'Case Summarised'!H18</f>
        <v>1126</v>
      </c>
      <c r="G18" s="3398">
        <f>'Case Summarised'!J18</f>
        <v>30321</v>
      </c>
      <c r="H18" s="3398">
        <f>'Case Summarised'!L18</f>
        <v>784732</v>
      </c>
      <c r="I18" s="3398">
        <f>'Case Summarised'!N18</f>
        <v>5160</v>
      </c>
      <c r="J18" s="2615">
        <f>'Case Summarised'!P18</f>
        <v>8111</v>
      </c>
      <c r="K18" s="2616">
        <f t="shared" si="4"/>
        <v>8306802469.2019463</v>
      </c>
      <c r="L18" s="2615">
        <f t="shared" si="0"/>
        <v>1088057</v>
      </c>
      <c r="M18" s="2615">
        <f>'Case Summarised'!Q18</f>
        <v>875</v>
      </c>
      <c r="N18" s="2617">
        <f t="shared" si="1"/>
        <v>0.10787819011219332</v>
      </c>
      <c r="O18" s="2616">
        <f>SUM(O5:O17)</f>
        <v>50</v>
      </c>
      <c r="P18" s="2618">
        <f t="shared" si="2"/>
        <v>374</v>
      </c>
      <c r="Q18" s="2619">
        <f t="shared" si="3"/>
        <v>1088057</v>
      </c>
    </row>
    <row r="19" spans="1:17">
      <c r="A19" s="2593"/>
      <c r="B19" s="2593"/>
      <c r="C19" s="2593"/>
      <c r="D19" s="2593"/>
      <c r="E19" s="2593"/>
      <c r="F19" s="2593"/>
      <c r="G19" s="2593"/>
      <c r="H19" s="2599"/>
      <c r="I19" s="2599"/>
      <c r="J19" s="2593"/>
      <c r="K19" s="2593"/>
      <c r="L19" s="2593"/>
      <c r="M19" s="2593"/>
      <c r="N19" s="2593"/>
      <c r="O19" s="2599">
        <f>O18/B18</f>
        <v>0.11792452830188679</v>
      </c>
      <c r="P19" s="2599">
        <f>P18/B18</f>
        <v>0.88207547169811318</v>
      </c>
      <c r="Q19" s="2620"/>
    </row>
  </sheetData>
  <mergeCells count="15">
    <mergeCell ref="A1:Q1"/>
    <mergeCell ref="A2:A3"/>
    <mergeCell ref="B2:B3"/>
    <mergeCell ref="C2:C3"/>
    <mergeCell ref="D2:E2"/>
    <mergeCell ref="F2:F3"/>
    <mergeCell ref="G2:G3"/>
    <mergeCell ref="H2:H3"/>
    <mergeCell ref="I2:I3"/>
    <mergeCell ref="J2:J3"/>
    <mergeCell ref="K2:K3"/>
    <mergeCell ref="L2:N2"/>
    <mergeCell ref="O2:O3"/>
    <mergeCell ref="P2:P3"/>
    <mergeCell ref="Q2:Q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74"/>
  <sheetViews>
    <sheetView topLeftCell="A754" workbookViewId="0">
      <selection activeCell="G767" sqref="G767"/>
    </sheetView>
  </sheetViews>
  <sheetFormatPr defaultRowHeight="15"/>
  <cols>
    <col min="2" max="2" width="15.5703125" customWidth="1"/>
    <col min="4" max="4" width="24" customWidth="1"/>
    <col min="5" max="5" width="9.28515625" bestFit="1" customWidth="1"/>
    <col min="6" max="6" width="11.5703125" bestFit="1" customWidth="1"/>
    <col min="7" max="7" width="9.28515625" bestFit="1" customWidth="1"/>
    <col min="8" max="8" width="10.42578125" bestFit="1" customWidth="1"/>
    <col min="9" max="9" width="11.5703125" bestFit="1" customWidth="1"/>
    <col min="10" max="11" width="9.28515625" bestFit="1" customWidth="1"/>
    <col min="12" max="12" width="14.5703125" bestFit="1" customWidth="1"/>
    <col min="13" max="13" width="9.28515625" bestFit="1" customWidth="1"/>
    <col min="14" max="14" width="18.7109375" bestFit="1" customWidth="1"/>
    <col min="15" max="15" width="12.7109375" bestFit="1" customWidth="1"/>
    <col min="16" max="17" width="9.28515625" bestFit="1" customWidth="1"/>
  </cols>
  <sheetData>
    <row r="1" spans="1:17" ht="20.100000000000001" customHeight="1">
      <c r="B1" s="3456" t="s">
        <v>0</v>
      </c>
      <c r="C1" s="3456"/>
      <c r="D1" s="3456"/>
      <c r="E1" s="3456"/>
      <c r="F1" s="3456"/>
      <c r="G1" s="3456"/>
      <c r="H1" s="3456"/>
      <c r="I1" s="3456"/>
      <c r="J1" s="3456"/>
      <c r="K1" s="3456"/>
      <c r="L1" s="3456"/>
      <c r="M1" s="3456"/>
      <c r="N1" s="3456"/>
    </row>
    <row r="2" spans="1:17" ht="20.100000000000001" customHeight="1">
      <c r="B2" s="3456" t="s">
        <v>1</v>
      </c>
      <c r="C2" s="3456"/>
      <c r="D2" s="3456"/>
      <c r="E2" s="3456"/>
      <c r="F2" s="3456"/>
      <c r="G2" s="3456"/>
      <c r="H2" s="3456"/>
      <c r="I2" s="3456"/>
      <c r="J2" s="3456"/>
      <c r="K2" s="3456"/>
      <c r="L2" s="3456"/>
      <c r="M2" s="3456"/>
      <c r="N2" s="3456"/>
    </row>
    <row r="3" spans="1:17" ht="20.100000000000001" customHeight="1">
      <c r="B3" s="3457" t="s">
        <v>2</v>
      </c>
      <c r="C3" s="3457"/>
      <c r="D3" s="3457"/>
      <c r="E3" s="3457"/>
      <c r="F3" s="3457"/>
      <c r="G3" s="3457"/>
      <c r="H3" s="3457"/>
      <c r="I3" s="3457"/>
      <c r="J3" s="3457"/>
      <c r="K3" s="3457"/>
      <c r="L3" s="3457"/>
      <c r="M3" s="3457"/>
      <c r="N3" s="3457"/>
    </row>
    <row r="4" spans="1:17" ht="20.100000000000001" customHeight="1">
      <c r="A4" s="3449" t="s">
        <v>3</v>
      </c>
      <c r="B4" s="3451" t="s">
        <v>4</v>
      </c>
      <c r="C4" s="3451" t="s">
        <v>5</v>
      </c>
      <c r="D4" s="3451" t="s">
        <v>6</v>
      </c>
      <c r="E4" s="3452" t="s">
        <v>7</v>
      </c>
      <c r="F4" s="3453"/>
      <c r="G4" s="3458" t="s">
        <v>8</v>
      </c>
      <c r="H4" s="3458" t="s">
        <v>9</v>
      </c>
      <c r="I4" s="3458" t="s">
        <v>10</v>
      </c>
      <c r="J4" s="3458" t="s">
        <v>11</v>
      </c>
      <c r="K4" s="3449" t="s">
        <v>12</v>
      </c>
      <c r="L4" s="3449" t="s">
        <v>13</v>
      </c>
      <c r="M4" s="3449" t="s">
        <v>14</v>
      </c>
      <c r="N4" s="3454" t="s">
        <v>15</v>
      </c>
      <c r="O4" s="3460" t="s">
        <v>16</v>
      </c>
      <c r="P4" s="3460"/>
      <c r="Q4" s="3460"/>
    </row>
    <row r="5" spans="1:17" ht="20.100000000000001" customHeight="1">
      <c r="A5" s="3450"/>
      <c r="B5" s="3449"/>
      <c r="C5" s="3449"/>
      <c r="D5" s="3449" t="s">
        <v>6</v>
      </c>
      <c r="E5" s="2" t="s">
        <v>17</v>
      </c>
      <c r="F5" s="2" t="s">
        <v>18</v>
      </c>
      <c r="G5" s="3459"/>
      <c r="H5" s="3459"/>
      <c r="I5" s="3459"/>
      <c r="J5" s="3459"/>
      <c r="K5" s="3450" t="s">
        <v>19</v>
      </c>
      <c r="L5" s="3450"/>
      <c r="M5" s="3450" t="s">
        <v>20</v>
      </c>
      <c r="N5" s="3455"/>
      <c r="O5" s="3" t="s">
        <v>21</v>
      </c>
      <c r="P5" s="2" t="s">
        <v>22</v>
      </c>
      <c r="Q5" s="2" t="s">
        <v>23</v>
      </c>
    </row>
    <row r="6" spans="1:17" ht="20.100000000000001" customHeight="1">
      <c r="A6" s="4">
        <v>1</v>
      </c>
      <c r="B6" s="5" t="s">
        <v>24</v>
      </c>
      <c r="C6" s="6" t="s">
        <v>25</v>
      </c>
      <c r="D6" s="7" t="s">
        <v>26</v>
      </c>
      <c r="E6" s="7"/>
      <c r="F6" s="7"/>
      <c r="G6" s="7"/>
      <c r="H6" s="7"/>
      <c r="I6" s="7"/>
      <c r="J6" s="7"/>
      <c r="K6" s="8">
        <v>1</v>
      </c>
      <c r="L6" s="9" t="s">
        <v>27</v>
      </c>
      <c r="M6" s="6" t="s">
        <v>28</v>
      </c>
      <c r="N6" s="10">
        <v>-12403.62</v>
      </c>
      <c r="O6" s="11">
        <v>1</v>
      </c>
      <c r="P6" s="12"/>
      <c r="Q6" s="12"/>
    </row>
    <row r="7" spans="1:17" ht="20.100000000000001" customHeight="1">
      <c r="A7" s="4">
        <v>2</v>
      </c>
      <c r="B7" s="5" t="s">
        <v>24</v>
      </c>
      <c r="C7" s="6" t="s">
        <v>25</v>
      </c>
      <c r="D7" s="13" t="s">
        <v>29</v>
      </c>
      <c r="E7" s="13"/>
      <c r="F7" s="13"/>
      <c r="G7" s="8">
        <v>1</v>
      </c>
      <c r="H7" s="13"/>
      <c r="I7" s="13"/>
      <c r="J7" s="7"/>
      <c r="K7" s="14"/>
      <c r="L7" s="9" t="s">
        <v>30</v>
      </c>
      <c r="M7" s="6" t="s">
        <v>31</v>
      </c>
      <c r="N7" s="15">
        <v>1087.8</v>
      </c>
      <c r="O7" s="11">
        <v>1</v>
      </c>
      <c r="P7" s="12"/>
      <c r="Q7" s="12"/>
    </row>
    <row r="8" spans="1:17" ht="20.100000000000001" customHeight="1">
      <c r="A8" s="4">
        <v>3</v>
      </c>
      <c r="B8" s="5" t="s">
        <v>24</v>
      </c>
      <c r="C8" s="6" t="s">
        <v>25</v>
      </c>
      <c r="D8" s="13" t="s">
        <v>29</v>
      </c>
      <c r="E8" s="13"/>
      <c r="F8" s="13"/>
      <c r="G8" s="8">
        <v>1</v>
      </c>
      <c r="H8" s="13"/>
      <c r="I8" s="13"/>
      <c r="J8" s="7"/>
      <c r="K8" s="14"/>
      <c r="L8" s="9" t="s">
        <v>30</v>
      </c>
      <c r="M8" s="6" t="s">
        <v>32</v>
      </c>
      <c r="N8" s="10">
        <v>0.48</v>
      </c>
      <c r="O8" s="11">
        <v>1</v>
      </c>
      <c r="P8" s="12"/>
      <c r="Q8" s="12"/>
    </row>
    <row r="9" spans="1:17" ht="20.100000000000001" customHeight="1">
      <c r="A9" s="4">
        <v>4</v>
      </c>
      <c r="B9" s="5" t="s">
        <v>24</v>
      </c>
      <c r="C9" s="6" t="s">
        <v>25</v>
      </c>
      <c r="D9" s="13" t="s">
        <v>33</v>
      </c>
      <c r="E9" s="13"/>
      <c r="F9" s="13"/>
      <c r="G9" s="13"/>
      <c r="H9" s="9">
        <v>37</v>
      </c>
      <c r="I9" s="13"/>
      <c r="J9" s="7"/>
      <c r="K9" s="14"/>
      <c r="L9" s="9" t="s">
        <v>27</v>
      </c>
      <c r="M9" s="6" t="s">
        <v>34</v>
      </c>
      <c r="N9" s="16"/>
      <c r="O9" s="11">
        <v>37</v>
      </c>
      <c r="P9" s="12">
        <v>35</v>
      </c>
      <c r="Q9" s="12"/>
    </row>
    <row r="10" spans="1:17" ht="20.100000000000001" customHeight="1">
      <c r="A10" s="4">
        <v>5</v>
      </c>
      <c r="B10" s="5" t="s">
        <v>24</v>
      </c>
      <c r="C10" s="6" t="s">
        <v>25</v>
      </c>
      <c r="D10" s="13" t="s">
        <v>33</v>
      </c>
      <c r="E10" s="13"/>
      <c r="F10" s="13"/>
      <c r="G10" s="13"/>
      <c r="H10" s="13"/>
      <c r="I10" s="8">
        <v>827</v>
      </c>
      <c r="J10" s="7"/>
      <c r="K10" s="17"/>
      <c r="L10" s="9" t="s">
        <v>27</v>
      </c>
      <c r="M10" s="6" t="s">
        <v>35</v>
      </c>
      <c r="N10" s="18">
        <v>509552.22</v>
      </c>
      <c r="O10" s="11">
        <v>827</v>
      </c>
      <c r="P10" s="12"/>
      <c r="Q10" s="12"/>
    </row>
    <row r="11" spans="1:17" ht="20.100000000000001" customHeight="1">
      <c r="A11" s="4">
        <v>6</v>
      </c>
      <c r="B11" s="5" t="s">
        <v>24</v>
      </c>
      <c r="C11" s="6" t="s">
        <v>25</v>
      </c>
      <c r="D11" s="13" t="s">
        <v>36</v>
      </c>
      <c r="E11" s="13"/>
      <c r="F11" s="8">
        <v>354</v>
      </c>
      <c r="G11" s="13"/>
      <c r="H11" s="13"/>
      <c r="I11" s="13"/>
      <c r="J11" s="7"/>
      <c r="K11" s="14"/>
      <c r="L11" s="9" t="s">
        <v>27</v>
      </c>
      <c r="M11" s="6" t="s">
        <v>37</v>
      </c>
      <c r="N11" s="16"/>
      <c r="O11" s="11">
        <v>354</v>
      </c>
      <c r="P11" s="12"/>
      <c r="Q11" s="12"/>
    </row>
    <row r="12" spans="1:17" ht="20.100000000000001" customHeight="1">
      <c r="A12" s="4">
        <v>7</v>
      </c>
      <c r="B12" s="5" t="s">
        <v>24</v>
      </c>
      <c r="C12" s="6" t="s">
        <v>25</v>
      </c>
      <c r="D12" s="13" t="s">
        <v>38</v>
      </c>
      <c r="E12" s="13"/>
      <c r="F12" s="13"/>
      <c r="G12" s="13"/>
      <c r="H12" s="13"/>
      <c r="I12" s="13"/>
      <c r="J12" s="7"/>
      <c r="K12" s="8">
        <v>1</v>
      </c>
      <c r="L12" s="9" t="s">
        <v>39</v>
      </c>
      <c r="M12" s="6" t="s">
        <v>40</v>
      </c>
      <c r="N12" s="19">
        <v>4000</v>
      </c>
      <c r="O12" s="11">
        <v>1</v>
      </c>
      <c r="P12" s="12">
        <v>1</v>
      </c>
      <c r="Q12" s="12"/>
    </row>
    <row r="13" spans="1:17" ht="20.100000000000001" customHeight="1">
      <c r="A13" s="4">
        <v>8</v>
      </c>
      <c r="B13" s="5" t="s">
        <v>24</v>
      </c>
      <c r="C13" s="6" t="s">
        <v>25</v>
      </c>
      <c r="D13" s="13" t="s">
        <v>38</v>
      </c>
      <c r="E13" s="13"/>
      <c r="F13" s="13"/>
      <c r="G13" s="13"/>
      <c r="H13" s="13"/>
      <c r="I13" s="13"/>
      <c r="J13" s="7"/>
      <c r="K13" s="8">
        <v>1</v>
      </c>
      <c r="L13" s="9" t="s">
        <v>41</v>
      </c>
      <c r="M13" s="6" t="s">
        <v>42</v>
      </c>
      <c r="N13" s="10">
        <v>10000</v>
      </c>
      <c r="O13" s="11">
        <v>1</v>
      </c>
      <c r="P13" s="12"/>
      <c r="Q13" s="12"/>
    </row>
    <row r="14" spans="1:17" ht="20.100000000000001" customHeight="1">
      <c r="A14" s="4">
        <v>9</v>
      </c>
      <c r="B14" s="5" t="s">
        <v>24</v>
      </c>
      <c r="C14" s="6" t="s">
        <v>25</v>
      </c>
      <c r="D14" s="13" t="s">
        <v>38</v>
      </c>
      <c r="E14" s="13"/>
      <c r="F14" s="13"/>
      <c r="G14" s="13"/>
      <c r="H14" s="13"/>
      <c r="I14" s="13"/>
      <c r="J14" s="7"/>
      <c r="K14" s="8">
        <v>1</v>
      </c>
      <c r="L14" s="9" t="s">
        <v>43</v>
      </c>
      <c r="M14" s="6" t="s">
        <v>44</v>
      </c>
      <c r="N14" s="16">
        <v>6000</v>
      </c>
      <c r="O14" s="11">
        <v>1</v>
      </c>
      <c r="P14" s="12">
        <v>1</v>
      </c>
      <c r="Q14" s="12"/>
    </row>
    <row r="15" spans="1:17" ht="20.100000000000001" customHeight="1">
      <c r="A15" s="4">
        <v>10</v>
      </c>
      <c r="B15" s="5" t="s">
        <v>24</v>
      </c>
      <c r="C15" s="6" t="s">
        <v>25</v>
      </c>
      <c r="D15" s="13" t="s">
        <v>38</v>
      </c>
      <c r="E15" s="13"/>
      <c r="F15" s="13"/>
      <c r="G15" s="13"/>
      <c r="H15" s="13"/>
      <c r="I15" s="13"/>
      <c r="J15" s="7"/>
      <c r="K15" s="8">
        <v>1</v>
      </c>
      <c r="L15" s="9" t="s">
        <v>45</v>
      </c>
      <c r="M15" s="6" t="s">
        <v>46</v>
      </c>
      <c r="N15" s="10">
        <v>2000</v>
      </c>
      <c r="O15" s="11">
        <v>1</v>
      </c>
      <c r="P15" s="12">
        <v>1</v>
      </c>
      <c r="Q15" s="12"/>
    </row>
    <row r="16" spans="1:17" ht="20.100000000000001" customHeight="1">
      <c r="A16" s="4">
        <v>11</v>
      </c>
      <c r="B16" s="5" t="s">
        <v>47</v>
      </c>
      <c r="C16" s="6" t="s">
        <v>25</v>
      </c>
      <c r="D16" s="13" t="s">
        <v>26</v>
      </c>
      <c r="E16" s="13"/>
      <c r="F16" s="13"/>
      <c r="G16" s="13"/>
      <c r="H16" s="13"/>
      <c r="I16" s="13"/>
      <c r="J16" s="7"/>
      <c r="K16" s="8">
        <v>1</v>
      </c>
      <c r="L16" s="9"/>
      <c r="M16" s="6" t="s">
        <v>48</v>
      </c>
      <c r="N16" s="10">
        <v>34700</v>
      </c>
      <c r="O16" s="11">
        <v>1</v>
      </c>
      <c r="P16" s="12"/>
      <c r="Q16" s="12"/>
    </row>
    <row r="17" spans="1:18" ht="20.100000000000001" customHeight="1">
      <c r="A17" s="4">
        <v>12</v>
      </c>
      <c r="B17" s="5" t="s">
        <v>47</v>
      </c>
      <c r="C17" s="6" t="s">
        <v>25</v>
      </c>
      <c r="D17" s="13" t="s">
        <v>29</v>
      </c>
      <c r="E17" s="13"/>
      <c r="F17" s="13"/>
      <c r="G17" s="8">
        <v>1</v>
      </c>
      <c r="H17" s="13"/>
      <c r="I17" s="13"/>
      <c r="J17" s="7"/>
      <c r="K17" s="14"/>
      <c r="L17" s="9"/>
      <c r="M17" s="6" t="s">
        <v>49</v>
      </c>
      <c r="N17" s="10">
        <v>-9282596.8000000007</v>
      </c>
      <c r="O17" s="11">
        <v>1</v>
      </c>
      <c r="P17" s="12"/>
      <c r="Q17" s="12"/>
    </row>
    <row r="18" spans="1:18" ht="20.100000000000001" customHeight="1">
      <c r="A18" s="4">
        <v>13</v>
      </c>
      <c r="B18" s="5" t="s">
        <v>47</v>
      </c>
      <c r="C18" s="6" t="s">
        <v>25</v>
      </c>
      <c r="D18" s="13" t="s">
        <v>29</v>
      </c>
      <c r="E18" s="13"/>
      <c r="F18" s="13"/>
      <c r="G18" s="8">
        <v>1</v>
      </c>
      <c r="H18" s="13"/>
      <c r="I18" s="13"/>
      <c r="J18" s="7"/>
      <c r="K18" s="14"/>
      <c r="L18" s="9"/>
      <c r="M18" s="6" t="s">
        <v>32</v>
      </c>
      <c r="N18" s="10">
        <v>4611.8100000000004</v>
      </c>
      <c r="O18" s="11">
        <v>1</v>
      </c>
      <c r="P18" s="12"/>
      <c r="Q18" s="12"/>
    </row>
    <row r="19" spans="1:18" ht="20.100000000000001" customHeight="1">
      <c r="A19" s="4">
        <v>14</v>
      </c>
      <c r="B19" s="5" t="s">
        <v>47</v>
      </c>
      <c r="C19" s="6" t="s">
        <v>25</v>
      </c>
      <c r="D19" s="13"/>
      <c r="E19" s="13"/>
      <c r="F19" s="13"/>
      <c r="G19" s="8">
        <v>1</v>
      </c>
      <c r="H19" s="13"/>
      <c r="I19" s="13"/>
      <c r="J19" s="7"/>
      <c r="K19" s="14"/>
      <c r="L19" s="9"/>
      <c r="M19" s="6" t="s">
        <v>50</v>
      </c>
      <c r="N19" s="10">
        <v>591.07000000000005</v>
      </c>
      <c r="O19" s="11">
        <v>1</v>
      </c>
      <c r="P19" s="12">
        <v>1</v>
      </c>
      <c r="Q19" s="12"/>
    </row>
    <row r="20" spans="1:18" ht="20.100000000000001" customHeight="1">
      <c r="A20" s="4">
        <v>15</v>
      </c>
      <c r="B20" s="20" t="s">
        <v>47</v>
      </c>
      <c r="C20" s="6" t="s">
        <v>25</v>
      </c>
      <c r="D20" s="13" t="s">
        <v>29</v>
      </c>
      <c r="E20" s="13"/>
      <c r="F20" s="13"/>
      <c r="G20" s="13"/>
      <c r="H20" s="13"/>
      <c r="I20" s="13"/>
      <c r="J20" s="7"/>
      <c r="K20" s="8">
        <v>1</v>
      </c>
      <c r="L20" s="21"/>
      <c r="M20" s="6" t="s">
        <v>51</v>
      </c>
      <c r="N20" s="16">
        <v>-3193</v>
      </c>
      <c r="O20" s="11">
        <v>1</v>
      </c>
      <c r="P20" s="12"/>
      <c r="Q20" s="12"/>
    </row>
    <row r="21" spans="1:18" ht="20.100000000000001" customHeight="1">
      <c r="A21" s="4">
        <v>16</v>
      </c>
      <c r="B21" s="20" t="s">
        <v>47</v>
      </c>
      <c r="C21" s="6" t="s">
        <v>25</v>
      </c>
      <c r="D21" s="13" t="s">
        <v>33</v>
      </c>
      <c r="E21" s="13"/>
      <c r="F21" s="13"/>
      <c r="G21" s="13"/>
      <c r="H21" s="13"/>
      <c r="I21" s="8">
        <v>262</v>
      </c>
      <c r="J21" s="7"/>
      <c r="K21" s="17"/>
      <c r="L21" s="8"/>
      <c r="M21" s="6" t="s">
        <v>35</v>
      </c>
      <c r="N21" s="18"/>
      <c r="O21" s="11">
        <v>262</v>
      </c>
      <c r="P21" s="12"/>
      <c r="Q21" s="12"/>
    </row>
    <row r="22" spans="1:18" ht="20.100000000000001" customHeight="1">
      <c r="A22" s="4">
        <v>17</v>
      </c>
      <c r="B22" s="20" t="s">
        <v>47</v>
      </c>
      <c r="C22" s="6" t="s">
        <v>25</v>
      </c>
      <c r="D22" s="13" t="s">
        <v>36</v>
      </c>
      <c r="E22" s="13"/>
      <c r="F22" s="8">
        <v>278</v>
      </c>
      <c r="G22" s="13"/>
      <c r="H22" s="13"/>
      <c r="I22" s="13"/>
      <c r="J22" s="7"/>
      <c r="K22" s="14"/>
      <c r="L22" s="8"/>
      <c r="M22" s="6" t="s">
        <v>52</v>
      </c>
      <c r="N22" s="10">
        <v>2700</v>
      </c>
      <c r="O22" s="11">
        <v>278</v>
      </c>
      <c r="P22" s="12">
        <v>1</v>
      </c>
      <c r="Q22" s="12"/>
    </row>
    <row r="23" spans="1:18" ht="20.100000000000001" customHeight="1">
      <c r="A23" s="4">
        <v>18</v>
      </c>
      <c r="B23" s="20" t="s">
        <v>47</v>
      </c>
      <c r="C23" s="6" t="s">
        <v>25</v>
      </c>
      <c r="D23" s="13" t="str">
        <f t="shared" ref="D23:D27" si="0">D24</f>
        <v xml:space="preserve">Ticket Vouching </v>
      </c>
      <c r="E23" s="13"/>
      <c r="F23" s="13"/>
      <c r="G23" s="13"/>
      <c r="H23" s="13"/>
      <c r="I23" s="13"/>
      <c r="J23" s="7"/>
      <c r="K23" s="8">
        <v>1</v>
      </c>
      <c r="L23" s="22">
        <v>46029</v>
      </c>
      <c r="M23" s="6" t="s">
        <v>53</v>
      </c>
      <c r="N23" s="10">
        <v>150</v>
      </c>
      <c r="O23" s="11">
        <v>1</v>
      </c>
      <c r="P23" s="12">
        <v>1</v>
      </c>
      <c r="Q23" s="12"/>
    </row>
    <row r="24" spans="1:18" ht="20.100000000000001" customHeight="1">
      <c r="A24" s="4">
        <v>19</v>
      </c>
      <c r="B24" s="20" t="s">
        <v>47</v>
      </c>
      <c r="C24" s="6" t="s">
        <v>25</v>
      </c>
      <c r="D24" s="13" t="str">
        <f t="shared" si="0"/>
        <v xml:space="preserve">Ticket Vouching </v>
      </c>
      <c r="E24" s="13"/>
      <c r="F24" s="13"/>
      <c r="G24" s="13"/>
      <c r="H24" s="13"/>
      <c r="I24" s="13"/>
      <c r="J24" s="7"/>
      <c r="K24" s="8">
        <f t="shared" ref="K24:K27" si="1">K23</f>
        <v>1</v>
      </c>
      <c r="L24" s="22">
        <v>46029</v>
      </c>
      <c r="M24" s="6" t="s">
        <v>54</v>
      </c>
      <c r="N24" s="10">
        <v>5000</v>
      </c>
      <c r="O24" s="11">
        <v>1</v>
      </c>
      <c r="P24" s="12">
        <v>1</v>
      </c>
      <c r="Q24" s="12"/>
      <c r="R24" s="23"/>
    </row>
    <row r="25" spans="1:18" ht="20.100000000000001" customHeight="1">
      <c r="A25" s="4">
        <v>20</v>
      </c>
      <c r="B25" s="20" t="s">
        <v>47</v>
      </c>
      <c r="C25" s="6" t="s">
        <v>25</v>
      </c>
      <c r="D25" s="13" t="str">
        <f t="shared" si="0"/>
        <v xml:space="preserve">Ticket Vouching </v>
      </c>
      <c r="E25" s="13"/>
      <c r="F25" s="13"/>
      <c r="G25" s="13"/>
      <c r="H25" s="13"/>
      <c r="I25" s="13"/>
      <c r="J25" s="7"/>
      <c r="K25" s="8">
        <f t="shared" si="1"/>
        <v>1</v>
      </c>
      <c r="L25" s="22">
        <v>46060</v>
      </c>
      <c r="M25" s="6" t="s">
        <v>55</v>
      </c>
      <c r="N25" s="10">
        <v>15000</v>
      </c>
      <c r="O25" s="11">
        <v>1</v>
      </c>
      <c r="P25" s="12">
        <v>1</v>
      </c>
      <c r="Q25" s="12"/>
      <c r="R25" s="23"/>
    </row>
    <row r="26" spans="1:18" ht="20.100000000000001" customHeight="1">
      <c r="A26" s="4">
        <v>21</v>
      </c>
      <c r="B26" s="20" t="s">
        <v>47</v>
      </c>
      <c r="C26" s="6" t="s">
        <v>25</v>
      </c>
      <c r="D26" s="13" t="str">
        <f t="shared" si="0"/>
        <v xml:space="preserve">Ticket Vouching </v>
      </c>
      <c r="E26" s="13"/>
      <c r="F26" s="13"/>
      <c r="G26" s="13"/>
      <c r="H26" s="13"/>
      <c r="I26" s="13"/>
      <c r="J26" s="7"/>
      <c r="K26" s="8">
        <f t="shared" si="1"/>
        <v>1</v>
      </c>
      <c r="L26" s="22">
        <v>46060</v>
      </c>
      <c r="M26" s="6" t="s">
        <v>56</v>
      </c>
      <c r="N26" s="10">
        <v>10000</v>
      </c>
      <c r="O26" s="11">
        <v>1</v>
      </c>
      <c r="P26" s="12">
        <v>1</v>
      </c>
      <c r="Q26" s="12"/>
      <c r="R26" s="23"/>
    </row>
    <row r="27" spans="1:18" ht="20.100000000000001" customHeight="1">
      <c r="A27" s="4">
        <v>22</v>
      </c>
      <c r="B27" s="20" t="s">
        <v>47</v>
      </c>
      <c r="C27" s="6" t="s">
        <v>25</v>
      </c>
      <c r="D27" s="13" t="str">
        <f t="shared" si="0"/>
        <v xml:space="preserve">Ticket Vouching </v>
      </c>
      <c r="E27" s="13"/>
      <c r="F27" s="13"/>
      <c r="G27" s="13"/>
      <c r="H27" s="13"/>
      <c r="I27" s="13"/>
      <c r="J27" s="7"/>
      <c r="K27" s="8">
        <f t="shared" si="1"/>
        <v>1</v>
      </c>
      <c r="L27" s="22">
        <v>46210</v>
      </c>
      <c r="M27" s="6" t="s">
        <v>57</v>
      </c>
      <c r="N27" s="10">
        <v>1100</v>
      </c>
      <c r="O27" s="11">
        <v>1</v>
      </c>
      <c r="P27" s="12">
        <v>1</v>
      </c>
      <c r="Q27" s="12"/>
    </row>
    <row r="28" spans="1:18" ht="20.100000000000001" customHeight="1">
      <c r="A28" s="4">
        <v>23</v>
      </c>
      <c r="B28" s="20" t="s">
        <v>47</v>
      </c>
      <c r="C28" s="6" t="s">
        <v>25</v>
      </c>
      <c r="D28" s="13" t="str">
        <f>D30</f>
        <v xml:space="preserve">Ticket Vouching </v>
      </c>
      <c r="E28" s="13"/>
      <c r="F28" s="13"/>
      <c r="G28" s="13"/>
      <c r="H28" s="13"/>
      <c r="I28" s="13"/>
      <c r="J28" s="7"/>
      <c r="K28" s="8">
        <f>K29</f>
        <v>1</v>
      </c>
      <c r="L28" s="8" t="s">
        <v>58</v>
      </c>
      <c r="M28" s="6" t="s">
        <v>59</v>
      </c>
      <c r="N28" s="10">
        <v>1050</v>
      </c>
      <c r="O28" s="11">
        <v>1</v>
      </c>
      <c r="P28" s="12">
        <v>1</v>
      </c>
      <c r="Q28" s="12"/>
    </row>
    <row r="29" spans="1:18" ht="20.100000000000001" customHeight="1">
      <c r="A29" s="4">
        <v>24</v>
      </c>
      <c r="B29" s="20" t="s">
        <v>47</v>
      </c>
      <c r="C29" s="6" t="s">
        <v>25</v>
      </c>
      <c r="D29" s="13" t="str">
        <f>D28</f>
        <v xml:space="preserve">Ticket Vouching </v>
      </c>
      <c r="E29" s="13"/>
      <c r="F29" s="13"/>
      <c r="G29" s="13"/>
      <c r="H29" s="13"/>
      <c r="I29" s="13"/>
      <c r="J29" s="7"/>
      <c r="K29" s="8">
        <f>K30</f>
        <v>1</v>
      </c>
      <c r="L29" s="22" t="s">
        <v>60</v>
      </c>
      <c r="M29" s="6" t="s">
        <v>61</v>
      </c>
      <c r="N29" s="10">
        <v>100</v>
      </c>
      <c r="O29" s="11">
        <v>1</v>
      </c>
      <c r="P29" s="12">
        <v>1</v>
      </c>
      <c r="Q29" s="12"/>
    </row>
    <row r="30" spans="1:18" ht="20.100000000000001" customHeight="1">
      <c r="A30" s="4">
        <v>25</v>
      </c>
      <c r="B30" s="20" t="s">
        <v>47</v>
      </c>
      <c r="C30" s="6" t="s">
        <v>25</v>
      </c>
      <c r="D30" s="13" t="s">
        <v>38</v>
      </c>
      <c r="E30" s="13"/>
      <c r="F30" s="13"/>
      <c r="G30" s="13"/>
      <c r="H30" s="13"/>
      <c r="I30" s="13"/>
      <c r="J30" s="7"/>
      <c r="K30" s="8">
        <v>1</v>
      </c>
      <c r="L30" s="8" t="s">
        <v>62</v>
      </c>
      <c r="M30" s="6" t="s">
        <v>63</v>
      </c>
      <c r="N30" s="10">
        <v>2000</v>
      </c>
      <c r="O30" s="11">
        <v>1</v>
      </c>
      <c r="P30" s="12">
        <v>1</v>
      </c>
      <c r="Q30" s="12"/>
    </row>
    <row r="31" spans="1:18" ht="20.100000000000001" customHeight="1">
      <c r="A31" s="4">
        <v>26</v>
      </c>
      <c r="B31" s="20" t="s">
        <v>64</v>
      </c>
      <c r="C31" s="6" t="s">
        <v>25</v>
      </c>
      <c r="D31" s="13" t="s">
        <v>29</v>
      </c>
      <c r="E31" s="13"/>
      <c r="F31" s="13"/>
      <c r="G31" s="8">
        <v>1</v>
      </c>
      <c r="H31" s="13"/>
      <c r="I31" s="13"/>
      <c r="J31" s="7"/>
      <c r="K31" s="14"/>
      <c r="L31" s="8"/>
      <c r="M31" s="6" t="s">
        <v>49</v>
      </c>
      <c r="N31" s="10">
        <v>-105360968.09999999</v>
      </c>
      <c r="O31" s="11">
        <v>1</v>
      </c>
      <c r="P31" s="12"/>
      <c r="Q31" s="12"/>
    </row>
    <row r="32" spans="1:18" ht="20.100000000000001" customHeight="1">
      <c r="A32" s="4">
        <v>27</v>
      </c>
      <c r="B32" s="20" t="s">
        <v>64</v>
      </c>
      <c r="C32" s="6" t="s">
        <v>25</v>
      </c>
      <c r="D32" s="13" t="s">
        <v>29</v>
      </c>
      <c r="E32" s="13"/>
      <c r="F32" s="13"/>
      <c r="G32" s="8">
        <v>1</v>
      </c>
      <c r="H32" s="13"/>
      <c r="I32" s="13"/>
      <c r="J32" s="7"/>
      <c r="K32" s="14"/>
      <c r="L32" s="8"/>
      <c r="M32" s="6" t="s">
        <v>32</v>
      </c>
      <c r="N32" s="10">
        <v>-2634499.94</v>
      </c>
      <c r="O32" s="11">
        <v>1</v>
      </c>
      <c r="P32" s="12"/>
      <c r="Q32" s="12"/>
    </row>
    <row r="33" spans="1:17" ht="20.100000000000001" customHeight="1">
      <c r="A33" s="4">
        <v>28</v>
      </c>
      <c r="B33" s="20" t="s">
        <v>64</v>
      </c>
      <c r="C33" s="6" t="s">
        <v>25</v>
      </c>
      <c r="D33" s="13"/>
      <c r="E33" s="13"/>
      <c r="F33" s="13"/>
      <c r="G33" s="13"/>
      <c r="H33" s="13"/>
      <c r="I33" s="13"/>
      <c r="J33" s="7"/>
      <c r="K33" s="8">
        <v>1</v>
      </c>
      <c r="L33" s="8"/>
      <c r="M33" s="6" t="s">
        <v>65</v>
      </c>
      <c r="N33" s="10">
        <v>1150</v>
      </c>
      <c r="O33" s="11">
        <v>1</v>
      </c>
      <c r="P33" s="12"/>
      <c r="Q33" s="12"/>
    </row>
    <row r="34" spans="1:17" ht="20.100000000000001" customHeight="1">
      <c r="A34" s="4">
        <v>29</v>
      </c>
      <c r="B34" s="20" t="s">
        <v>64</v>
      </c>
      <c r="C34" s="6" t="s">
        <v>25</v>
      </c>
      <c r="D34" s="13" t="s">
        <v>33</v>
      </c>
      <c r="E34" s="13"/>
      <c r="F34" s="13"/>
      <c r="G34" s="13"/>
      <c r="H34" s="8">
        <v>433</v>
      </c>
      <c r="I34" s="13"/>
      <c r="J34" s="7"/>
      <c r="K34" s="14"/>
      <c r="L34" s="8"/>
      <c r="M34" s="6" t="s">
        <v>34</v>
      </c>
      <c r="N34" s="10"/>
      <c r="O34" s="11">
        <v>433</v>
      </c>
      <c r="P34" s="12">
        <v>21</v>
      </c>
      <c r="Q34" s="12"/>
    </row>
    <row r="35" spans="1:17" ht="20.100000000000001" customHeight="1">
      <c r="A35" s="4">
        <v>30</v>
      </c>
      <c r="B35" s="20" t="s">
        <v>64</v>
      </c>
      <c r="C35" s="6" t="s">
        <v>25</v>
      </c>
      <c r="D35" s="13" t="s">
        <v>33</v>
      </c>
      <c r="E35" s="13"/>
      <c r="F35" s="13"/>
      <c r="G35" s="13"/>
      <c r="H35" s="13"/>
      <c r="I35" s="8">
        <v>109</v>
      </c>
      <c r="J35" s="7"/>
      <c r="K35" s="17"/>
      <c r="L35" s="8"/>
      <c r="M35" s="6" t="s">
        <v>35</v>
      </c>
      <c r="N35" s="10">
        <v>3752611.28</v>
      </c>
      <c r="O35" s="11">
        <v>109</v>
      </c>
      <c r="P35" s="12"/>
      <c r="Q35" s="12"/>
    </row>
    <row r="36" spans="1:17" ht="20.100000000000001" customHeight="1">
      <c r="A36" s="4">
        <v>31</v>
      </c>
      <c r="B36" s="20" t="s">
        <v>64</v>
      </c>
      <c r="C36" s="6" t="s">
        <v>25</v>
      </c>
      <c r="D36" s="13" t="s">
        <v>36</v>
      </c>
      <c r="E36" s="13"/>
      <c r="F36" s="9">
        <v>722</v>
      </c>
      <c r="G36" s="13"/>
      <c r="H36" s="13"/>
      <c r="I36" s="13"/>
      <c r="J36" s="7"/>
      <c r="K36" s="14"/>
      <c r="L36" s="8"/>
      <c r="M36" s="6" t="s">
        <v>66</v>
      </c>
      <c r="N36" s="24" t="s">
        <v>67</v>
      </c>
      <c r="O36" s="11">
        <v>722</v>
      </c>
      <c r="P36" s="12"/>
      <c r="Q36" s="12"/>
    </row>
    <row r="37" spans="1:17" ht="20.100000000000001" customHeight="1">
      <c r="A37" s="4">
        <v>32</v>
      </c>
      <c r="B37" s="20" t="s">
        <v>64</v>
      </c>
      <c r="C37" s="6" t="s">
        <v>25</v>
      </c>
      <c r="D37" s="13" t="s">
        <v>68</v>
      </c>
      <c r="E37" s="13"/>
      <c r="F37" s="13"/>
      <c r="G37" s="13"/>
      <c r="H37" s="13"/>
      <c r="I37" s="13"/>
      <c r="J37" s="7"/>
      <c r="K37" s="8">
        <v>3</v>
      </c>
      <c r="L37" s="8"/>
      <c r="M37" s="6" t="s">
        <v>69</v>
      </c>
      <c r="N37" s="10">
        <v>2345481</v>
      </c>
      <c r="O37" s="11">
        <v>3</v>
      </c>
      <c r="P37" s="12"/>
      <c r="Q37" s="12"/>
    </row>
    <row r="38" spans="1:17" ht="20.100000000000001" customHeight="1">
      <c r="A38" s="4">
        <v>33</v>
      </c>
      <c r="B38" s="20" t="s">
        <v>64</v>
      </c>
      <c r="C38" s="6" t="s">
        <v>25</v>
      </c>
      <c r="D38" s="13" t="s">
        <v>38</v>
      </c>
      <c r="E38" s="13"/>
      <c r="F38" s="13"/>
      <c r="G38" s="13"/>
      <c r="H38" s="13"/>
      <c r="I38" s="13"/>
      <c r="J38" s="7"/>
      <c r="K38" s="8">
        <v>1</v>
      </c>
      <c r="L38" s="8">
        <v>46180</v>
      </c>
      <c r="M38" s="6" t="s">
        <v>70</v>
      </c>
      <c r="N38" s="10">
        <v>7500</v>
      </c>
      <c r="O38" s="11">
        <v>1</v>
      </c>
      <c r="P38" s="12">
        <v>1</v>
      </c>
      <c r="Q38" s="12"/>
    </row>
    <row r="39" spans="1:17" ht="20.100000000000001" customHeight="1">
      <c r="A39" s="4">
        <v>34</v>
      </c>
      <c r="B39" s="20" t="s">
        <v>64</v>
      </c>
      <c r="C39" s="6" t="s">
        <v>25</v>
      </c>
      <c r="D39" s="13" t="s">
        <v>38</v>
      </c>
      <c r="E39" s="13"/>
      <c r="F39" s="13"/>
      <c r="G39" s="13"/>
      <c r="H39" s="13"/>
      <c r="I39" s="13"/>
      <c r="J39" s="7"/>
      <c r="K39" s="8">
        <v>1</v>
      </c>
      <c r="L39" s="8">
        <v>46363</v>
      </c>
      <c r="M39" s="6" t="s">
        <v>70</v>
      </c>
      <c r="N39" s="10">
        <v>600</v>
      </c>
      <c r="O39" s="11">
        <v>1</v>
      </c>
      <c r="P39" s="12"/>
      <c r="Q39" s="12"/>
    </row>
    <row r="40" spans="1:17" ht="20.100000000000001" customHeight="1">
      <c r="A40" s="4">
        <v>35</v>
      </c>
      <c r="B40" s="20" t="s">
        <v>64</v>
      </c>
      <c r="C40" s="6" t="s">
        <v>25</v>
      </c>
      <c r="D40" s="13" t="s">
        <v>38</v>
      </c>
      <c r="E40" s="13"/>
      <c r="F40" s="13"/>
      <c r="G40" s="13"/>
      <c r="H40" s="13"/>
      <c r="I40" s="13"/>
      <c r="J40" s="7"/>
      <c r="K40" s="8">
        <v>1</v>
      </c>
      <c r="L40" s="8" t="s">
        <v>71</v>
      </c>
      <c r="M40" s="6" t="s">
        <v>72</v>
      </c>
      <c r="N40" s="10">
        <v>3300</v>
      </c>
      <c r="O40" s="11">
        <v>1</v>
      </c>
      <c r="P40" s="12"/>
      <c r="Q40" s="12"/>
    </row>
    <row r="41" spans="1:17" ht="20.100000000000001" customHeight="1">
      <c r="A41" s="4">
        <v>36</v>
      </c>
      <c r="B41" s="20" t="s">
        <v>64</v>
      </c>
      <c r="C41" s="6" t="s">
        <v>25</v>
      </c>
      <c r="D41" s="13" t="s">
        <v>38</v>
      </c>
      <c r="E41" s="13"/>
      <c r="F41" s="13"/>
      <c r="G41" s="13"/>
      <c r="H41" s="13"/>
      <c r="I41" s="13"/>
      <c r="J41" s="7"/>
      <c r="K41" s="8">
        <v>1</v>
      </c>
      <c r="L41" s="8"/>
      <c r="M41" s="6" t="s">
        <v>73</v>
      </c>
      <c r="N41" s="10">
        <v>15</v>
      </c>
      <c r="O41" s="11">
        <v>1</v>
      </c>
      <c r="P41" s="12"/>
      <c r="Q41" s="12"/>
    </row>
    <row r="42" spans="1:17" ht="20.100000000000001" customHeight="1">
      <c r="A42" s="4">
        <v>37</v>
      </c>
      <c r="B42" s="20" t="s">
        <v>64</v>
      </c>
      <c r="C42" s="6" t="s">
        <v>25</v>
      </c>
      <c r="D42" s="13" t="s">
        <v>38</v>
      </c>
      <c r="E42" s="13"/>
      <c r="F42" s="13"/>
      <c r="G42" s="13"/>
      <c r="H42" s="13"/>
      <c r="I42" s="13"/>
      <c r="J42" s="7"/>
      <c r="K42" s="8">
        <v>1</v>
      </c>
      <c r="L42" s="25"/>
      <c r="M42" s="6" t="s">
        <v>74</v>
      </c>
      <c r="N42" s="10"/>
      <c r="O42" s="11">
        <v>1</v>
      </c>
      <c r="P42" s="12"/>
      <c r="Q42" s="12"/>
    </row>
    <row r="43" spans="1:17" ht="20.100000000000001" customHeight="1">
      <c r="A43" s="4">
        <v>38</v>
      </c>
      <c r="B43" s="20" t="s">
        <v>75</v>
      </c>
      <c r="C43" s="6" t="s">
        <v>25</v>
      </c>
      <c r="D43" s="26" t="s">
        <v>26</v>
      </c>
      <c r="E43" s="26"/>
      <c r="F43" s="26"/>
      <c r="G43" s="26"/>
      <c r="H43" s="26"/>
      <c r="I43" s="26"/>
      <c r="J43" s="26"/>
      <c r="K43" s="8">
        <v>1</v>
      </c>
      <c r="L43" s="22" t="s">
        <v>76</v>
      </c>
      <c r="M43" s="6" t="s">
        <v>28</v>
      </c>
      <c r="N43" s="18">
        <v>53202.69</v>
      </c>
      <c r="O43" s="11">
        <v>1</v>
      </c>
      <c r="P43" s="12"/>
      <c r="Q43" s="12"/>
    </row>
    <row r="44" spans="1:17" ht="20.100000000000001" customHeight="1">
      <c r="A44" s="4">
        <v>39</v>
      </c>
      <c r="B44" s="20" t="s">
        <v>75</v>
      </c>
      <c r="C44" s="6" t="s">
        <v>25</v>
      </c>
      <c r="D44" s="26" t="s">
        <v>29</v>
      </c>
      <c r="E44" s="26"/>
      <c r="F44" s="26"/>
      <c r="G44" s="8">
        <v>1</v>
      </c>
      <c r="H44" s="26"/>
      <c r="I44" s="26"/>
      <c r="J44" s="26"/>
      <c r="K44" s="14"/>
      <c r="L44" s="22" t="s">
        <v>76</v>
      </c>
      <c r="M44" s="6" t="s">
        <v>49</v>
      </c>
      <c r="N44" s="18">
        <v>-37540549.520000003</v>
      </c>
      <c r="O44" s="11">
        <v>1</v>
      </c>
      <c r="P44" s="12"/>
      <c r="Q44" s="12"/>
    </row>
    <row r="45" spans="1:17" ht="20.100000000000001" customHeight="1">
      <c r="A45" s="4">
        <v>40</v>
      </c>
      <c r="B45" s="20" t="s">
        <v>75</v>
      </c>
      <c r="C45" s="6" t="s">
        <v>25</v>
      </c>
      <c r="D45" s="26" t="s">
        <v>29</v>
      </c>
      <c r="E45" s="26"/>
      <c r="F45" s="26"/>
      <c r="G45" s="8">
        <v>1</v>
      </c>
      <c r="H45" s="26"/>
      <c r="I45" s="26"/>
      <c r="J45" s="26"/>
      <c r="K45" s="14"/>
      <c r="L45" s="22" t="s">
        <v>76</v>
      </c>
      <c r="M45" s="6" t="s">
        <v>77</v>
      </c>
      <c r="N45" s="18">
        <v>-37362525.649999999</v>
      </c>
      <c r="O45" s="11">
        <v>1</v>
      </c>
      <c r="P45" s="12"/>
      <c r="Q45" s="12"/>
    </row>
    <row r="46" spans="1:17" ht="20.100000000000001" customHeight="1">
      <c r="A46" s="4">
        <v>41</v>
      </c>
      <c r="B46" s="20" t="s">
        <v>75</v>
      </c>
      <c r="C46" s="6" t="s">
        <v>25</v>
      </c>
      <c r="D46" s="26" t="s">
        <v>29</v>
      </c>
      <c r="E46" s="26"/>
      <c r="F46" s="26"/>
      <c r="G46" s="8">
        <v>1</v>
      </c>
      <c r="H46" s="26"/>
      <c r="I46" s="26"/>
      <c r="J46" s="26"/>
      <c r="K46" s="14"/>
      <c r="L46" s="22" t="s">
        <v>76</v>
      </c>
      <c r="M46" s="6" t="s">
        <v>32</v>
      </c>
      <c r="N46" s="18">
        <v>-167191.79</v>
      </c>
      <c r="O46" s="11">
        <v>1</v>
      </c>
      <c r="P46" s="12"/>
      <c r="Q46" s="12"/>
    </row>
    <row r="47" spans="1:17" ht="20.100000000000001" customHeight="1">
      <c r="A47" s="4">
        <v>42</v>
      </c>
      <c r="B47" s="20" t="s">
        <v>75</v>
      </c>
      <c r="C47" s="6" t="s">
        <v>25</v>
      </c>
      <c r="D47" s="26" t="s">
        <v>29</v>
      </c>
      <c r="E47" s="26"/>
      <c r="F47" s="26"/>
      <c r="G47" s="8">
        <v>1</v>
      </c>
      <c r="H47" s="26"/>
      <c r="I47" s="26"/>
      <c r="J47" s="26"/>
      <c r="K47" s="14"/>
      <c r="L47" s="22" t="s">
        <v>76</v>
      </c>
      <c r="M47" s="6" t="s">
        <v>78</v>
      </c>
      <c r="N47" s="18">
        <v>-0.01</v>
      </c>
      <c r="O47" s="11">
        <v>1</v>
      </c>
      <c r="P47" s="12"/>
      <c r="Q47" s="12"/>
    </row>
    <row r="48" spans="1:17" ht="20.100000000000001" customHeight="1">
      <c r="A48" s="4">
        <v>43</v>
      </c>
      <c r="B48" s="20" t="s">
        <v>75</v>
      </c>
      <c r="C48" s="6" t="s">
        <v>25</v>
      </c>
      <c r="D48" s="26" t="s">
        <v>29</v>
      </c>
      <c r="E48" s="26"/>
      <c r="F48" s="26"/>
      <c r="G48" s="8">
        <v>1</v>
      </c>
      <c r="H48" s="26"/>
      <c r="I48" s="26"/>
      <c r="J48" s="26"/>
      <c r="K48" s="14"/>
      <c r="L48" s="22" t="s">
        <v>76</v>
      </c>
      <c r="M48" s="6" t="s">
        <v>79</v>
      </c>
      <c r="N48" s="18">
        <v>141.5</v>
      </c>
      <c r="O48" s="11">
        <v>1</v>
      </c>
      <c r="P48" s="12"/>
      <c r="Q48" s="12"/>
    </row>
    <row r="49" spans="1:17" ht="20.100000000000001" customHeight="1">
      <c r="A49" s="4">
        <v>44</v>
      </c>
      <c r="B49" s="20" t="s">
        <v>75</v>
      </c>
      <c r="C49" s="6" t="s">
        <v>25</v>
      </c>
      <c r="D49" s="7" t="s">
        <v>33</v>
      </c>
      <c r="E49" s="7"/>
      <c r="F49" s="7"/>
      <c r="G49" s="7"/>
      <c r="H49" s="8">
        <v>397</v>
      </c>
      <c r="I49" s="7"/>
      <c r="J49" s="7"/>
      <c r="K49" s="14"/>
      <c r="L49" s="22" t="s">
        <v>76</v>
      </c>
      <c r="M49" s="6" t="s">
        <v>34</v>
      </c>
      <c r="N49" s="10">
        <v>0</v>
      </c>
      <c r="O49" s="11">
        <v>397</v>
      </c>
      <c r="P49" s="12">
        <v>2</v>
      </c>
      <c r="Q49" s="12"/>
    </row>
    <row r="50" spans="1:17" ht="20.100000000000001" customHeight="1">
      <c r="A50" s="4">
        <v>45</v>
      </c>
      <c r="B50" s="20" t="s">
        <v>75</v>
      </c>
      <c r="C50" s="6" t="s">
        <v>25</v>
      </c>
      <c r="D50" s="7" t="s">
        <v>33</v>
      </c>
      <c r="E50" s="7"/>
      <c r="F50" s="7"/>
      <c r="G50" s="7"/>
      <c r="H50" s="7"/>
      <c r="I50" s="8">
        <v>2527</v>
      </c>
      <c r="J50" s="7"/>
      <c r="K50" s="17"/>
      <c r="L50" s="22" t="s">
        <v>76</v>
      </c>
      <c r="M50" s="6" t="s">
        <v>35</v>
      </c>
      <c r="N50" s="19">
        <v>3695035.51</v>
      </c>
      <c r="O50" s="11">
        <v>2527</v>
      </c>
      <c r="P50" s="12"/>
      <c r="Q50" s="12"/>
    </row>
    <row r="51" spans="1:17" ht="20.100000000000001" customHeight="1">
      <c r="A51" s="4">
        <v>46</v>
      </c>
      <c r="B51" s="20" t="s">
        <v>75</v>
      </c>
      <c r="C51" s="6" t="s">
        <v>25</v>
      </c>
      <c r="D51" s="7" t="s">
        <v>36</v>
      </c>
      <c r="E51" s="7"/>
      <c r="F51" s="8">
        <v>352</v>
      </c>
      <c r="G51" s="7"/>
      <c r="H51" s="7"/>
      <c r="I51" s="7"/>
      <c r="J51" s="7"/>
      <c r="K51" s="14"/>
      <c r="L51" s="22" t="s">
        <v>76</v>
      </c>
      <c r="M51" s="6" t="s">
        <v>80</v>
      </c>
      <c r="N51" s="10"/>
      <c r="O51" s="11">
        <v>352</v>
      </c>
      <c r="P51" s="12"/>
      <c r="Q51" s="12"/>
    </row>
    <row r="52" spans="1:17" ht="20.100000000000001" customHeight="1">
      <c r="A52" s="4">
        <v>47</v>
      </c>
      <c r="B52" s="20" t="s">
        <v>75</v>
      </c>
      <c r="C52" s="6" t="s">
        <v>25</v>
      </c>
      <c r="D52" s="7" t="s">
        <v>38</v>
      </c>
      <c r="E52" s="7"/>
      <c r="F52" s="7"/>
      <c r="G52" s="7"/>
      <c r="H52" s="7"/>
      <c r="I52" s="7"/>
      <c r="J52" s="7"/>
      <c r="K52" s="8">
        <v>1</v>
      </c>
      <c r="L52" s="22" t="s">
        <v>81</v>
      </c>
      <c r="M52" s="27" t="s">
        <v>82</v>
      </c>
      <c r="N52" s="10">
        <v>100000</v>
      </c>
      <c r="O52" s="11">
        <v>1</v>
      </c>
      <c r="P52" s="12">
        <v>1</v>
      </c>
      <c r="Q52" s="12"/>
    </row>
    <row r="53" spans="1:17" ht="20.100000000000001" customHeight="1">
      <c r="A53" s="4">
        <v>48</v>
      </c>
      <c r="B53" s="20" t="s">
        <v>75</v>
      </c>
      <c r="C53" s="6" t="s">
        <v>25</v>
      </c>
      <c r="D53" s="7" t="s">
        <v>38</v>
      </c>
      <c r="E53" s="7"/>
      <c r="F53" s="7"/>
      <c r="G53" s="7"/>
      <c r="H53" s="7"/>
      <c r="I53" s="7"/>
      <c r="J53" s="7"/>
      <c r="K53" s="8">
        <v>1</v>
      </c>
      <c r="L53" s="22" t="s">
        <v>83</v>
      </c>
      <c r="M53" s="6" t="s">
        <v>84</v>
      </c>
      <c r="N53" s="18">
        <v>1070000</v>
      </c>
      <c r="O53" s="11">
        <v>1</v>
      </c>
      <c r="P53" s="12">
        <v>1</v>
      </c>
      <c r="Q53" s="12"/>
    </row>
    <row r="54" spans="1:17" ht="20.100000000000001" customHeight="1">
      <c r="A54" s="4">
        <v>49</v>
      </c>
      <c r="B54" s="20" t="s">
        <v>75</v>
      </c>
      <c r="C54" s="6" t="s">
        <v>25</v>
      </c>
      <c r="D54" s="7" t="s">
        <v>38</v>
      </c>
      <c r="E54" s="7"/>
      <c r="F54" s="7"/>
      <c r="G54" s="7"/>
      <c r="H54" s="7"/>
      <c r="I54" s="7"/>
      <c r="J54" s="7"/>
      <c r="K54" s="8">
        <v>1</v>
      </c>
      <c r="L54" s="22" t="s">
        <v>85</v>
      </c>
      <c r="M54" s="27" t="s">
        <v>82</v>
      </c>
      <c r="N54" s="10">
        <v>100000</v>
      </c>
      <c r="O54" s="11">
        <v>1</v>
      </c>
      <c r="P54" s="12">
        <v>1</v>
      </c>
      <c r="Q54" s="12"/>
    </row>
    <row r="55" spans="1:17" ht="20.100000000000001" customHeight="1">
      <c r="A55" s="4">
        <v>50</v>
      </c>
      <c r="B55" s="20" t="s">
        <v>75</v>
      </c>
      <c r="C55" s="6" t="s">
        <v>25</v>
      </c>
      <c r="D55" s="7" t="s">
        <v>38</v>
      </c>
      <c r="E55" s="7"/>
      <c r="F55" s="7"/>
      <c r="G55" s="7"/>
      <c r="H55" s="7"/>
      <c r="I55" s="7"/>
      <c r="J55" s="7"/>
      <c r="K55" s="8">
        <v>1</v>
      </c>
      <c r="L55" s="22" t="s">
        <v>86</v>
      </c>
      <c r="M55" s="6" t="s">
        <v>87</v>
      </c>
      <c r="N55" s="10">
        <v>200</v>
      </c>
      <c r="O55" s="11">
        <v>1</v>
      </c>
      <c r="P55" s="12"/>
      <c r="Q55" s="12"/>
    </row>
    <row r="56" spans="1:17" ht="20.100000000000001" customHeight="1">
      <c r="A56" s="4">
        <v>51</v>
      </c>
      <c r="B56" s="20" t="s">
        <v>75</v>
      </c>
      <c r="C56" s="6" t="s">
        <v>25</v>
      </c>
      <c r="D56" s="7" t="s">
        <v>38</v>
      </c>
      <c r="E56" s="7"/>
      <c r="F56" s="7"/>
      <c r="G56" s="7"/>
      <c r="H56" s="7"/>
      <c r="I56" s="7"/>
      <c r="J56" s="7"/>
      <c r="K56" s="8">
        <v>1</v>
      </c>
      <c r="L56" s="22" t="s">
        <v>88</v>
      </c>
      <c r="M56" s="27" t="s">
        <v>82</v>
      </c>
      <c r="N56" s="18">
        <v>7698.8</v>
      </c>
      <c r="O56" s="11">
        <v>1</v>
      </c>
      <c r="P56" s="12">
        <v>1</v>
      </c>
      <c r="Q56" s="12"/>
    </row>
    <row r="57" spans="1:17" ht="20.100000000000001" customHeight="1">
      <c r="A57" s="4">
        <v>52</v>
      </c>
      <c r="B57" s="20" t="s">
        <v>75</v>
      </c>
      <c r="C57" s="6" t="s">
        <v>25</v>
      </c>
      <c r="D57" s="7" t="s">
        <v>38</v>
      </c>
      <c r="E57" s="7"/>
      <c r="F57" s="7"/>
      <c r="G57" s="7"/>
      <c r="H57" s="7"/>
      <c r="I57" s="7"/>
      <c r="J57" s="7"/>
      <c r="K57" s="8">
        <v>1</v>
      </c>
      <c r="L57" s="22" t="s">
        <v>89</v>
      </c>
      <c r="M57" s="6" t="s">
        <v>90</v>
      </c>
      <c r="N57" s="18">
        <v>257709.99</v>
      </c>
      <c r="O57" s="11">
        <v>1</v>
      </c>
      <c r="P57" s="12">
        <v>1</v>
      </c>
      <c r="Q57" s="12"/>
    </row>
    <row r="58" spans="1:17" ht="20.100000000000001" customHeight="1">
      <c r="A58" s="4">
        <v>53</v>
      </c>
      <c r="B58" s="20" t="s">
        <v>75</v>
      </c>
      <c r="C58" s="6" t="s">
        <v>25</v>
      </c>
      <c r="D58" s="7" t="s">
        <v>38</v>
      </c>
      <c r="E58" s="7"/>
      <c r="F58" s="7"/>
      <c r="G58" s="7"/>
      <c r="H58" s="7"/>
      <c r="I58" s="7"/>
      <c r="J58" s="7"/>
      <c r="K58" s="8">
        <v>1</v>
      </c>
      <c r="L58" s="22" t="s">
        <v>88</v>
      </c>
      <c r="M58" s="6" t="s">
        <v>91</v>
      </c>
      <c r="N58" s="18">
        <v>7031.62</v>
      </c>
      <c r="O58" s="11">
        <v>1</v>
      </c>
      <c r="P58" s="12">
        <v>1</v>
      </c>
      <c r="Q58" s="12"/>
    </row>
    <row r="59" spans="1:17" ht="20.100000000000001" customHeight="1">
      <c r="A59" s="4">
        <v>54</v>
      </c>
      <c r="B59" s="20" t="s">
        <v>75</v>
      </c>
      <c r="C59" s="6" t="s">
        <v>25</v>
      </c>
      <c r="D59" s="7" t="s">
        <v>38</v>
      </c>
      <c r="E59" s="7"/>
      <c r="F59" s="7"/>
      <c r="G59" s="7"/>
      <c r="H59" s="7"/>
      <c r="I59" s="7"/>
      <c r="J59" s="7"/>
      <c r="K59" s="8">
        <v>1</v>
      </c>
      <c r="L59" s="22" t="s">
        <v>92</v>
      </c>
      <c r="M59" s="27" t="s">
        <v>82</v>
      </c>
      <c r="N59" s="10">
        <v>500000</v>
      </c>
      <c r="O59" s="11">
        <v>1</v>
      </c>
      <c r="P59" s="12">
        <v>1</v>
      </c>
      <c r="Q59" s="12"/>
    </row>
    <row r="60" spans="1:17" ht="20.100000000000001" customHeight="1">
      <c r="A60" s="4">
        <v>55</v>
      </c>
      <c r="B60" s="20" t="s">
        <v>75</v>
      </c>
      <c r="C60" s="6" t="s">
        <v>25</v>
      </c>
      <c r="D60" s="7" t="s">
        <v>38</v>
      </c>
      <c r="E60" s="7"/>
      <c r="F60" s="7"/>
      <c r="G60" s="7"/>
      <c r="H60" s="7"/>
      <c r="I60" s="7"/>
      <c r="J60" s="7"/>
      <c r="K60" s="8">
        <v>1</v>
      </c>
      <c r="L60" s="22">
        <v>46085</v>
      </c>
      <c r="M60" s="27" t="s">
        <v>82</v>
      </c>
      <c r="N60" s="18">
        <v>15602.49</v>
      </c>
      <c r="O60" s="11">
        <v>1</v>
      </c>
      <c r="P60" s="12">
        <v>1</v>
      </c>
      <c r="Q60" s="12"/>
    </row>
    <row r="61" spans="1:17" ht="20.100000000000001" customHeight="1">
      <c r="A61" s="4">
        <v>56</v>
      </c>
      <c r="B61" s="20" t="s">
        <v>75</v>
      </c>
      <c r="C61" s="6" t="s">
        <v>25</v>
      </c>
      <c r="D61" s="7" t="s">
        <v>38</v>
      </c>
      <c r="E61" s="7"/>
      <c r="F61" s="7"/>
      <c r="G61" s="7"/>
      <c r="H61" s="7"/>
      <c r="I61" s="7"/>
      <c r="J61" s="7"/>
      <c r="K61" s="8">
        <v>1</v>
      </c>
      <c r="L61" s="22" t="s">
        <v>93</v>
      </c>
      <c r="M61" s="6" t="s">
        <v>94</v>
      </c>
      <c r="N61" s="19">
        <v>4884.18</v>
      </c>
      <c r="O61" s="11">
        <v>1</v>
      </c>
      <c r="P61" s="12"/>
      <c r="Q61" s="12"/>
    </row>
    <row r="62" spans="1:17" ht="20.100000000000001" customHeight="1">
      <c r="A62" s="4">
        <v>57</v>
      </c>
      <c r="B62" s="20" t="s">
        <v>75</v>
      </c>
      <c r="C62" s="6" t="s">
        <v>25</v>
      </c>
      <c r="D62" s="7" t="s">
        <v>38</v>
      </c>
      <c r="E62" s="7"/>
      <c r="F62" s="7"/>
      <c r="G62" s="7"/>
      <c r="H62" s="7"/>
      <c r="I62" s="7"/>
      <c r="J62" s="7"/>
      <c r="K62" s="8">
        <v>1</v>
      </c>
      <c r="L62" s="22">
        <v>46268</v>
      </c>
      <c r="M62" s="6" t="s">
        <v>95</v>
      </c>
      <c r="N62" s="10">
        <v>165000</v>
      </c>
      <c r="O62" s="11">
        <v>1</v>
      </c>
      <c r="P62" s="12">
        <v>1</v>
      </c>
      <c r="Q62" s="12"/>
    </row>
    <row r="63" spans="1:17" ht="20.100000000000001" customHeight="1">
      <c r="A63" s="4">
        <v>58</v>
      </c>
      <c r="B63" s="20" t="s">
        <v>75</v>
      </c>
      <c r="C63" s="6" t="s">
        <v>25</v>
      </c>
      <c r="D63" s="7" t="s">
        <v>38</v>
      </c>
      <c r="E63" s="7"/>
      <c r="F63" s="7"/>
      <c r="G63" s="7"/>
      <c r="H63" s="7"/>
      <c r="I63" s="7"/>
      <c r="J63" s="7"/>
      <c r="K63" s="8">
        <v>1</v>
      </c>
      <c r="L63" s="22" t="s">
        <v>96</v>
      </c>
      <c r="M63" s="6" t="s">
        <v>97</v>
      </c>
      <c r="N63" s="10">
        <v>2200</v>
      </c>
      <c r="O63" s="11">
        <v>1</v>
      </c>
      <c r="P63" s="12">
        <v>1</v>
      </c>
      <c r="Q63" s="12"/>
    </row>
    <row r="64" spans="1:17" ht="20.100000000000001" customHeight="1">
      <c r="A64" s="4">
        <v>59</v>
      </c>
      <c r="B64" s="20" t="s">
        <v>75</v>
      </c>
      <c r="C64" s="6" t="s">
        <v>25</v>
      </c>
      <c r="D64" s="7" t="s">
        <v>38</v>
      </c>
      <c r="E64" s="7"/>
      <c r="F64" s="7"/>
      <c r="G64" s="7"/>
      <c r="H64" s="7"/>
      <c r="I64" s="7"/>
      <c r="J64" s="7"/>
      <c r="K64" s="8">
        <v>1</v>
      </c>
      <c r="L64" s="22"/>
      <c r="M64" s="27" t="s">
        <v>82</v>
      </c>
      <c r="N64" s="10">
        <v>200000</v>
      </c>
      <c r="O64" s="11">
        <v>1</v>
      </c>
      <c r="P64" s="12">
        <v>1</v>
      </c>
      <c r="Q64" s="12"/>
    </row>
    <row r="65" spans="1:18" ht="20.100000000000001" customHeight="1">
      <c r="A65" s="4">
        <v>60</v>
      </c>
      <c r="B65" s="20" t="s">
        <v>75</v>
      </c>
      <c r="C65" s="6" t="s">
        <v>25</v>
      </c>
      <c r="D65" s="7" t="s">
        <v>38</v>
      </c>
      <c r="E65" s="7"/>
      <c r="F65" s="7"/>
      <c r="G65" s="7"/>
      <c r="H65" s="7"/>
      <c r="I65" s="7"/>
      <c r="J65" s="7"/>
      <c r="K65" s="8">
        <v>1</v>
      </c>
      <c r="L65" s="25" t="s">
        <v>98</v>
      </c>
      <c r="M65" s="27" t="s">
        <v>82</v>
      </c>
      <c r="N65" s="10">
        <v>100000</v>
      </c>
      <c r="O65" s="11">
        <v>1</v>
      </c>
      <c r="P65" s="12">
        <v>1</v>
      </c>
      <c r="Q65" s="12"/>
    </row>
    <row r="66" spans="1:18" ht="20.100000000000001" customHeight="1">
      <c r="A66" s="4">
        <v>61</v>
      </c>
      <c r="B66" s="20" t="s">
        <v>75</v>
      </c>
      <c r="C66" s="6" t="s">
        <v>25</v>
      </c>
      <c r="D66" s="7"/>
      <c r="E66" s="7"/>
      <c r="F66" s="7"/>
      <c r="G66" s="7"/>
      <c r="H66" s="7"/>
      <c r="I66" s="7"/>
      <c r="J66" s="7"/>
      <c r="K66" s="8">
        <v>1</v>
      </c>
      <c r="L66" s="22">
        <v>46026</v>
      </c>
      <c r="M66" s="6" t="s">
        <v>99</v>
      </c>
      <c r="N66" s="18">
        <v>5800000</v>
      </c>
      <c r="O66" s="11">
        <v>1</v>
      </c>
      <c r="P66" s="12">
        <v>1</v>
      </c>
      <c r="Q66" s="12"/>
    </row>
    <row r="67" spans="1:18" ht="20.100000000000001" customHeight="1">
      <c r="A67" s="4">
        <v>62</v>
      </c>
      <c r="B67" s="20" t="s">
        <v>75</v>
      </c>
      <c r="C67" s="6" t="s">
        <v>25</v>
      </c>
      <c r="D67" s="7" t="s">
        <v>38</v>
      </c>
      <c r="E67" s="7"/>
      <c r="F67" s="7"/>
      <c r="G67" s="7"/>
      <c r="H67" s="7"/>
      <c r="I67" s="7"/>
      <c r="J67" s="7"/>
      <c r="K67" s="8">
        <v>1</v>
      </c>
      <c r="L67" s="25" t="s">
        <v>100</v>
      </c>
      <c r="M67" s="27" t="s">
        <v>82</v>
      </c>
      <c r="N67" s="10">
        <v>4000</v>
      </c>
      <c r="O67" s="11">
        <v>1</v>
      </c>
      <c r="P67" s="12">
        <v>1</v>
      </c>
      <c r="Q67" s="12"/>
    </row>
    <row r="68" spans="1:18" ht="20.100000000000001" customHeight="1">
      <c r="A68" s="4">
        <v>63</v>
      </c>
      <c r="B68" s="20" t="s">
        <v>101</v>
      </c>
      <c r="C68" s="6" t="s">
        <v>25</v>
      </c>
      <c r="D68" s="26" t="s">
        <v>29</v>
      </c>
      <c r="E68" s="26"/>
      <c r="F68" s="26"/>
      <c r="G68" s="26"/>
      <c r="H68" s="26"/>
      <c r="I68" s="26"/>
      <c r="J68" s="26"/>
      <c r="K68" s="8">
        <v>1</v>
      </c>
      <c r="L68" s="8"/>
      <c r="M68" s="6" t="s">
        <v>48</v>
      </c>
      <c r="N68" s="18">
        <v>34650</v>
      </c>
      <c r="O68" s="11">
        <v>1</v>
      </c>
      <c r="P68" s="12"/>
      <c r="Q68" s="12"/>
      <c r="R68" s="28"/>
    </row>
    <row r="69" spans="1:18" ht="20.100000000000001" customHeight="1">
      <c r="A69" s="4">
        <v>64</v>
      </c>
      <c r="B69" s="20" t="s">
        <v>101</v>
      </c>
      <c r="C69" s="6" t="s">
        <v>25</v>
      </c>
      <c r="D69" s="26" t="s">
        <v>29</v>
      </c>
      <c r="E69" s="26"/>
      <c r="F69" s="26"/>
      <c r="G69" s="8">
        <v>1</v>
      </c>
      <c r="H69" s="26"/>
      <c r="I69" s="26"/>
      <c r="J69" s="26"/>
      <c r="K69" s="29"/>
      <c r="L69" s="8"/>
      <c r="M69" s="6" t="s">
        <v>32</v>
      </c>
      <c r="N69" s="10">
        <v>137244.54</v>
      </c>
      <c r="O69" s="11">
        <v>1</v>
      </c>
      <c r="P69" s="12"/>
      <c r="Q69" s="12"/>
      <c r="R69" s="28"/>
    </row>
    <row r="70" spans="1:18" ht="20.100000000000001" customHeight="1">
      <c r="A70" s="4">
        <v>65</v>
      </c>
      <c r="B70" s="20" t="s">
        <v>101</v>
      </c>
      <c r="C70" s="6" t="s">
        <v>25</v>
      </c>
      <c r="D70" s="13" t="s">
        <v>33</v>
      </c>
      <c r="E70" s="13"/>
      <c r="F70" s="13"/>
      <c r="G70" s="13"/>
      <c r="H70" s="13"/>
      <c r="I70" s="8">
        <v>337</v>
      </c>
      <c r="J70" s="7"/>
      <c r="K70" s="30"/>
      <c r="L70" s="8"/>
      <c r="M70" s="6" t="s">
        <v>102</v>
      </c>
      <c r="N70" s="18"/>
      <c r="O70" s="11">
        <v>337</v>
      </c>
      <c r="P70" s="12"/>
      <c r="Q70" s="12"/>
      <c r="R70" s="28"/>
    </row>
    <row r="71" spans="1:18" ht="20.100000000000001" customHeight="1">
      <c r="A71" s="4">
        <v>66</v>
      </c>
      <c r="B71" s="20" t="s">
        <v>101</v>
      </c>
      <c r="C71" s="6" t="s">
        <v>25</v>
      </c>
      <c r="D71" s="13" t="s">
        <v>103</v>
      </c>
      <c r="E71" s="13"/>
      <c r="F71" s="13"/>
      <c r="G71" s="13"/>
      <c r="H71" s="13"/>
      <c r="I71" s="13"/>
      <c r="J71" s="7"/>
      <c r="K71" s="8">
        <v>1</v>
      </c>
      <c r="L71" s="8"/>
      <c r="M71" s="6" t="s">
        <v>104</v>
      </c>
      <c r="N71" s="10"/>
      <c r="O71" s="11">
        <v>1</v>
      </c>
      <c r="P71" s="12"/>
      <c r="Q71" s="12"/>
      <c r="R71" s="28"/>
    </row>
    <row r="72" spans="1:18" ht="20.100000000000001" customHeight="1">
      <c r="A72" s="4">
        <v>67</v>
      </c>
      <c r="B72" s="20" t="s">
        <v>101</v>
      </c>
      <c r="C72" s="6" t="s">
        <v>25</v>
      </c>
      <c r="D72" s="13" t="s">
        <v>105</v>
      </c>
      <c r="E72" s="13"/>
      <c r="F72" s="13"/>
      <c r="G72" s="13"/>
      <c r="H72" s="13"/>
      <c r="I72" s="13"/>
      <c r="J72" s="7"/>
      <c r="K72" s="8">
        <v>1</v>
      </c>
      <c r="L72" s="8"/>
      <c r="M72" s="6" t="s">
        <v>106</v>
      </c>
      <c r="N72" s="10"/>
      <c r="O72" s="11">
        <v>1</v>
      </c>
      <c r="P72" s="12"/>
      <c r="Q72" s="12"/>
    </row>
    <row r="73" spans="1:18" ht="20.100000000000001" customHeight="1">
      <c r="A73" s="4">
        <v>68</v>
      </c>
      <c r="B73" s="20" t="s">
        <v>101</v>
      </c>
      <c r="C73" s="6" t="s">
        <v>25</v>
      </c>
      <c r="D73" s="13" t="s">
        <v>36</v>
      </c>
      <c r="E73" s="13"/>
      <c r="F73" s="8">
        <v>390</v>
      </c>
      <c r="G73" s="13"/>
      <c r="H73" s="13"/>
      <c r="I73" s="13"/>
      <c r="J73" s="7"/>
      <c r="K73" s="14"/>
      <c r="L73" s="8"/>
      <c r="M73" s="6" t="s">
        <v>107</v>
      </c>
      <c r="N73" s="10"/>
      <c r="O73" s="11">
        <v>390</v>
      </c>
      <c r="P73" s="12"/>
      <c r="Q73" s="12"/>
    </row>
    <row r="74" spans="1:18" ht="20.100000000000001" customHeight="1">
      <c r="A74" s="4">
        <v>69</v>
      </c>
      <c r="B74" s="20" t="s">
        <v>101</v>
      </c>
      <c r="C74" s="6" t="s">
        <v>25</v>
      </c>
      <c r="D74" s="13" t="s">
        <v>38</v>
      </c>
      <c r="E74" s="13"/>
      <c r="F74" s="13"/>
      <c r="G74" s="13"/>
      <c r="H74" s="13"/>
      <c r="I74" s="13"/>
      <c r="J74" s="7"/>
      <c r="K74" s="8">
        <v>1</v>
      </c>
      <c r="L74" s="22">
        <v>46180</v>
      </c>
      <c r="M74" s="6" t="s">
        <v>108</v>
      </c>
      <c r="N74" s="10">
        <v>90</v>
      </c>
      <c r="O74" s="11">
        <v>1</v>
      </c>
      <c r="P74" s="12">
        <v>1</v>
      </c>
      <c r="Q74" s="12"/>
    </row>
    <row r="75" spans="1:18" ht="20.100000000000001" customHeight="1">
      <c r="A75" s="4">
        <v>70</v>
      </c>
      <c r="B75" s="20" t="s">
        <v>101</v>
      </c>
      <c r="C75" s="6" t="s">
        <v>25</v>
      </c>
      <c r="D75" s="13" t="s">
        <v>38</v>
      </c>
      <c r="E75" s="13"/>
      <c r="F75" s="13"/>
      <c r="G75" s="13"/>
      <c r="H75" s="13"/>
      <c r="I75" s="13"/>
      <c r="J75" s="7"/>
      <c r="K75" s="8">
        <v>1</v>
      </c>
      <c r="L75" s="22">
        <v>46210</v>
      </c>
      <c r="M75" s="6" t="s">
        <v>109</v>
      </c>
      <c r="N75" s="10">
        <v>11000</v>
      </c>
      <c r="O75" s="11">
        <v>1</v>
      </c>
      <c r="P75" s="12">
        <v>1</v>
      </c>
      <c r="Q75" s="12"/>
    </row>
    <row r="76" spans="1:18" ht="20.100000000000001" customHeight="1">
      <c r="A76" s="4">
        <v>71</v>
      </c>
      <c r="B76" s="20" t="s">
        <v>101</v>
      </c>
      <c r="C76" s="6" t="s">
        <v>25</v>
      </c>
      <c r="D76" s="13" t="s">
        <v>38</v>
      </c>
      <c r="E76" s="13"/>
      <c r="F76" s="13"/>
      <c r="G76" s="13"/>
      <c r="H76" s="13"/>
      <c r="I76" s="13"/>
      <c r="J76" s="7"/>
      <c r="K76" s="8">
        <v>1</v>
      </c>
      <c r="L76" s="22">
        <v>46210</v>
      </c>
      <c r="M76" s="6" t="s">
        <v>108</v>
      </c>
      <c r="N76" s="10">
        <v>4764.2</v>
      </c>
      <c r="O76" s="11">
        <v>1</v>
      </c>
      <c r="P76" s="12">
        <v>1</v>
      </c>
      <c r="Q76" s="12"/>
    </row>
    <row r="77" spans="1:18" ht="20.100000000000001" customHeight="1">
      <c r="A77" s="4">
        <v>72</v>
      </c>
      <c r="B77" s="20" t="s">
        <v>101</v>
      </c>
      <c r="C77" s="6" t="s">
        <v>25</v>
      </c>
      <c r="D77" s="13" t="s">
        <v>38</v>
      </c>
      <c r="E77" s="13"/>
      <c r="F77" s="13"/>
      <c r="G77" s="13"/>
      <c r="H77" s="13"/>
      <c r="I77" s="13"/>
      <c r="J77" s="7"/>
      <c r="K77" s="8">
        <v>1</v>
      </c>
      <c r="L77" s="8" t="s">
        <v>110</v>
      </c>
      <c r="M77" s="6" t="s">
        <v>111</v>
      </c>
      <c r="N77" s="10">
        <v>1000</v>
      </c>
      <c r="O77" s="11">
        <v>1</v>
      </c>
      <c r="P77" s="12">
        <v>1</v>
      </c>
      <c r="Q77" s="12"/>
    </row>
    <row r="78" spans="1:18" ht="20.100000000000001" customHeight="1">
      <c r="A78" s="4">
        <v>73</v>
      </c>
      <c r="B78" s="20" t="s">
        <v>101</v>
      </c>
      <c r="C78" s="6" t="s">
        <v>25</v>
      </c>
      <c r="D78" s="13" t="s">
        <v>38</v>
      </c>
      <c r="E78" s="13"/>
      <c r="F78" s="13"/>
      <c r="G78" s="13"/>
      <c r="H78" s="13"/>
      <c r="I78" s="13"/>
      <c r="J78" s="7"/>
      <c r="K78" s="8">
        <v>1</v>
      </c>
      <c r="L78" s="25" t="s">
        <v>112</v>
      </c>
      <c r="M78" s="6" t="s">
        <v>113</v>
      </c>
      <c r="N78" s="10">
        <v>1300</v>
      </c>
      <c r="O78" s="11">
        <v>1</v>
      </c>
      <c r="P78" s="12">
        <v>1</v>
      </c>
      <c r="Q78" s="12"/>
    </row>
    <row r="79" spans="1:18" ht="20.100000000000001" customHeight="1">
      <c r="A79" s="4">
        <v>74</v>
      </c>
      <c r="B79" s="20" t="s">
        <v>101</v>
      </c>
      <c r="C79" s="6" t="s">
        <v>25</v>
      </c>
      <c r="D79" s="13" t="s">
        <v>38</v>
      </c>
      <c r="E79" s="13"/>
      <c r="F79" s="13"/>
      <c r="G79" s="13"/>
      <c r="H79" s="13"/>
      <c r="I79" s="13"/>
      <c r="J79" s="7"/>
      <c r="K79" s="8">
        <v>1</v>
      </c>
      <c r="L79" s="8" t="s">
        <v>114</v>
      </c>
      <c r="M79" s="6" t="s">
        <v>115</v>
      </c>
      <c r="N79" s="31">
        <v>954.43</v>
      </c>
      <c r="O79" s="11">
        <v>1</v>
      </c>
      <c r="P79" s="12">
        <v>1</v>
      </c>
      <c r="Q79" s="12"/>
    </row>
    <row r="80" spans="1:18" ht="20.100000000000001" customHeight="1">
      <c r="A80" s="4">
        <v>75</v>
      </c>
      <c r="B80" s="20" t="s">
        <v>116</v>
      </c>
      <c r="C80" s="6" t="s">
        <v>25</v>
      </c>
      <c r="D80" s="7" t="s">
        <v>117</v>
      </c>
      <c r="E80" s="7"/>
      <c r="F80" s="7"/>
      <c r="G80" s="7"/>
      <c r="H80" s="7"/>
      <c r="I80" s="7"/>
      <c r="J80" s="7"/>
      <c r="K80" s="8">
        <v>1</v>
      </c>
      <c r="L80" s="8"/>
      <c r="M80" s="6" t="s">
        <v>118</v>
      </c>
      <c r="N80" s="10">
        <v>50703</v>
      </c>
      <c r="O80" s="11">
        <v>1</v>
      </c>
      <c r="P80" s="12"/>
      <c r="Q80" s="12"/>
    </row>
    <row r="81" spans="1:17" ht="20.100000000000001" customHeight="1">
      <c r="A81" s="4">
        <v>76</v>
      </c>
      <c r="B81" s="20" t="s">
        <v>116</v>
      </c>
      <c r="C81" s="6" t="s">
        <v>25</v>
      </c>
      <c r="D81" s="13" t="s">
        <v>29</v>
      </c>
      <c r="E81" s="13"/>
      <c r="F81" s="13"/>
      <c r="G81" s="8">
        <v>1</v>
      </c>
      <c r="H81" s="13"/>
      <c r="I81" s="13"/>
      <c r="J81" s="7"/>
      <c r="K81" s="14"/>
      <c r="L81" s="8"/>
      <c r="M81" s="6" t="s">
        <v>119</v>
      </c>
      <c r="N81" s="31">
        <v>-26994537.98</v>
      </c>
      <c r="O81" s="11">
        <v>1</v>
      </c>
      <c r="P81" s="12"/>
      <c r="Q81" s="12"/>
    </row>
    <row r="82" spans="1:17" ht="20.100000000000001" customHeight="1">
      <c r="A82" s="4">
        <v>77</v>
      </c>
      <c r="B82" s="20" t="s">
        <v>116</v>
      </c>
      <c r="C82" s="6" t="s">
        <v>25</v>
      </c>
      <c r="D82" s="13" t="s">
        <v>29</v>
      </c>
      <c r="E82" s="13"/>
      <c r="F82" s="13"/>
      <c r="G82" s="8">
        <v>1</v>
      </c>
      <c r="H82" s="13"/>
      <c r="I82" s="13"/>
      <c r="J82" s="7"/>
      <c r="K82" s="14"/>
      <c r="L82" s="8"/>
      <c r="M82" s="6" t="s">
        <v>49</v>
      </c>
      <c r="N82" s="31">
        <v>17429344.809999999</v>
      </c>
      <c r="O82" s="11">
        <v>1</v>
      </c>
      <c r="P82" s="12"/>
      <c r="Q82" s="12"/>
    </row>
    <row r="83" spans="1:17" ht="20.100000000000001" customHeight="1">
      <c r="A83" s="4">
        <v>78</v>
      </c>
      <c r="B83" s="20" t="s">
        <v>116</v>
      </c>
      <c r="C83" s="6" t="s">
        <v>25</v>
      </c>
      <c r="D83" s="13" t="s">
        <v>29</v>
      </c>
      <c r="E83" s="13"/>
      <c r="F83" s="13"/>
      <c r="G83" s="8">
        <v>1</v>
      </c>
      <c r="H83" s="13"/>
      <c r="I83" s="13"/>
      <c r="J83" s="7"/>
      <c r="K83" s="14"/>
      <c r="L83" s="8"/>
      <c r="M83" s="6" t="s">
        <v>31</v>
      </c>
      <c r="N83" s="31">
        <v>0</v>
      </c>
      <c r="O83" s="11">
        <v>1</v>
      </c>
      <c r="P83" s="12">
        <v>1</v>
      </c>
      <c r="Q83" s="12"/>
    </row>
    <row r="84" spans="1:17" ht="20.100000000000001" customHeight="1">
      <c r="A84" s="4">
        <v>79</v>
      </c>
      <c r="B84" s="20" t="s">
        <v>116</v>
      </c>
      <c r="C84" s="6" t="s">
        <v>25</v>
      </c>
      <c r="D84" s="13" t="s">
        <v>29</v>
      </c>
      <c r="E84" s="13"/>
      <c r="F84" s="13"/>
      <c r="G84" s="8">
        <v>1</v>
      </c>
      <c r="H84" s="13"/>
      <c r="I84" s="13"/>
      <c r="J84" s="7"/>
      <c r="K84" s="14"/>
      <c r="L84" s="8"/>
      <c r="M84" s="6" t="s">
        <v>32</v>
      </c>
      <c r="N84" s="31">
        <v>60.38</v>
      </c>
      <c r="O84" s="11">
        <v>1</v>
      </c>
      <c r="P84" s="12"/>
      <c r="Q84" s="12"/>
    </row>
    <row r="85" spans="1:17" ht="20.100000000000001" customHeight="1">
      <c r="A85" s="4">
        <v>80</v>
      </c>
      <c r="B85" s="20" t="s">
        <v>116</v>
      </c>
      <c r="C85" s="6" t="s">
        <v>25</v>
      </c>
      <c r="D85" s="13" t="s">
        <v>33</v>
      </c>
      <c r="E85" s="13"/>
      <c r="F85" s="13"/>
      <c r="G85" s="13"/>
      <c r="H85" s="8">
        <v>189</v>
      </c>
      <c r="I85" s="13"/>
      <c r="J85" s="7"/>
      <c r="K85" s="14"/>
      <c r="L85" s="8"/>
      <c r="M85" s="6" t="s">
        <v>34</v>
      </c>
      <c r="N85" s="31"/>
      <c r="O85" s="11">
        <v>189</v>
      </c>
      <c r="P85" s="12"/>
      <c r="Q85" s="12"/>
    </row>
    <row r="86" spans="1:17" ht="20.100000000000001" customHeight="1">
      <c r="A86" s="4">
        <v>81</v>
      </c>
      <c r="B86" s="20" t="s">
        <v>116</v>
      </c>
      <c r="C86" s="6" t="s">
        <v>25</v>
      </c>
      <c r="D86" s="13" t="s">
        <v>33</v>
      </c>
      <c r="E86" s="13"/>
      <c r="F86" s="13"/>
      <c r="G86" s="13"/>
      <c r="H86" s="13"/>
      <c r="I86" s="8">
        <v>1200</v>
      </c>
      <c r="J86" s="7"/>
      <c r="K86" s="17"/>
      <c r="L86" s="8"/>
      <c r="M86" s="6" t="s">
        <v>35</v>
      </c>
      <c r="N86" s="31"/>
      <c r="O86" s="11">
        <v>1200</v>
      </c>
      <c r="P86" s="12"/>
      <c r="Q86" s="12"/>
    </row>
    <row r="87" spans="1:17" ht="20.100000000000001" customHeight="1">
      <c r="A87" s="4">
        <v>82</v>
      </c>
      <c r="B87" s="20" t="s">
        <v>116</v>
      </c>
      <c r="C87" s="6" t="s">
        <v>25</v>
      </c>
      <c r="D87" s="13" t="s">
        <v>36</v>
      </c>
      <c r="E87" s="13"/>
      <c r="F87" s="8">
        <v>265</v>
      </c>
      <c r="G87" s="13"/>
      <c r="H87" s="13"/>
      <c r="I87" s="13"/>
      <c r="J87" s="7"/>
      <c r="K87" s="14"/>
      <c r="L87" s="8"/>
      <c r="M87" s="6" t="s">
        <v>120</v>
      </c>
      <c r="N87" s="10"/>
      <c r="O87" s="11">
        <v>265</v>
      </c>
      <c r="P87" s="12"/>
      <c r="Q87" s="12"/>
    </row>
    <row r="88" spans="1:17" ht="20.100000000000001" customHeight="1">
      <c r="A88" s="4">
        <v>83</v>
      </c>
      <c r="B88" s="20" t="s">
        <v>121</v>
      </c>
      <c r="C88" s="6" t="s">
        <v>25</v>
      </c>
      <c r="D88" s="13" t="s">
        <v>26</v>
      </c>
      <c r="E88" s="13"/>
      <c r="F88" s="13"/>
      <c r="G88" s="13"/>
      <c r="H88" s="13"/>
      <c r="I88" s="13"/>
      <c r="J88" s="7"/>
      <c r="K88" s="8">
        <v>1</v>
      </c>
      <c r="L88" s="22"/>
      <c r="M88" s="6" t="s">
        <v>122</v>
      </c>
      <c r="N88" s="18">
        <v>502.5</v>
      </c>
      <c r="O88" s="11">
        <v>1</v>
      </c>
      <c r="P88" s="12"/>
      <c r="Q88" s="12"/>
    </row>
    <row r="89" spans="1:17" ht="20.100000000000001" customHeight="1">
      <c r="A89" s="4">
        <v>84</v>
      </c>
      <c r="B89" s="20" t="s">
        <v>121</v>
      </c>
      <c r="C89" s="6" t="s">
        <v>25</v>
      </c>
      <c r="D89" s="13" t="s">
        <v>29</v>
      </c>
      <c r="E89" s="13"/>
      <c r="F89" s="13"/>
      <c r="G89" s="8">
        <v>1</v>
      </c>
      <c r="H89" s="13"/>
      <c r="I89" s="13"/>
      <c r="J89" s="7"/>
      <c r="K89" s="14"/>
      <c r="L89" s="8"/>
      <c r="M89" s="6" t="s">
        <v>49</v>
      </c>
      <c r="N89" s="31">
        <v>4049363.62</v>
      </c>
      <c r="O89" s="11">
        <v>1</v>
      </c>
      <c r="P89" s="12"/>
      <c r="Q89" s="12"/>
    </row>
    <row r="90" spans="1:17" ht="20.100000000000001" customHeight="1">
      <c r="A90" s="4">
        <v>85</v>
      </c>
      <c r="B90" s="20" t="s">
        <v>121</v>
      </c>
      <c r="C90" s="6" t="s">
        <v>25</v>
      </c>
      <c r="D90" s="13" t="s">
        <v>29</v>
      </c>
      <c r="E90" s="13"/>
      <c r="F90" s="13"/>
      <c r="G90" s="8">
        <v>1</v>
      </c>
      <c r="H90" s="13"/>
      <c r="I90" s="13"/>
      <c r="J90" s="7"/>
      <c r="K90" s="14"/>
      <c r="L90" s="8"/>
      <c r="M90" s="6" t="s">
        <v>32</v>
      </c>
      <c r="N90" s="31">
        <v>502.2</v>
      </c>
      <c r="O90" s="11">
        <v>1</v>
      </c>
      <c r="P90" s="12"/>
      <c r="Q90" s="12"/>
    </row>
    <row r="91" spans="1:17" ht="20.100000000000001" customHeight="1">
      <c r="A91" s="4">
        <v>86</v>
      </c>
      <c r="B91" s="20" t="s">
        <v>121</v>
      </c>
      <c r="C91" s="6" t="s">
        <v>25</v>
      </c>
      <c r="D91" s="7" t="s">
        <v>123</v>
      </c>
      <c r="E91" s="7"/>
      <c r="F91" s="7"/>
      <c r="G91" s="7"/>
      <c r="H91" s="7"/>
      <c r="I91" s="7"/>
      <c r="J91" s="7"/>
      <c r="K91" s="8">
        <v>1</v>
      </c>
      <c r="L91" s="22">
        <v>46217</v>
      </c>
      <c r="M91" s="6" t="s">
        <v>124</v>
      </c>
      <c r="N91" s="10">
        <v>2670000</v>
      </c>
      <c r="O91" s="11">
        <v>1</v>
      </c>
      <c r="P91" s="12"/>
      <c r="Q91" s="12"/>
    </row>
    <row r="92" spans="1:17" ht="20.100000000000001" customHeight="1">
      <c r="A92" s="4">
        <v>87</v>
      </c>
      <c r="B92" s="20" t="s">
        <v>121</v>
      </c>
      <c r="C92" s="6" t="s">
        <v>25</v>
      </c>
      <c r="D92" s="7" t="s">
        <v>123</v>
      </c>
      <c r="E92" s="7"/>
      <c r="F92" s="7"/>
      <c r="G92" s="7"/>
      <c r="H92" s="7"/>
      <c r="I92" s="7"/>
      <c r="J92" s="7"/>
      <c r="K92" s="8">
        <v>1</v>
      </c>
      <c r="L92" s="22">
        <v>46222</v>
      </c>
      <c r="M92" s="27" t="s">
        <v>125</v>
      </c>
      <c r="N92" s="10">
        <v>250000</v>
      </c>
      <c r="O92" s="11">
        <v>1</v>
      </c>
      <c r="P92" s="12"/>
      <c r="Q92" s="12"/>
    </row>
    <row r="93" spans="1:17" ht="20.100000000000001" customHeight="1">
      <c r="A93" s="4">
        <v>88</v>
      </c>
      <c r="B93" s="20" t="s">
        <v>121</v>
      </c>
      <c r="C93" s="6" t="s">
        <v>25</v>
      </c>
      <c r="D93" s="32" t="s">
        <v>123</v>
      </c>
      <c r="E93" s="32"/>
      <c r="F93" s="32"/>
      <c r="G93" s="32"/>
      <c r="H93" s="32"/>
      <c r="I93" s="32"/>
      <c r="J93" s="7"/>
      <c r="K93" s="8">
        <v>1</v>
      </c>
      <c r="L93" s="22">
        <v>46224</v>
      </c>
      <c r="M93" s="27" t="s">
        <v>126</v>
      </c>
      <c r="N93" s="10">
        <v>500000</v>
      </c>
      <c r="O93" s="11">
        <v>1</v>
      </c>
      <c r="P93" s="12"/>
      <c r="Q93" s="12"/>
    </row>
    <row r="94" spans="1:17" ht="20.100000000000001" customHeight="1">
      <c r="A94" s="4">
        <v>89</v>
      </c>
      <c r="B94" s="20" t="s">
        <v>121</v>
      </c>
      <c r="C94" s="6" t="s">
        <v>25</v>
      </c>
      <c r="D94" s="7" t="s">
        <v>123</v>
      </c>
      <c r="E94" s="7"/>
      <c r="F94" s="7"/>
      <c r="G94" s="7"/>
      <c r="H94" s="7"/>
      <c r="I94" s="7"/>
      <c r="J94" s="7"/>
      <c r="K94" s="8">
        <v>1</v>
      </c>
      <c r="L94" s="22">
        <v>46237</v>
      </c>
      <c r="M94" s="6" t="s">
        <v>127</v>
      </c>
      <c r="N94" s="10">
        <v>300000</v>
      </c>
      <c r="O94" s="11">
        <v>1</v>
      </c>
      <c r="P94" s="12"/>
      <c r="Q94" s="12"/>
    </row>
    <row r="95" spans="1:17" ht="20.100000000000001" customHeight="1">
      <c r="A95" s="4">
        <v>90</v>
      </c>
      <c r="B95" s="20" t="s">
        <v>121</v>
      </c>
      <c r="C95" s="6" t="s">
        <v>25</v>
      </c>
      <c r="D95" s="7" t="s">
        <v>123</v>
      </c>
      <c r="E95" s="7"/>
      <c r="F95" s="7"/>
      <c r="G95" s="7"/>
      <c r="H95" s="7"/>
      <c r="I95" s="7"/>
      <c r="J95" s="7"/>
      <c r="K95" s="8">
        <v>1</v>
      </c>
      <c r="L95" s="22">
        <v>46224</v>
      </c>
      <c r="M95" s="27" t="s">
        <v>128</v>
      </c>
      <c r="N95" s="10">
        <v>700000</v>
      </c>
      <c r="O95" s="11">
        <v>1</v>
      </c>
      <c r="P95" s="12"/>
      <c r="Q95" s="12"/>
    </row>
    <row r="96" spans="1:17" ht="20.100000000000001" customHeight="1">
      <c r="A96" s="4">
        <v>91</v>
      </c>
      <c r="B96" s="20" t="s">
        <v>121</v>
      </c>
      <c r="C96" s="6" t="s">
        <v>25</v>
      </c>
      <c r="D96" s="7" t="s">
        <v>123</v>
      </c>
      <c r="E96" s="7"/>
      <c r="F96" s="7"/>
      <c r="G96" s="7"/>
      <c r="H96" s="7"/>
      <c r="I96" s="7"/>
      <c r="J96" s="7"/>
      <c r="K96" s="8">
        <v>1</v>
      </c>
      <c r="L96" s="22">
        <v>46206</v>
      </c>
      <c r="M96" s="6" t="s">
        <v>129</v>
      </c>
      <c r="N96" s="33">
        <v>13000</v>
      </c>
      <c r="O96" s="11">
        <v>1</v>
      </c>
      <c r="P96" s="12">
        <v>1</v>
      </c>
      <c r="Q96" s="12"/>
    </row>
    <row r="97" spans="1:18" ht="20.100000000000001" customHeight="1">
      <c r="A97" s="4">
        <v>92</v>
      </c>
      <c r="B97" s="20" t="s">
        <v>121</v>
      </c>
      <c r="C97" s="6" t="s">
        <v>25</v>
      </c>
      <c r="D97" s="7" t="s">
        <v>123</v>
      </c>
      <c r="E97" s="7"/>
      <c r="F97" s="7"/>
      <c r="G97" s="7"/>
      <c r="H97" s="7"/>
      <c r="I97" s="7"/>
      <c r="J97" s="7"/>
      <c r="K97" s="8">
        <v>1</v>
      </c>
      <c r="L97" s="22">
        <v>46204</v>
      </c>
      <c r="M97" s="34" t="s">
        <v>130</v>
      </c>
      <c r="N97" s="10">
        <v>9575</v>
      </c>
      <c r="O97" s="11">
        <v>1</v>
      </c>
      <c r="P97" s="12">
        <v>1</v>
      </c>
      <c r="Q97" s="12"/>
    </row>
    <row r="98" spans="1:18" ht="20.100000000000001" customHeight="1">
      <c r="A98" s="4">
        <v>93</v>
      </c>
      <c r="B98" s="20" t="s">
        <v>121</v>
      </c>
      <c r="C98" s="6" t="s">
        <v>25</v>
      </c>
      <c r="D98" s="7" t="s">
        <v>123</v>
      </c>
      <c r="E98" s="7"/>
      <c r="F98" s="7"/>
      <c r="G98" s="7"/>
      <c r="H98" s="7"/>
      <c r="I98" s="7"/>
      <c r="J98" s="7"/>
      <c r="K98" s="8">
        <v>1</v>
      </c>
      <c r="L98" s="22">
        <v>46205</v>
      </c>
      <c r="M98" s="27" t="s">
        <v>131</v>
      </c>
      <c r="N98" s="10">
        <v>50000</v>
      </c>
      <c r="O98" s="35">
        <v>1</v>
      </c>
      <c r="P98" s="36">
        <v>1</v>
      </c>
      <c r="Q98" s="36"/>
      <c r="R98" s="37"/>
    </row>
    <row r="99" spans="1:18" ht="20.100000000000001" customHeight="1">
      <c r="A99" s="4">
        <v>94</v>
      </c>
      <c r="B99" s="20" t="s">
        <v>121</v>
      </c>
      <c r="C99" s="6" t="s">
        <v>25</v>
      </c>
      <c r="D99" s="7" t="s">
        <v>123</v>
      </c>
      <c r="E99" s="7"/>
      <c r="F99" s="7"/>
      <c r="G99" s="7"/>
      <c r="H99" s="7"/>
      <c r="I99" s="7"/>
      <c r="J99" s="7"/>
      <c r="K99" s="8">
        <v>1</v>
      </c>
      <c r="L99" s="22">
        <v>46206</v>
      </c>
      <c r="M99" s="27" t="s">
        <v>132</v>
      </c>
      <c r="N99" s="10">
        <v>10200</v>
      </c>
      <c r="O99" s="11">
        <v>1</v>
      </c>
      <c r="P99" s="12">
        <v>1</v>
      </c>
      <c r="Q99" s="12"/>
    </row>
    <row r="100" spans="1:18" ht="20.100000000000001" customHeight="1">
      <c r="A100" s="4">
        <v>95</v>
      </c>
      <c r="B100" s="20" t="s">
        <v>121</v>
      </c>
      <c r="C100" s="6" t="s">
        <v>25</v>
      </c>
      <c r="D100" s="7" t="s">
        <v>123</v>
      </c>
      <c r="E100" s="7"/>
      <c r="F100" s="7"/>
      <c r="G100" s="7"/>
      <c r="H100" s="7"/>
      <c r="I100" s="7"/>
      <c r="J100" s="7"/>
      <c r="K100" s="8">
        <v>1</v>
      </c>
      <c r="L100" s="22">
        <v>46210</v>
      </c>
      <c r="M100" s="27" t="s">
        <v>133</v>
      </c>
      <c r="N100" s="10">
        <v>1326824.25</v>
      </c>
      <c r="O100" s="11">
        <v>1</v>
      </c>
      <c r="P100" s="12">
        <v>1</v>
      </c>
      <c r="Q100" s="12"/>
    </row>
    <row r="101" spans="1:18" ht="20.100000000000001" customHeight="1">
      <c r="A101" s="4">
        <v>96</v>
      </c>
      <c r="B101" s="20" t="s">
        <v>121</v>
      </c>
      <c r="C101" s="6" t="s">
        <v>25</v>
      </c>
      <c r="D101" s="7" t="s">
        <v>123</v>
      </c>
      <c r="E101" s="7"/>
      <c r="F101" s="7"/>
      <c r="G101" s="7"/>
      <c r="H101" s="7"/>
      <c r="I101" s="7"/>
      <c r="J101" s="7"/>
      <c r="K101" s="8">
        <v>1</v>
      </c>
      <c r="L101" s="22">
        <v>46218</v>
      </c>
      <c r="M101" s="6" t="s">
        <v>134</v>
      </c>
      <c r="N101" s="10">
        <v>20000</v>
      </c>
      <c r="O101" s="11">
        <v>1</v>
      </c>
      <c r="P101" s="12">
        <v>1</v>
      </c>
      <c r="Q101" s="12"/>
      <c r="R101" s="23"/>
    </row>
    <row r="102" spans="1:18" ht="20.100000000000001" customHeight="1">
      <c r="A102" s="4">
        <v>97</v>
      </c>
      <c r="B102" s="20" t="s">
        <v>121</v>
      </c>
      <c r="C102" s="6" t="s">
        <v>25</v>
      </c>
      <c r="D102" s="32" t="s">
        <v>123</v>
      </c>
      <c r="E102" s="32"/>
      <c r="F102" s="32"/>
      <c r="G102" s="32"/>
      <c r="H102" s="32"/>
      <c r="I102" s="32"/>
      <c r="J102" s="7"/>
      <c r="K102" s="8">
        <v>1</v>
      </c>
      <c r="L102" s="22">
        <v>46228</v>
      </c>
      <c r="M102" s="27" t="s">
        <v>135</v>
      </c>
      <c r="N102" s="10">
        <v>10000</v>
      </c>
      <c r="O102" s="11">
        <v>1</v>
      </c>
      <c r="P102" s="12">
        <v>1</v>
      </c>
      <c r="Q102" s="12"/>
    </row>
    <row r="103" spans="1:18" ht="20.100000000000001" customHeight="1">
      <c r="A103" s="4">
        <v>98</v>
      </c>
      <c r="B103" s="20" t="s">
        <v>121</v>
      </c>
      <c r="C103" s="6" t="s">
        <v>25</v>
      </c>
      <c r="D103" s="32" t="s">
        <v>123</v>
      </c>
      <c r="E103" s="32"/>
      <c r="F103" s="32"/>
      <c r="G103" s="32"/>
      <c r="H103" s="32"/>
      <c r="I103" s="32"/>
      <c r="J103" s="7"/>
      <c r="K103" s="8">
        <v>1</v>
      </c>
      <c r="L103" s="22">
        <v>46210</v>
      </c>
      <c r="M103" s="27" t="s">
        <v>136</v>
      </c>
      <c r="N103" s="10">
        <v>50000</v>
      </c>
      <c r="O103" s="11">
        <v>1</v>
      </c>
      <c r="P103" s="12">
        <v>1</v>
      </c>
      <c r="Q103" s="12"/>
    </row>
    <row r="104" spans="1:18" ht="20.100000000000001" customHeight="1">
      <c r="A104" s="4">
        <v>99</v>
      </c>
      <c r="B104" s="20" t="s">
        <v>121</v>
      </c>
      <c r="C104" s="6" t="s">
        <v>25</v>
      </c>
      <c r="D104" s="32" t="s">
        <v>123</v>
      </c>
      <c r="E104" s="32"/>
      <c r="F104" s="32"/>
      <c r="G104" s="32"/>
      <c r="H104" s="32"/>
      <c r="I104" s="32"/>
      <c r="J104" s="7"/>
      <c r="K104" s="8">
        <v>1</v>
      </c>
      <c r="L104" s="22">
        <v>46210</v>
      </c>
      <c r="M104" s="6" t="s">
        <v>137</v>
      </c>
      <c r="N104" s="10">
        <v>23000</v>
      </c>
      <c r="O104" s="11">
        <v>1</v>
      </c>
      <c r="P104" s="12">
        <v>1</v>
      </c>
      <c r="Q104" s="12"/>
    </row>
    <row r="105" spans="1:18" ht="20.100000000000001" customHeight="1">
      <c r="A105" s="4">
        <v>100</v>
      </c>
      <c r="B105" s="20" t="s">
        <v>121</v>
      </c>
      <c r="C105" s="6" t="s">
        <v>25</v>
      </c>
      <c r="D105" s="32" t="s">
        <v>123</v>
      </c>
      <c r="E105" s="32"/>
      <c r="F105" s="32"/>
      <c r="G105" s="32"/>
      <c r="H105" s="32"/>
      <c r="I105" s="32"/>
      <c r="J105" s="7"/>
      <c r="K105" s="8">
        <v>1</v>
      </c>
      <c r="L105" s="22">
        <v>46210</v>
      </c>
      <c r="M105" s="6" t="s">
        <v>138</v>
      </c>
      <c r="N105" s="10">
        <v>87925</v>
      </c>
      <c r="O105" s="11">
        <v>1</v>
      </c>
      <c r="P105" s="12">
        <v>1</v>
      </c>
      <c r="Q105" s="12"/>
    </row>
    <row r="106" spans="1:18" ht="20.100000000000001" customHeight="1">
      <c r="A106" s="4">
        <v>101</v>
      </c>
      <c r="B106" s="20" t="s">
        <v>121</v>
      </c>
      <c r="C106" s="6" t="s">
        <v>25</v>
      </c>
      <c r="D106" s="7" t="s">
        <v>123</v>
      </c>
      <c r="E106" s="7"/>
      <c r="F106" s="7"/>
      <c r="G106" s="7"/>
      <c r="H106" s="7"/>
      <c r="I106" s="7"/>
      <c r="J106" s="7"/>
      <c r="K106" s="8">
        <v>1</v>
      </c>
      <c r="L106" s="22">
        <v>46210</v>
      </c>
      <c r="M106" s="6" t="s">
        <v>139</v>
      </c>
      <c r="N106" s="10">
        <v>120555.87</v>
      </c>
      <c r="O106" s="11">
        <v>1</v>
      </c>
      <c r="P106" s="12">
        <v>1</v>
      </c>
      <c r="Q106" s="12"/>
    </row>
    <row r="107" spans="1:18" ht="20.100000000000001" customHeight="1">
      <c r="A107" s="4">
        <v>102</v>
      </c>
      <c r="B107" s="20" t="s">
        <v>121</v>
      </c>
      <c r="C107" s="6" t="s">
        <v>25</v>
      </c>
      <c r="D107" s="7" t="s">
        <v>123</v>
      </c>
      <c r="E107" s="7"/>
      <c r="F107" s="7"/>
      <c r="G107" s="7"/>
      <c r="H107" s="7"/>
      <c r="I107" s="7"/>
      <c r="J107" s="7"/>
      <c r="K107" s="8">
        <v>1</v>
      </c>
      <c r="L107" s="22">
        <v>46210</v>
      </c>
      <c r="M107" s="6" t="s">
        <v>140</v>
      </c>
      <c r="N107" s="10">
        <v>35000</v>
      </c>
      <c r="O107" s="11">
        <v>1</v>
      </c>
      <c r="P107" s="12">
        <v>1</v>
      </c>
      <c r="Q107" s="12"/>
    </row>
    <row r="108" spans="1:18" ht="20.100000000000001" customHeight="1">
      <c r="A108" s="4">
        <v>103</v>
      </c>
      <c r="B108" s="20" t="s">
        <v>121</v>
      </c>
      <c r="C108" s="6" t="s">
        <v>25</v>
      </c>
      <c r="D108" s="7" t="s">
        <v>123</v>
      </c>
      <c r="E108" s="7"/>
      <c r="F108" s="7"/>
      <c r="G108" s="7"/>
      <c r="H108" s="7"/>
      <c r="I108" s="7"/>
      <c r="J108" s="7"/>
      <c r="K108" s="8">
        <v>1</v>
      </c>
      <c r="L108" s="22">
        <v>46212</v>
      </c>
      <c r="M108" s="6" t="s">
        <v>141</v>
      </c>
      <c r="N108" s="10">
        <v>7000</v>
      </c>
      <c r="O108" s="11">
        <v>1</v>
      </c>
      <c r="P108" s="12">
        <v>1</v>
      </c>
      <c r="Q108" s="12"/>
    </row>
    <row r="109" spans="1:18" ht="20.100000000000001" customHeight="1">
      <c r="A109" s="4">
        <v>104</v>
      </c>
      <c r="B109" s="20" t="s">
        <v>121</v>
      </c>
      <c r="C109" s="6" t="s">
        <v>25</v>
      </c>
      <c r="D109" s="7" t="s">
        <v>123</v>
      </c>
      <c r="E109" s="7"/>
      <c r="F109" s="7"/>
      <c r="G109" s="7"/>
      <c r="H109" s="7"/>
      <c r="I109" s="7"/>
      <c r="J109" s="7"/>
      <c r="K109" s="8">
        <v>1</v>
      </c>
      <c r="L109" s="22">
        <v>46213</v>
      </c>
      <c r="M109" s="6" t="s">
        <v>142</v>
      </c>
      <c r="N109" s="10">
        <v>20000</v>
      </c>
      <c r="O109" s="11">
        <v>1</v>
      </c>
      <c r="P109" s="12">
        <v>1</v>
      </c>
      <c r="Q109" s="12"/>
      <c r="R109" s="23"/>
    </row>
    <row r="110" spans="1:18" ht="20.100000000000001" customHeight="1">
      <c r="A110" s="4">
        <v>105</v>
      </c>
      <c r="B110" s="20" t="s">
        <v>121</v>
      </c>
      <c r="C110" s="6" t="s">
        <v>25</v>
      </c>
      <c r="D110" s="32" t="s">
        <v>123</v>
      </c>
      <c r="E110" s="32"/>
      <c r="F110" s="32"/>
      <c r="G110" s="32"/>
      <c r="H110" s="32"/>
      <c r="I110" s="32"/>
      <c r="J110" s="7"/>
      <c r="K110" s="8">
        <v>1</v>
      </c>
      <c r="L110" s="22">
        <v>46216</v>
      </c>
      <c r="M110" s="6" t="s">
        <v>143</v>
      </c>
      <c r="N110" s="10">
        <v>7663</v>
      </c>
      <c r="O110" s="11">
        <v>1</v>
      </c>
      <c r="P110" s="12">
        <v>1</v>
      </c>
      <c r="Q110" s="12"/>
    </row>
    <row r="111" spans="1:18" ht="20.100000000000001" customHeight="1">
      <c r="A111" s="4">
        <v>106</v>
      </c>
      <c r="B111" s="20" t="s">
        <v>121</v>
      </c>
      <c r="C111" s="6" t="s">
        <v>25</v>
      </c>
      <c r="D111" s="32" t="s">
        <v>123</v>
      </c>
      <c r="E111" s="32"/>
      <c r="F111" s="32"/>
      <c r="G111" s="32"/>
      <c r="H111" s="32"/>
      <c r="I111" s="32"/>
      <c r="J111" s="7"/>
      <c r="K111" s="8">
        <v>1</v>
      </c>
      <c r="L111" s="22">
        <v>46216</v>
      </c>
      <c r="M111" s="6" t="s">
        <v>144</v>
      </c>
      <c r="N111" s="10">
        <v>30000</v>
      </c>
      <c r="O111" s="11">
        <v>1</v>
      </c>
      <c r="P111" s="12">
        <v>1</v>
      </c>
      <c r="Q111" s="12"/>
    </row>
    <row r="112" spans="1:18" ht="20.100000000000001" customHeight="1">
      <c r="A112" s="4">
        <v>107</v>
      </c>
      <c r="B112" s="20" t="s">
        <v>121</v>
      </c>
      <c r="C112" s="6" t="s">
        <v>25</v>
      </c>
      <c r="D112" s="32" t="s">
        <v>123</v>
      </c>
      <c r="E112" s="32"/>
      <c r="F112" s="32"/>
      <c r="G112" s="32"/>
      <c r="H112" s="32"/>
      <c r="I112" s="32"/>
      <c r="J112" s="7"/>
      <c r="K112" s="8">
        <v>1</v>
      </c>
      <c r="L112" s="21"/>
      <c r="M112" s="27" t="s">
        <v>145</v>
      </c>
      <c r="N112" s="38">
        <v>30000</v>
      </c>
      <c r="O112" s="11">
        <v>1</v>
      </c>
      <c r="P112" s="12"/>
      <c r="Q112" s="12"/>
    </row>
    <row r="113" spans="1:18" ht="20.100000000000001" customHeight="1">
      <c r="A113" s="4">
        <v>108</v>
      </c>
      <c r="B113" s="20" t="s">
        <v>146</v>
      </c>
      <c r="C113" s="6" t="s">
        <v>25</v>
      </c>
      <c r="D113" s="7" t="s">
        <v>147</v>
      </c>
      <c r="E113" s="7"/>
      <c r="F113" s="7"/>
      <c r="G113" s="7"/>
      <c r="H113" s="7"/>
      <c r="I113" s="7"/>
      <c r="J113" s="7"/>
      <c r="K113" s="8">
        <v>2</v>
      </c>
      <c r="L113" s="8" t="s">
        <v>76</v>
      </c>
      <c r="M113" s="6" t="s">
        <v>148</v>
      </c>
      <c r="N113" s="10">
        <v>5500</v>
      </c>
      <c r="O113" s="11">
        <v>2</v>
      </c>
      <c r="P113" s="12"/>
      <c r="Q113" s="12"/>
    </row>
    <row r="114" spans="1:18" ht="20.100000000000001" customHeight="1">
      <c r="A114" s="4">
        <v>109</v>
      </c>
      <c r="B114" s="20" t="s">
        <v>146</v>
      </c>
      <c r="C114" s="6" t="s">
        <v>25</v>
      </c>
      <c r="D114" s="13" t="s">
        <v>29</v>
      </c>
      <c r="E114" s="13"/>
      <c r="F114" s="13"/>
      <c r="G114" s="8">
        <v>1</v>
      </c>
      <c r="H114" s="13"/>
      <c r="I114" s="13"/>
      <c r="J114" s="7"/>
      <c r="K114" s="14"/>
      <c r="L114" s="8"/>
      <c r="M114" s="6" t="s">
        <v>49</v>
      </c>
      <c r="N114" s="10">
        <v>-3925141.6</v>
      </c>
      <c r="O114" s="11">
        <v>1</v>
      </c>
      <c r="P114" s="12"/>
      <c r="Q114" s="12"/>
    </row>
    <row r="115" spans="1:18" ht="20.100000000000001" customHeight="1">
      <c r="A115" s="4">
        <v>110</v>
      </c>
      <c r="B115" s="20" t="s">
        <v>146</v>
      </c>
      <c r="C115" s="6" t="s">
        <v>25</v>
      </c>
      <c r="D115" s="13" t="s">
        <v>29</v>
      </c>
      <c r="E115" s="13"/>
      <c r="F115" s="13"/>
      <c r="G115" s="8">
        <v>1</v>
      </c>
      <c r="H115" s="13"/>
      <c r="I115" s="13"/>
      <c r="J115" s="7"/>
      <c r="K115" s="14"/>
      <c r="L115" s="8"/>
      <c r="M115" s="6" t="s">
        <v>32</v>
      </c>
      <c r="N115" s="10">
        <v>40.409999999999997</v>
      </c>
      <c r="O115" s="11">
        <v>1</v>
      </c>
      <c r="P115" s="12"/>
      <c r="Q115" s="12"/>
    </row>
    <row r="116" spans="1:18" ht="20.100000000000001" customHeight="1">
      <c r="A116" s="4">
        <v>111</v>
      </c>
      <c r="B116" s="20" t="s">
        <v>146</v>
      </c>
      <c r="C116" s="6" t="s">
        <v>25</v>
      </c>
      <c r="D116" s="13" t="s">
        <v>29</v>
      </c>
      <c r="E116" s="13"/>
      <c r="F116" s="13"/>
      <c r="G116" s="13"/>
      <c r="H116" s="13"/>
      <c r="I116" s="13"/>
      <c r="J116" s="7"/>
      <c r="K116" s="9">
        <v>2</v>
      </c>
      <c r="L116" s="21"/>
      <c r="M116" s="6" t="s">
        <v>149</v>
      </c>
      <c r="N116" s="16">
        <v>4100</v>
      </c>
      <c r="O116" s="11">
        <v>2</v>
      </c>
      <c r="P116" s="12"/>
      <c r="Q116" s="12"/>
    </row>
    <row r="117" spans="1:18" ht="20.100000000000001" customHeight="1">
      <c r="A117" s="4">
        <v>112</v>
      </c>
      <c r="B117" s="20" t="s">
        <v>146</v>
      </c>
      <c r="C117" s="6" t="s">
        <v>25</v>
      </c>
      <c r="D117" s="13" t="s">
        <v>29</v>
      </c>
      <c r="E117" s="13"/>
      <c r="F117" s="13"/>
      <c r="G117" s="9">
        <v>1</v>
      </c>
      <c r="H117" s="13"/>
      <c r="I117" s="13"/>
      <c r="J117" s="7"/>
      <c r="K117" s="14"/>
      <c r="L117" s="21" t="s">
        <v>150</v>
      </c>
      <c r="M117" s="6" t="s">
        <v>151</v>
      </c>
      <c r="N117" s="16">
        <v>3.5</v>
      </c>
      <c r="O117" s="11">
        <v>1</v>
      </c>
      <c r="P117" s="12"/>
      <c r="Q117" s="12"/>
    </row>
    <row r="118" spans="1:18" ht="20.100000000000001" customHeight="1">
      <c r="A118" s="4">
        <v>113</v>
      </c>
      <c r="B118" s="20" t="s">
        <v>146</v>
      </c>
      <c r="C118" s="6" t="s">
        <v>25</v>
      </c>
      <c r="D118" s="13" t="s">
        <v>33</v>
      </c>
      <c r="E118" s="13"/>
      <c r="F118" s="13"/>
      <c r="G118" s="13"/>
      <c r="H118" s="13"/>
      <c r="I118" s="8">
        <v>3278</v>
      </c>
      <c r="J118" s="7"/>
      <c r="K118" s="17"/>
      <c r="L118" s="8"/>
      <c r="M118" s="6" t="s">
        <v>35</v>
      </c>
      <c r="N118" s="10">
        <v>2996660.46</v>
      </c>
      <c r="O118" s="11">
        <v>3278</v>
      </c>
      <c r="P118" s="12"/>
      <c r="Q118" s="12"/>
    </row>
    <row r="119" spans="1:18" ht="20.100000000000001" customHeight="1">
      <c r="A119" s="4">
        <v>114</v>
      </c>
      <c r="B119" s="20" t="s">
        <v>146</v>
      </c>
      <c r="C119" s="6" t="s">
        <v>25</v>
      </c>
      <c r="D119" s="13" t="s">
        <v>33</v>
      </c>
      <c r="E119" s="13"/>
      <c r="F119" s="13"/>
      <c r="G119" s="13"/>
      <c r="H119" s="39">
        <v>250</v>
      </c>
      <c r="I119" s="13"/>
      <c r="J119" s="7"/>
      <c r="K119" s="14"/>
      <c r="L119" s="8"/>
      <c r="M119" s="6" t="s">
        <v>152</v>
      </c>
      <c r="N119" s="13"/>
      <c r="O119" s="11">
        <v>250</v>
      </c>
      <c r="P119" s="12">
        <v>33</v>
      </c>
      <c r="Q119" s="12"/>
    </row>
    <row r="120" spans="1:18" ht="20.100000000000001" customHeight="1">
      <c r="A120" s="4">
        <v>115</v>
      </c>
      <c r="B120" s="20" t="s">
        <v>146</v>
      </c>
      <c r="C120" s="6" t="s">
        <v>25</v>
      </c>
      <c r="D120" s="13" t="s">
        <v>36</v>
      </c>
      <c r="E120" s="13"/>
      <c r="F120" s="9" t="s">
        <v>153</v>
      </c>
      <c r="G120" s="13"/>
      <c r="H120" s="13"/>
      <c r="I120" s="13"/>
      <c r="J120" s="7"/>
      <c r="K120" s="14"/>
      <c r="L120" s="8"/>
      <c r="M120" s="6" t="s">
        <v>154</v>
      </c>
      <c r="N120" s="10"/>
      <c r="O120" s="11" t="s">
        <v>153</v>
      </c>
      <c r="P120" s="12"/>
      <c r="Q120" s="12"/>
    </row>
    <row r="121" spans="1:18" ht="20.100000000000001" customHeight="1">
      <c r="A121" s="4">
        <v>116</v>
      </c>
      <c r="B121" s="20" t="s">
        <v>146</v>
      </c>
      <c r="C121" s="6" t="s">
        <v>25</v>
      </c>
      <c r="D121" s="13" t="s">
        <v>38</v>
      </c>
      <c r="E121" s="13"/>
      <c r="F121" s="13"/>
      <c r="G121" s="13"/>
      <c r="H121" s="13"/>
      <c r="I121" s="13"/>
      <c r="J121" s="7"/>
      <c r="K121" s="8">
        <v>3</v>
      </c>
      <c r="L121" s="9" t="s">
        <v>155</v>
      </c>
      <c r="M121" s="6" t="s">
        <v>156</v>
      </c>
      <c r="N121" s="16" t="s">
        <v>157</v>
      </c>
      <c r="O121" s="11">
        <v>3</v>
      </c>
      <c r="P121" s="12">
        <v>2</v>
      </c>
      <c r="Q121" s="12"/>
    </row>
    <row r="122" spans="1:18" ht="20.100000000000001" customHeight="1">
      <c r="A122" s="4">
        <v>117</v>
      </c>
      <c r="B122" s="20" t="s">
        <v>146</v>
      </c>
      <c r="C122" s="6" t="s">
        <v>25</v>
      </c>
      <c r="D122" s="13" t="s">
        <v>38</v>
      </c>
      <c r="E122" s="13"/>
      <c r="F122" s="13"/>
      <c r="G122" s="13"/>
      <c r="H122" s="13"/>
      <c r="I122" s="13"/>
      <c r="J122" s="7"/>
      <c r="K122" s="8">
        <v>1</v>
      </c>
      <c r="L122" s="8"/>
      <c r="M122" s="6" t="s">
        <v>158</v>
      </c>
      <c r="N122" s="10"/>
      <c r="O122" s="11">
        <v>1</v>
      </c>
      <c r="P122" s="12"/>
      <c r="Q122" s="12"/>
    </row>
    <row r="123" spans="1:18" ht="20.100000000000001" customHeight="1">
      <c r="A123" s="4">
        <v>118</v>
      </c>
      <c r="B123" s="20" t="s">
        <v>146</v>
      </c>
      <c r="C123" s="6" t="s">
        <v>25</v>
      </c>
      <c r="D123" s="13" t="s">
        <v>38</v>
      </c>
      <c r="E123" s="13"/>
      <c r="F123" s="13"/>
      <c r="G123" s="13"/>
      <c r="H123" s="13"/>
      <c r="I123" s="13"/>
      <c r="J123" s="7"/>
      <c r="K123" s="8">
        <v>1</v>
      </c>
      <c r="L123" s="8"/>
      <c r="M123" s="6" t="s">
        <v>159</v>
      </c>
      <c r="N123" s="10">
        <v>19900</v>
      </c>
      <c r="O123" s="11">
        <v>1</v>
      </c>
      <c r="P123" s="12"/>
      <c r="Q123" s="12"/>
    </row>
    <row r="124" spans="1:18" ht="20.100000000000001" customHeight="1">
      <c r="A124" s="4">
        <v>119</v>
      </c>
      <c r="B124" s="20" t="s">
        <v>160</v>
      </c>
      <c r="C124" s="6" t="s">
        <v>25</v>
      </c>
      <c r="D124" s="13" t="s">
        <v>147</v>
      </c>
      <c r="E124" s="13"/>
      <c r="F124" s="13"/>
      <c r="G124" s="13"/>
      <c r="H124" s="13"/>
      <c r="I124" s="13"/>
      <c r="J124" s="7"/>
      <c r="K124" s="8">
        <v>11</v>
      </c>
      <c r="L124" s="8"/>
      <c r="M124" s="6" t="s">
        <v>161</v>
      </c>
      <c r="N124" s="10">
        <v>7651</v>
      </c>
      <c r="O124" s="35">
        <v>11</v>
      </c>
      <c r="P124" s="36"/>
      <c r="Q124" s="36"/>
      <c r="R124" s="37"/>
    </row>
    <row r="125" spans="1:18" ht="20.100000000000001" customHeight="1">
      <c r="A125" s="4">
        <v>120</v>
      </c>
      <c r="B125" s="20" t="s">
        <v>160</v>
      </c>
      <c r="C125" s="6" t="s">
        <v>25</v>
      </c>
      <c r="D125" s="7" t="s">
        <v>103</v>
      </c>
      <c r="E125" s="7"/>
      <c r="F125" s="7"/>
      <c r="G125" s="7"/>
      <c r="H125" s="7"/>
      <c r="I125" s="7"/>
      <c r="J125" s="8">
        <v>6</v>
      </c>
      <c r="K125" s="14"/>
      <c r="L125" s="8"/>
      <c r="M125" s="6" t="s">
        <v>162</v>
      </c>
      <c r="N125" s="10">
        <v>250.25</v>
      </c>
      <c r="O125" s="11">
        <v>6</v>
      </c>
      <c r="P125" s="12"/>
      <c r="Q125" s="12"/>
    </row>
    <row r="126" spans="1:18" ht="20.100000000000001" customHeight="1">
      <c r="A126" s="4">
        <v>121</v>
      </c>
      <c r="B126" s="20" t="s">
        <v>160</v>
      </c>
      <c r="C126" s="6" t="s">
        <v>25</v>
      </c>
      <c r="D126" s="13" t="s">
        <v>163</v>
      </c>
      <c r="E126" s="13"/>
      <c r="F126" s="13"/>
      <c r="G126" s="8">
        <v>1</v>
      </c>
      <c r="H126" s="13"/>
      <c r="I126" s="13"/>
      <c r="J126" s="7"/>
      <c r="K126" s="14"/>
      <c r="L126" s="8"/>
      <c r="M126" s="6" t="s">
        <v>49</v>
      </c>
      <c r="N126" s="10">
        <v>7599382.2999999998</v>
      </c>
      <c r="O126" s="11">
        <v>1</v>
      </c>
      <c r="P126" s="12"/>
      <c r="Q126" s="12"/>
    </row>
    <row r="127" spans="1:18" ht="20.100000000000001" customHeight="1">
      <c r="A127" s="4">
        <v>122</v>
      </c>
      <c r="B127" s="20" t="s">
        <v>160</v>
      </c>
      <c r="C127" s="6" t="s">
        <v>25</v>
      </c>
      <c r="D127" s="13" t="s">
        <v>163</v>
      </c>
      <c r="E127" s="13"/>
      <c r="F127" s="13"/>
      <c r="G127" s="8">
        <v>1</v>
      </c>
      <c r="H127" s="13"/>
      <c r="I127" s="13"/>
      <c r="J127" s="7"/>
      <c r="K127" s="14"/>
      <c r="L127" s="8"/>
      <c r="M127" s="6" t="s">
        <v>32</v>
      </c>
      <c r="N127" s="10">
        <v>1187.5899999999999</v>
      </c>
      <c r="O127" s="11">
        <v>1</v>
      </c>
      <c r="P127" s="12"/>
      <c r="Q127" s="12"/>
    </row>
    <row r="128" spans="1:18" ht="20.100000000000001" customHeight="1">
      <c r="A128" s="4">
        <v>123</v>
      </c>
      <c r="B128" s="20" t="s">
        <v>160</v>
      </c>
      <c r="C128" s="6" t="s">
        <v>25</v>
      </c>
      <c r="D128" s="13" t="s">
        <v>163</v>
      </c>
      <c r="E128" s="13"/>
      <c r="F128" s="13"/>
      <c r="G128" s="9">
        <v>1</v>
      </c>
      <c r="H128" s="13"/>
      <c r="I128" s="13"/>
      <c r="J128" s="7"/>
      <c r="K128" s="14"/>
      <c r="L128" s="21"/>
      <c r="M128" s="6" t="s">
        <v>164</v>
      </c>
      <c r="N128" s="16">
        <v>1720258.01</v>
      </c>
      <c r="O128" s="11">
        <v>1</v>
      </c>
      <c r="P128" s="12"/>
      <c r="Q128" s="12"/>
    </row>
    <row r="129" spans="1:17" ht="20.100000000000001" customHeight="1">
      <c r="A129" s="4">
        <v>124</v>
      </c>
      <c r="B129" s="20" t="s">
        <v>160</v>
      </c>
      <c r="C129" s="6" t="s">
        <v>25</v>
      </c>
      <c r="D129" s="7" t="s">
        <v>163</v>
      </c>
      <c r="E129" s="7"/>
      <c r="F129" s="7"/>
      <c r="G129" s="7"/>
      <c r="H129" s="7"/>
      <c r="I129" s="7"/>
      <c r="J129" s="7"/>
      <c r="K129" s="9">
        <v>2</v>
      </c>
      <c r="L129" s="21"/>
      <c r="M129" s="6" t="s">
        <v>165</v>
      </c>
      <c r="N129" s="16" t="s">
        <v>166</v>
      </c>
      <c r="O129" s="11">
        <v>2</v>
      </c>
      <c r="P129" s="12"/>
      <c r="Q129" s="12"/>
    </row>
    <row r="130" spans="1:17" ht="20.100000000000001" customHeight="1">
      <c r="A130" s="4">
        <v>125</v>
      </c>
      <c r="B130" s="20" t="s">
        <v>160</v>
      </c>
      <c r="C130" s="6" t="s">
        <v>25</v>
      </c>
      <c r="D130" s="7" t="s">
        <v>167</v>
      </c>
      <c r="E130" s="7"/>
      <c r="F130" s="7"/>
      <c r="G130" s="7"/>
      <c r="H130" s="7"/>
      <c r="I130" s="7"/>
      <c r="J130" s="7"/>
      <c r="K130" s="9">
        <v>1</v>
      </c>
      <c r="L130" s="21"/>
      <c r="M130" s="6" t="s">
        <v>168</v>
      </c>
      <c r="N130" s="16">
        <v>1700</v>
      </c>
      <c r="O130" s="11">
        <v>1</v>
      </c>
      <c r="P130" s="12"/>
      <c r="Q130" s="12"/>
    </row>
    <row r="131" spans="1:17" ht="20.100000000000001" customHeight="1">
      <c r="A131" s="4">
        <v>126</v>
      </c>
      <c r="B131" s="20" t="s">
        <v>160</v>
      </c>
      <c r="C131" s="6" t="s">
        <v>25</v>
      </c>
      <c r="D131" s="13" t="s">
        <v>169</v>
      </c>
      <c r="E131" s="13"/>
      <c r="F131" s="13"/>
      <c r="G131" s="13"/>
      <c r="H131" s="13"/>
      <c r="I131" s="13"/>
      <c r="J131" s="7"/>
      <c r="K131" s="9">
        <v>1</v>
      </c>
      <c r="L131" s="21"/>
      <c r="M131" s="6" t="s">
        <v>170</v>
      </c>
      <c r="N131" s="16">
        <v>5000</v>
      </c>
      <c r="O131" s="11">
        <v>1</v>
      </c>
      <c r="P131" s="12"/>
      <c r="Q131" s="12"/>
    </row>
    <row r="132" spans="1:17" ht="20.100000000000001" customHeight="1">
      <c r="A132" s="4">
        <v>127</v>
      </c>
      <c r="B132" s="20" t="s">
        <v>160</v>
      </c>
      <c r="C132" s="6" t="s">
        <v>25</v>
      </c>
      <c r="D132" s="13" t="s">
        <v>36</v>
      </c>
      <c r="E132" s="13"/>
      <c r="F132" s="9">
        <v>852</v>
      </c>
      <c r="G132" s="13"/>
      <c r="H132" s="13"/>
      <c r="I132" s="13"/>
      <c r="J132" s="7"/>
      <c r="K132" s="14"/>
      <c r="L132" s="8"/>
      <c r="M132" s="6" t="s">
        <v>171</v>
      </c>
      <c r="N132" s="10"/>
      <c r="O132" s="11">
        <v>852</v>
      </c>
      <c r="P132" s="12"/>
      <c r="Q132" s="12"/>
    </row>
    <row r="133" spans="1:17" ht="20.100000000000001" customHeight="1">
      <c r="A133" s="4">
        <v>128</v>
      </c>
      <c r="B133" s="20" t="s">
        <v>160</v>
      </c>
      <c r="C133" s="6" t="s">
        <v>25</v>
      </c>
      <c r="D133" s="13" t="s">
        <v>33</v>
      </c>
      <c r="E133" s="13"/>
      <c r="F133" s="13"/>
      <c r="G133" s="13"/>
      <c r="H133" s="9">
        <v>399</v>
      </c>
      <c r="I133" s="13"/>
      <c r="J133" s="7"/>
      <c r="K133" s="14"/>
      <c r="L133" s="21"/>
      <c r="M133" s="6" t="s">
        <v>34</v>
      </c>
      <c r="N133" s="16"/>
      <c r="O133" s="11">
        <v>399</v>
      </c>
      <c r="P133" s="12">
        <v>2</v>
      </c>
      <c r="Q133" s="12"/>
    </row>
    <row r="134" spans="1:17" ht="20.100000000000001" customHeight="1">
      <c r="A134" s="4">
        <v>129</v>
      </c>
      <c r="B134" s="20" t="s">
        <v>160</v>
      </c>
      <c r="C134" s="6" t="s">
        <v>25</v>
      </c>
      <c r="D134" s="13" t="s">
        <v>33</v>
      </c>
      <c r="E134" s="13"/>
      <c r="F134" s="13"/>
      <c r="G134" s="13"/>
      <c r="H134" s="13"/>
      <c r="I134" s="8">
        <v>556</v>
      </c>
      <c r="J134" s="7"/>
      <c r="K134" s="17"/>
      <c r="L134" s="8"/>
      <c r="M134" s="6" t="s">
        <v>35</v>
      </c>
      <c r="N134" s="18">
        <v>1303316.42</v>
      </c>
      <c r="O134" s="11">
        <v>556</v>
      </c>
      <c r="P134" s="12"/>
      <c r="Q134" s="12"/>
    </row>
    <row r="135" spans="1:17" ht="20.100000000000001" customHeight="1">
      <c r="A135" s="4">
        <v>130</v>
      </c>
      <c r="B135" s="20" t="s">
        <v>160</v>
      </c>
      <c r="C135" s="6" t="s">
        <v>25</v>
      </c>
      <c r="D135" s="7" t="s">
        <v>172</v>
      </c>
      <c r="E135" s="7"/>
      <c r="F135" s="7"/>
      <c r="G135" s="7"/>
      <c r="H135" s="7"/>
      <c r="I135" s="7"/>
      <c r="J135" s="7"/>
      <c r="K135" s="8">
        <v>1</v>
      </c>
      <c r="L135" s="8"/>
      <c r="M135" s="6" t="s">
        <v>173</v>
      </c>
      <c r="N135" s="10"/>
      <c r="O135" s="11">
        <v>1</v>
      </c>
      <c r="P135" s="12"/>
      <c r="Q135" s="12"/>
    </row>
    <row r="136" spans="1:17" ht="20.100000000000001" customHeight="1">
      <c r="A136" s="4">
        <v>131</v>
      </c>
      <c r="B136" s="20" t="s">
        <v>160</v>
      </c>
      <c r="C136" s="6" t="s">
        <v>25</v>
      </c>
      <c r="D136" s="7" t="s">
        <v>172</v>
      </c>
      <c r="E136" s="7"/>
      <c r="F136" s="7"/>
      <c r="G136" s="7"/>
      <c r="H136" s="7"/>
      <c r="I136" s="7"/>
      <c r="J136" s="7"/>
      <c r="K136" s="8">
        <v>1</v>
      </c>
      <c r="L136" s="8"/>
      <c r="M136" s="6" t="s">
        <v>174</v>
      </c>
      <c r="N136" s="10"/>
      <c r="O136" s="11">
        <v>1</v>
      </c>
      <c r="P136" s="12"/>
      <c r="Q136" s="12"/>
    </row>
    <row r="137" spans="1:17" ht="20.100000000000001" customHeight="1">
      <c r="A137" s="4">
        <v>132</v>
      </c>
      <c r="B137" s="20" t="s">
        <v>160</v>
      </c>
      <c r="C137" s="6" t="s">
        <v>25</v>
      </c>
      <c r="D137" s="13" t="s">
        <v>172</v>
      </c>
      <c r="E137" s="13"/>
      <c r="F137" s="13"/>
      <c r="G137" s="13"/>
      <c r="H137" s="13"/>
      <c r="I137" s="13"/>
      <c r="J137" s="7"/>
      <c r="K137" s="9">
        <v>1</v>
      </c>
      <c r="L137" s="21"/>
      <c r="M137" s="6" t="s">
        <v>175</v>
      </c>
      <c r="N137" s="16">
        <v>2000</v>
      </c>
      <c r="O137" s="11">
        <v>1</v>
      </c>
      <c r="P137" s="12"/>
      <c r="Q137" s="12"/>
    </row>
    <row r="138" spans="1:17" ht="20.100000000000001" customHeight="1">
      <c r="A138" s="4">
        <v>133</v>
      </c>
      <c r="B138" s="20" t="s">
        <v>176</v>
      </c>
      <c r="C138" s="6" t="s">
        <v>25</v>
      </c>
      <c r="D138" s="13" t="s">
        <v>147</v>
      </c>
      <c r="E138" s="13"/>
      <c r="F138" s="13"/>
      <c r="G138" s="13"/>
      <c r="H138" s="13"/>
      <c r="I138" s="13"/>
      <c r="J138" s="7"/>
      <c r="K138" s="8">
        <v>1</v>
      </c>
      <c r="L138" s="8"/>
      <c r="M138" s="6" t="s">
        <v>177</v>
      </c>
      <c r="N138" s="18">
        <v>30</v>
      </c>
      <c r="O138" s="11">
        <v>1</v>
      </c>
      <c r="P138" s="12">
        <v>1</v>
      </c>
      <c r="Q138" s="12"/>
    </row>
    <row r="139" spans="1:17" ht="20.100000000000001" customHeight="1">
      <c r="A139" s="4">
        <v>134</v>
      </c>
      <c r="B139" s="20" t="s">
        <v>176</v>
      </c>
      <c r="C139" s="6" t="s">
        <v>25</v>
      </c>
      <c r="D139" s="13" t="s">
        <v>147</v>
      </c>
      <c r="E139" s="13"/>
      <c r="F139" s="13"/>
      <c r="G139" s="13"/>
      <c r="H139" s="13"/>
      <c r="I139" s="13"/>
      <c r="J139" s="7"/>
      <c r="K139" s="8">
        <v>1</v>
      </c>
      <c r="L139" s="8"/>
      <c r="M139" s="6" t="s">
        <v>178</v>
      </c>
      <c r="N139" s="10">
        <v>17400</v>
      </c>
      <c r="O139" s="11">
        <v>1</v>
      </c>
      <c r="P139" s="12"/>
      <c r="Q139" s="12"/>
    </row>
    <row r="140" spans="1:17" ht="20.100000000000001" customHeight="1">
      <c r="A140" s="4">
        <v>135</v>
      </c>
      <c r="B140" s="20" t="s">
        <v>176</v>
      </c>
      <c r="C140" s="6" t="s">
        <v>25</v>
      </c>
      <c r="D140" s="13" t="s">
        <v>147</v>
      </c>
      <c r="E140" s="13"/>
      <c r="F140" s="13"/>
      <c r="G140" s="13"/>
      <c r="H140" s="13"/>
      <c r="I140" s="13"/>
      <c r="J140" s="7"/>
      <c r="K140" s="8">
        <v>1</v>
      </c>
      <c r="L140" s="8"/>
      <c r="M140" s="6" t="s">
        <v>28</v>
      </c>
      <c r="N140" s="18">
        <v>16359.77</v>
      </c>
      <c r="O140" s="11">
        <v>1</v>
      </c>
      <c r="P140" s="12"/>
      <c r="Q140" s="12"/>
    </row>
    <row r="141" spans="1:17" ht="20.100000000000001" customHeight="1">
      <c r="A141" s="4">
        <v>136</v>
      </c>
      <c r="B141" s="20" t="s">
        <v>176</v>
      </c>
      <c r="C141" s="6" t="s">
        <v>25</v>
      </c>
      <c r="D141" s="13" t="s">
        <v>103</v>
      </c>
      <c r="E141" s="13"/>
      <c r="F141" s="13"/>
      <c r="G141" s="13"/>
      <c r="H141" s="13"/>
      <c r="I141" s="13"/>
      <c r="J141" s="8">
        <v>1</v>
      </c>
      <c r="K141" s="14"/>
      <c r="L141" s="8"/>
      <c r="M141" s="6" t="s">
        <v>179</v>
      </c>
      <c r="N141" s="18"/>
      <c r="O141" s="11">
        <v>1</v>
      </c>
      <c r="P141" s="12"/>
      <c r="Q141" s="12"/>
    </row>
    <row r="142" spans="1:17" ht="20.100000000000001" customHeight="1">
      <c r="A142" s="4">
        <v>137</v>
      </c>
      <c r="B142" s="20" t="s">
        <v>176</v>
      </c>
      <c r="C142" s="6" t="s">
        <v>25</v>
      </c>
      <c r="D142" s="13" t="s">
        <v>29</v>
      </c>
      <c r="E142" s="13"/>
      <c r="F142" s="13"/>
      <c r="G142" s="8">
        <v>1</v>
      </c>
      <c r="H142" s="13"/>
      <c r="I142" s="13"/>
      <c r="J142" s="7"/>
      <c r="K142" s="14"/>
      <c r="L142" s="8"/>
      <c r="M142" s="6" t="s">
        <v>49</v>
      </c>
      <c r="N142" s="18">
        <v>-40714228.048050001</v>
      </c>
      <c r="O142" s="11">
        <v>1</v>
      </c>
      <c r="P142" s="12"/>
      <c r="Q142" s="12"/>
    </row>
    <row r="143" spans="1:17" ht="20.100000000000001" customHeight="1">
      <c r="A143" s="4">
        <v>138</v>
      </c>
      <c r="B143" s="20" t="s">
        <v>176</v>
      </c>
      <c r="C143" s="6" t="s">
        <v>25</v>
      </c>
      <c r="D143" s="13" t="s">
        <v>29</v>
      </c>
      <c r="E143" s="13"/>
      <c r="F143" s="13"/>
      <c r="G143" s="8">
        <v>1</v>
      </c>
      <c r="H143" s="13"/>
      <c r="I143" s="13"/>
      <c r="J143" s="7"/>
      <c r="K143" s="14"/>
      <c r="L143" s="8"/>
      <c r="M143" s="6" t="s">
        <v>180</v>
      </c>
      <c r="N143" s="10">
        <v>321.75</v>
      </c>
      <c r="O143" s="11">
        <v>1</v>
      </c>
      <c r="P143" s="12">
        <v>1</v>
      </c>
      <c r="Q143" s="12"/>
    </row>
    <row r="144" spans="1:17" ht="20.100000000000001" customHeight="1">
      <c r="A144" s="4">
        <v>139</v>
      </c>
      <c r="B144" s="20" t="s">
        <v>176</v>
      </c>
      <c r="C144" s="6" t="s">
        <v>25</v>
      </c>
      <c r="D144" s="13" t="s">
        <v>29</v>
      </c>
      <c r="E144" s="13"/>
      <c r="F144" s="13"/>
      <c r="G144" s="8">
        <v>1</v>
      </c>
      <c r="H144" s="13"/>
      <c r="I144" s="13"/>
      <c r="J144" s="7"/>
      <c r="K144" s="14"/>
      <c r="L144" s="8"/>
      <c r="M144" s="6" t="s">
        <v>181</v>
      </c>
      <c r="N144" s="10">
        <v>60.64</v>
      </c>
      <c r="O144" s="11">
        <v>1</v>
      </c>
      <c r="P144" s="12"/>
      <c r="Q144" s="12"/>
    </row>
    <row r="145" spans="1:17" ht="20.100000000000001" customHeight="1">
      <c r="A145" s="4">
        <v>140</v>
      </c>
      <c r="B145" s="20" t="s">
        <v>176</v>
      </c>
      <c r="C145" s="6" t="s">
        <v>25</v>
      </c>
      <c r="D145" s="13" t="s">
        <v>29</v>
      </c>
      <c r="E145" s="13"/>
      <c r="F145" s="13"/>
      <c r="G145" s="8">
        <v>1</v>
      </c>
      <c r="H145" s="13"/>
      <c r="I145" s="13"/>
      <c r="J145" s="7"/>
      <c r="K145" s="14"/>
      <c r="L145" s="8"/>
      <c r="M145" s="6" t="s">
        <v>182</v>
      </c>
      <c r="N145" s="10">
        <v>101.54</v>
      </c>
      <c r="O145" s="11">
        <v>1</v>
      </c>
      <c r="P145" s="12"/>
      <c r="Q145" s="12"/>
    </row>
    <row r="146" spans="1:17" ht="20.100000000000001" customHeight="1">
      <c r="A146" s="4">
        <v>141</v>
      </c>
      <c r="B146" s="20" t="s">
        <v>176</v>
      </c>
      <c r="C146" s="6" t="s">
        <v>25</v>
      </c>
      <c r="D146" s="13" t="s">
        <v>29</v>
      </c>
      <c r="E146" s="13"/>
      <c r="F146" s="13"/>
      <c r="G146" s="9">
        <v>1</v>
      </c>
      <c r="H146" s="13"/>
      <c r="I146" s="13"/>
      <c r="J146" s="7"/>
      <c r="K146" s="14"/>
      <c r="L146" s="21"/>
      <c r="M146" s="6" t="s">
        <v>183</v>
      </c>
      <c r="N146" s="16">
        <v>2042.25</v>
      </c>
      <c r="O146" s="11">
        <v>1</v>
      </c>
      <c r="P146" s="12"/>
      <c r="Q146" s="12"/>
    </row>
    <row r="147" spans="1:17" ht="20.100000000000001" customHeight="1">
      <c r="A147" s="4">
        <v>142</v>
      </c>
      <c r="B147" s="20" t="s">
        <v>176</v>
      </c>
      <c r="C147" s="6" t="s">
        <v>25</v>
      </c>
      <c r="D147" s="13" t="s">
        <v>29</v>
      </c>
      <c r="E147" s="13"/>
      <c r="F147" s="13"/>
      <c r="G147" s="13"/>
      <c r="H147" s="13"/>
      <c r="I147" s="13"/>
      <c r="J147" s="7"/>
      <c r="K147" s="9">
        <v>1</v>
      </c>
      <c r="L147" s="21"/>
      <c r="M147" s="6" t="s">
        <v>184</v>
      </c>
      <c r="N147" s="16">
        <v>205</v>
      </c>
      <c r="O147" s="11">
        <v>1</v>
      </c>
      <c r="P147" s="12"/>
      <c r="Q147" s="12"/>
    </row>
    <row r="148" spans="1:17" ht="20.100000000000001" customHeight="1">
      <c r="A148" s="4">
        <v>143</v>
      </c>
      <c r="B148" s="20" t="s">
        <v>176</v>
      </c>
      <c r="C148" s="6" t="s">
        <v>25</v>
      </c>
      <c r="D148" s="13" t="s">
        <v>29</v>
      </c>
      <c r="E148" s="13"/>
      <c r="F148" s="13"/>
      <c r="G148" s="13"/>
      <c r="H148" s="13"/>
      <c r="I148" s="13"/>
      <c r="J148" s="7"/>
      <c r="K148" s="9">
        <v>1</v>
      </c>
      <c r="L148" s="21"/>
      <c r="M148" s="6" t="s">
        <v>185</v>
      </c>
      <c r="N148" s="16">
        <v>2500</v>
      </c>
      <c r="O148" s="11">
        <v>1</v>
      </c>
      <c r="P148" s="12"/>
      <c r="Q148" s="12"/>
    </row>
    <row r="149" spans="1:17" ht="20.100000000000001" customHeight="1">
      <c r="A149" s="4">
        <v>144</v>
      </c>
      <c r="B149" s="20" t="s">
        <v>176</v>
      </c>
      <c r="C149" s="6" t="s">
        <v>25</v>
      </c>
      <c r="D149" s="13" t="s">
        <v>33</v>
      </c>
      <c r="E149" s="13"/>
      <c r="F149" s="13"/>
      <c r="G149" s="13"/>
      <c r="H149" s="40">
        <v>554</v>
      </c>
      <c r="I149" s="13"/>
      <c r="J149" s="7"/>
      <c r="K149" s="14"/>
      <c r="L149" s="21"/>
      <c r="M149" s="6" t="s">
        <v>186</v>
      </c>
      <c r="N149" s="10">
        <v>0</v>
      </c>
      <c r="O149" s="11">
        <v>554</v>
      </c>
      <c r="P149" s="12">
        <v>13</v>
      </c>
      <c r="Q149" s="12"/>
    </row>
    <row r="150" spans="1:17" ht="20.100000000000001" customHeight="1">
      <c r="A150" s="4">
        <v>145</v>
      </c>
      <c r="B150" s="20" t="s">
        <v>176</v>
      </c>
      <c r="C150" s="6" t="s">
        <v>25</v>
      </c>
      <c r="D150" s="13" t="s">
        <v>33</v>
      </c>
      <c r="E150" s="13"/>
      <c r="F150" s="13"/>
      <c r="G150" s="13"/>
      <c r="H150" s="13"/>
      <c r="I150" s="40">
        <v>1830</v>
      </c>
      <c r="J150" s="7"/>
      <c r="K150" s="17"/>
      <c r="L150" s="8"/>
      <c r="M150" s="6" t="s">
        <v>35</v>
      </c>
      <c r="N150" s="10">
        <v>2625323.84</v>
      </c>
      <c r="O150" s="11">
        <v>1830</v>
      </c>
      <c r="P150" s="12">
        <v>2</v>
      </c>
      <c r="Q150" s="12"/>
    </row>
    <row r="151" spans="1:17" ht="20.100000000000001" customHeight="1">
      <c r="A151" s="4">
        <v>146</v>
      </c>
      <c r="B151" s="20" t="s">
        <v>176</v>
      </c>
      <c r="C151" s="6" t="s">
        <v>25</v>
      </c>
      <c r="D151" s="13" t="s">
        <v>36</v>
      </c>
      <c r="E151" s="13"/>
      <c r="F151" s="8">
        <v>544</v>
      </c>
      <c r="G151" s="13"/>
      <c r="H151" s="13"/>
      <c r="I151" s="13"/>
      <c r="J151" s="7"/>
      <c r="K151" s="14"/>
      <c r="L151" s="8"/>
      <c r="M151" s="6" t="s">
        <v>187</v>
      </c>
      <c r="N151" s="16"/>
      <c r="O151" s="11">
        <v>544</v>
      </c>
      <c r="P151" s="12"/>
      <c r="Q151" s="12"/>
    </row>
    <row r="152" spans="1:17" ht="20.100000000000001" customHeight="1">
      <c r="A152" s="4">
        <v>147</v>
      </c>
      <c r="B152" s="20" t="s">
        <v>176</v>
      </c>
      <c r="C152" s="6" t="s">
        <v>25</v>
      </c>
      <c r="D152" s="13" t="s">
        <v>38</v>
      </c>
      <c r="E152" s="13"/>
      <c r="F152" s="13"/>
      <c r="G152" s="13"/>
      <c r="H152" s="13"/>
      <c r="I152" s="13"/>
      <c r="J152" s="7"/>
      <c r="K152" s="8">
        <v>1</v>
      </c>
      <c r="L152" s="8"/>
      <c r="M152" s="6" t="s">
        <v>188</v>
      </c>
      <c r="N152" s="10">
        <v>3178040.95</v>
      </c>
      <c r="O152" s="11">
        <v>1</v>
      </c>
      <c r="P152" s="12">
        <v>1</v>
      </c>
      <c r="Q152" s="12"/>
    </row>
    <row r="153" spans="1:17" ht="20.100000000000001" customHeight="1">
      <c r="A153" s="4">
        <v>148</v>
      </c>
      <c r="B153" s="20" t="s">
        <v>176</v>
      </c>
      <c r="C153" s="6" t="s">
        <v>25</v>
      </c>
      <c r="D153" s="13" t="s">
        <v>38</v>
      </c>
      <c r="E153" s="13"/>
      <c r="F153" s="13"/>
      <c r="G153" s="13"/>
      <c r="H153" s="13"/>
      <c r="I153" s="13"/>
      <c r="J153" s="7"/>
      <c r="K153" s="8">
        <v>2</v>
      </c>
      <c r="L153" s="8"/>
      <c r="M153" s="6" t="s">
        <v>189</v>
      </c>
      <c r="N153" s="10">
        <v>6000</v>
      </c>
      <c r="O153" s="11">
        <v>2</v>
      </c>
      <c r="P153" s="12">
        <v>2</v>
      </c>
      <c r="Q153" s="12"/>
    </row>
    <row r="154" spans="1:17" ht="20.100000000000001" customHeight="1">
      <c r="A154" s="4">
        <v>149</v>
      </c>
      <c r="B154" s="20" t="s">
        <v>176</v>
      </c>
      <c r="C154" s="6" t="s">
        <v>25</v>
      </c>
      <c r="D154" s="13" t="s">
        <v>38</v>
      </c>
      <c r="E154" s="13"/>
      <c r="F154" s="13"/>
      <c r="G154" s="13"/>
      <c r="H154" s="13"/>
      <c r="I154" s="13"/>
      <c r="J154" s="7"/>
      <c r="K154" s="8">
        <v>3</v>
      </c>
      <c r="L154" s="8"/>
      <c r="M154" s="6" t="s">
        <v>190</v>
      </c>
      <c r="N154" s="10">
        <v>12200</v>
      </c>
      <c r="O154" s="11">
        <v>3</v>
      </c>
      <c r="P154" s="12">
        <v>3</v>
      </c>
      <c r="Q154" s="12"/>
    </row>
    <row r="155" spans="1:17" ht="20.100000000000001" customHeight="1">
      <c r="A155" s="4">
        <v>150</v>
      </c>
      <c r="B155" s="20" t="s">
        <v>176</v>
      </c>
      <c r="C155" s="6" t="s">
        <v>25</v>
      </c>
      <c r="D155" s="13" t="s">
        <v>38</v>
      </c>
      <c r="E155" s="13"/>
      <c r="F155" s="13"/>
      <c r="G155" s="13"/>
      <c r="H155" s="13"/>
      <c r="I155" s="13"/>
      <c r="J155" s="7"/>
      <c r="K155" s="8">
        <v>4</v>
      </c>
      <c r="L155" s="8"/>
      <c r="M155" s="6" t="s">
        <v>191</v>
      </c>
      <c r="N155" s="10">
        <v>556000</v>
      </c>
      <c r="O155" s="11">
        <v>4</v>
      </c>
      <c r="P155" s="12">
        <v>4</v>
      </c>
      <c r="Q155" s="12"/>
    </row>
    <row r="156" spans="1:17" ht="20.100000000000001" customHeight="1">
      <c r="A156" s="4">
        <v>151</v>
      </c>
      <c r="B156" s="20" t="s">
        <v>176</v>
      </c>
      <c r="C156" s="6" t="s">
        <v>25</v>
      </c>
      <c r="D156" s="7" t="s">
        <v>172</v>
      </c>
      <c r="E156" s="7"/>
      <c r="F156" s="7"/>
      <c r="G156" s="7"/>
      <c r="H156" s="7"/>
      <c r="I156" s="7"/>
      <c r="J156" s="7"/>
      <c r="K156" s="8">
        <v>1</v>
      </c>
      <c r="L156" s="8"/>
      <c r="M156" s="6" t="s">
        <v>192</v>
      </c>
      <c r="N156" s="41"/>
      <c r="O156" s="11">
        <v>1</v>
      </c>
      <c r="P156" s="12">
        <v>1</v>
      </c>
      <c r="Q156" s="12"/>
    </row>
    <row r="157" spans="1:17" ht="20.100000000000001" customHeight="1">
      <c r="A157" s="4">
        <v>152</v>
      </c>
      <c r="B157" s="20" t="s">
        <v>176</v>
      </c>
      <c r="C157" s="6" t="s">
        <v>25</v>
      </c>
      <c r="D157" s="7" t="s">
        <v>172</v>
      </c>
      <c r="E157" s="7"/>
      <c r="F157" s="7"/>
      <c r="G157" s="7"/>
      <c r="H157" s="7"/>
      <c r="I157" s="7"/>
      <c r="J157" s="7"/>
      <c r="K157" s="8">
        <v>19</v>
      </c>
      <c r="L157" s="8"/>
      <c r="M157" s="6" t="s">
        <v>193</v>
      </c>
      <c r="N157" s="10"/>
      <c r="O157" s="11">
        <v>19</v>
      </c>
      <c r="P157" s="12"/>
      <c r="Q157" s="12"/>
    </row>
    <row r="158" spans="1:17" ht="20.100000000000001" customHeight="1">
      <c r="A158" s="4">
        <v>153</v>
      </c>
      <c r="B158" s="20" t="s">
        <v>194</v>
      </c>
      <c r="C158" s="6" t="s">
        <v>25</v>
      </c>
      <c r="D158" s="7" t="s">
        <v>147</v>
      </c>
      <c r="E158" s="7"/>
      <c r="F158" s="7"/>
      <c r="G158" s="7"/>
      <c r="H158" s="7"/>
      <c r="I158" s="7"/>
      <c r="J158" s="7"/>
      <c r="K158" s="8">
        <v>1</v>
      </c>
      <c r="L158" s="8"/>
      <c r="M158" s="6" t="s">
        <v>28</v>
      </c>
      <c r="N158" s="10">
        <v>8700</v>
      </c>
      <c r="O158" s="11">
        <v>1</v>
      </c>
      <c r="P158" s="12"/>
      <c r="Q158" s="12"/>
    </row>
    <row r="159" spans="1:17" ht="20.100000000000001" customHeight="1">
      <c r="A159" s="4">
        <v>154</v>
      </c>
      <c r="B159" s="20" t="s">
        <v>194</v>
      </c>
      <c r="C159" s="6" t="s">
        <v>25</v>
      </c>
      <c r="D159" s="7" t="s">
        <v>103</v>
      </c>
      <c r="E159" s="7"/>
      <c r="F159" s="7"/>
      <c r="G159" s="7"/>
      <c r="H159" s="7"/>
      <c r="I159" s="7"/>
      <c r="J159" s="8">
        <v>4</v>
      </c>
      <c r="K159" s="14"/>
      <c r="L159" s="8"/>
      <c r="M159" s="42" t="s">
        <v>179</v>
      </c>
      <c r="N159" s="10"/>
      <c r="O159" s="11">
        <v>4</v>
      </c>
      <c r="P159" s="12"/>
      <c r="Q159" s="12"/>
    </row>
    <row r="160" spans="1:17" ht="20.100000000000001" customHeight="1">
      <c r="A160" s="4">
        <v>155</v>
      </c>
      <c r="B160" s="20" t="s">
        <v>194</v>
      </c>
      <c r="C160" s="6" t="s">
        <v>25</v>
      </c>
      <c r="D160" s="13" t="s">
        <v>163</v>
      </c>
      <c r="E160" s="13"/>
      <c r="F160" s="13"/>
      <c r="G160" s="8">
        <v>1</v>
      </c>
      <c r="H160" s="13"/>
      <c r="I160" s="13"/>
      <c r="J160" s="7"/>
      <c r="K160" s="14"/>
      <c r="L160" s="8"/>
      <c r="M160" s="6" t="s">
        <v>49</v>
      </c>
      <c r="N160" s="10">
        <v>33163633.699999999</v>
      </c>
      <c r="O160" s="11">
        <v>1</v>
      </c>
      <c r="P160" s="12"/>
      <c r="Q160" s="12"/>
    </row>
    <row r="161" spans="1:18" ht="20.100000000000001" customHeight="1">
      <c r="A161" s="4">
        <v>156</v>
      </c>
      <c r="B161" s="20" t="s">
        <v>194</v>
      </c>
      <c r="C161" s="6" t="s">
        <v>25</v>
      </c>
      <c r="D161" s="13" t="s">
        <v>163</v>
      </c>
      <c r="E161" s="13"/>
      <c r="F161" s="13"/>
      <c r="G161" s="8">
        <v>1</v>
      </c>
      <c r="H161" s="13"/>
      <c r="I161" s="13"/>
      <c r="J161" s="7"/>
      <c r="K161" s="14"/>
      <c r="L161" s="8"/>
      <c r="M161" s="6" t="s">
        <v>32</v>
      </c>
      <c r="N161" s="10">
        <v>266393.31</v>
      </c>
      <c r="O161" s="11">
        <v>1</v>
      </c>
      <c r="P161" s="12"/>
      <c r="Q161" s="12"/>
    </row>
    <row r="162" spans="1:18" ht="20.100000000000001" customHeight="1">
      <c r="A162" s="4">
        <v>157</v>
      </c>
      <c r="B162" s="20" t="s">
        <v>194</v>
      </c>
      <c r="C162" s="6" t="s">
        <v>25</v>
      </c>
      <c r="D162" s="13" t="s">
        <v>33</v>
      </c>
      <c r="E162" s="13"/>
      <c r="F162" s="13"/>
      <c r="G162" s="13"/>
      <c r="H162" s="13"/>
      <c r="I162" s="8">
        <v>4790</v>
      </c>
      <c r="J162" s="7"/>
      <c r="K162" s="17"/>
      <c r="L162" s="8"/>
      <c r="M162" s="6" t="s">
        <v>35</v>
      </c>
      <c r="N162" s="18"/>
      <c r="O162" s="11">
        <v>4790</v>
      </c>
      <c r="P162" s="12"/>
      <c r="Q162" s="12"/>
    </row>
    <row r="163" spans="1:18" ht="20.100000000000001" customHeight="1">
      <c r="A163" s="4">
        <v>158</v>
      </c>
      <c r="B163" s="20" t="s">
        <v>194</v>
      </c>
      <c r="C163" s="6" t="s">
        <v>25</v>
      </c>
      <c r="D163" s="13" t="s">
        <v>195</v>
      </c>
      <c r="E163" s="13"/>
      <c r="F163" s="13"/>
      <c r="G163" s="13"/>
      <c r="H163" s="13"/>
      <c r="I163" s="13"/>
      <c r="J163" s="7"/>
      <c r="K163" s="8">
        <v>6</v>
      </c>
      <c r="L163" s="43"/>
      <c r="M163" s="6" t="s">
        <v>196</v>
      </c>
      <c r="N163" s="16"/>
      <c r="O163" s="11">
        <v>6</v>
      </c>
      <c r="P163" s="12"/>
      <c r="Q163" s="12"/>
    </row>
    <row r="164" spans="1:18" ht="20.100000000000001" customHeight="1">
      <c r="A164" s="4">
        <v>159</v>
      </c>
      <c r="B164" s="20" t="s">
        <v>194</v>
      </c>
      <c r="C164" s="6" t="s">
        <v>25</v>
      </c>
      <c r="D164" s="13" t="s">
        <v>36</v>
      </c>
      <c r="E164" s="13"/>
      <c r="F164" s="8">
        <v>428</v>
      </c>
      <c r="G164" s="13"/>
      <c r="H164" s="13"/>
      <c r="I164" s="13"/>
      <c r="J164" s="7"/>
      <c r="K164" s="14"/>
      <c r="L164" s="8"/>
      <c r="M164" s="6" t="s">
        <v>52</v>
      </c>
      <c r="N164" s="10"/>
      <c r="O164" s="11">
        <v>428</v>
      </c>
      <c r="P164" s="12"/>
      <c r="Q164" s="12"/>
    </row>
    <row r="165" spans="1:18" ht="20.100000000000001" customHeight="1">
      <c r="A165" s="4">
        <v>160</v>
      </c>
      <c r="B165" s="20" t="s">
        <v>194</v>
      </c>
      <c r="C165" s="6" t="s">
        <v>25</v>
      </c>
      <c r="D165" s="13" t="s">
        <v>105</v>
      </c>
      <c r="E165" s="13"/>
      <c r="F165" s="13"/>
      <c r="G165" s="13"/>
      <c r="H165" s="13"/>
      <c r="I165" s="13"/>
      <c r="J165" s="7"/>
      <c r="K165" s="8">
        <v>1</v>
      </c>
      <c r="L165" s="8"/>
      <c r="M165" s="6" t="s">
        <v>197</v>
      </c>
      <c r="N165" s="10"/>
      <c r="O165" s="11">
        <v>1</v>
      </c>
      <c r="P165" s="12">
        <v>1</v>
      </c>
      <c r="Q165" s="12"/>
      <c r="R165" s="23"/>
    </row>
    <row r="166" spans="1:18" ht="20.100000000000001" customHeight="1">
      <c r="A166" s="4">
        <v>161</v>
      </c>
      <c r="B166" s="26" t="s">
        <v>198</v>
      </c>
      <c r="C166" s="6" t="s">
        <v>25</v>
      </c>
      <c r="D166" s="7" t="s">
        <v>26</v>
      </c>
      <c r="E166" s="7"/>
      <c r="F166" s="7"/>
      <c r="G166" s="7"/>
      <c r="H166" s="7"/>
      <c r="I166" s="7"/>
      <c r="J166" s="7"/>
      <c r="K166" s="8">
        <v>1</v>
      </c>
      <c r="L166" s="8"/>
      <c r="M166" s="6" t="s">
        <v>28</v>
      </c>
      <c r="N166" s="10">
        <v>13576.88</v>
      </c>
      <c r="O166" s="11">
        <v>1</v>
      </c>
      <c r="P166" s="12"/>
      <c r="Q166" s="12"/>
      <c r="R166" s="23"/>
    </row>
    <row r="167" spans="1:18" ht="20.100000000000001" customHeight="1">
      <c r="A167" s="4">
        <v>162</v>
      </c>
      <c r="B167" s="26" t="s">
        <v>198</v>
      </c>
      <c r="C167" s="6" t="s">
        <v>25</v>
      </c>
      <c r="D167" s="7" t="s">
        <v>29</v>
      </c>
      <c r="E167" s="7"/>
      <c r="F167" s="7"/>
      <c r="G167" s="8">
        <v>1</v>
      </c>
      <c r="H167" s="7"/>
      <c r="I167" s="7"/>
      <c r="J167" s="7"/>
      <c r="K167" s="14"/>
      <c r="L167" s="8"/>
      <c r="M167" s="6" t="s">
        <v>49</v>
      </c>
      <c r="N167" s="10">
        <v>-6426097.2999999998</v>
      </c>
      <c r="O167" s="11">
        <v>1</v>
      </c>
      <c r="P167" s="12"/>
      <c r="Q167" s="12"/>
    </row>
    <row r="168" spans="1:18" ht="20.100000000000001" customHeight="1">
      <c r="A168" s="4">
        <v>163</v>
      </c>
      <c r="B168" s="26" t="s">
        <v>198</v>
      </c>
      <c r="C168" s="6" t="s">
        <v>25</v>
      </c>
      <c r="D168" s="7" t="s">
        <v>29</v>
      </c>
      <c r="E168" s="7"/>
      <c r="F168" s="7"/>
      <c r="G168" s="8">
        <v>1</v>
      </c>
      <c r="H168" s="7"/>
      <c r="I168" s="7"/>
      <c r="J168" s="7"/>
      <c r="K168" s="14"/>
      <c r="L168" s="8"/>
      <c r="M168" s="6" t="s">
        <v>32</v>
      </c>
      <c r="N168" s="10">
        <v>28.19</v>
      </c>
      <c r="O168" s="11">
        <v>1</v>
      </c>
      <c r="P168" s="12"/>
      <c r="Q168" s="12"/>
    </row>
    <row r="169" spans="1:18" ht="20.100000000000001" customHeight="1">
      <c r="A169" s="4">
        <v>164</v>
      </c>
      <c r="B169" s="26" t="s">
        <v>198</v>
      </c>
      <c r="C169" s="6" t="s">
        <v>25</v>
      </c>
      <c r="D169" s="7" t="s">
        <v>29</v>
      </c>
      <c r="E169" s="7"/>
      <c r="F169" s="7"/>
      <c r="G169" s="8">
        <v>1</v>
      </c>
      <c r="H169" s="7"/>
      <c r="I169" s="7"/>
      <c r="J169" s="7"/>
      <c r="K169" s="14"/>
      <c r="L169" s="8"/>
      <c r="M169" s="6" t="s">
        <v>199</v>
      </c>
      <c r="N169" s="10">
        <v>68</v>
      </c>
      <c r="O169" s="11">
        <v>1</v>
      </c>
      <c r="P169" s="12"/>
      <c r="Q169" s="12"/>
    </row>
    <row r="170" spans="1:18" ht="20.100000000000001" customHeight="1">
      <c r="A170" s="4">
        <v>165</v>
      </c>
      <c r="B170" s="26" t="s">
        <v>198</v>
      </c>
      <c r="C170" s="6" t="s">
        <v>25</v>
      </c>
      <c r="D170" s="7" t="s">
        <v>33</v>
      </c>
      <c r="E170" s="7"/>
      <c r="F170" s="7"/>
      <c r="G170" s="7"/>
      <c r="H170" s="7"/>
      <c r="I170" s="8">
        <v>300</v>
      </c>
      <c r="J170" s="7"/>
      <c r="K170" s="17"/>
      <c r="L170" s="8"/>
      <c r="M170" s="6" t="s">
        <v>35</v>
      </c>
      <c r="N170" s="10"/>
      <c r="O170" s="11">
        <v>300</v>
      </c>
      <c r="P170" s="12">
        <v>20</v>
      </c>
      <c r="Q170" s="12"/>
    </row>
    <row r="171" spans="1:18" ht="20.100000000000001" customHeight="1">
      <c r="A171" s="4">
        <v>166</v>
      </c>
      <c r="B171" s="26" t="s">
        <v>198</v>
      </c>
      <c r="C171" s="6" t="s">
        <v>25</v>
      </c>
      <c r="D171" s="7" t="s">
        <v>36</v>
      </c>
      <c r="E171" s="7"/>
      <c r="F171" s="9">
        <v>49</v>
      </c>
      <c r="G171" s="7"/>
      <c r="H171" s="7"/>
      <c r="I171" s="7"/>
      <c r="J171" s="7"/>
      <c r="K171" s="14"/>
      <c r="L171" s="21"/>
      <c r="M171" s="6" t="s">
        <v>52</v>
      </c>
      <c r="N171" s="16"/>
      <c r="O171" s="11">
        <v>49</v>
      </c>
      <c r="P171" s="12">
        <v>4</v>
      </c>
      <c r="Q171" s="12"/>
    </row>
    <row r="172" spans="1:18" ht="20.100000000000001" customHeight="1">
      <c r="A172" s="4">
        <v>167</v>
      </c>
      <c r="B172" s="26" t="s">
        <v>198</v>
      </c>
      <c r="C172" s="6" t="s">
        <v>25</v>
      </c>
      <c r="D172" s="7" t="s">
        <v>38</v>
      </c>
      <c r="E172" s="7"/>
      <c r="F172" s="7"/>
      <c r="G172" s="7"/>
      <c r="H172" s="7"/>
      <c r="I172" s="7"/>
      <c r="J172" s="7"/>
      <c r="K172" s="9">
        <v>1</v>
      </c>
      <c r="L172" s="21"/>
      <c r="M172" s="6" t="s">
        <v>200</v>
      </c>
      <c r="N172" s="16">
        <v>90000</v>
      </c>
      <c r="O172" s="11">
        <v>1</v>
      </c>
      <c r="P172" s="12">
        <v>1</v>
      </c>
      <c r="Q172" s="12"/>
    </row>
    <row r="173" spans="1:18" ht="20.100000000000001" customHeight="1">
      <c r="A173" s="4">
        <v>168</v>
      </c>
      <c r="B173" s="26" t="s">
        <v>198</v>
      </c>
      <c r="C173" s="6" t="s">
        <v>25</v>
      </c>
      <c r="D173" s="7" t="s">
        <v>38</v>
      </c>
      <c r="E173" s="7"/>
      <c r="F173" s="7"/>
      <c r="G173" s="7"/>
      <c r="H173" s="7"/>
      <c r="I173" s="7"/>
      <c r="J173" s="7"/>
      <c r="K173" s="9">
        <v>1</v>
      </c>
      <c r="L173" s="21"/>
      <c r="M173" s="6" t="s">
        <v>201</v>
      </c>
      <c r="N173" s="16">
        <v>10300</v>
      </c>
      <c r="O173" s="11">
        <v>1</v>
      </c>
      <c r="P173" s="12">
        <v>1</v>
      </c>
      <c r="Q173" s="12"/>
    </row>
    <row r="174" spans="1:18" ht="20.100000000000001" customHeight="1">
      <c r="A174" s="4">
        <v>169</v>
      </c>
      <c r="B174" s="26" t="s">
        <v>198</v>
      </c>
      <c r="C174" s="6" t="s">
        <v>25</v>
      </c>
      <c r="D174" s="7" t="s">
        <v>38</v>
      </c>
      <c r="E174" s="7"/>
      <c r="F174" s="7"/>
      <c r="G174" s="7"/>
      <c r="H174" s="7"/>
      <c r="I174" s="7"/>
      <c r="J174" s="7"/>
      <c r="K174" s="8">
        <v>1</v>
      </c>
      <c r="L174" s="8"/>
      <c r="M174" s="6" t="s">
        <v>202</v>
      </c>
      <c r="N174" s="10">
        <v>2200</v>
      </c>
      <c r="O174" s="11">
        <v>1</v>
      </c>
      <c r="P174" s="12">
        <v>1</v>
      </c>
      <c r="Q174" s="12"/>
    </row>
    <row r="175" spans="1:18" ht="20.100000000000001" customHeight="1">
      <c r="A175" s="4">
        <v>170</v>
      </c>
      <c r="B175" s="26" t="s">
        <v>198</v>
      </c>
      <c r="C175" s="6" t="s">
        <v>25</v>
      </c>
      <c r="D175" s="7" t="s">
        <v>38</v>
      </c>
      <c r="E175" s="7"/>
      <c r="F175" s="7"/>
      <c r="G175" s="7"/>
      <c r="H175" s="7"/>
      <c r="I175" s="7"/>
      <c r="J175" s="7"/>
      <c r="K175" s="8">
        <v>1</v>
      </c>
      <c r="L175" s="8"/>
      <c r="M175" s="6" t="s">
        <v>203</v>
      </c>
      <c r="N175" s="10">
        <v>200000</v>
      </c>
      <c r="O175" s="11">
        <v>1</v>
      </c>
      <c r="P175" s="12">
        <v>1</v>
      </c>
      <c r="Q175" s="12"/>
    </row>
    <row r="176" spans="1:18" ht="20.100000000000001" customHeight="1">
      <c r="A176" s="4">
        <v>171</v>
      </c>
      <c r="B176" s="26" t="s">
        <v>198</v>
      </c>
      <c r="C176" s="6" t="s">
        <v>25</v>
      </c>
      <c r="D176" s="7" t="s">
        <v>38</v>
      </c>
      <c r="E176" s="7"/>
      <c r="F176" s="7"/>
      <c r="G176" s="7"/>
      <c r="H176" s="7"/>
      <c r="I176" s="7"/>
      <c r="J176" s="7"/>
      <c r="K176" s="8">
        <v>1</v>
      </c>
      <c r="L176" s="8"/>
      <c r="M176" s="6" t="s">
        <v>204</v>
      </c>
      <c r="N176" s="10">
        <v>50000</v>
      </c>
      <c r="O176" s="11">
        <v>1</v>
      </c>
      <c r="P176" s="12">
        <v>1</v>
      </c>
      <c r="Q176" s="12"/>
    </row>
    <row r="177" spans="1:17" ht="20.100000000000001" customHeight="1">
      <c r="A177" s="4">
        <v>172</v>
      </c>
      <c r="B177" s="6" t="s">
        <v>205</v>
      </c>
      <c r="C177" s="6" t="s">
        <v>25</v>
      </c>
      <c r="D177" s="7" t="s">
        <v>26</v>
      </c>
      <c r="E177" s="7"/>
      <c r="F177" s="7"/>
      <c r="G177" s="7"/>
      <c r="H177" s="7"/>
      <c r="I177" s="7"/>
      <c r="J177" s="7"/>
      <c r="K177" s="8">
        <v>1</v>
      </c>
      <c r="L177" s="8"/>
      <c r="M177" s="6" t="s">
        <v>206</v>
      </c>
      <c r="N177" s="10">
        <v>-98152.55</v>
      </c>
      <c r="O177" s="11">
        <v>1</v>
      </c>
      <c r="P177" s="12"/>
      <c r="Q177" s="12"/>
    </row>
    <row r="178" spans="1:17" ht="20.100000000000001" customHeight="1">
      <c r="A178" s="4">
        <v>173</v>
      </c>
      <c r="B178" s="6" t="s">
        <v>205</v>
      </c>
      <c r="C178" s="6" t="s">
        <v>25</v>
      </c>
      <c r="D178" s="7" t="s">
        <v>103</v>
      </c>
      <c r="E178" s="7"/>
      <c r="F178" s="7"/>
      <c r="G178" s="7"/>
      <c r="H178" s="7"/>
      <c r="I178" s="7"/>
      <c r="J178" s="8">
        <v>1</v>
      </c>
      <c r="K178" s="14"/>
      <c r="L178" s="8"/>
      <c r="M178" s="6" t="s">
        <v>179</v>
      </c>
      <c r="N178" s="10"/>
      <c r="O178" s="11">
        <v>1</v>
      </c>
      <c r="P178" s="12"/>
      <c r="Q178" s="12"/>
    </row>
    <row r="179" spans="1:17" ht="20.100000000000001" customHeight="1">
      <c r="A179" s="4">
        <v>174</v>
      </c>
      <c r="B179" s="6" t="s">
        <v>205</v>
      </c>
      <c r="C179" s="6" t="s">
        <v>25</v>
      </c>
      <c r="D179" s="7" t="s">
        <v>29</v>
      </c>
      <c r="E179" s="7"/>
      <c r="F179" s="7"/>
      <c r="G179" s="8">
        <v>1</v>
      </c>
      <c r="H179" s="7"/>
      <c r="I179" s="7"/>
      <c r="J179" s="7"/>
      <c r="K179" s="14"/>
      <c r="L179" s="8"/>
      <c r="M179" s="6" t="s">
        <v>119</v>
      </c>
      <c r="N179" s="10">
        <v>-2092032.42</v>
      </c>
      <c r="O179" s="11">
        <v>1</v>
      </c>
      <c r="P179" s="12"/>
      <c r="Q179" s="12"/>
    </row>
    <row r="180" spans="1:17" ht="20.100000000000001" customHeight="1">
      <c r="A180" s="4">
        <v>175</v>
      </c>
      <c r="B180" s="6" t="s">
        <v>205</v>
      </c>
      <c r="C180" s="6" t="s">
        <v>25</v>
      </c>
      <c r="D180" s="7" t="s">
        <v>29</v>
      </c>
      <c r="E180" s="7"/>
      <c r="F180" s="7"/>
      <c r="G180" s="8">
        <v>1</v>
      </c>
      <c r="H180" s="7"/>
      <c r="I180" s="7"/>
      <c r="J180" s="7"/>
      <c r="K180" s="14"/>
      <c r="L180" s="8"/>
      <c r="M180" s="6" t="s">
        <v>49</v>
      </c>
      <c r="N180" s="10">
        <v>38347971.5</v>
      </c>
      <c r="O180" s="11">
        <v>1</v>
      </c>
      <c r="P180" s="12"/>
      <c r="Q180" s="12"/>
    </row>
    <row r="181" spans="1:17" ht="20.100000000000001" customHeight="1">
      <c r="A181" s="4">
        <v>176</v>
      </c>
      <c r="B181" s="6" t="s">
        <v>205</v>
      </c>
      <c r="C181" s="6" t="s">
        <v>25</v>
      </c>
      <c r="D181" s="7" t="s">
        <v>29</v>
      </c>
      <c r="E181" s="7"/>
      <c r="F181" s="7"/>
      <c r="G181" s="8">
        <v>1</v>
      </c>
      <c r="H181" s="7"/>
      <c r="I181" s="7"/>
      <c r="J181" s="7"/>
      <c r="K181" s="14"/>
      <c r="L181" s="8"/>
      <c r="M181" s="6" t="s">
        <v>32</v>
      </c>
      <c r="N181" s="10">
        <v>-397524.62</v>
      </c>
      <c r="O181" s="11">
        <v>1</v>
      </c>
      <c r="P181" s="12"/>
      <c r="Q181" s="12"/>
    </row>
    <row r="182" spans="1:17" ht="20.100000000000001" customHeight="1">
      <c r="A182" s="4">
        <v>177</v>
      </c>
      <c r="B182" s="6" t="s">
        <v>205</v>
      </c>
      <c r="C182" s="6" t="s">
        <v>25</v>
      </c>
      <c r="D182" s="7" t="s">
        <v>29</v>
      </c>
      <c r="E182" s="7"/>
      <c r="F182" s="7"/>
      <c r="G182" s="8">
        <v>1</v>
      </c>
      <c r="H182" s="7"/>
      <c r="I182" s="7"/>
      <c r="J182" s="7"/>
      <c r="K182" s="14"/>
      <c r="L182" s="8"/>
      <c r="M182" s="6" t="s">
        <v>207</v>
      </c>
      <c r="N182" s="10">
        <v>-1235231.95</v>
      </c>
      <c r="O182" s="11">
        <v>1</v>
      </c>
      <c r="P182" s="12"/>
      <c r="Q182" s="12"/>
    </row>
    <row r="183" spans="1:17" ht="20.100000000000001" customHeight="1">
      <c r="A183" s="4">
        <v>178</v>
      </c>
      <c r="B183" s="6" t="s">
        <v>205</v>
      </c>
      <c r="C183" s="6" t="s">
        <v>25</v>
      </c>
      <c r="D183" s="7" t="s">
        <v>29</v>
      </c>
      <c r="E183" s="7"/>
      <c r="F183" s="7"/>
      <c r="G183" s="7"/>
      <c r="H183" s="7"/>
      <c r="I183" s="7"/>
      <c r="J183" s="7"/>
      <c r="K183" s="9">
        <v>1</v>
      </c>
      <c r="L183" s="21"/>
      <c r="M183" s="6" t="s">
        <v>208</v>
      </c>
      <c r="N183" s="10">
        <v>2083231.92</v>
      </c>
      <c r="O183" s="11">
        <v>1</v>
      </c>
      <c r="P183" s="12"/>
      <c r="Q183" s="12"/>
    </row>
    <row r="184" spans="1:17" ht="20.100000000000001" customHeight="1">
      <c r="A184" s="4">
        <v>179</v>
      </c>
      <c r="B184" s="6" t="s">
        <v>205</v>
      </c>
      <c r="C184" s="6" t="s">
        <v>25</v>
      </c>
      <c r="D184" s="7" t="s">
        <v>29</v>
      </c>
      <c r="E184" s="7"/>
      <c r="F184" s="7"/>
      <c r="G184" s="7"/>
      <c r="H184" s="7"/>
      <c r="I184" s="7"/>
      <c r="J184" s="7"/>
      <c r="K184" s="9">
        <v>1</v>
      </c>
      <c r="L184" s="21"/>
      <c r="M184" s="6" t="s">
        <v>209</v>
      </c>
      <c r="N184" s="16">
        <v>6888.06</v>
      </c>
      <c r="O184" s="11">
        <v>1</v>
      </c>
      <c r="P184" s="12"/>
      <c r="Q184" s="12"/>
    </row>
    <row r="185" spans="1:17" ht="20.100000000000001" customHeight="1">
      <c r="A185" s="4">
        <v>180</v>
      </c>
      <c r="B185" s="6" t="s">
        <v>205</v>
      </c>
      <c r="C185" s="6" t="s">
        <v>25</v>
      </c>
      <c r="D185" s="7" t="s">
        <v>29</v>
      </c>
      <c r="E185" s="7"/>
      <c r="F185" s="7"/>
      <c r="G185" s="7"/>
      <c r="H185" s="7"/>
      <c r="I185" s="7"/>
      <c r="J185" s="7"/>
      <c r="K185" s="9">
        <v>1</v>
      </c>
      <c r="L185" s="21"/>
      <c r="M185" s="6" t="s">
        <v>210</v>
      </c>
      <c r="N185" s="16">
        <v>2256.89</v>
      </c>
      <c r="O185" s="11">
        <v>1</v>
      </c>
      <c r="P185" s="12"/>
      <c r="Q185" s="12"/>
    </row>
    <row r="186" spans="1:17" ht="20.100000000000001" customHeight="1">
      <c r="A186" s="4">
        <v>181</v>
      </c>
      <c r="B186" s="6" t="s">
        <v>205</v>
      </c>
      <c r="C186" s="6" t="s">
        <v>25</v>
      </c>
      <c r="D186" s="7" t="s">
        <v>29</v>
      </c>
      <c r="E186" s="7"/>
      <c r="F186" s="7"/>
      <c r="G186" s="7"/>
      <c r="H186" s="7"/>
      <c r="I186" s="7"/>
      <c r="J186" s="7"/>
      <c r="K186" s="9">
        <v>1</v>
      </c>
      <c r="L186" s="21"/>
      <c r="M186" s="6" t="s">
        <v>211</v>
      </c>
      <c r="N186" s="16">
        <v>728</v>
      </c>
      <c r="O186" s="11">
        <v>1</v>
      </c>
      <c r="P186" s="12"/>
      <c r="Q186" s="12"/>
    </row>
    <row r="187" spans="1:17" ht="20.100000000000001" customHeight="1">
      <c r="A187" s="4">
        <v>182</v>
      </c>
      <c r="B187" s="6" t="s">
        <v>205</v>
      </c>
      <c r="C187" s="6" t="s">
        <v>25</v>
      </c>
      <c r="D187" s="7" t="s">
        <v>29</v>
      </c>
      <c r="E187" s="7"/>
      <c r="F187" s="7"/>
      <c r="G187" s="7"/>
      <c r="H187" s="7"/>
      <c r="I187" s="7"/>
      <c r="J187" s="7"/>
      <c r="K187" s="9">
        <v>1</v>
      </c>
      <c r="L187" s="21"/>
      <c r="M187" s="6" t="s">
        <v>210</v>
      </c>
      <c r="N187" s="16">
        <v>17.48</v>
      </c>
      <c r="O187" s="11">
        <v>1</v>
      </c>
      <c r="P187" s="12"/>
      <c r="Q187" s="12"/>
    </row>
    <row r="188" spans="1:17" ht="20.100000000000001" customHeight="1">
      <c r="A188" s="4">
        <v>183</v>
      </c>
      <c r="B188" s="6" t="s">
        <v>205</v>
      </c>
      <c r="C188" s="6" t="s">
        <v>25</v>
      </c>
      <c r="D188" s="7" t="s">
        <v>29</v>
      </c>
      <c r="E188" s="7"/>
      <c r="F188" s="7"/>
      <c r="G188" s="7"/>
      <c r="H188" s="7"/>
      <c r="I188" s="7"/>
      <c r="J188" s="7"/>
      <c r="K188" s="9">
        <v>1</v>
      </c>
      <c r="L188" s="21"/>
      <c r="M188" s="6" t="s">
        <v>212</v>
      </c>
      <c r="N188" s="16">
        <v>755.09</v>
      </c>
      <c r="O188" s="11">
        <v>1</v>
      </c>
      <c r="P188" s="12"/>
      <c r="Q188" s="12"/>
    </row>
    <row r="189" spans="1:17" ht="20.100000000000001" customHeight="1">
      <c r="A189" s="4">
        <v>184</v>
      </c>
      <c r="B189" s="6" t="s">
        <v>205</v>
      </c>
      <c r="C189" s="6" t="s">
        <v>25</v>
      </c>
      <c r="D189" s="7" t="s">
        <v>33</v>
      </c>
      <c r="E189" s="7"/>
      <c r="F189" s="7"/>
      <c r="G189" s="7"/>
      <c r="H189" s="9">
        <v>7</v>
      </c>
      <c r="I189" s="7"/>
      <c r="J189" s="7"/>
      <c r="K189" s="14"/>
      <c r="L189" s="21"/>
      <c r="M189" s="6" t="s">
        <v>34</v>
      </c>
      <c r="N189" s="16">
        <v>0</v>
      </c>
      <c r="O189" s="11">
        <v>7</v>
      </c>
      <c r="P189" s="12"/>
      <c r="Q189" s="12"/>
    </row>
    <row r="190" spans="1:17" ht="20.100000000000001" customHeight="1">
      <c r="A190" s="4">
        <v>185</v>
      </c>
      <c r="B190" s="6" t="s">
        <v>205</v>
      </c>
      <c r="C190" s="6" t="s">
        <v>25</v>
      </c>
      <c r="D190" s="7" t="s">
        <v>33</v>
      </c>
      <c r="E190" s="7"/>
      <c r="F190" s="7"/>
      <c r="G190" s="7"/>
      <c r="H190" s="7"/>
      <c r="I190" s="9">
        <v>959</v>
      </c>
      <c r="J190" s="7"/>
      <c r="K190" s="17"/>
      <c r="L190" s="21"/>
      <c r="M190" s="6" t="s">
        <v>35</v>
      </c>
      <c r="N190" s="16"/>
      <c r="O190" s="11">
        <v>959</v>
      </c>
      <c r="P190" s="12"/>
      <c r="Q190" s="12"/>
    </row>
    <row r="191" spans="1:17" ht="20.100000000000001" customHeight="1">
      <c r="A191" s="4">
        <v>186</v>
      </c>
      <c r="B191" s="6" t="s">
        <v>205</v>
      </c>
      <c r="C191" s="6" t="s">
        <v>25</v>
      </c>
      <c r="D191" s="7" t="s">
        <v>36</v>
      </c>
      <c r="E191" s="7"/>
      <c r="F191" s="9">
        <v>230</v>
      </c>
      <c r="G191" s="7"/>
      <c r="H191" s="7"/>
      <c r="I191" s="7"/>
      <c r="J191" s="7"/>
      <c r="K191" s="14"/>
      <c r="L191" s="21"/>
      <c r="M191" s="6" t="s">
        <v>213</v>
      </c>
      <c r="N191" s="16"/>
      <c r="O191" s="11">
        <v>230</v>
      </c>
      <c r="P191" s="12"/>
      <c r="Q191" s="12"/>
    </row>
    <row r="192" spans="1:17" ht="20.100000000000001" customHeight="1">
      <c r="A192" s="4">
        <v>187</v>
      </c>
      <c r="B192" s="6" t="s">
        <v>205</v>
      </c>
      <c r="C192" s="6" t="s">
        <v>25</v>
      </c>
      <c r="D192" s="7" t="s">
        <v>38</v>
      </c>
      <c r="E192" s="7"/>
      <c r="F192" s="7"/>
      <c r="G192" s="7"/>
      <c r="H192" s="7"/>
      <c r="I192" s="7"/>
      <c r="J192" s="7"/>
      <c r="K192" s="9">
        <v>1</v>
      </c>
      <c r="L192" s="21" t="s">
        <v>214</v>
      </c>
      <c r="M192" s="6" t="s">
        <v>215</v>
      </c>
      <c r="N192" s="16">
        <v>2000</v>
      </c>
      <c r="O192" s="11">
        <v>1</v>
      </c>
      <c r="P192" s="12"/>
      <c r="Q192" s="12"/>
    </row>
    <row r="193" spans="1:17" ht="20.100000000000001" customHeight="1">
      <c r="A193" s="4">
        <v>188</v>
      </c>
      <c r="B193" s="6" t="s">
        <v>205</v>
      </c>
      <c r="C193" s="6" t="s">
        <v>25</v>
      </c>
      <c r="D193" s="7" t="s">
        <v>38</v>
      </c>
      <c r="E193" s="7"/>
      <c r="F193" s="7"/>
      <c r="G193" s="7"/>
      <c r="H193" s="7"/>
      <c r="I193" s="7"/>
      <c r="J193" s="7"/>
      <c r="K193" s="8">
        <v>1</v>
      </c>
      <c r="L193" s="22">
        <v>46058</v>
      </c>
      <c r="M193" s="6" t="s">
        <v>216</v>
      </c>
      <c r="N193" s="10">
        <v>2302000</v>
      </c>
      <c r="O193" s="11">
        <v>1</v>
      </c>
      <c r="P193" s="12"/>
      <c r="Q193" s="12"/>
    </row>
    <row r="194" spans="1:17" ht="20.100000000000001" customHeight="1">
      <c r="A194" s="4">
        <v>189</v>
      </c>
      <c r="B194" s="6" t="s">
        <v>205</v>
      </c>
      <c r="C194" s="6" t="s">
        <v>25</v>
      </c>
      <c r="D194" s="7" t="s">
        <v>38</v>
      </c>
      <c r="E194" s="7"/>
      <c r="F194" s="7"/>
      <c r="G194" s="7"/>
      <c r="H194" s="7"/>
      <c r="I194" s="7"/>
      <c r="J194" s="7"/>
      <c r="K194" s="8">
        <v>1</v>
      </c>
      <c r="L194" s="22">
        <v>46180</v>
      </c>
      <c r="M194" s="6" t="s">
        <v>217</v>
      </c>
      <c r="N194" s="10">
        <v>100000</v>
      </c>
      <c r="O194" s="11">
        <v>1</v>
      </c>
      <c r="P194" s="12"/>
      <c r="Q194" s="12"/>
    </row>
    <row r="195" spans="1:17" ht="20.100000000000001" customHeight="1">
      <c r="A195" s="4">
        <v>190</v>
      </c>
      <c r="B195" s="6" t="s">
        <v>205</v>
      </c>
      <c r="C195" s="6" t="s">
        <v>25</v>
      </c>
      <c r="D195" s="7" t="s">
        <v>38</v>
      </c>
      <c r="E195" s="7"/>
      <c r="F195" s="7"/>
      <c r="G195" s="7"/>
      <c r="H195" s="7"/>
      <c r="I195" s="7"/>
      <c r="J195" s="7"/>
      <c r="K195" s="8">
        <v>1</v>
      </c>
      <c r="L195" s="22">
        <v>46210</v>
      </c>
      <c r="M195" s="6" t="s">
        <v>218</v>
      </c>
      <c r="N195" s="10">
        <v>65000</v>
      </c>
      <c r="O195" s="11">
        <v>1</v>
      </c>
      <c r="P195" s="12"/>
      <c r="Q195" s="12"/>
    </row>
    <row r="196" spans="1:17" ht="20.100000000000001" customHeight="1">
      <c r="A196" s="4">
        <v>191</v>
      </c>
      <c r="B196" s="6" t="s">
        <v>205</v>
      </c>
      <c r="C196" s="6" t="s">
        <v>25</v>
      </c>
      <c r="D196" s="7" t="s">
        <v>38</v>
      </c>
      <c r="E196" s="7"/>
      <c r="F196" s="7"/>
      <c r="G196" s="7"/>
      <c r="H196" s="7"/>
      <c r="I196" s="7"/>
      <c r="J196" s="7"/>
      <c r="K196" s="8">
        <v>1</v>
      </c>
      <c r="L196" s="8" t="s">
        <v>219</v>
      </c>
      <c r="M196" s="6" t="s">
        <v>220</v>
      </c>
      <c r="N196" s="10">
        <v>400000</v>
      </c>
      <c r="O196" s="11">
        <v>1</v>
      </c>
      <c r="P196" s="12"/>
      <c r="Q196" s="12"/>
    </row>
    <row r="197" spans="1:17" ht="20.100000000000001" customHeight="1">
      <c r="A197" s="4">
        <v>192</v>
      </c>
      <c r="B197" s="6" t="s">
        <v>205</v>
      </c>
      <c r="C197" s="6" t="s">
        <v>25</v>
      </c>
      <c r="D197" s="7" t="s">
        <v>38</v>
      </c>
      <c r="E197" s="7"/>
      <c r="F197" s="7"/>
      <c r="G197" s="7"/>
      <c r="H197" s="7"/>
      <c r="I197" s="7"/>
      <c r="J197" s="7"/>
      <c r="K197" s="8">
        <v>1</v>
      </c>
      <c r="L197" s="8" t="s">
        <v>219</v>
      </c>
      <c r="M197" s="6" t="s">
        <v>220</v>
      </c>
      <c r="N197" s="10">
        <v>1000000</v>
      </c>
      <c r="O197" s="11">
        <v>1</v>
      </c>
      <c r="P197" s="12"/>
      <c r="Q197" s="12"/>
    </row>
    <row r="198" spans="1:17" ht="20.100000000000001" customHeight="1">
      <c r="A198" s="4">
        <v>193</v>
      </c>
      <c r="B198" s="6" t="s">
        <v>205</v>
      </c>
      <c r="C198" s="6" t="s">
        <v>25</v>
      </c>
      <c r="D198" s="7" t="s">
        <v>38</v>
      </c>
      <c r="E198" s="7"/>
      <c r="F198" s="7"/>
      <c r="G198" s="7"/>
      <c r="H198" s="7"/>
      <c r="I198" s="7"/>
      <c r="J198" s="7"/>
      <c r="K198" s="8">
        <v>1</v>
      </c>
      <c r="L198" s="8" t="s">
        <v>221</v>
      </c>
      <c r="M198" s="6" t="s">
        <v>222</v>
      </c>
      <c r="N198" s="10">
        <v>32000</v>
      </c>
      <c r="O198" s="11">
        <v>1</v>
      </c>
      <c r="P198" s="12"/>
      <c r="Q198" s="12"/>
    </row>
    <row r="199" spans="1:17" ht="20.100000000000001" customHeight="1">
      <c r="A199" s="4">
        <v>194</v>
      </c>
      <c r="B199" s="6" t="s">
        <v>205</v>
      </c>
      <c r="C199" s="6" t="s">
        <v>25</v>
      </c>
      <c r="D199" s="7" t="s">
        <v>38</v>
      </c>
      <c r="E199" s="7"/>
      <c r="F199" s="7"/>
      <c r="G199" s="7"/>
      <c r="H199" s="7"/>
      <c r="I199" s="7"/>
      <c r="J199" s="7"/>
      <c r="K199" s="8">
        <v>1</v>
      </c>
      <c r="L199" s="8" t="s">
        <v>223</v>
      </c>
      <c r="M199" s="6" t="s">
        <v>224</v>
      </c>
      <c r="N199" s="10">
        <v>10000</v>
      </c>
      <c r="O199" s="11">
        <v>1</v>
      </c>
      <c r="P199" s="12"/>
      <c r="Q199" s="12"/>
    </row>
    <row r="200" spans="1:17" ht="20.100000000000001" customHeight="1">
      <c r="A200" s="4">
        <v>195</v>
      </c>
      <c r="B200" s="6" t="s">
        <v>205</v>
      </c>
      <c r="C200" s="6" t="s">
        <v>25</v>
      </c>
      <c r="D200" s="7" t="s">
        <v>105</v>
      </c>
      <c r="E200" s="7"/>
      <c r="F200" s="7"/>
      <c r="G200" s="7"/>
      <c r="H200" s="7"/>
      <c r="I200" s="7"/>
      <c r="J200" s="7"/>
      <c r="K200" s="8">
        <v>1</v>
      </c>
      <c r="L200" s="8"/>
      <c r="M200" s="6" t="s">
        <v>225</v>
      </c>
      <c r="N200" s="10"/>
      <c r="O200" s="11">
        <v>1</v>
      </c>
      <c r="P200" s="12"/>
      <c r="Q200" s="12"/>
    </row>
    <row r="201" spans="1:17" ht="20.100000000000001" customHeight="1">
      <c r="A201" s="4">
        <v>196</v>
      </c>
      <c r="B201" s="6" t="s">
        <v>226</v>
      </c>
      <c r="C201" s="6" t="s">
        <v>25</v>
      </c>
      <c r="D201" s="7" t="s">
        <v>26</v>
      </c>
      <c r="E201" s="7"/>
      <c r="F201" s="7"/>
      <c r="G201" s="7"/>
      <c r="H201" s="7"/>
      <c r="I201" s="7"/>
      <c r="J201" s="7"/>
      <c r="K201" s="8">
        <v>1</v>
      </c>
      <c r="L201" s="8" t="s">
        <v>100</v>
      </c>
      <c r="M201" s="6" t="s">
        <v>227</v>
      </c>
      <c r="N201" s="10">
        <v>164513.34</v>
      </c>
      <c r="O201" s="11">
        <v>1</v>
      </c>
      <c r="P201" s="12"/>
      <c r="Q201" s="12"/>
    </row>
    <row r="202" spans="1:17" ht="20.100000000000001" customHeight="1">
      <c r="A202" s="4">
        <v>197</v>
      </c>
      <c r="B202" s="6" t="s">
        <v>226</v>
      </c>
      <c r="C202" s="6" t="s">
        <v>25</v>
      </c>
      <c r="D202" s="7" t="s">
        <v>26</v>
      </c>
      <c r="E202" s="7"/>
      <c r="F202" s="7"/>
      <c r="G202" s="7"/>
      <c r="H202" s="7"/>
      <c r="I202" s="7"/>
      <c r="J202" s="7"/>
      <c r="K202" s="8">
        <v>1</v>
      </c>
      <c r="L202" s="8" t="s">
        <v>100</v>
      </c>
      <c r="M202" s="6" t="s">
        <v>228</v>
      </c>
      <c r="N202" s="10">
        <v>237659</v>
      </c>
      <c r="O202" s="11">
        <v>1</v>
      </c>
      <c r="P202" s="12"/>
      <c r="Q202" s="12"/>
    </row>
    <row r="203" spans="1:17" ht="20.100000000000001" customHeight="1">
      <c r="A203" s="4">
        <v>198</v>
      </c>
      <c r="B203" s="6" t="s">
        <v>226</v>
      </c>
      <c r="C203" s="6" t="s">
        <v>25</v>
      </c>
      <c r="D203" s="7" t="s">
        <v>29</v>
      </c>
      <c r="E203" s="7"/>
      <c r="F203" s="7"/>
      <c r="G203" s="8">
        <v>1</v>
      </c>
      <c r="H203" s="7"/>
      <c r="I203" s="7"/>
      <c r="J203" s="7"/>
      <c r="K203" s="14"/>
      <c r="L203" s="8" t="s">
        <v>100</v>
      </c>
      <c r="M203" s="6" t="s">
        <v>49</v>
      </c>
      <c r="N203" s="10">
        <v>-12879938.16</v>
      </c>
      <c r="O203" s="11">
        <v>1</v>
      </c>
      <c r="P203" s="12"/>
      <c r="Q203" s="12"/>
    </row>
    <row r="204" spans="1:17" ht="20.100000000000001" customHeight="1">
      <c r="A204" s="4">
        <v>199</v>
      </c>
      <c r="B204" s="6" t="s">
        <v>226</v>
      </c>
      <c r="C204" s="6" t="s">
        <v>25</v>
      </c>
      <c r="D204" s="7" t="s">
        <v>29</v>
      </c>
      <c r="E204" s="7"/>
      <c r="F204" s="7"/>
      <c r="G204" s="8">
        <v>1</v>
      </c>
      <c r="H204" s="7"/>
      <c r="I204" s="7"/>
      <c r="J204" s="7"/>
      <c r="K204" s="14"/>
      <c r="L204" s="8" t="s">
        <v>100</v>
      </c>
      <c r="M204" s="6" t="s">
        <v>32</v>
      </c>
      <c r="N204" s="10">
        <v>-19560.72</v>
      </c>
      <c r="O204" s="11">
        <v>1</v>
      </c>
      <c r="P204" s="12"/>
      <c r="Q204" s="12"/>
    </row>
    <row r="205" spans="1:17" ht="20.100000000000001" customHeight="1">
      <c r="A205" s="4">
        <v>200</v>
      </c>
      <c r="B205" s="6" t="s">
        <v>226</v>
      </c>
      <c r="C205" s="6" t="s">
        <v>25</v>
      </c>
      <c r="D205" s="7" t="s">
        <v>29</v>
      </c>
      <c r="E205" s="7"/>
      <c r="F205" s="7"/>
      <c r="G205" s="8">
        <v>1</v>
      </c>
      <c r="H205" s="7"/>
      <c r="I205" s="7"/>
      <c r="J205" s="7"/>
      <c r="K205" s="14"/>
      <c r="L205" s="8" t="s">
        <v>100</v>
      </c>
      <c r="M205" s="6" t="s">
        <v>50</v>
      </c>
      <c r="N205" s="10">
        <v>3288.21</v>
      </c>
      <c r="O205" s="11">
        <v>1</v>
      </c>
      <c r="P205" s="12"/>
      <c r="Q205" s="12"/>
    </row>
    <row r="206" spans="1:17" ht="20.100000000000001" customHeight="1">
      <c r="A206" s="4">
        <v>201</v>
      </c>
      <c r="B206" s="6" t="s">
        <v>226</v>
      </c>
      <c r="C206" s="6" t="s">
        <v>25</v>
      </c>
      <c r="D206" s="7" t="s">
        <v>29</v>
      </c>
      <c r="E206" s="7"/>
      <c r="F206" s="7"/>
      <c r="G206" s="7"/>
      <c r="H206" s="7"/>
      <c r="I206" s="7"/>
      <c r="J206" s="7"/>
      <c r="K206" s="8">
        <v>1</v>
      </c>
      <c r="L206" s="8" t="s">
        <v>100</v>
      </c>
      <c r="M206" s="6" t="s">
        <v>229</v>
      </c>
      <c r="N206" s="10">
        <v>795713.07</v>
      </c>
      <c r="O206" s="11">
        <v>1</v>
      </c>
      <c r="P206" s="12"/>
      <c r="Q206" s="12"/>
    </row>
    <row r="207" spans="1:17" ht="20.100000000000001" customHeight="1">
      <c r="A207" s="4">
        <v>202</v>
      </c>
      <c r="B207" s="6" t="s">
        <v>226</v>
      </c>
      <c r="C207" s="6" t="s">
        <v>25</v>
      </c>
      <c r="D207" s="7" t="s">
        <v>33</v>
      </c>
      <c r="E207" s="7"/>
      <c r="F207" s="7"/>
      <c r="G207" s="7"/>
      <c r="H207" s="8">
        <v>455</v>
      </c>
      <c r="I207" s="7"/>
      <c r="J207" s="7"/>
      <c r="K207" s="14"/>
      <c r="L207" s="8" t="s">
        <v>100</v>
      </c>
      <c r="M207" s="6" t="s">
        <v>34</v>
      </c>
      <c r="N207" s="10"/>
      <c r="O207" s="11">
        <v>455</v>
      </c>
      <c r="P207" s="12">
        <v>47</v>
      </c>
      <c r="Q207" s="12"/>
    </row>
    <row r="208" spans="1:17" ht="20.100000000000001" customHeight="1">
      <c r="A208" s="4">
        <v>203</v>
      </c>
      <c r="B208" s="6" t="s">
        <v>226</v>
      </c>
      <c r="C208" s="6" t="s">
        <v>25</v>
      </c>
      <c r="D208" s="7" t="s">
        <v>33</v>
      </c>
      <c r="E208" s="7"/>
      <c r="F208" s="7"/>
      <c r="G208" s="7"/>
      <c r="H208" s="7"/>
      <c r="I208" s="8">
        <v>570</v>
      </c>
      <c r="J208" s="7"/>
      <c r="K208" s="17"/>
      <c r="L208" s="8" t="s">
        <v>100</v>
      </c>
      <c r="M208" s="6" t="s">
        <v>35</v>
      </c>
      <c r="N208" s="10"/>
      <c r="O208" s="11">
        <v>570</v>
      </c>
      <c r="P208" s="12">
        <v>2</v>
      </c>
      <c r="Q208" s="12"/>
    </row>
    <row r="209" spans="1:17" ht="20.100000000000001" customHeight="1">
      <c r="A209" s="4">
        <v>204</v>
      </c>
      <c r="B209" s="6" t="s">
        <v>226</v>
      </c>
      <c r="C209" s="6" t="s">
        <v>25</v>
      </c>
      <c r="D209" s="7" t="s">
        <v>36</v>
      </c>
      <c r="E209" s="7"/>
      <c r="F209" s="9">
        <v>541</v>
      </c>
      <c r="G209" s="7"/>
      <c r="H209" s="7"/>
      <c r="I209" s="7"/>
      <c r="J209" s="7"/>
      <c r="K209" s="14"/>
      <c r="L209" s="22" t="s">
        <v>100</v>
      </c>
      <c r="M209" s="6" t="s">
        <v>230</v>
      </c>
      <c r="N209" s="16"/>
      <c r="O209" s="11">
        <v>541</v>
      </c>
      <c r="P209" s="12"/>
      <c r="Q209" s="12"/>
    </row>
    <row r="210" spans="1:17" ht="20.100000000000001" customHeight="1">
      <c r="A210" s="4">
        <v>205</v>
      </c>
      <c r="B210" s="6" t="s">
        <v>226</v>
      </c>
      <c r="C210" s="6" t="s">
        <v>25</v>
      </c>
      <c r="D210" s="7" t="s">
        <v>38</v>
      </c>
      <c r="E210" s="7"/>
      <c r="F210" s="7"/>
      <c r="G210" s="7"/>
      <c r="H210" s="7"/>
      <c r="I210" s="7"/>
      <c r="J210" s="7"/>
      <c r="K210" s="8">
        <v>1</v>
      </c>
      <c r="L210" s="22">
        <v>46029</v>
      </c>
      <c r="M210" s="6" t="s">
        <v>231</v>
      </c>
      <c r="N210" s="10">
        <v>266086.95</v>
      </c>
      <c r="O210" s="11">
        <v>1</v>
      </c>
      <c r="P210" s="12">
        <v>1</v>
      </c>
      <c r="Q210" s="12"/>
    </row>
    <row r="211" spans="1:17" ht="20.100000000000001" customHeight="1">
      <c r="A211" s="4">
        <v>206</v>
      </c>
      <c r="B211" s="6" t="s">
        <v>226</v>
      </c>
      <c r="C211" s="6" t="s">
        <v>25</v>
      </c>
      <c r="D211" s="7" t="s">
        <v>38</v>
      </c>
      <c r="E211" s="7"/>
      <c r="F211" s="7"/>
      <c r="G211" s="7"/>
      <c r="H211" s="7"/>
      <c r="I211" s="7"/>
      <c r="J211" s="7"/>
      <c r="K211" s="9">
        <v>1</v>
      </c>
      <c r="L211" s="22">
        <v>46241</v>
      </c>
      <c r="M211" s="6" t="s">
        <v>232</v>
      </c>
      <c r="N211" s="16">
        <v>170000</v>
      </c>
      <c r="O211" s="11">
        <v>1</v>
      </c>
      <c r="P211" s="12">
        <v>1</v>
      </c>
      <c r="Q211" s="12"/>
    </row>
    <row r="212" spans="1:17" ht="20.100000000000001" customHeight="1">
      <c r="A212" s="4">
        <v>207</v>
      </c>
      <c r="B212" s="6" t="s">
        <v>226</v>
      </c>
      <c r="C212" s="6" t="s">
        <v>25</v>
      </c>
      <c r="D212" s="7" t="s">
        <v>38</v>
      </c>
      <c r="E212" s="7"/>
      <c r="F212" s="7"/>
      <c r="G212" s="7"/>
      <c r="H212" s="7"/>
      <c r="I212" s="7"/>
      <c r="J212" s="7"/>
      <c r="K212" s="9">
        <v>1</v>
      </c>
      <c r="L212" s="8" t="s">
        <v>150</v>
      </c>
      <c r="M212" s="6" t="s">
        <v>233</v>
      </c>
      <c r="N212" s="16">
        <v>70000</v>
      </c>
      <c r="O212" s="11">
        <v>1</v>
      </c>
      <c r="P212" s="12">
        <v>1</v>
      </c>
      <c r="Q212" s="12"/>
    </row>
    <row r="213" spans="1:17" ht="20.100000000000001" customHeight="1">
      <c r="A213" s="4">
        <v>208</v>
      </c>
      <c r="B213" s="6" t="s">
        <v>226</v>
      </c>
      <c r="C213" s="6" t="s">
        <v>25</v>
      </c>
      <c r="D213" s="7" t="s">
        <v>38</v>
      </c>
      <c r="E213" s="7"/>
      <c r="F213" s="7"/>
      <c r="G213" s="7"/>
      <c r="H213" s="7"/>
      <c r="I213" s="7"/>
      <c r="J213" s="7"/>
      <c r="K213" s="9">
        <v>1</v>
      </c>
      <c r="L213" s="8" t="s">
        <v>234</v>
      </c>
      <c r="M213" s="6" t="s">
        <v>235</v>
      </c>
      <c r="N213" s="16">
        <v>350000</v>
      </c>
      <c r="O213" s="11">
        <v>1</v>
      </c>
      <c r="P213" s="12">
        <v>1</v>
      </c>
      <c r="Q213" s="12"/>
    </row>
    <row r="214" spans="1:17" ht="20.100000000000001" customHeight="1">
      <c r="A214" s="4">
        <v>209</v>
      </c>
      <c r="B214" s="6" t="s">
        <v>226</v>
      </c>
      <c r="C214" s="6" t="s">
        <v>25</v>
      </c>
      <c r="D214" s="7" t="s">
        <v>38</v>
      </c>
      <c r="E214" s="7"/>
      <c r="F214" s="7"/>
      <c r="G214" s="7"/>
      <c r="H214" s="7"/>
      <c r="I214" s="7"/>
      <c r="J214" s="7"/>
      <c r="K214" s="8">
        <v>1</v>
      </c>
      <c r="L214" s="8" t="s">
        <v>234</v>
      </c>
      <c r="M214" s="6" t="s">
        <v>235</v>
      </c>
      <c r="N214" s="10">
        <v>5000</v>
      </c>
      <c r="O214" s="11">
        <v>1</v>
      </c>
      <c r="P214" s="12">
        <v>1</v>
      </c>
      <c r="Q214" s="12"/>
    </row>
    <row r="215" spans="1:17" ht="20.100000000000001" customHeight="1">
      <c r="A215" s="4">
        <v>210</v>
      </c>
      <c r="B215" s="6" t="s">
        <v>226</v>
      </c>
      <c r="C215" s="6" t="s">
        <v>25</v>
      </c>
      <c r="D215" s="7" t="s">
        <v>236</v>
      </c>
      <c r="E215" s="7"/>
      <c r="F215" s="7"/>
      <c r="G215" s="7"/>
      <c r="H215" s="7"/>
      <c r="I215" s="7"/>
      <c r="J215" s="7"/>
      <c r="K215" s="8">
        <v>1</v>
      </c>
      <c r="L215" s="8" t="s">
        <v>100</v>
      </c>
      <c r="M215" s="6" t="s">
        <v>237</v>
      </c>
      <c r="N215" s="10"/>
      <c r="O215" s="11">
        <v>1</v>
      </c>
      <c r="P215" s="12"/>
      <c r="Q215" s="12"/>
    </row>
    <row r="216" spans="1:17" ht="20.100000000000001" customHeight="1">
      <c r="A216" s="4">
        <v>211</v>
      </c>
      <c r="B216" s="6" t="s">
        <v>238</v>
      </c>
      <c r="C216" s="6" t="s">
        <v>25</v>
      </c>
      <c r="D216" s="7" t="s">
        <v>26</v>
      </c>
      <c r="E216" s="7"/>
      <c r="F216" s="7"/>
      <c r="G216" s="7"/>
      <c r="H216" s="7"/>
      <c r="I216" s="7"/>
      <c r="J216" s="7"/>
      <c r="K216" s="8">
        <v>1</v>
      </c>
      <c r="L216" s="8"/>
      <c r="M216" s="6" t="s">
        <v>239</v>
      </c>
      <c r="N216" s="10">
        <v>-17085</v>
      </c>
      <c r="O216" s="11">
        <v>1</v>
      </c>
      <c r="P216" s="12"/>
      <c r="Q216" s="12"/>
    </row>
    <row r="217" spans="1:17" ht="20.100000000000001" customHeight="1">
      <c r="A217" s="4">
        <v>212</v>
      </c>
      <c r="B217" s="6" t="s">
        <v>238</v>
      </c>
      <c r="C217" s="6" t="s">
        <v>25</v>
      </c>
      <c r="D217" s="7" t="s">
        <v>29</v>
      </c>
      <c r="E217" s="7"/>
      <c r="F217" s="7"/>
      <c r="G217" s="8">
        <v>1</v>
      </c>
      <c r="H217" s="7"/>
      <c r="I217" s="7"/>
      <c r="J217" s="7"/>
      <c r="K217" s="14"/>
      <c r="L217" s="8"/>
      <c r="M217" s="6" t="s">
        <v>119</v>
      </c>
      <c r="N217" s="10">
        <v>5555778.6200000001</v>
      </c>
      <c r="O217" s="11">
        <v>1</v>
      </c>
      <c r="P217" s="12"/>
      <c r="Q217" s="12"/>
    </row>
    <row r="218" spans="1:17" ht="20.100000000000001" customHeight="1">
      <c r="A218" s="4">
        <v>213</v>
      </c>
      <c r="B218" s="6" t="s">
        <v>238</v>
      </c>
      <c r="C218" s="6" t="s">
        <v>25</v>
      </c>
      <c r="D218" s="7" t="s">
        <v>29</v>
      </c>
      <c r="E218" s="7"/>
      <c r="F218" s="7"/>
      <c r="G218" s="8">
        <v>1</v>
      </c>
      <c r="H218" s="7"/>
      <c r="I218" s="7"/>
      <c r="J218" s="7"/>
      <c r="K218" s="14"/>
      <c r="L218" s="8"/>
      <c r="M218" s="6" t="s">
        <v>49</v>
      </c>
      <c r="N218" s="10">
        <v>1116691476</v>
      </c>
      <c r="O218" s="11">
        <v>1</v>
      </c>
      <c r="P218" s="12"/>
      <c r="Q218" s="12"/>
    </row>
    <row r="219" spans="1:17" ht="20.100000000000001" customHeight="1">
      <c r="A219" s="4">
        <v>214</v>
      </c>
      <c r="B219" s="6" t="s">
        <v>238</v>
      </c>
      <c r="C219" s="6" t="s">
        <v>25</v>
      </c>
      <c r="D219" s="7" t="s">
        <v>29</v>
      </c>
      <c r="E219" s="7"/>
      <c r="F219" s="7"/>
      <c r="G219" s="8">
        <v>1</v>
      </c>
      <c r="H219" s="7"/>
      <c r="I219" s="7"/>
      <c r="J219" s="7"/>
      <c r="K219" s="14"/>
      <c r="L219" s="8"/>
      <c r="M219" s="6" t="s">
        <v>32</v>
      </c>
      <c r="N219" s="10">
        <v>40192.15</v>
      </c>
      <c r="O219" s="11">
        <v>1</v>
      </c>
      <c r="P219" s="12"/>
      <c r="Q219" s="12"/>
    </row>
    <row r="220" spans="1:17" ht="20.100000000000001" customHeight="1">
      <c r="A220" s="4">
        <v>215</v>
      </c>
      <c r="B220" s="6" t="s">
        <v>238</v>
      </c>
      <c r="C220" s="6" t="s">
        <v>25</v>
      </c>
      <c r="D220" s="7" t="s">
        <v>29</v>
      </c>
      <c r="E220" s="7"/>
      <c r="F220" s="7"/>
      <c r="G220" s="9">
        <v>1</v>
      </c>
      <c r="H220" s="7"/>
      <c r="I220" s="7"/>
      <c r="J220" s="7"/>
      <c r="K220" s="14"/>
      <c r="L220" s="21"/>
      <c r="M220" s="6" t="s">
        <v>240</v>
      </c>
      <c r="N220" s="16">
        <v>725.38</v>
      </c>
      <c r="O220" s="11">
        <v>1</v>
      </c>
      <c r="P220" s="12"/>
      <c r="Q220" s="12"/>
    </row>
    <row r="221" spans="1:17" ht="20.100000000000001" customHeight="1">
      <c r="A221" s="4">
        <v>216</v>
      </c>
      <c r="B221" s="6" t="s">
        <v>238</v>
      </c>
      <c r="C221" s="6" t="s">
        <v>25</v>
      </c>
      <c r="D221" s="7" t="s">
        <v>29</v>
      </c>
      <c r="E221" s="7"/>
      <c r="F221" s="7"/>
      <c r="G221" s="9">
        <v>1</v>
      </c>
      <c r="H221" s="7"/>
      <c r="I221" s="7"/>
      <c r="J221" s="7"/>
      <c r="K221" s="14"/>
      <c r="L221" s="21"/>
      <c r="M221" s="6" t="s">
        <v>241</v>
      </c>
      <c r="N221" s="16">
        <v>-4798380.8899999997</v>
      </c>
      <c r="O221" s="11">
        <v>1</v>
      </c>
      <c r="P221" s="12"/>
      <c r="Q221" s="12"/>
    </row>
    <row r="222" spans="1:17" ht="20.100000000000001" customHeight="1">
      <c r="A222" s="4">
        <v>217</v>
      </c>
      <c r="B222" s="6" t="s">
        <v>238</v>
      </c>
      <c r="C222" s="6" t="s">
        <v>25</v>
      </c>
      <c r="D222" s="7" t="s">
        <v>29</v>
      </c>
      <c r="E222" s="7"/>
      <c r="F222" s="7"/>
      <c r="G222" s="9">
        <v>1</v>
      </c>
      <c r="H222" s="7"/>
      <c r="I222" s="7"/>
      <c r="J222" s="7"/>
      <c r="K222" s="14"/>
      <c r="L222" s="21"/>
      <c r="M222" s="6" t="s">
        <v>242</v>
      </c>
      <c r="N222" s="16">
        <v>3370489.21</v>
      </c>
      <c r="O222" s="11">
        <v>1</v>
      </c>
      <c r="P222" s="12"/>
      <c r="Q222" s="12"/>
    </row>
    <row r="223" spans="1:17" ht="20.100000000000001" customHeight="1">
      <c r="A223" s="4">
        <v>218</v>
      </c>
      <c r="B223" s="6" t="s">
        <v>238</v>
      </c>
      <c r="C223" s="6" t="s">
        <v>25</v>
      </c>
      <c r="D223" s="7" t="s">
        <v>29</v>
      </c>
      <c r="E223" s="7"/>
      <c r="F223" s="7"/>
      <c r="G223" s="7"/>
      <c r="H223" s="7"/>
      <c r="I223" s="7"/>
      <c r="J223" s="7"/>
      <c r="K223" s="9">
        <v>1</v>
      </c>
      <c r="L223" s="21"/>
      <c r="M223" s="6" t="s">
        <v>243</v>
      </c>
      <c r="N223" s="16">
        <v>585</v>
      </c>
      <c r="O223" s="11">
        <v>1</v>
      </c>
      <c r="P223" s="12"/>
      <c r="Q223" s="12"/>
    </row>
    <row r="224" spans="1:17" ht="20.100000000000001" customHeight="1">
      <c r="A224" s="4">
        <v>219</v>
      </c>
      <c r="B224" s="6" t="s">
        <v>238</v>
      </c>
      <c r="C224" s="6" t="s">
        <v>25</v>
      </c>
      <c r="D224" s="7" t="s">
        <v>33</v>
      </c>
      <c r="E224" s="7"/>
      <c r="F224" s="7"/>
      <c r="G224" s="7"/>
      <c r="H224" s="7"/>
      <c r="I224" s="9">
        <v>4881</v>
      </c>
      <c r="J224" s="7"/>
      <c r="K224" s="17"/>
      <c r="L224" s="21"/>
      <c r="M224" s="6" t="s">
        <v>35</v>
      </c>
      <c r="N224" s="16"/>
      <c r="O224" s="11">
        <v>4881</v>
      </c>
      <c r="P224" s="12"/>
      <c r="Q224" s="12"/>
    </row>
    <row r="225" spans="1:17" ht="20.100000000000001" customHeight="1">
      <c r="A225" s="4">
        <v>220</v>
      </c>
      <c r="B225" s="6" t="s">
        <v>238</v>
      </c>
      <c r="C225" s="6" t="s">
        <v>25</v>
      </c>
      <c r="D225" s="7" t="s">
        <v>36</v>
      </c>
      <c r="E225" s="7"/>
      <c r="F225" s="9">
        <v>1302</v>
      </c>
      <c r="G225" s="7"/>
      <c r="H225" s="7"/>
      <c r="I225" s="7"/>
      <c r="J225" s="7"/>
      <c r="K225" s="14"/>
      <c r="L225" s="21"/>
      <c r="M225" s="6" t="s">
        <v>244</v>
      </c>
      <c r="N225" s="16"/>
      <c r="O225" s="11">
        <v>1302</v>
      </c>
      <c r="P225" s="12"/>
      <c r="Q225" s="12"/>
    </row>
    <row r="226" spans="1:17" ht="20.100000000000001" customHeight="1">
      <c r="A226" s="4">
        <v>221</v>
      </c>
      <c r="B226" s="6" t="s">
        <v>238</v>
      </c>
      <c r="C226" s="6" t="s">
        <v>25</v>
      </c>
      <c r="D226" s="7" t="s">
        <v>38</v>
      </c>
      <c r="E226" s="7"/>
      <c r="F226" s="7"/>
      <c r="G226" s="7"/>
      <c r="H226" s="7"/>
      <c r="I226" s="7"/>
      <c r="J226" s="7"/>
      <c r="K226" s="9">
        <v>1</v>
      </c>
      <c r="L226" s="21" t="s">
        <v>245</v>
      </c>
      <c r="M226" s="6" t="s">
        <v>246</v>
      </c>
      <c r="N226" s="16">
        <v>35000</v>
      </c>
      <c r="O226" s="11">
        <v>1</v>
      </c>
      <c r="P226" s="12"/>
      <c r="Q226" s="12"/>
    </row>
    <row r="227" spans="1:17" ht="20.100000000000001" customHeight="1">
      <c r="A227" s="4">
        <v>222</v>
      </c>
      <c r="B227" s="6" t="s">
        <v>238</v>
      </c>
      <c r="C227" s="6" t="s">
        <v>25</v>
      </c>
      <c r="D227" s="7" t="s">
        <v>38</v>
      </c>
      <c r="E227" s="7"/>
      <c r="F227" s="7"/>
      <c r="G227" s="7"/>
      <c r="H227" s="7"/>
      <c r="I227" s="7"/>
      <c r="J227" s="7"/>
      <c r="K227" s="9">
        <v>1</v>
      </c>
      <c r="L227" s="21" t="s">
        <v>245</v>
      </c>
      <c r="M227" s="6" t="s">
        <v>247</v>
      </c>
      <c r="N227" s="16">
        <v>12400</v>
      </c>
      <c r="O227" s="11">
        <v>1</v>
      </c>
      <c r="P227" s="12">
        <v>1</v>
      </c>
      <c r="Q227" s="12"/>
    </row>
    <row r="228" spans="1:17" ht="20.100000000000001" customHeight="1">
      <c r="A228" s="4">
        <v>223</v>
      </c>
      <c r="B228" s="6" t="s">
        <v>238</v>
      </c>
      <c r="C228" s="6" t="s">
        <v>25</v>
      </c>
      <c r="D228" s="7" t="s">
        <v>38</v>
      </c>
      <c r="E228" s="7"/>
      <c r="F228" s="7"/>
      <c r="G228" s="7"/>
      <c r="H228" s="7"/>
      <c r="I228" s="7"/>
      <c r="J228" s="7"/>
      <c r="K228" s="9">
        <v>1</v>
      </c>
      <c r="L228" s="21" t="s">
        <v>248</v>
      </c>
      <c r="M228" s="6" t="s">
        <v>249</v>
      </c>
      <c r="N228" s="16">
        <v>7000</v>
      </c>
      <c r="O228" s="11">
        <v>1</v>
      </c>
      <c r="P228" s="12"/>
      <c r="Q228" s="12"/>
    </row>
    <row r="229" spans="1:17" ht="20.100000000000001" customHeight="1">
      <c r="A229" s="4">
        <v>224</v>
      </c>
      <c r="B229" s="6" t="s">
        <v>238</v>
      </c>
      <c r="C229" s="6" t="s">
        <v>25</v>
      </c>
      <c r="D229" s="7" t="s">
        <v>38</v>
      </c>
      <c r="E229" s="7"/>
      <c r="F229" s="7"/>
      <c r="G229" s="7"/>
      <c r="H229" s="7"/>
      <c r="I229" s="7"/>
      <c r="J229" s="7"/>
      <c r="K229" s="9">
        <v>1</v>
      </c>
      <c r="L229" s="21" t="s">
        <v>250</v>
      </c>
      <c r="M229" s="6" t="s">
        <v>251</v>
      </c>
      <c r="N229" s="16">
        <v>7000</v>
      </c>
      <c r="O229" s="11">
        <v>1</v>
      </c>
      <c r="P229" s="12">
        <v>1</v>
      </c>
      <c r="Q229" s="12"/>
    </row>
    <row r="230" spans="1:17" ht="20.100000000000001" customHeight="1">
      <c r="A230" s="4">
        <v>225</v>
      </c>
      <c r="B230" s="6" t="s">
        <v>238</v>
      </c>
      <c r="C230" s="6" t="s">
        <v>25</v>
      </c>
      <c r="D230" s="7" t="s">
        <v>38</v>
      </c>
      <c r="E230" s="7"/>
      <c r="F230" s="7"/>
      <c r="G230" s="7"/>
      <c r="H230" s="7"/>
      <c r="I230" s="7"/>
      <c r="J230" s="7"/>
      <c r="K230" s="9">
        <v>1</v>
      </c>
      <c r="L230" s="21" t="s">
        <v>252</v>
      </c>
      <c r="M230" s="6" t="s">
        <v>247</v>
      </c>
      <c r="N230" s="16">
        <v>11000</v>
      </c>
      <c r="O230" s="11">
        <v>1</v>
      </c>
      <c r="P230" s="12"/>
      <c r="Q230" s="12"/>
    </row>
    <row r="231" spans="1:17" ht="20.100000000000001" customHeight="1">
      <c r="A231" s="4">
        <v>226</v>
      </c>
      <c r="B231" s="6" t="s">
        <v>238</v>
      </c>
      <c r="C231" s="6" t="s">
        <v>25</v>
      </c>
      <c r="D231" s="7" t="s">
        <v>38</v>
      </c>
      <c r="E231" s="7"/>
      <c r="F231" s="7"/>
      <c r="G231" s="7"/>
      <c r="H231" s="7"/>
      <c r="I231" s="7"/>
      <c r="J231" s="7"/>
      <c r="K231" s="9">
        <v>1</v>
      </c>
      <c r="L231" s="21" t="s">
        <v>253</v>
      </c>
      <c r="M231" s="6" t="s">
        <v>247</v>
      </c>
      <c r="N231" s="16">
        <v>2900</v>
      </c>
      <c r="O231" s="11">
        <v>1</v>
      </c>
      <c r="P231" s="12">
        <v>1</v>
      </c>
      <c r="Q231" s="12"/>
    </row>
    <row r="232" spans="1:17" ht="20.100000000000001" customHeight="1">
      <c r="A232" s="4">
        <v>227</v>
      </c>
      <c r="B232" s="6" t="s">
        <v>238</v>
      </c>
      <c r="C232" s="6" t="s">
        <v>25</v>
      </c>
      <c r="D232" s="7" t="s">
        <v>38</v>
      </c>
      <c r="E232" s="7"/>
      <c r="F232" s="7"/>
      <c r="G232" s="7"/>
      <c r="H232" s="7"/>
      <c r="I232" s="7"/>
      <c r="J232" s="7"/>
      <c r="K232" s="9">
        <v>1</v>
      </c>
      <c r="L232" s="21" t="s">
        <v>253</v>
      </c>
      <c r="M232" s="6" t="s">
        <v>247</v>
      </c>
      <c r="N232" s="16">
        <v>60000</v>
      </c>
      <c r="O232" s="11">
        <v>1</v>
      </c>
      <c r="P232" s="12"/>
      <c r="Q232" s="12"/>
    </row>
    <row r="233" spans="1:17" ht="20.100000000000001" customHeight="1">
      <c r="A233" s="4">
        <v>228</v>
      </c>
      <c r="B233" s="6" t="s">
        <v>238</v>
      </c>
      <c r="C233" s="6" t="s">
        <v>25</v>
      </c>
      <c r="D233" s="7" t="s">
        <v>38</v>
      </c>
      <c r="E233" s="7"/>
      <c r="F233" s="7"/>
      <c r="G233" s="7"/>
      <c r="H233" s="7"/>
      <c r="I233" s="7"/>
      <c r="J233" s="7"/>
      <c r="K233" s="9">
        <v>1</v>
      </c>
      <c r="L233" s="21" t="s">
        <v>254</v>
      </c>
      <c r="M233" s="6" t="s">
        <v>255</v>
      </c>
      <c r="N233" s="16">
        <v>100000</v>
      </c>
      <c r="O233" s="11">
        <v>1</v>
      </c>
      <c r="P233" s="12">
        <v>1</v>
      </c>
      <c r="Q233" s="12"/>
    </row>
    <row r="234" spans="1:17" ht="20.100000000000001" customHeight="1">
      <c r="A234" s="4">
        <v>229</v>
      </c>
      <c r="B234" s="6" t="s">
        <v>238</v>
      </c>
      <c r="C234" s="6" t="s">
        <v>25</v>
      </c>
      <c r="D234" s="7" t="s">
        <v>38</v>
      </c>
      <c r="E234" s="7"/>
      <c r="F234" s="7"/>
      <c r="G234" s="7"/>
      <c r="H234" s="7"/>
      <c r="I234" s="7"/>
      <c r="J234" s="7"/>
      <c r="K234" s="8">
        <v>1</v>
      </c>
      <c r="L234" s="8" t="s">
        <v>256</v>
      </c>
      <c r="M234" s="6" t="s">
        <v>257</v>
      </c>
      <c r="N234" s="10">
        <v>5980</v>
      </c>
      <c r="O234" s="11">
        <v>1</v>
      </c>
      <c r="P234" s="12">
        <v>1</v>
      </c>
      <c r="Q234" s="12"/>
    </row>
    <row r="235" spans="1:17" ht="20.100000000000001" customHeight="1">
      <c r="A235" s="4">
        <v>230</v>
      </c>
      <c r="B235" s="6" t="s">
        <v>238</v>
      </c>
      <c r="C235" s="6" t="s">
        <v>25</v>
      </c>
      <c r="D235" s="7" t="s">
        <v>38</v>
      </c>
      <c r="E235" s="7"/>
      <c r="F235" s="7"/>
      <c r="G235" s="7"/>
      <c r="H235" s="7"/>
      <c r="I235" s="7"/>
      <c r="J235" s="7"/>
      <c r="K235" s="8">
        <v>1</v>
      </c>
      <c r="L235" s="8" t="s">
        <v>258</v>
      </c>
      <c r="M235" s="6" t="s">
        <v>259</v>
      </c>
      <c r="N235" s="10">
        <v>100000</v>
      </c>
      <c r="O235" s="11">
        <v>1</v>
      </c>
      <c r="P235" s="12">
        <v>1</v>
      </c>
      <c r="Q235" s="12"/>
    </row>
    <row r="236" spans="1:17" ht="20.100000000000001" customHeight="1">
      <c r="A236" s="4">
        <v>231</v>
      </c>
      <c r="B236" s="6" t="s">
        <v>238</v>
      </c>
      <c r="C236" s="6" t="s">
        <v>25</v>
      </c>
      <c r="D236" s="7" t="s">
        <v>38</v>
      </c>
      <c r="E236" s="7"/>
      <c r="F236" s="7"/>
      <c r="G236" s="7"/>
      <c r="H236" s="7"/>
      <c r="I236" s="7"/>
      <c r="J236" s="7"/>
      <c r="K236" s="8">
        <v>1</v>
      </c>
      <c r="L236" s="9" t="s">
        <v>260</v>
      </c>
      <c r="M236" s="6" t="s">
        <v>261</v>
      </c>
      <c r="N236" s="10">
        <v>2502.1799999999998</v>
      </c>
      <c r="O236" s="11">
        <v>1</v>
      </c>
      <c r="P236" s="12"/>
      <c r="Q236" s="12"/>
    </row>
    <row r="237" spans="1:17" ht="20.100000000000001" customHeight="1">
      <c r="A237" s="4">
        <v>232</v>
      </c>
      <c r="B237" s="6" t="s">
        <v>238</v>
      </c>
      <c r="C237" s="6" t="s">
        <v>25</v>
      </c>
      <c r="D237" s="7" t="s">
        <v>38</v>
      </c>
      <c r="E237" s="7"/>
      <c r="F237" s="7"/>
      <c r="G237" s="7"/>
      <c r="H237" s="7"/>
      <c r="I237" s="7"/>
      <c r="J237" s="7"/>
      <c r="K237" s="8">
        <v>1</v>
      </c>
      <c r="L237" s="9" t="s">
        <v>262</v>
      </c>
      <c r="M237" s="6" t="s">
        <v>263</v>
      </c>
      <c r="N237" s="10">
        <v>1035.69</v>
      </c>
      <c r="O237" s="11">
        <v>1</v>
      </c>
      <c r="P237" s="12">
        <v>1</v>
      </c>
      <c r="Q237" s="12"/>
    </row>
    <row r="238" spans="1:17" ht="20.100000000000001" customHeight="1">
      <c r="A238" s="4">
        <v>233</v>
      </c>
      <c r="B238" s="6" t="s">
        <v>238</v>
      </c>
      <c r="C238" s="6" t="s">
        <v>25</v>
      </c>
      <c r="D238" s="7" t="s">
        <v>38</v>
      </c>
      <c r="E238" s="7"/>
      <c r="F238" s="7"/>
      <c r="G238" s="7"/>
      <c r="H238" s="7"/>
      <c r="I238" s="7"/>
      <c r="J238" s="7"/>
      <c r="K238" s="8">
        <v>1</v>
      </c>
      <c r="L238" s="9" t="s">
        <v>264</v>
      </c>
      <c r="M238" s="6" t="s">
        <v>265</v>
      </c>
      <c r="N238" s="10">
        <v>6000</v>
      </c>
      <c r="O238" s="11">
        <v>1</v>
      </c>
      <c r="P238" s="12">
        <v>1</v>
      </c>
      <c r="Q238" s="12"/>
    </row>
    <row r="239" spans="1:17" ht="20.100000000000001" customHeight="1">
      <c r="A239" s="4">
        <v>234</v>
      </c>
      <c r="B239" s="6" t="s">
        <v>238</v>
      </c>
      <c r="C239" s="6" t="s">
        <v>25</v>
      </c>
      <c r="D239" s="7" t="s">
        <v>38</v>
      </c>
      <c r="E239" s="7"/>
      <c r="F239" s="7"/>
      <c r="G239" s="7"/>
      <c r="H239" s="7"/>
      <c r="I239" s="7"/>
      <c r="J239" s="7"/>
      <c r="K239" s="8">
        <v>1</v>
      </c>
      <c r="L239" s="9" t="s">
        <v>266</v>
      </c>
      <c r="M239" s="6" t="s">
        <v>267</v>
      </c>
      <c r="N239" s="10">
        <v>16500</v>
      </c>
      <c r="O239" s="11">
        <v>1</v>
      </c>
      <c r="P239" s="12">
        <v>1</v>
      </c>
      <c r="Q239" s="12"/>
    </row>
    <row r="240" spans="1:17" ht="20.100000000000001" customHeight="1">
      <c r="A240" s="4">
        <v>235</v>
      </c>
      <c r="B240" s="6" t="s">
        <v>238</v>
      </c>
      <c r="C240" s="6" t="s">
        <v>25</v>
      </c>
      <c r="D240" s="7" t="s">
        <v>38</v>
      </c>
      <c r="E240" s="7"/>
      <c r="F240" s="7"/>
      <c r="G240" s="7"/>
      <c r="H240" s="7"/>
      <c r="I240" s="7"/>
      <c r="J240" s="7"/>
      <c r="K240" s="8">
        <v>1</v>
      </c>
      <c r="L240" s="9" t="s">
        <v>268</v>
      </c>
      <c r="M240" s="6" t="s">
        <v>259</v>
      </c>
      <c r="N240" s="10">
        <v>1400</v>
      </c>
      <c r="O240" s="11">
        <v>1</v>
      </c>
      <c r="P240" s="12">
        <v>1</v>
      </c>
      <c r="Q240" s="12"/>
    </row>
    <row r="241" spans="1:17" ht="20.100000000000001" customHeight="1">
      <c r="A241" s="4">
        <v>236</v>
      </c>
      <c r="B241" s="6" t="s">
        <v>238</v>
      </c>
      <c r="C241" s="6" t="s">
        <v>25</v>
      </c>
      <c r="D241" s="7" t="s">
        <v>38</v>
      </c>
      <c r="E241" s="7"/>
      <c r="F241" s="7"/>
      <c r="G241" s="7"/>
      <c r="H241" s="7"/>
      <c r="I241" s="7"/>
      <c r="J241" s="7"/>
      <c r="K241" s="8">
        <v>1</v>
      </c>
      <c r="L241" s="9" t="s">
        <v>269</v>
      </c>
      <c r="M241" s="6" t="s">
        <v>270</v>
      </c>
      <c r="N241" s="10">
        <v>32600</v>
      </c>
      <c r="O241" s="11">
        <v>1</v>
      </c>
      <c r="P241" s="12">
        <v>1</v>
      </c>
      <c r="Q241" s="12"/>
    </row>
    <row r="242" spans="1:17" ht="20.100000000000001" customHeight="1">
      <c r="A242" s="4">
        <v>237</v>
      </c>
      <c r="B242" s="6" t="s">
        <v>238</v>
      </c>
      <c r="C242" s="6" t="s">
        <v>25</v>
      </c>
      <c r="D242" s="7" t="s">
        <v>38</v>
      </c>
      <c r="E242" s="7"/>
      <c r="F242" s="7"/>
      <c r="G242" s="7"/>
      <c r="H242" s="7"/>
      <c r="I242" s="7"/>
      <c r="J242" s="7"/>
      <c r="K242" s="8">
        <v>1</v>
      </c>
      <c r="L242" s="9" t="s">
        <v>271</v>
      </c>
      <c r="M242" s="6" t="s">
        <v>259</v>
      </c>
      <c r="N242" s="10">
        <v>3900</v>
      </c>
      <c r="O242" s="11">
        <v>1</v>
      </c>
      <c r="P242" s="12">
        <v>1</v>
      </c>
      <c r="Q242" s="12"/>
    </row>
    <row r="243" spans="1:17" ht="20.100000000000001" customHeight="1">
      <c r="A243" s="4">
        <v>238</v>
      </c>
      <c r="B243" s="6" t="s">
        <v>238</v>
      </c>
      <c r="C243" s="6" t="s">
        <v>25</v>
      </c>
      <c r="D243" s="7" t="s">
        <v>38</v>
      </c>
      <c r="E243" s="7"/>
      <c r="F243" s="7"/>
      <c r="G243" s="7"/>
      <c r="H243" s="7"/>
      <c r="I243" s="7"/>
      <c r="J243" s="7"/>
      <c r="K243" s="8">
        <v>1</v>
      </c>
      <c r="L243" s="9" t="s">
        <v>271</v>
      </c>
      <c r="M243" s="6" t="s">
        <v>272</v>
      </c>
      <c r="N243" s="10">
        <v>3900</v>
      </c>
      <c r="O243" s="11">
        <v>1</v>
      </c>
      <c r="P243" s="12">
        <v>1</v>
      </c>
      <c r="Q243" s="12"/>
    </row>
    <row r="244" spans="1:17" ht="20.100000000000001" customHeight="1">
      <c r="A244" s="4">
        <v>239</v>
      </c>
      <c r="B244" s="6" t="s">
        <v>238</v>
      </c>
      <c r="C244" s="6" t="s">
        <v>25</v>
      </c>
      <c r="D244" s="7" t="s">
        <v>38</v>
      </c>
      <c r="E244" s="7"/>
      <c r="F244" s="7"/>
      <c r="G244" s="7"/>
      <c r="H244" s="7"/>
      <c r="I244" s="7"/>
      <c r="J244" s="7"/>
      <c r="K244" s="8">
        <v>1</v>
      </c>
      <c r="L244" s="9" t="s">
        <v>273</v>
      </c>
      <c r="M244" s="6" t="s">
        <v>274</v>
      </c>
      <c r="N244" s="10">
        <v>4000</v>
      </c>
      <c r="O244" s="11">
        <v>1</v>
      </c>
      <c r="P244" s="12">
        <v>1</v>
      </c>
      <c r="Q244" s="12"/>
    </row>
    <row r="245" spans="1:17" ht="20.100000000000001" customHeight="1">
      <c r="A245" s="4">
        <v>240</v>
      </c>
      <c r="B245" s="6" t="s">
        <v>238</v>
      </c>
      <c r="C245" s="6" t="s">
        <v>25</v>
      </c>
      <c r="D245" s="7" t="s">
        <v>38</v>
      </c>
      <c r="E245" s="7"/>
      <c r="F245" s="7"/>
      <c r="G245" s="7"/>
      <c r="H245" s="7"/>
      <c r="I245" s="7"/>
      <c r="J245" s="7"/>
      <c r="K245" s="8">
        <v>1</v>
      </c>
      <c r="L245" s="9" t="s">
        <v>273</v>
      </c>
      <c r="M245" s="6" t="s">
        <v>270</v>
      </c>
      <c r="N245" s="10">
        <v>60000</v>
      </c>
      <c r="O245" s="11">
        <v>1</v>
      </c>
      <c r="P245" s="12"/>
      <c r="Q245" s="12"/>
    </row>
    <row r="246" spans="1:17" ht="20.100000000000001" customHeight="1">
      <c r="A246" s="4">
        <v>241</v>
      </c>
      <c r="B246" s="6" t="s">
        <v>238</v>
      </c>
      <c r="C246" s="6" t="s">
        <v>25</v>
      </c>
      <c r="D246" s="7" t="s">
        <v>38</v>
      </c>
      <c r="E246" s="7"/>
      <c r="F246" s="7"/>
      <c r="G246" s="7"/>
      <c r="H246" s="7"/>
      <c r="I246" s="7"/>
      <c r="J246" s="7"/>
      <c r="K246" s="8">
        <v>1</v>
      </c>
      <c r="L246" s="9" t="s">
        <v>273</v>
      </c>
      <c r="M246" s="6" t="s">
        <v>270</v>
      </c>
      <c r="N246" s="10">
        <v>15000</v>
      </c>
      <c r="O246" s="11">
        <v>1</v>
      </c>
      <c r="P246" s="12">
        <v>1</v>
      </c>
      <c r="Q246" s="12"/>
    </row>
    <row r="247" spans="1:17" ht="20.100000000000001" customHeight="1">
      <c r="A247" s="4">
        <v>242</v>
      </c>
      <c r="B247" s="6" t="s">
        <v>238</v>
      </c>
      <c r="C247" s="6" t="s">
        <v>25</v>
      </c>
      <c r="D247" s="7" t="s">
        <v>38</v>
      </c>
      <c r="E247" s="7"/>
      <c r="F247" s="7"/>
      <c r="G247" s="7"/>
      <c r="H247" s="7"/>
      <c r="I247" s="7"/>
      <c r="J247" s="7"/>
      <c r="K247" s="8">
        <v>1</v>
      </c>
      <c r="L247" s="9" t="s">
        <v>275</v>
      </c>
      <c r="M247" s="6" t="s">
        <v>263</v>
      </c>
      <c r="N247" s="10">
        <v>2000</v>
      </c>
      <c r="O247" s="11">
        <v>1</v>
      </c>
      <c r="P247" s="12">
        <v>1</v>
      </c>
      <c r="Q247" s="12"/>
    </row>
    <row r="248" spans="1:17" ht="20.100000000000001" customHeight="1">
      <c r="A248" s="4">
        <v>243</v>
      </c>
      <c r="B248" s="6" t="s">
        <v>238</v>
      </c>
      <c r="C248" s="6" t="s">
        <v>25</v>
      </c>
      <c r="D248" s="7" t="s">
        <v>38</v>
      </c>
      <c r="E248" s="7"/>
      <c r="F248" s="7"/>
      <c r="G248" s="7"/>
      <c r="H248" s="7"/>
      <c r="I248" s="7"/>
      <c r="J248" s="7"/>
      <c r="K248" s="8">
        <v>1</v>
      </c>
      <c r="L248" s="9" t="s">
        <v>276</v>
      </c>
      <c r="M248" s="6" t="s">
        <v>277</v>
      </c>
      <c r="N248" s="10">
        <v>5850</v>
      </c>
      <c r="O248" s="11">
        <v>1</v>
      </c>
      <c r="P248" s="12">
        <v>1</v>
      </c>
      <c r="Q248" s="12"/>
    </row>
    <row r="249" spans="1:17" ht="20.100000000000001" customHeight="1">
      <c r="A249" s="4">
        <v>244</v>
      </c>
      <c r="B249" s="6" t="s">
        <v>278</v>
      </c>
      <c r="C249" s="6" t="s">
        <v>25</v>
      </c>
      <c r="D249" s="7" t="s">
        <v>29</v>
      </c>
      <c r="E249" s="7"/>
      <c r="F249" s="7"/>
      <c r="G249" s="8">
        <v>1</v>
      </c>
      <c r="H249" s="7"/>
      <c r="I249" s="7"/>
      <c r="J249" s="7"/>
      <c r="K249" s="14"/>
      <c r="L249" s="9" t="s">
        <v>30</v>
      </c>
      <c r="M249" s="6" t="s">
        <v>32</v>
      </c>
      <c r="N249" s="10">
        <v>0.6</v>
      </c>
      <c r="O249" s="11">
        <v>1</v>
      </c>
      <c r="P249" s="12"/>
      <c r="Q249" s="12"/>
    </row>
    <row r="250" spans="1:17" ht="20.100000000000001" customHeight="1">
      <c r="A250" s="4">
        <v>245</v>
      </c>
      <c r="B250" s="6" t="s">
        <v>278</v>
      </c>
      <c r="C250" s="6" t="s">
        <v>25</v>
      </c>
      <c r="D250" s="7" t="s">
        <v>29</v>
      </c>
      <c r="E250" s="7"/>
      <c r="F250" s="7"/>
      <c r="G250" s="8">
        <v>1</v>
      </c>
      <c r="H250" s="7"/>
      <c r="I250" s="7"/>
      <c r="J250" s="7"/>
      <c r="K250" s="14"/>
      <c r="L250" s="9"/>
      <c r="M250" s="6" t="s">
        <v>279</v>
      </c>
      <c r="N250" s="10">
        <v>2.5</v>
      </c>
      <c r="O250" s="11">
        <v>1</v>
      </c>
      <c r="P250" s="12"/>
      <c r="Q250" s="12"/>
    </row>
    <row r="251" spans="1:17" ht="20.100000000000001" customHeight="1">
      <c r="A251" s="4">
        <v>246</v>
      </c>
      <c r="B251" s="6" t="s">
        <v>278</v>
      </c>
      <c r="C251" s="6" t="s">
        <v>25</v>
      </c>
      <c r="D251" s="7" t="s">
        <v>36</v>
      </c>
      <c r="E251" s="7"/>
      <c r="F251" s="8">
        <v>328</v>
      </c>
      <c r="G251" s="7"/>
      <c r="H251" s="7"/>
      <c r="I251" s="7"/>
      <c r="J251" s="7"/>
      <c r="K251" s="14"/>
      <c r="L251" s="9" t="s">
        <v>280</v>
      </c>
      <c r="M251" s="6" t="s">
        <v>281</v>
      </c>
      <c r="N251" s="10">
        <v>328</v>
      </c>
      <c r="O251" s="11">
        <v>328</v>
      </c>
      <c r="P251" s="12"/>
      <c r="Q251" s="12"/>
    </row>
    <row r="252" spans="1:17" ht="20.100000000000001" customHeight="1">
      <c r="A252" s="4">
        <v>247</v>
      </c>
      <c r="B252" s="6" t="s">
        <v>278</v>
      </c>
      <c r="C252" s="6" t="s">
        <v>25</v>
      </c>
      <c r="D252" s="7" t="s">
        <v>33</v>
      </c>
      <c r="E252" s="7"/>
      <c r="F252" s="7"/>
      <c r="G252" s="7"/>
      <c r="H252" s="7"/>
      <c r="I252" s="8">
        <v>690</v>
      </c>
      <c r="J252" s="7"/>
      <c r="K252" s="17"/>
      <c r="L252" s="21" t="s">
        <v>282</v>
      </c>
      <c r="M252" s="44" t="s">
        <v>283</v>
      </c>
      <c r="N252" s="16">
        <v>2361</v>
      </c>
      <c r="O252" s="11">
        <v>690</v>
      </c>
      <c r="P252" s="12"/>
      <c r="Q252" s="12"/>
    </row>
    <row r="253" spans="1:17" ht="20.100000000000001" customHeight="1">
      <c r="A253" s="4">
        <v>248</v>
      </c>
      <c r="B253" s="6" t="s">
        <v>278</v>
      </c>
      <c r="C253" s="6" t="s">
        <v>25</v>
      </c>
      <c r="D253" s="7" t="s">
        <v>38</v>
      </c>
      <c r="E253" s="7"/>
      <c r="F253" s="7"/>
      <c r="G253" s="7"/>
      <c r="H253" s="7"/>
      <c r="I253" s="7"/>
      <c r="J253" s="7"/>
      <c r="K253" s="8">
        <v>3</v>
      </c>
      <c r="L253" s="21" t="s">
        <v>282</v>
      </c>
      <c r="M253" s="44" t="s">
        <v>284</v>
      </c>
      <c r="N253" s="16">
        <v>5200</v>
      </c>
      <c r="O253" s="11">
        <v>3</v>
      </c>
      <c r="P253" s="12">
        <v>1</v>
      </c>
      <c r="Q253" s="12"/>
    </row>
    <row r="254" spans="1:17" ht="20.100000000000001" customHeight="1">
      <c r="A254" s="4">
        <v>249</v>
      </c>
      <c r="B254" s="6" t="s">
        <v>278</v>
      </c>
      <c r="C254" s="6" t="s">
        <v>25</v>
      </c>
      <c r="D254" s="7" t="s">
        <v>38</v>
      </c>
      <c r="E254" s="7"/>
      <c r="F254" s="7"/>
      <c r="G254" s="7"/>
      <c r="H254" s="7"/>
      <c r="I254" s="7"/>
      <c r="J254" s="7"/>
      <c r="K254" s="8">
        <v>2</v>
      </c>
      <c r="L254" s="21" t="s">
        <v>282</v>
      </c>
      <c r="M254" s="44" t="s">
        <v>285</v>
      </c>
      <c r="N254" s="16">
        <v>2400</v>
      </c>
      <c r="O254" s="11">
        <v>2</v>
      </c>
      <c r="P254" s="12">
        <v>1</v>
      </c>
      <c r="Q254" s="12"/>
    </row>
    <row r="255" spans="1:17" ht="20.100000000000001" customHeight="1">
      <c r="A255" s="4">
        <v>250</v>
      </c>
      <c r="B255" s="6" t="s">
        <v>278</v>
      </c>
      <c r="C255" s="6" t="s">
        <v>25</v>
      </c>
      <c r="D255" s="7" t="s">
        <v>38</v>
      </c>
      <c r="E255" s="7"/>
      <c r="F255" s="7"/>
      <c r="G255" s="7"/>
      <c r="H255" s="7"/>
      <c r="I255" s="7"/>
      <c r="J255" s="7"/>
      <c r="K255" s="8">
        <v>1</v>
      </c>
      <c r="L255" s="21" t="s">
        <v>282</v>
      </c>
      <c r="M255" s="44" t="s">
        <v>286</v>
      </c>
      <c r="N255" s="16">
        <v>4675</v>
      </c>
      <c r="O255" s="11">
        <v>1</v>
      </c>
      <c r="P255" s="12">
        <v>1</v>
      </c>
      <c r="Q255" s="12"/>
    </row>
    <row r="256" spans="1:17" ht="20.100000000000001" customHeight="1">
      <c r="A256" s="4">
        <v>251</v>
      </c>
      <c r="B256" s="6" t="s">
        <v>278</v>
      </c>
      <c r="C256" s="6" t="s">
        <v>25</v>
      </c>
      <c r="D256" s="7" t="s">
        <v>38</v>
      </c>
      <c r="E256" s="7"/>
      <c r="F256" s="7"/>
      <c r="G256" s="7"/>
      <c r="H256" s="7"/>
      <c r="I256" s="7"/>
      <c r="J256" s="7"/>
      <c r="K256" s="8">
        <v>7</v>
      </c>
      <c r="L256" s="21" t="s">
        <v>282</v>
      </c>
      <c r="M256" s="44" t="s">
        <v>287</v>
      </c>
      <c r="N256" s="16">
        <v>12980</v>
      </c>
      <c r="O256" s="11">
        <v>7</v>
      </c>
      <c r="P256" s="12">
        <v>1</v>
      </c>
      <c r="Q256" s="12"/>
    </row>
    <row r="257" spans="1:17" ht="20.100000000000001" customHeight="1">
      <c r="A257" s="4">
        <v>252</v>
      </c>
      <c r="B257" s="6" t="s">
        <v>278</v>
      </c>
      <c r="C257" s="6" t="s">
        <v>25</v>
      </c>
      <c r="D257" s="7" t="s">
        <v>38</v>
      </c>
      <c r="E257" s="7"/>
      <c r="F257" s="7"/>
      <c r="G257" s="7"/>
      <c r="H257" s="7"/>
      <c r="I257" s="7"/>
      <c r="J257" s="7"/>
      <c r="K257" s="8">
        <v>8</v>
      </c>
      <c r="L257" s="21" t="s">
        <v>282</v>
      </c>
      <c r="M257" s="44" t="s">
        <v>288</v>
      </c>
      <c r="N257" s="16">
        <v>11470</v>
      </c>
      <c r="O257" s="11">
        <v>8</v>
      </c>
      <c r="P257" s="12">
        <v>1</v>
      </c>
      <c r="Q257" s="12"/>
    </row>
    <row r="258" spans="1:17" ht="20.100000000000001" customHeight="1">
      <c r="A258" s="4">
        <v>253</v>
      </c>
      <c r="B258" s="6" t="s">
        <v>278</v>
      </c>
      <c r="C258" s="6" t="s">
        <v>25</v>
      </c>
      <c r="D258" s="7" t="s">
        <v>38</v>
      </c>
      <c r="E258" s="7"/>
      <c r="F258" s="7"/>
      <c r="G258" s="7"/>
      <c r="H258" s="7"/>
      <c r="I258" s="7"/>
      <c r="J258" s="7"/>
      <c r="K258" s="8">
        <v>4</v>
      </c>
      <c r="L258" s="21" t="s">
        <v>282</v>
      </c>
      <c r="M258" s="44" t="s">
        <v>289</v>
      </c>
      <c r="N258" s="16">
        <v>5600</v>
      </c>
      <c r="O258" s="11">
        <v>4</v>
      </c>
      <c r="P258" s="12">
        <v>1</v>
      </c>
      <c r="Q258" s="12"/>
    </row>
    <row r="259" spans="1:17" ht="20.100000000000001" customHeight="1">
      <c r="A259" s="4">
        <v>254</v>
      </c>
      <c r="B259" s="6" t="s">
        <v>278</v>
      </c>
      <c r="C259" s="6" t="s">
        <v>25</v>
      </c>
      <c r="D259" s="7" t="s">
        <v>38</v>
      </c>
      <c r="E259" s="7"/>
      <c r="F259" s="7"/>
      <c r="G259" s="7"/>
      <c r="H259" s="7"/>
      <c r="I259" s="7"/>
      <c r="J259" s="7"/>
      <c r="K259" s="8">
        <v>5</v>
      </c>
      <c r="L259" s="21" t="s">
        <v>282</v>
      </c>
      <c r="M259" s="44" t="s">
        <v>290</v>
      </c>
      <c r="N259" s="16">
        <v>32345</v>
      </c>
      <c r="O259" s="11">
        <v>5</v>
      </c>
      <c r="P259" s="12">
        <v>1</v>
      </c>
      <c r="Q259" s="12"/>
    </row>
    <row r="260" spans="1:17" ht="20.100000000000001" customHeight="1">
      <c r="A260" s="4">
        <v>255</v>
      </c>
      <c r="B260" s="6" t="s">
        <v>278</v>
      </c>
      <c r="C260" s="6" t="s">
        <v>25</v>
      </c>
      <c r="D260" s="7" t="s">
        <v>291</v>
      </c>
      <c r="E260" s="7"/>
      <c r="F260" s="7"/>
      <c r="G260" s="7"/>
      <c r="H260" s="7"/>
      <c r="I260" s="7"/>
      <c r="J260" s="7"/>
      <c r="K260" s="8">
        <v>1</v>
      </c>
      <c r="L260" s="21" t="s">
        <v>282</v>
      </c>
      <c r="M260" s="44" t="s">
        <v>292</v>
      </c>
      <c r="N260" s="16"/>
      <c r="O260" s="11">
        <v>1</v>
      </c>
      <c r="P260" s="12"/>
      <c r="Q260" s="12"/>
    </row>
    <row r="261" spans="1:17" ht="20.100000000000001" customHeight="1">
      <c r="A261" s="4">
        <v>256</v>
      </c>
      <c r="B261" s="6" t="s">
        <v>278</v>
      </c>
      <c r="C261" s="6" t="s">
        <v>25</v>
      </c>
      <c r="D261" s="7" t="s">
        <v>291</v>
      </c>
      <c r="E261" s="7"/>
      <c r="F261" s="7"/>
      <c r="G261" s="7"/>
      <c r="H261" s="7"/>
      <c r="I261" s="7"/>
      <c r="J261" s="7"/>
      <c r="K261" s="8">
        <v>1</v>
      </c>
      <c r="L261" s="21" t="s">
        <v>282</v>
      </c>
      <c r="M261" s="44" t="s">
        <v>293</v>
      </c>
      <c r="N261" s="16"/>
      <c r="O261" s="11">
        <v>1</v>
      </c>
      <c r="P261" s="12"/>
      <c r="Q261" s="12"/>
    </row>
    <row r="262" spans="1:17" ht="20.100000000000001" customHeight="1">
      <c r="A262" s="4">
        <v>258</v>
      </c>
      <c r="B262" s="6" t="s">
        <v>294</v>
      </c>
      <c r="C262" s="6" t="s">
        <v>25</v>
      </c>
      <c r="D262" s="7" t="s">
        <v>29</v>
      </c>
      <c r="E262" s="7"/>
      <c r="F262" s="7"/>
      <c r="G262" s="9">
        <v>1</v>
      </c>
      <c r="H262" s="7"/>
      <c r="I262" s="7"/>
      <c r="J262" s="7"/>
      <c r="K262" s="14"/>
      <c r="L262" s="21"/>
      <c r="M262" s="44" t="s">
        <v>49</v>
      </c>
      <c r="N262" s="16">
        <v>-9028882.6400000006</v>
      </c>
      <c r="O262" s="11">
        <v>1</v>
      </c>
      <c r="P262" s="12"/>
      <c r="Q262" s="12"/>
    </row>
    <row r="263" spans="1:17" ht="20.100000000000001" customHeight="1">
      <c r="A263" s="4">
        <v>259</v>
      </c>
      <c r="B263" s="6" t="s">
        <v>294</v>
      </c>
      <c r="C263" s="6" t="s">
        <v>25</v>
      </c>
      <c r="D263" s="7" t="s">
        <v>29</v>
      </c>
      <c r="E263" s="7"/>
      <c r="F263" s="7"/>
      <c r="G263" s="7"/>
      <c r="H263" s="7"/>
      <c r="I263" s="7"/>
      <c r="J263" s="7"/>
      <c r="K263" s="9">
        <v>1</v>
      </c>
      <c r="L263" s="21"/>
      <c r="M263" s="44" t="s">
        <v>295</v>
      </c>
      <c r="N263" s="16">
        <v>-5859.52</v>
      </c>
      <c r="O263" s="11">
        <v>1</v>
      </c>
      <c r="P263" s="12"/>
      <c r="Q263" s="12"/>
    </row>
    <row r="264" spans="1:17" ht="20.100000000000001" customHeight="1">
      <c r="A264" s="4">
        <v>260</v>
      </c>
      <c r="B264" s="6" t="s">
        <v>294</v>
      </c>
      <c r="C264" s="6" t="s">
        <v>25</v>
      </c>
      <c r="D264" s="7" t="s">
        <v>29</v>
      </c>
      <c r="E264" s="7"/>
      <c r="F264" s="7"/>
      <c r="G264" s="7"/>
      <c r="H264" s="7"/>
      <c r="I264" s="7"/>
      <c r="J264" s="7"/>
      <c r="K264" s="9">
        <v>1</v>
      </c>
      <c r="L264" s="21" t="s">
        <v>296</v>
      </c>
      <c r="M264" s="44" t="s">
        <v>297</v>
      </c>
      <c r="N264" s="16">
        <v>-293333.33</v>
      </c>
      <c r="O264" s="11">
        <v>1</v>
      </c>
      <c r="P264" s="12"/>
      <c r="Q264" s="12"/>
    </row>
    <row r="265" spans="1:17" ht="20.100000000000001" customHeight="1">
      <c r="A265" s="4">
        <v>261</v>
      </c>
      <c r="B265" s="6" t="s">
        <v>294</v>
      </c>
      <c r="C265" s="6" t="s">
        <v>25</v>
      </c>
      <c r="D265" s="7" t="s">
        <v>29</v>
      </c>
      <c r="E265" s="7"/>
      <c r="F265" s="7"/>
      <c r="G265" s="7"/>
      <c r="H265" s="7"/>
      <c r="I265" s="7"/>
      <c r="J265" s="7"/>
      <c r="K265" s="9">
        <v>1</v>
      </c>
      <c r="L265" s="45" t="s">
        <v>298</v>
      </c>
      <c r="M265" s="44" t="s">
        <v>299</v>
      </c>
      <c r="N265" s="16">
        <v>-1220</v>
      </c>
      <c r="O265" s="11">
        <v>1</v>
      </c>
      <c r="P265" s="12"/>
      <c r="Q265" s="12"/>
    </row>
    <row r="266" spans="1:17" ht="20.100000000000001" customHeight="1">
      <c r="A266" s="4">
        <v>262</v>
      </c>
      <c r="B266" s="6" t="s">
        <v>294</v>
      </c>
      <c r="C266" s="6" t="s">
        <v>25</v>
      </c>
      <c r="D266" s="7" t="s">
        <v>29</v>
      </c>
      <c r="E266" s="7"/>
      <c r="F266" s="7"/>
      <c r="G266" s="7"/>
      <c r="H266" s="7"/>
      <c r="I266" s="7"/>
      <c r="J266" s="7"/>
      <c r="K266" s="9">
        <v>1</v>
      </c>
      <c r="L266" s="45">
        <v>45326</v>
      </c>
      <c r="M266" s="44" t="s">
        <v>299</v>
      </c>
      <c r="N266" s="16">
        <v>-1000.04</v>
      </c>
      <c r="O266" s="11">
        <v>1</v>
      </c>
      <c r="P266" s="12"/>
      <c r="Q266" s="12"/>
    </row>
    <row r="267" spans="1:17" ht="20.100000000000001" customHeight="1">
      <c r="A267" s="4">
        <v>263</v>
      </c>
      <c r="B267" s="6" t="s">
        <v>294</v>
      </c>
      <c r="C267" s="6" t="s">
        <v>25</v>
      </c>
      <c r="D267" s="7" t="s">
        <v>29</v>
      </c>
      <c r="E267" s="7"/>
      <c r="F267" s="7"/>
      <c r="G267" s="7"/>
      <c r="H267" s="7"/>
      <c r="I267" s="7"/>
      <c r="J267" s="7"/>
      <c r="K267" s="9">
        <v>1</v>
      </c>
      <c r="L267" s="21" t="s">
        <v>300</v>
      </c>
      <c r="M267" s="44" t="s">
        <v>299</v>
      </c>
      <c r="N267" s="16">
        <v>-5114.54</v>
      </c>
      <c r="O267" s="11">
        <v>1</v>
      </c>
      <c r="P267" s="12"/>
      <c r="Q267" s="12"/>
    </row>
    <row r="268" spans="1:17" ht="20.100000000000001" customHeight="1">
      <c r="A268" s="4">
        <v>264</v>
      </c>
      <c r="B268" s="6" t="s">
        <v>294</v>
      </c>
      <c r="C268" s="6" t="s">
        <v>25</v>
      </c>
      <c r="D268" s="7" t="s">
        <v>29</v>
      </c>
      <c r="E268" s="7"/>
      <c r="F268" s="7"/>
      <c r="G268" s="7"/>
      <c r="H268" s="7"/>
      <c r="I268" s="9">
        <v>4136</v>
      </c>
      <c r="J268" s="7"/>
      <c r="K268" s="17"/>
      <c r="L268" s="21"/>
      <c r="M268" s="44" t="s">
        <v>35</v>
      </c>
      <c r="N268" s="16">
        <v>1915343.94</v>
      </c>
      <c r="O268" s="11">
        <v>4136</v>
      </c>
      <c r="P268" s="12">
        <v>25</v>
      </c>
      <c r="Q268" s="12"/>
    </row>
    <row r="269" spans="1:17" ht="20.100000000000001" customHeight="1">
      <c r="A269" s="4">
        <v>265</v>
      </c>
      <c r="B269" s="6" t="s">
        <v>294</v>
      </c>
      <c r="C269" s="6" t="s">
        <v>25</v>
      </c>
      <c r="D269" s="7" t="s">
        <v>36</v>
      </c>
      <c r="E269" s="7"/>
      <c r="F269" s="9">
        <v>1480</v>
      </c>
      <c r="G269" s="7"/>
      <c r="H269" s="7"/>
      <c r="I269" s="7"/>
      <c r="J269" s="7"/>
      <c r="K269" s="14"/>
      <c r="L269" s="21"/>
      <c r="M269" s="44" t="s">
        <v>301</v>
      </c>
      <c r="N269" s="16"/>
      <c r="O269" s="11">
        <v>1480</v>
      </c>
      <c r="P269" s="12"/>
      <c r="Q269" s="12"/>
    </row>
    <row r="270" spans="1:17" ht="20.100000000000001" customHeight="1">
      <c r="A270" s="4">
        <v>266</v>
      </c>
      <c r="B270" s="6" t="s">
        <v>294</v>
      </c>
      <c r="C270" s="6" t="s">
        <v>25</v>
      </c>
      <c r="D270" s="7" t="s">
        <v>38</v>
      </c>
      <c r="E270" s="7"/>
      <c r="F270" s="7"/>
      <c r="G270" s="7"/>
      <c r="H270" s="7"/>
      <c r="I270" s="7"/>
      <c r="J270" s="7"/>
      <c r="K270" s="9">
        <v>1</v>
      </c>
      <c r="L270" s="45">
        <v>46029</v>
      </c>
      <c r="M270" s="44" t="s">
        <v>302</v>
      </c>
      <c r="N270" s="16">
        <v>5600</v>
      </c>
      <c r="O270" s="11">
        <v>1</v>
      </c>
      <c r="P270" s="12">
        <v>1</v>
      </c>
      <c r="Q270" s="12"/>
    </row>
    <row r="271" spans="1:17" ht="20.100000000000001" customHeight="1">
      <c r="A271" s="4">
        <v>267</v>
      </c>
      <c r="B271" s="6" t="s">
        <v>294</v>
      </c>
      <c r="C271" s="6" t="s">
        <v>25</v>
      </c>
      <c r="D271" s="7" t="s">
        <v>38</v>
      </c>
      <c r="E271" s="7"/>
      <c r="F271" s="7"/>
      <c r="G271" s="7"/>
      <c r="H271" s="7"/>
      <c r="I271" s="7"/>
      <c r="J271" s="7"/>
      <c r="K271" s="9">
        <v>1</v>
      </c>
      <c r="L271" s="45">
        <v>46060</v>
      </c>
      <c r="M271" s="44" t="s">
        <v>303</v>
      </c>
      <c r="N271" s="16">
        <v>3000</v>
      </c>
      <c r="O271" s="11">
        <v>1</v>
      </c>
      <c r="P271" s="12">
        <v>1</v>
      </c>
      <c r="Q271" s="12"/>
    </row>
    <row r="272" spans="1:17" ht="20.100000000000001" customHeight="1">
      <c r="A272" s="4">
        <v>268</v>
      </c>
      <c r="B272" s="6" t="s">
        <v>294</v>
      </c>
      <c r="C272" s="6" t="s">
        <v>25</v>
      </c>
      <c r="D272" s="7" t="s">
        <v>38</v>
      </c>
      <c r="E272" s="7"/>
      <c r="F272" s="7"/>
      <c r="G272" s="7"/>
      <c r="H272" s="7"/>
      <c r="I272" s="7"/>
      <c r="J272" s="7"/>
      <c r="K272" s="9">
        <v>1</v>
      </c>
      <c r="L272" s="45">
        <v>46119</v>
      </c>
      <c r="M272" s="44" t="s">
        <v>304</v>
      </c>
      <c r="N272" s="16">
        <v>48500.45</v>
      </c>
      <c r="O272" s="11">
        <v>1</v>
      </c>
      <c r="P272" s="12">
        <v>1</v>
      </c>
      <c r="Q272" s="12"/>
    </row>
    <row r="273" spans="1:18" ht="20.100000000000001" customHeight="1">
      <c r="A273" s="4">
        <v>269</v>
      </c>
      <c r="B273" s="6" t="s">
        <v>294</v>
      </c>
      <c r="C273" s="6" t="s">
        <v>25</v>
      </c>
      <c r="D273" s="7" t="s">
        <v>38</v>
      </c>
      <c r="E273" s="7"/>
      <c r="F273" s="7"/>
      <c r="G273" s="7"/>
      <c r="H273" s="7"/>
      <c r="I273" s="7"/>
      <c r="J273" s="7"/>
      <c r="K273" s="9">
        <v>1</v>
      </c>
      <c r="L273" s="45">
        <v>46180</v>
      </c>
      <c r="M273" s="44" t="s">
        <v>305</v>
      </c>
      <c r="N273" s="16">
        <v>400</v>
      </c>
      <c r="O273" s="11">
        <v>1</v>
      </c>
      <c r="P273" s="12">
        <v>1</v>
      </c>
      <c r="Q273" s="12"/>
    </row>
    <row r="274" spans="1:18" ht="20.100000000000001" customHeight="1">
      <c r="A274" s="4">
        <v>270</v>
      </c>
      <c r="B274" s="6" t="s">
        <v>294</v>
      </c>
      <c r="C274" s="6" t="s">
        <v>25</v>
      </c>
      <c r="D274" s="7" t="s">
        <v>38</v>
      </c>
      <c r="E274" s="7"/>
      <c r="F274" s="7"/>
      <c r="G274" s="7"/>
      <c r="H274" s="7"/>
      <c r="I274" s="7"/>
      <c r="J274" s="7"/>
      <c r="K274" s="9">
        <v>1</v>
      </c>
      <c r="L274" s="45">
        <v>46241</v>
      </c>
      <c r="M274" s="44" t="s">
        <v>306</v>
      </c>
      <c r="N274" s="16">
        <v>4000</v>
      </c>
      <c r="O274" s="11">
        <v>1</v>
      </c>
      <c r="P274" s="12">
        <v>1</v>
      </c>
      <c r="Q274" s="12"/>
    </row>
    <row r="275" spans="1:18" ht="20.100000000000001" customHeight="1">
      <c r="A275" s="4">
        <v>271</v>
      </c>
      <c r="B275" s="6" t="s">
        <v>294</v>
      </c>
      <c r="C275" s="6" t="s">
        <v>25</v>
      </c>
      <c r="D275" s="7" t="s">
        <v>38</v>
      </c>
      <c r="E275" s="7"/>
      <c r="F275" s="7"/>
      <c r="G275" s="7"/>
      <c r="H275" s="7"/>
      <c r="I275" s="7"/>
      <c r="J275" s="7"/>
      <c r="K275" s="8">
        <v>1</v>
      </c>
      <c r="L275" s="22">
        <v>46272</v>
      </c>
      <c r="M275" s="44" t="s">
        <v>307</v>
      </c>
      <c r="N275" s="16">
        <v>8000</v>
      </c>
      <c r="O275" s="11">
        <v>1</v>
      </c>
      <c r="P275" s="12">
        <v>1</v>
      </c>
      <c r="Q275" s="12"/>
    </row>
    <row r="276" spans="1:18" ht="20.100000000000001" customHeight="1">
      <c r="A276" s="4">
        <v>272</v>
      </c>
      <c r="B276" s="6" t="s">
        <v>294</v>
      </c>
      <c r="C276" s="6" t="s">
        <v>25</v>
      </c>
      <c r="D276" s="7" t="s">
        <v>38</v>
      </c>
      <c r="E276" s="7"/>
      <c r="F276" s="7"/>
      <c r="G276" s="7"/>
      <c r="H276" s="7"/>
      <c r="I276" s="7"/>
      <c r="J276" s="7"/>
      <c r="K276" s="9">
        <v>1</v>
      </c>
      <c r="L276" s="22">
        <v>46302</v>
      </c>
      <c r="M276" s="44" t="s">
        <v>308</v>
      </c>
      <c r="N276" s="10">
        <v>20000</v>
      </c>
      <c r="O276" s="11">
        <v>1</v>
      </c>
      <c r="P276" s="12">
        <v>1</v>
      </c>
      <c r="Q276" s="12"/>
    </row>
    <row r="277" spans="1:18" ht="20.100000000000001" customHeight="1">
      <c r="A277" s="4">
        <v>273</v>
      </c>
      <c r="B277" s="6" t="s">
        <v>294</v>
      </c>
      <c r="C277" s="6" t="s">
        <v>25</v>
      </c>
      <c r="D277" s="7" t="s">
        <v>38</v>
      </c>
      <c r="E277" s="7"/>
      <c r="F277" s="7"/>
      <c r="G277" s="7"/>
      <c r="H277" s="7"/>
      <c r="I277" s="7"/>
      <c r="J277" s="7"/>
      <c r="K277" s="8">
        <v>1</v>
      </c>
      <c r="L277" s="45">
        <v>46302</v>
      </c>
      <c r="M277" s="27" t="s">
        <v>309</v>
      </c>
      <c r="N277" s="10">
        <v>400</v>
      </c>
      <c r="O277" s="11">
        <v>1</v>
      </c>
      <c r="P277" s="12">
        <v>1</v>
      </c>
      <c r="Q277" s="12"/>
    </row>
    <row r="278" spans="1:18" ht="20.100000000000001" customHeight="1">
      <c r="A278" s="4">
        <v>274</v>
      </c>
      <c r="B278" s="6" t="s">
        <v>294</v>
      </c>
      <c r="C278" s="6" t="s">
        <v>25</v>
      </c>
      <c r="D278" s="7" t="s">
        <v>38</v>
      </c>
      <c r="E278" s="7"/>
      <c r="F278" s="7"/>
      <c r="G278" s="7"/>
      <c r="H278" s="7"/>
      <c r="I278" s="7"/>
      <c r="J278" s="7"/>
      <c r="K278" s="8">
        <v>1</v>
      </c>
      <c r="L278" s="45">
        <v>46333</v>
      </c>
      <c r="M278" s="27" t="s">
        <v>310</v>
      </c>
      <c r="N278" s="10">
        <v>50000</v>
      </c>
      <c r="O278" s="11">
        <v>1</v>
      </c>
      <c r="P278" s="12">
        <v>1</v>
      </c>
      <c r="Q278" s="12"/>
    </row>
    <row r="279" spans="1:18" ht="20.100000000000001" customHeight="1">
      <c r="A279" s="4">
        <v>275</v>
      </c>
      <c r="B279" s="6" t="s">
        <v>294</v>
      </c>
      <c r="C279" s="6" t="s">
        <v>25</v>
      </c>
      <c r="D279" s="7" t="s">
        <v>38</v>
      </c>
      <c r="E279" s="7"/>
      <c r="F279" s="7"/>
      <c r="G279" s="7"/>
      <c r="H279" s="7"/>
      <c r="I279" s="7"/>
      <c r="J279" s="7"/>
      <c r="K279" s="8">
        <v>1</v>
      </c>
      <c r="L279" s="45" t="s">
        <v>223</v>
      </c>
      <c r="M279" s="27" t="s">
        <v>311</v>
      </c>
      <c r="N279" s="10">
        <v>3000</v>
      </c>
      <c r="O279" s="11">
        <v>1</v>
      </c>
      <c r="P279" s="12">
        <v>1</v>
      </c>
      <c r="Q279" s="12"/>
    </row>
    <row r="280" spans="1:18" ht="20.100000000000001" customHeight="1">
      <c r="A280" s="4">
        <v>276</v>
      </c>
      <c r="B280" s="6" t="s">
        <v>294</v>
      </c>
      <c r="C280" s="6" t="s">
        <v>25</v>
      </c>
      <c r="D280" s="7" t="s">
        <v>38</v>
      </c>
      <c r="E280" s="7"/>
      <c r="F280" s="7"/>
      <c r="G280" s="7"/>
      <c r="H280" s="7"/>
      <c r="I280" s="7"/>
      <c r="J280" s="7"/>
      <c r="K280" s="8">
        <v>1</v>
      </c>
      <c r="L280" s="45" t="s">
        <v>223</v>
      </c>
      <c r="M280" s="27" t="s">
        <v>312</v>
      </c>
      <c r="N280" s="10">
        <v>10000</v>
      </c>
      <c r="O280" s="11">
        <v>1</v>
      </c>
      <c r="P280" s="12">
        <v>1</v>
      </c>
      <c r="Q280" s="12"/>
    </row>
    <row r="281" spans="1:18" ht="20.100000000000001" customHeight="1">
      <c r="A281" s="4">
        <v>277</v>
      </c>
      <c r="B281" s="6" t="s">
        <v>294</v>
      </c>
      <c r="C281" s="6" t="s">
        <v>25</v>
      </c>
      <c r="D281" s="7" t="s">
        <v>38</v>
      </c>
      <c r="E281" s="7"/>
      <c r="F281" s="7"/>
      <c r="G281" s="7"/>
      <c r="H281" s="7"/>
      <c r="I281" s="7"/>
      <c r="J281" s="7"/>
      <c r="K281" s="8">
        <v>1</v>
      </c>
      <c r="L281" s="45" t="s">
        <v>313</v>
      </c>
      <c r="M281" s="27" t="s">
        <v>314</v>
      </c>
      <c r="N281" s="10">
        <v>600</v>
      </c>
      <c r="O281" s="11">
        <v>1</v>
      </c>
      <c r="P281" s="12">
        <v>1</v>
      </c>
      <c r="Q281" s="12"/>
    </row>
    <row r="282" spans="1:18" ht="20.100000000000001" customHeight="1">
      <c r="A282" s="4">
        <v>278</v>
      </c>
      <c r="B282" s="6" t="s">
        <v>294</v>
      </c>
      <c r="C282" s="6" t="s">
        <v>25</v>
      </c>
      <c r="D282" s="7" t="s">
        <v>38</v>
      </c>
      <c r="E282" s="7"/>
      <c r="F282" s="7"/>
      <c r="G282" s="7"/>
      <c r="H282" s="7"/>
      <c r="I282" s="7"/>
      <c r="J282" s="7"/>
      <c r="K282" s="8">
        <v>1</v>
      </c>
      <c r="L282" s="45" t="s">
        <v>313</v>
      </c>
      <c r="M282" s="27" t="s">
        <v>315</v>
      </c>
      <c r="N282" s="10">
        <v>4300</v>
      </c>
      <c r="O282" s="11">
        <v>1</v>
      </c>
      <c r="P282" s="12">
        <v>1</v>
      </c>
      <c r="Q282" s="12"/>
    </row>
    <row r="283" spans="1:18" ht="20.100000000000001" customHeight="1">
      <c r="A283" s="4">
        <v>279</v>
      </c>
      <c r="B283" s="6" t="s">
        <v>294</v>
      </c>
      <c r="C283" s="6" t="s">
        <v>25</v>
      </c>
      <c r="D283" s="7" t="s">
        <v>38</v>
      </c>
      <c r="E283" s="7"/>
      <c r="F283" s="7"/>
      <c r="G283" s="7"/>
      <c r="H283" s="7"/>
      <c r="I283" s="7"/>
      <c r="J283" s="7"/>
      <c r="K283" s="8">
        <v>1</v>
      </c>
      <c r="L283" s="8" t="s">
        <v>316</v>
      </c>
      <c r="M283" s="6" t="s">
        <v>317</v>
      </c>
      <c r="N283" s="10">
        <v>100000</v>
      </c>
      <c r="O283" s="11">
        <v>1</v>
      </c>
      <c r="P283" s="12">
        <v>1</v>
      </c>
      <c r="Q283" s="12"/>
    </row>
    <row r="284" spans="1:18" ht="20.100000000000001" customHeight="1">
      <c r="A284" s="4">
        <v>280</v>
      </c>
      <c r="B284" s="6" t="s">
        <v>294</v>
      </c>
      <c r="C284" s="6" t="s">
        <v>25</v>
      </c>
      <c r="D284" s="7" t="s">
        <v>38</v>
      </c>
      <c r="E284" s="7"/>
      <c r="F284" s="7"/>
      <c r="G284" s="7"/>
      <c r="H284" s="7"/>
      <c r="I284" s="7"/>
      <c r="J284" s="7"/>
      <c r="K284" s="9">
        <v>1</v>
      </c>
      <c r="L284" s="8" t="s">
        <v>318</v>
      </c>
      <c r="M284" s="6" t="s">
        <v>319</v>
      </c>
      <c r="N284" s="10">
        <v>400</v>
      </c>
      <c r="O284" s="35">
        <v>1</v>
      </c>
      <c r="P284" s="36">
        <v>1</v>
      </c>
      <c r="Q284" s="36"/>
      <c r="R284" s="37"/>
    </row>
    <row r="285" spans="1:18" ht="20.100000000000001" customHeight="1">
      <c r="A285" s="4">
        <v>281</v>
      </c>
      <c r="B285" s="6" t="s">
        <v>294</v>
      </c>
      <c r="C285" s="6" t="s">
        <v>25</v>
      </c>
      <c r="D285" s="7" t="s">
        <v>38</v>
      </c>
      <c r="E285" s="7"/>
      <c r="F285" s="7"/>
      <c r="G285" s="7"/>
      <c r="H285" s="7"/>
      <c r="I285" s="7"/>
      <c r="J285" s="7"/>
      <c r="K285" s="9">
        <v>1</v>
      </c>
      <c r="L285" s="22" t="s">
        <v>318</v>
      </c>
      <c r="M285" s="6" t="s">
        <v>320</v>
      </c>
      <c r="N285" s="10">
        <v>1900</v>
      </c>
      <c r="O285" s="11">
        <v>1</v>
      </c>
      <c r="P285" s="12">
        <v>1</v>
      </c>
      <c r="Q285" s="12"/>
    </row>
    <row r="286" spans="1:18" ht="20.100000000000001" customHeight="1">
      <c r="A286" s="4">
        <v>282</v>
      </c>
      <c r="B286" s="6" t="s">
        <v>294</v>
      </c>
      <c r="C286" s="6" t="s">
        <v>25</v>
      </c>
      <c r="D286" s="7" t="s">
        <v>38</v>
      </c>
      <c r="E286" s="7"/>
      <c r="F286" s="7"/>
      <c r="G286" s="7"/>
      <c r="H286" s="7"/>
      <c r="I286" s="7"/>
      <c r="J286" s="7"/>
      <c r="K286" s="9">
        <v>1</v>
      </c>
      <c r="L286" s="22" t="s">
        <v>318</v>
      </c>
      <c r="M286" s="6" t="s">
        <v>321</v>
      </c>
      <c r="N286" s="10">
        <v>23730</v>
      </c>
      <c r="O286" s="11">
        <v>1</v>
      </c>
      <c r="P286" s="12">
        <v>1</v>
      </c>
      <c r="Q286" s="12"/>
    </row>
    <row r="287" spans="1:18" ht="20.100000000000001" customHeight="1">
      <c r="A287" s="4">
        <v>283</v>
      </c>
      <c r="B287" s="6" t="s">
        <v>294</v>
      </c>
      <c r="C287" s="6" t="s">
        <v>25</v>
      </c>
      <c r="D287" s="7" t="s">
        <v>38</v>
      </c>
      <c r="E287" s="7"/>
      <c r="F287" s="7"/>
      <c r="G287" s="7"/>
      <c r="H287" s="7"/>
      <c r="I287" s="7"/>
      <c r="J287" s="7"/>
      <c r="K287" s="9">
        <v>1</v>
      </c>
      <c r="L287" s="8" t="s">
        <v>322</v>
      </c>
      <c r="M287" s="6" t="s">
        <v>323</v>
      </c>
      <c r="N287" s="10">
        <v>8000</v>
      </c>
      <c r="O287" s="11">
        <v>1</v>
      </c>
      <c r="P287" s="12">
        <v>1</v>
      </c>
      <c r="Q287" s="12"/>
    </row>
    <row r="288" spans="1:18" ht="20.100000000000001" customHeight="1">
      <c r="A288" s="4">
        <v>284</v>
      </c>
      <c r="B288" s="6" t="s">
        <v>294</v>
      </c>
      <c r="C288" s="6" t="s">
        <v>25</v>
      </c>
      <c r="D288" s="7" t="s">
        <v>38</v>
      </c>
      <c r="E288" s="7"/>
      <c r="F288" s="7"/>
      <c r="G288" s="7"/>
      <c r="H288" s="7"/>
      <c r="I288" s="7"/>
      <c r="J288" s="7"/>
      <c r="K288" s="9">
        <v>1</v>
      </c>
      <c r="L288" s="8" t="s">
        <v>322</v>
      </c>
      <c r="M288" s="6" t="s">
        <v>324</v>
      </c>
      <c r="N288" s="10">
        <v>800</v>
      </c>
      <c r="O288" s="11">
        <v>1</v>
      </c>
      <c r="P288" s="12">
        <v>1</v>
      </c>
      <c r="Q288" s="12"/>
    </row>
    <row r="289" spans="1:17" ht="20.100000000000001" customHeight="1">
      <c r="A289" s="4">
        <v>285</v>
      </c>
      <c r="B289" s="6" t="s">
        <v>294</v>
      </c>
      <c r="C289" s="6" t="s">
        <v>25</v>
      </c>
      <c r="D289" s="7" t="s">
        <v>38</v>
      </c>
      <c r="E289" s="7"/>
      <c r="F289" s="7"/>
      <c r="G289" s="7"/>
      <c r="H289" s="7"/>
      <c r="I289" s="7"/>
      <c r="J289" s="7"/>
      <c r="K289" s="9">
        <v>1</v>
      </c>
      <c r="L289" s="8" t="s">
        <v>325</v>
      </c>
      <c r="M289" s="6" t="s">
        <v>326</v>
      </c>
      <c r="N289" s="10">
        <v>40000</v>
      </c>
      <c r="O289" s="11">
        <v>1</v>
      </c>
      <c r="P289" s="12">
        <v>1</v>
      </c>
      <c r="Q289" s="12"/>
    </row>
    <row r="290" spans="1:17" ht="20.100000000000001" customHeight="1">
      <c r="A290" s="4">
        <v>286</v>
      </c>
      <c r="B290" s="6" t="s">
        <v>294</v>
      </c>
      <c r="C290" s="6" t="s">
        <v>25</v>
      </c>
      <c r="D290" s="7" t="s">
        <v>38</v>
      </c>
      <c r="E290" s="7"/>
      <c r="F290" s="7"/>
      <c r="G290" s="7"/>
      <c r="H290" s="7"/>
      <c r="I290" s="7"/>
      <c r="J290" s="7"/>
      <c r="K290" s="8">
        <v>1</v>
      </c>
      <c r="L290" s="8" t="s">
        <v>327</v>
      </c>
      <c r="M290" s="6" t="s">
        <v>328</v>
      </c>
      <c r="N290" s="10">
        <v>9300</v>
      </c>
      <c r="O290" s="11">
        <v>1</v>
      </c>
      <c r="P290" s="12">
        <v>1</v>
      </c>
      <c r="Q290" s="12"/>
    </row>
    <row r="291" spans="1:17" ht="20.100000000000001" customHeight="1">
      <c r="A291" s="4">
        <v>287</v>
      </c>
      <c r="B291" s="6" t="s">
        <v>294</v>
      </c>
      <c r="C291" s="6" t="s">
        <v>25</v>
      </c>
      <c r="D291" s="7" t="s">
        <v>38</v>
      </c>
      <c r="E291" s="7"/>
      <c r="F291" s="7"/>
      <c r="G291" s="7"/>
      <c r="H291" s="7"/>
      <c r="I291" s="7"/>
      <c r="J291" s="7"/>
      <c r="K291" s="8">
        <v>1</v>
      </c>
      <c r="L291" s="8" t="s">
        <v>327</v>
      </c>
      <c r="M291" s="6" t="s">
        <v>329</v>
      </c>
      <c r="N291" s="10">
        <v>2000</v>
      </c>
      <c r="O291" s="11">
        <v>1</v>
      </c>
      <c r="P291" s="12">
        <v>1</v>
      </c>
      <c r="Q291" s="12"/>
    </row>
    <row r="292" spans="1:17" ht="20.100000000000001" customHeight="1">
      <c r="A292" s="4">
        <v>288</v>
      </c>
      <c r="B292" s="6" t="s">
        <v>294</v>
      </c>
      <c r="C292" s="6" t="s">
        <v>25</v>
      </c>
      <c r="D292" s="7" t="s">
        <v>38</v>
      </c>
      <c r="E292" s="7"/>
      <c r="F292" s="7"/>
      <c r="G292" s="7"/>
      <c r="H292" s="7"/>
      <c r="I292" s="7"/>
      <c r="J292" s="7"/>
      <c r="K292" s="8">
        <v>1</v>
      </c>
      <c r="L292" s="8" t="s">
        <v>221</v>
      </c>
      <c r="M292" s="6" t="s">
        <v>330</v>
      </c>
      <c r="N292" s="10">
        <v>10000</v>
      </c>
      <c r="O292" s="11">
        <v>1</v>
      </c>
      <c r="P292" s="12">
        <v>1</v>
      </c>
      <c r="Q292" s="12"/>
    </row>
    <row r="293" spans="1:17" ht="20.100000000000001" customHeight="1">
      <c r="A293" s="4">
        <v>289</v>
      </c>
      <c r="B293" s="6" t="s">
        <v>294</v>
      </c>
      <c r="C293" s="6" t="s">
        <v>25</v>
      </c>
      <c r="D293" s="7" t="s">
        <v>38</v>
      </c>
      <c r="E293" s="7"/>
      <c r="F293" s="7"/>
      <c r="G293" s="7"/>
      <c r="H293" s="7"/>
      <c r="I293" s="7"/>
      <c r="J293" s="7"/>
      <c r="K293" s="8">
        <v>1</v>
      </c>
      <c r="L293" s="8" t="s">
        <v>98</v>
      </c>
      <c r="M293" s="6" t="s">
        <v>331</v>
      </c>
      <c r="N293" s="10">
        <v>11000</v>
      </c>
      <c r="O293" s="11">
        <v>1</v>
      </c>
      <c r="P293" s="12">
        <v>1</v>
      </c>
      <c r="Q293" s="12"/>
    </row>
    <row r="294" spans="1:17" ht="20.100000000000001" customHeight="1">
      <c r="A294" s="4">
        <v>290</v>
      </c>
      <c r="B294" s="6" t="s">
        <v>332</v>
      </c>
      <c r="C294" s="6" t="s">
        <v>25</v>
      </c>
      <c r="D294" s="7" t="s">
        <v>33</v>
      </c>
      <c r="E294" s="7"/>
      <c r="F294" s="7"/>
      <c r="G294" s="7"/>
      <c r="H294" s="7"/>
      <c r="I294" s="8">
        <v>768</v>
      </c>
      <c r="J294" s="7"/>
      <c r="K294" s="17"/>
      <c r="L294" s="8"/>
      <c r="M294" s="6" t="s">
        <v>35</v>
      </c>
      <c r="N294" s="10">
        <v>233436.75000000015</v>
      </c>
      <c r="O294" s="11">
        <v>768</v>
      </c>
      <c r="P294" s="12"/>
      <c r="Q294" s="12"/>
    </row>
    <row r="295" spans="1:17" ht="20.100000000000001" customHeight="1">
      <c r="A295" s="4">
        <v>291</v>
      </c>
      <c r="B295" s="6" t="s">
        <v>332</v>
      </c>
      <c r="C295" s="6" t="s">
        <v>25</v>
      </c>
      <c r="D295" s="7" t="s">
        <v>36</v>
      </c>
      <c r="E295" s="7"/>
      <c r="F295" s="8">
        <v>845</v>
      </c>
      <c r="G295" s="7"/>
      <c r="H295" s="7"/>
      <c r="I295" s="7"/>
      <c r="J295" s="7"/>
      <c r="K295" s="14"/>
      <c r="L295" s="8"/>
      <c r="M295" s="6" t="s">
        <v>333</v>
      </c>
      <c r="N295" s="10"/>
      <c r="O295" s="11">
        <v>845</v>
      </c>
      <c r="P295" s="12"/>
      <c r="Q295" s="12"/>
    </row>
    <row r="296" spans="1:17" ht="20.100000000000001" customHeight="1">
      <c r="A296" s="4">
        <v>292</v>
      </c>
      <c r="B296" s="6" t="s">
        <v>332</v>
      </c>
      <c r="C296" s="6" t="s">
        <v>25</v>
      </c>
      <c r="D296" s="7" t="s">
        <v>38</v>
      </c>
      <c r="E296" s="7"/>
      <c r="F296" s="7"/>
      <c r="G296" s="7"/>
      <c r="H296" s="7"/>
      <c r="I296" s="7"/>
      <c r="J296" s="7"/>
      <c r="K296" s="9">
        <v>1</v>
      </c>
      <c r="L296" s="45" t="s">
        <v>334</v>
      </c>
      <c r="M296" s="6" t="s">
        <v>335</v>
      </c>
      <c r="N296" s="10">
        <v>100000</v>
      </c>
      <c r="O296" s="11">
        <v>1</v>
      </c>
      <c r="P296" s="12">
        <v>1</v>
      </c>
      <c r="Q296" s="12"/>
    </row>
    <row r="297" spans="1:17" ht="20.100000000000001" customHeight="1">
      <c r="A297" s="4">
        <v>293</v>
      </c>
      <c r="B297" s="6" t="s">
        <v>332</v>
      </c>
      <c r="C297" s="6" t="s">
        <v>25</v>
      </c>
      <c r="D297" s="7" t="s">
        <v>38</v>
      </c>
      <c r="E297" s="7"/>
      <c r="F297" s="7"/>
      <c r="G297" s="7"/>
      <c r="H297" s="7"/>
      <c r="I297" s="7"/>
      <c r="J297" s="7"/>
      <c r="K297" s="9">
        <v>1</v>
      </c>
      <c r="L297" s="21" t="s">
        <v>336</v>
      </c>
      <c r="M297" s="6" t="s">
        <v>335</v>
      </c>
      <c r="N297" s="10">
        <v>100000</v>
      </c>
      <c r="O297" s="11">
        <v>1</v>
      </c>
      <c r="P297" s="12"/>
      <c r="Q297" s="12"/>
    </row>
    <row r="298" spans="1:17" ht="20.100000000000001" customHeight="1">
      <c r="A298" s="4">
        <v>294</v>
      </c>
      <c r="B298" s="6" t="s">
        <v>332</v>
      </c>
      <c r="C298" s="6" t="s">
        <v>25</v>
      </c>
      <c r="D298" s="7" t="s">
        <v>38</v>
      </c>
      <c r="E298" s="7"/>
      <c r="F298" s="7"/>
      <c r="G298" s="7"/>
      <c r="H298" s="7"/>
      <c r="I298" s="7"/>
      <c r="J298" s="7"/>
      <c r="K298" s="9">
        <v>1</v>
      </c>
      <c r="L298" s="21" t="s">
        <v>337</v>
      </c>
      <c r="M298" s="6" t="s">
        <v>338</v>
      </c>
      <c r="N298" s="10">
        <v>4890.91</v>
      </c>
      <c r="O298" s="11">
        <v>1</v>
      </c>
      <c r="P298" s="12"/>
      <c r="Q298" s="12"/>
    </row>
    <row r="299" spans="1:17" ht="20.100000000000001" customHeight="1">
      <c r="A299" s="4">
        <v>295</v>
      </c>
      <c r="B299" s="6" t="s">
        <v>339</v>
      </c>
      <c r="C299" s="6" t="s">
        <v>25</v>
      </c>
      <c r="D299" s="7" t="s">
        <v>26</v>
      </c>
      <c r="E299" s="7"/>
      <c r="F299" s="7"/>
      <c r="G299" s="7"/>
      <c r="H299" s="7"/>
      <c r="I299" s="7"/>
      <c r="J299" s="7"/>
      <c r="K299" s="9">
        <v>1</v>
      </c>
      <c r="L299" s="21"/>
      <c r="M299" s="6" t="s">
        <v>340</v>
      </c>
      <c r="N299" s="10">
        <v>56250</v>
      </c>
      <c r="O299" s="11">
        <v>1</v>
      </c>
      <c r="P299" s="12"/>
      <c r="Q299" s="12"/>
    </row>
    <row r="300" spans="1:17" ht="20.100000000000001" customHeight="1">
      <c r="A300" s="4">
        <v>296</v>
      </c>
      <c r="B300" s="6" t="s">
        <v>339</v>
      </c>
      <c r="C300" s="6" t="s">
        <v>25</v>
      </c>
      <c r="D300" s="7" t="s">
        <v>29</v>
      </c>
      <c r="E300" s="7"/>
      <c r="F300" s="7"/>
      <c r="G300" s="9">
        <v>1</v>
      </c>
      <c r="H300" s="7"/>
      <c r="I300" s="7"/>
      <c r="J300" s="7"/>
      <c r="K300" s="14"/>
      <c r="L300" s="21"/>
      <c r="M300" s="6" t="s">
        <v>119</v>
      </c>
      <c r="N300" s="10">
        <v>1267417.06</v>
      </c>
      <c r="O300" s="11">
        <v>1</v>
      </c>
      <c r="P300" s="12"/>
      <c r="Q300" s="12"/>
    </row>
    <row r="301" spans="1:17" ht="20.100000000000001" customHeight="1">
      <c r="A301" s="4">
        <v>297</v>
      </c>
      <c r="B301" s="6" t="s">
        <v>339</v>
      </c>
      <c r="C301" s="6" t="s">
        <v>25</v>
      </c>
      <c r="D301" s="7" t="s">
        <v>29</v>
      </c>
      <c r="E301" s="7"/>
      <c r="F301" s="7"/>
      <c r="G301" s="9">
        <v>1</v>
      </c>
      <c r="H301" s="7"/>
      <c r="I301" s="7"/>
      <c r="J301" s="7"/>
      <c r="K301" s="14"/>
      <c r="L301" s="21"/>
      <c r="M301" s="6" t="s">
        <v>49</v>
      </c>
      <c r="N301" s="10">
        <v>50862638.170000002</v>
      </c>
      <c r="O301" s="11">
        <v>1</v>
      </c>
      <c r="P301" s="12"/>
      <c r="Q301" s="12"/>
    </row>
    <row r="302" spans="1:17" ht="20.100000000000001" customHeight="1">
      <c r="A302" s="4">
        <v>298</v>
      </c>
      <c r="B302" s="6" t="s">
        <v>339</v>
      </c>
      <c r="C302" s="6" t="s">
        <v>25</v>
      </c>
      <c r="D302" s="7" t="s">
        <v>29</v>
      </c>
      <c r="E302" s="7"/>
      <c r="F302" s="7"/>
      <c r="G302" s="9">
        <v>1</v>
      </c>
      <c r="H302" s="7"/>
      <c r="I302" s="7"/>
      <c r="J302" s="7"/>
      <c r="K302" s="14"/>
      <c r="L302" s="21"/>
      <c r="M302" s="6" t="s">
        <v>32</v>
      </c>
      <c r="N302" s="10">
        <v>0.32</v>
      </c>
      <c r="O302" s="11">
        <v>1</v>
      </c>
      <c r="P302" s="12"/>
      <c r="Q302" s="12"/>
    </row>
    <row r="303" spans="1:17" ht="20.100000000000001" customHeight="1">
      <c r="A303" s="4">
        <v>299</v>
      </c>
      <c r="B303" s="6" t="s">
        <v>339</v>
      </c>
      <c r="C303" s="6" t="s">
        <v>25</v>
      </c>
      <c r="D303" s="7" t="s">
        <v>68</v>
      </c>
      <c r="E303" s="7"/>
      <c r="F303" s="7"/>
      <c r="G303" s="7"/>
      <c r="H303" s="7"/>
      <c r="I303" s="7"/>
      <c r="J303" s="7"/>
      <c r="K303" s="9">
        <v>1</v>
      </c>
      <c r="L303" s="21"/>
      <c r="M303" s="6" t="s">
        <v>341</v>
      </c>
      <c r="N303" s="10">
        <v>-407403.45</v>
      </c>
      <c r="O303" s="11">
        <v>1</v>
      </c>
      <c r="P303" s="12"/>
      <c r="Q303" s="12"/>
    </row>
    <row r="304" spans="1:17" ht="20.100000000000001" customHeight="1">
      <c r="A304" s="4">
        <v>300</v>
      </c>
      <c r="B304" s="6" t="s">
        <v>339</v>
      </c>
      <c r="C304" s="6" t="s">
        <v>25</v>
      </c>
      <c r="D304" s="7" t="s">
        <v>33</v>
      </c>
      <c r="E304" s="7"/>
      <c r="F304" s="7"/>
      <c r="G304" s="7"/>
      <c r="H304" s="9">
        <v>41</v>
      </c>
      <c r="I304" s="7"/>
      <c r="J304" s="7"/>
      <c r="K304" s="14"/>
      <c r="L304" s="21"/>
      <c r="M304" s="6" t="s">
        <v>342</v>
      </c>
      <c r="N304" s="10"/>
      <c r="O304" s="11">
        <v>41</v>
      </c>
      <c r="P304" s="12">
        <v>26</v>
      </c>
      <c r="Q304" s="12"/>
    </row>
    <row r="305" spans="1:17" ht="20.100000000000001" customHeight="1">
      <c r="A305" s="4">
        <v>301</v>
      </c>
      <c r="B305" s="6" t="s">
        <v>339</v>
      </c>
      <c r="C305" s="6" t="s">
        <v>25</v>
      </c>
      <c r="D305" s="7" t="s">
        <v>33</v>
      </c>
      <c r="E305" s="7"/>
      <c r="F305" s="7"/>
      <c r="G305" s="7"/>
      <c r="H305" s="7"/>
      <c r="I305" s="9">
        <v>825</v>
      </c>
      <c r="J305" s="7"/>
      <c r="K305" s="17"/>
      <c r="L305" s="21"/>
      <c r="M305" s="6" t="s">
        <v>35</v>
      </c>
      <c r="N305" s="10"/>
      <c r="O305" s="11">
        <v>825</v>
      </c>
      <c r="P305" s="12">
        <v>23</v>
      </c>
      <c r="Q305" s="12"/>
    </row>
    <row r="306" spans="1:17" ht="20.100000000000001" customHeight="1">
      <c r="A306" s="4">
        <v>302</v>
      </c>
      <c r="B306" s="6" t="s">
        <v>339</v>
      </c>
      <c r="C306" s="6" t="s">
        <v>25</v>
      </c>
      <c r="D306" s="7" t="s">
        <v>36</v>
      </c>
      <c r="E306" s="7"/>
      <c r="F306" s="9">
        <v>731</v>
      </c>
      <c r="G306" s="7"/>
      <c r="H306" s="7"/>
      <c r="I306" s="7"/>
      <c r="J306" s="7"/>
      <c r="K306" s="14"/>
      <c r="L306" s="21"/>
      <c r="M306" s="6" t="s">
        <v>343</v>
      </c>
      <c r="N306" s="10"/>
      <c r="O306" s="11">
        <v>731</v>
      </c>
      <c r="P306" s="12"/>
      <c r="Q306" s="12"/>
    </row>
    <row r="307" spans="1:17" ht="20.100000000000001" customHeight="1">
      <c r="A307" s="4">
        <v>303</v>
      </c>
      <c r="B307" s="6" t="s">
        <v>339</v>
      </c>
      <c r="C307" s="6" t="s">
        <v>25</v>
      </c>
      <c r="D307" s="7" t="s">
        <v>38</v>
      </c>
      <c r="E307" s="7"/>
      <c r="F307" s="7"/>
      <c r="G307" s="7"/>
      <c r="H307" s="7"/>
      <c r="I307" s="7"/>
      <c r="J307" s="7"/>
      <c r="K307" s="9">
        <v>1</v>
      </c>
      <c r="L307" s="21"/>
      <c r="M307" s="6" t="s">
        <v>344</v>
      </c>
      <c r="N307" s="10"/>
      <c r="O307" s="11">
        <v>1</v>
      </c>
      <c r="P307" s="12">
        <v>1</v>
      </c>
      <c r="Q307" s="12"/>
    </row>
    <row r="308" spans="1:17" ht="20.100000000000001" customHeight="1">
      <c r="A308" s="4">
        <v>304</v>
      </c>
      <c r="B308" s="6" t="s">
        <v>339</v>
      </c>
      <c r="C308" s="6" t="s">
        <v>25</v>
      </c>
      <c r="D308" s="7" t="s">
        <v>38</v>
      </c>
      <c r="E308" s="7"/>
      <c r="F308" s="7"/>
      <c r="G308" s="7"/>
      <c r="H308" s="7"/>
      <c r="I308" s="7"/>
      <c r="J308" s="7"/>
      <c r="K308" s="9">
        <v>1</v>
      </c>
      <c r="L308" s="21"/>
      <c r="M308" s="6" t="s">
        <v>345</v>
      </c>
      <c r="N308" s="10">
        <v>2500</v>
      </c>
      <c r="O308" s="11">
        <v>1</v>
      </c>
      <c r="P308" s="12">
        <v>1</v>
      </c>
      <c r="Q308" s="12"/>
    </row>
    <row r="309" spans="1:17" ht="20.100000000000001" customHeight="1">
      <c r="A309" s="4">
        <v>305</v>
      </c>
      <c r="B309" s="6" t="s">
        <v>339</v>
      </c>
      <c r="C309" s="6" t="s">
        <v>25</v>
      </c>
      <c r="D309" s="7" t="s">
        <v>38</v>
      </c>
      <c r="E309" s="7"/>
      <c r="F309" s="7"/>
      <c r="G309" s="7"/>
      <c r="H309" s="7"/>
      <c r="I309" s="7"/>
      <c r="J309" s="7"/>
      <c r="K309" s="9">
        <v>1</v>
      </c>
      <c r="L309" s="21"/>
      <c r="M309" s="6" t="s">
        <v>346</v>
      </c>
      <c r="N309" s="10">
        <v>1000</v>
      </c>
      <c r="O309" s="11">
        <v>1</v>
      </c>
      <c r="P309" s="12">
        <v>1</v>
      </c>
      <c r="Q309" s="12"/>
    </row>
    <row r="310" spans="1:17" ht="20.100000000000001" customHeight="1">
      <c r="A310" s="4">
        <v>306</v>
      </c>
      <c r="B310" s="6" t="s">
        <v>339</v>
      </c>
      <c r="C310" s="6" t="s">
        <v>25</v>
      </c>
      <c r="D310" s="7" t="s">
        <v>38</v>
      </c>
      <c r="E310" s="7"/>
      <c r="F310" s="7"/>
      <c r="G310" s="7"/>
      <c r="H310" s="7"/>
      <c r="I310" s="7"/>
      <c r="J310" s="7"/>
      <c r="K310" s="9">
        <v>1</v>
      </c>
      <c r="L310" s="21"/>
      <c r="M310" s="6" t="s">
        <v>347</v>
      </c>
      <c r="N310" s="10">
        <v>700</v>
      </c>
      <c r="O310" s="11">
        <v>1</v>
      </c>
      <c r="P310" s="12">
        <v>1</v>
      </c>
      <c r="Q310" s="12"/>
    </row>
    <row r="311" spans="1:17" ht="20.100000000000001" customHeight="1">
      <c r="A311" s="4">
        <v>307</v>
      </c>
      <c r="B311" s="6" t="s">
        <v>339</v>
      </c>
      <c r="C311" s="6" t="s">
        <v>25</v>
      </c>
      <c r="D311" s="7" t="s">
        <v>38</v>
      </c>
      <c r="E311" s="7"/>
      <c r="F311" s="7"/>
      <c r="G311" s="7"/>
      <c r="H311" s="7"/>
      <c r="I311" s="7"/>
      <c r="J311" s="7"/>
      <c r="K311" s="9">
        <v>1</v>
      </c>
      <c r="L311" s="21"/>
      <c r="M311" s="6" t="s">
        <v>348</v>
      </c>
      <c r="N311" s="10">
        <v>6000</v>
      </c>
      <c r="O311" s="11">
        <v>1</v>
      </c>
      <c r="P311" s="12">
        <v>1</v>
      </c>
      <c r="Q311" s="12"/>
    </row>
    <row r="312" spans="1:17" ht="20.100000000000001" customHeight="1">
      <c r="A312" s="4">
        <v>308</v>
      </c>
      <c r="B312" s="6" t="s">
        <v>339</v>
      </c>
      <c r="C312" s="6" t="s">
        <v>25</v>
      </c>
      <c r="D312" s="7" t="s">
        <v>38</v>
      </c>
      <c r="E312" s="7"/>
      <c r="F312" s="7"/>
      <c r="G312" s="7"/>
      <c r="H312" s="7"/>
      <c r="I312" s="7"/>
      <c r="J312" s="7"/>
      <c r="K312" s="9">
        <v>1</v>
      </c>
      <c r="L312" s="21"/>
      <c r="M312" s="6" t="s">
        <v>349</v>
      </c>
      <c r="N312" s="10">
        <v>1000</v>
      </c>
      <c r="O312" s="11">
        <v>1</v>
      </c>
      <c r="P312" s="12">
        <v>1</v>
      </c>
      <c r="Q312" s="12"/>
    </row>
    <row r="313" spans="1:17" ht="20.100000000000001" customHeight="1">
      <c r="A313" s="4">
        <v>309</v>
      </c>
      <c r="B313" s="6" t="s">
        <v>339</v>
      </c>
      <c r="C313" s="6" t="s">
        <v>25</v>
      </c>
      <c r="D313" s="7" t="s">
        <v>38</v>
      </c>
      <c r="E313" s="7"/>
      <c r="F313" s="7"/>
      <c r="G313" s="7"/>
      <c r="H313" s="7"/>
      <c r="I313" s="7"/>
      <c r="J313" s="7"/>
      <c r="K313" s="9">
        <v>1</v>
      </c>
      <c r="L313" s="21"/>
      <c r="M313" s="6" t="s">
        <v>349</v>
      </c>
      <c r="N313" s="10">
        <v>1500</v>
      </c>
      <c r="O313" s="11">
        <v>1</v>
      </c>
      <c r="P313" s="12">
        <v>1</v>
      </c>
      <c r="Q313" s="12"/>
    </row>
    <row r="314" spans="1:17" ht="20.100000000000001" customHeight="1">
      <c r="A314" s="4">
        <v>310</v>
      </c>
      <c r="B314" s="6" t="s">
        <v>339</v>
      </c>
      <c r="C314" s="6" t="s">
        <v>25</v>
      </c>
      <c r="D314" s="7" t="s">
        <v>38</v>
      </c>
      <c r="E314" s="7"/>
      <c r="F314" s="7"/>
      <c r="G314" s="7"/>
      <c r="H314" s="7"/>
      <c r="I314" s="7"/>
      <c r="J314" s="7"/>
      <c r="K314" s="9">
        <v>1</v>
      </c>
      <c r="L314" s="21"/>
      <c r="M314" s="6" t="s">
        <v>350</v>
      </c>
      <c r="N314" s="10">
        <v>1000</v>
      </c>
      <c r="O314" s="11">
        <v>1</v>
      </c>
      <c r="P314" s="12">
        <v>1</v>
      </c>
      <c r="Q314" s="12"/>
    </row>
    <row r="315" spans="1:17" ht="20.100000000000001" customHeight="1">
      <c r="A315" s="4">
        <v>311</v>
      </c>
      <c r="B315" s="6" t="s">
        <v>339</v>
      </c>
      <c r="C315" s="6" t="s">
        <v>25</v>
      </c>
      <c r="D315" s="7" t="s">
        <v>38</v>
      </c>
      <c r="E315" s="7"/>
      <c r="F315" s="7"/>
      <c r="G315" s="7"/>
      <c r="H315" s="7"/>
      <c r="I315" s="7"/>
      <c r="J315" s="7"/>
      <c r="K315" s="9">
        <v>1</v>
      </c>
      <c r="L315" s="21"/>
      <c r="M315" s="6" t="s">
        <v>345</v>
      </c>
      <c r="N315" s="10">
        <v>8000</v>
      </c>
      <c r="O315" s="11">
        <v>1</v>
      </c>
      <c r="P315" s="12">
        <v>1</v>
      </c>
      <c r="Q315" s="12"/>
    </row>
    <row r="316" spans="1:17" ht="20.100000000000001" customHeight="1">
      <c r="A316" s="4">
        <v>312</v>
      </c>
      <c r="B316" s="6" t="s">
        <v>339</v>
      </c>
      <c r="C316" s="6" t="s">
        <v>25</v>
      </c>
      <c r="D316" s="7" t="s">
        <v>38</v>
      </c>
      <c r="E316" s="7"/>
      <c r="F316" s="7"/>
      <c r="G316" s="7"/>
      <c r="H316" s="7"/>
      <c r="I316" s="7"/>
      <c r="J316" s="7"/>
      <c r="K316" s="9">
        <v>1</v>
      </c>
      <c r="L316" s="21"/>
      <c r="M316" s="6" t="s">
        <v>346</v>
      </c>
      <c r="N316" s="10">
        <v>1000</v>
      </c>
      <c r="O316" s="11">
        <v>1</v>
      </c>
      <c r="P316" s="12">
        <v>1</v>
      </c>
      <c r="Q316" s="12"/>
    </row>
    <row r="317" spans="1:17" ht="20.100000000000001" customHeight="1">
      <c r="A317" s="4">
        <v>313</v>
      </c>
      <c r="B317" s="6" t="s">
        <v>339</v>
      </c>
      <c r="C317" s="6" t="s">
        <v>25</v>
      </c>
      <c r="D317" s="7" t="s">
        <v>38</v>
      </c>
      <c r="E317" s="7"/>
      <c r="F317" s="7"/>
      <c r="G317" s="7"/>
      <c r="H317" s="7"/>
      <c r="I317" s="7"/>
      <c r="J317" s="7"/>
      <c r="K317" s="9">
        <v>1</v>
      </c>
      <c r="L317" s="21"/>
      <c r="M317" s="6" t="s">
        <v>347</v>
      </c>
      <c r="N317" s="10">
        <v>90000</v>
      </c>
      <c r="O317" s="11">
        <v>1</v>
      </c>
      <c r="P317" s="12">
        <v>1</v>
      </c>
      <c r="Q317" s="12"/>
    </row>
    <row r="318" spans="1:17" ht="20.100000000000001" customHeight="1">
      <c r="A318" s="4">
        <v>314</v>
      </c>
      <c r="B318" s="6" t="s">
        <v>339</v>
      </c>
      <c r="C318" s="6" t="s">
        <v>25</v>
      </c>
      <c r="D318" s="7" t="s">
        <v>38</v>
      </c>
      <c r="E318" s="7"/>
      <c r="F318" s="7"/>
      <c r="G318" s="7"/>
      <c r="H318" s="7"/>
      <c r="I318" s="7"/>
      <c r="J318" s="7"/>
      <c r="K318" s="9">
        <v>1</v>
      </c>
      <c r="L318" s="21"/>
      <c r="M318" s="6" t="s">
        <v>348</v>
      </c>
      <c r="N318" s="10">
        <v>100</v>
      </c>
      <c r="O318" s="11">
        <v>1</v>
      </c>
      <c r="P318" s="12">
        <v>1</v>
      </c>
      <c r="Q318" s="12"/>
    </row>
    <row r="319" spans="1:17" ht="20.100000000000001" customHeight="1">
      <c r="A319" s="4">
        <v>315</v>
      </c>
      <c r="B319" s="6" t="s">
        <v>339</v>
      </c>
      <c r="C319" s="6" t="s">
        <v>25</v>
      </c>
      <c r="D319" s="7" t="s">
        <v>38</v>
      </c>
      <c r="E319" s="7"/>
      <c r="F319" s="7"/>
      <c r="G319" s="7"/>
      <c r="H319" s="7"/>
      <c r="I319" s="7"/>
      <c r="J319" s="7"/>
      <c r="K319" s="9">
        <v>1</v>
      </c>
      <c r="L319" s="21"/>
      <c r="M319" s="6" t="s">
        <v>349</v>
      </c>
      <c r="N319" s="10">
        <v>200</v>
      </c>
      <c r="O319" s="11">
        <v>1</v>
      </c>
      <c r="P319" s="12">
        <v>1</v>
      </c>
      <c r="Q319" s="12"/>
    </row>
    <row r="320" spans="1:17" ht="20.100000000000001" customHeight="1">
      <c r="A320" s="4">
        <v>316</v>
      </c>
      <c r="B320" s="6" t="s">
        <v>339</v>
      </c>
      <c r="C320" s="6" t="s">
        <v>25</v>
      </c>
      <c r="D320" s="7" t="s">
        <v>351</v>
      </c>
      <c r="E320" s="7"/>
      <c r="F320" s="7"/>
      <c r="G320" s="7"/>
      <c r="H320" s="7"/>
      <c r="I320" s="7"/>
      <c r="J320" s="7"/>
      <c r="K320" s="9">
        <v>2</v>
      </c>
      <c r="L320" s="21"/>
      <c r="M320" s="6" t="s">
        <v>352</v>
      </c>
      <c r="N320" s="10"/>
      <c r="O320" s="11">
        <v>2</v>
      </c>
      <c r="P320" s="12"/>
      <c r="Q320" s="12"/>
    </row>
    <row r="321" spans="1:18" ht="20.100000000000001" customHeight="1">
      <c r="A321" s="4">
        <v>317</v>
      </c>
      <c r="B321" s="6" t="s">
        <v>339</v>
      </c>
      <c r="C321" s="6" t="s">
        <v>25</v>
      </c>
      <c r="D321" s="7" t="s">
        <v>351</v>
      </c>
      <c r="E321" s="7"/>
      <c r="F321" s="7"/>
      <c r="G321" s="7"/>
      <c r="H321" s="7"/>
      <c r="I321" s="7"/>
      <c r="J321" s="7"/>
      <c r="K321" s="9">
        <v>2</v>
      </c>
      <c r="L321" s="21"/>
      <c r="M321" s="6" t="s">
        <v>353</v>
      </c>
      <c r="N321" s="10"/>
      <c r="O321" s="11">
        <v>2</v>
      </c>
      <c r="P321" s="12"/>
      <c r="Q321" s="12"/>
    </row>
    <row r="322" spans="1:18" ht="20.100000000000001" customHeight="1">
      <c r="A322" s="4">
        <v>318</v>
      </c>
      <c r="B322" s="6" t="s">
        <v>339</v>
      </c>
      <c r="C322" s="6" t="s">
        <v>25</v>
      </c>
      <c r="D322" s="7" t="s">
        <v>351</v>
      </c>
      <c r="E322" s="7"/>
      <c r="F322" s="7"/>
      <c r="G322" s="7"/>
      <c r="H322" s="7"/>
      <c r="I322" s="7"/>
      <c r="J322" s="7"/>
      <c r="K322" s="9">
        <v>2</v>
      </c>
      <c r="L322" s="21"/>
      <c r="M322" s="6" t="s">
        <v>354</v>
      </c>
      <c r="N322" s="10"/>
      <c r="O322" s="11">
        <v>2</v>
      </c>
      <c r="P322" s="12"/>
      <c r="Q322" s="12"/>
    </row>
    <row r="323" spans="1:18" ht="20.100000000000001" customHeight="1">
      <c r="A323" s="4">
        <v>319</v>
      </c>
      <c r="B323" s="26" t="s">
        <v>355</v>
      </c>
      <c r="C323" s="6" t="s">
        <v>25</v>
      </c>
      <c r="D323" s="7" t="s">
        <v>26</v>
      </c>
      <c r="E323" s="7"/>
      <c r="F323" s="7"/>
      <c r="G323" s="7"/>
      <c r="H323" s="7"/>
      <c r="I323" s="7"/>
      <c r="J323" s="7"/>
      <c r="K323" s="8">
        <v>1</v>
      </c>
      <c r="L323" s="21"/>
      <c r="M323" s="6" t="s">
        <v>356</v>
      </c>
      <c r="N323" s="16">
        <v>-212603.24</v>
      </c>
      <c r="O323" s="11">
        <v>1</v>
      </c>
      <c r="P323" s="12"/>
      <c r="Q323" s="12"/>
    </row>
    <row r="324" spans="1:18" ht="20.100000000000001" customHeight="1">
      <c r="A324" s="4">
        <v>320</v>
      </c>
      <c r="B324" s="26" t="s">
        <v>355</v>
      </c>
      <c r="C324" s="6" t="s">
        <v>25</v>
      </c>
      <c r="D324" s="7" t="s">
        <v>29</v>
      </c>
      <c r="E324" s="7"/>
      <c r="F324" s="7"/>
      <c r="G324" s="8">
        <v>1</v>
      </c>
      <c r="H324" s="7"/>
      <c r="I324" s="7"/>
      <c r="J324" s="7"/>
      <c r="K324" s="14"/>
      <c r="L324" s="21"/>
      <c r="M324" s="6" t="s">
        <v>119</v>
      </c>
      <c r="N324" s="16">
        <v>-2928352.74</v>
      </c>
      <c r="O324" s="11">
        <v>1</v>
      </c>
      <c r="P324" s="12"/>
      <c r="Q324" s="12"/>
    </row>
    <row r="325" spans="1:18" ht="20.100000000000001" customHeight="1">
      <c r="A325" s="4">
        <v>321</v>
      </c>
      <c r="B325" s="26" t="s">
        <v>355</v>
      </c>
      <c r="C325" s="6" t="s">
        <v>25</v>
      </c>
      <c r="D325" s="7" t="s">
        <v>29</v>
      </c>
      <c r="E325" s="7"/>
      <c r="F325" s="7"/>
      <c r="G325" s="8">
        <v>1</v>
      </c>
      <c r="H325" s="7"/>
      <c r="I325" s="7"/>
      <c r="J325" s="7"/>
      <c r="K325" s="14"/>
      <c r="L325" s="21"/>
      <c r="M325" s="6" t="s">
        <v>49</v>
      </c>
      <c r="N325" s="16">
        <v>-94778669.489999995</v>
      </c>
      <c r="O325" s="11">
        <v>1</v>
      </c>
      <c r="P325" s="12"/>
      <c r="Q325" s="12"/>
    </row>
    <row r="326" spans="1:18" ht="20.100000000000001" customHeight="1">
      <c r="A326" s="4">
        <v>322</v>
      </c>
      <c r="B326" s="26" t="s">
        <v>355</v>
      </c>
      <c r="C326" s="6" t="s">
        <v>25</v>
      </c>
      <c r="D326" s="7" t="s">
        <v>29</v>
      </c>
      <c r="E326" s="7"/>
      <c r="F326" s="7"/>
      <c r="G326" s="8">
        <v>1</v>
      </c>
      <c r="H326" s="7"/>
      <c r="I326" s="7"/>
      <c r="J326" s="7"/>
      <c r="K326" s="14"/>
      <c r="L326" s="21"/>
      <c r="M326" s="6" t="s">
        <v>32</v>
      </c>
      <c r="N326" s="16">
        <v>25.42</v>
      </c>
      <c r="O326" s="11">
        <v>1</v>
      </c>
      <c r="P326" s="12"/>
      <c r="Q326" s="12"/>
    </row>
    <row r="327" spans="1:18" ht="20.100000000000001" customHeight="1">
      <c r="A327" s="4">
        <v>323</v>
      </c>
      <c r="B327" s="26" t="s">
        <v>355</v>
      </c>
      <c r="C327" s="6" t="s">
        <v>25</v>
      </c>
      <c r="D327" s="7" t="s">
        <v>29</v>
      </c>
      <c r="E327" s="7"/>
      <c r="F327" s="7"/>
      <c r="G327" s="7"/>
      <c r="H327" s="7"/>
      <c r="I327" s="7"/>
      <c r="J327" s="7"/>
      <c r="K327" s="8">
        <v>1</v>
      </c>
      <c r="L327" s="21"/>
      <c r="M327" s="6" t="s">
        <v>357</v>
      </c>
      <c r="N327" s="16">
        <v>-12805</v>
      </c>
      <c r="O327" s="11">
        <v>1</v>
      </c>
      <c r="P327" s="12"/>
      <c r="Q327" s="12"/>
    </row>
    <row r="328" spans="1:18" ht="20.100000000000001" customHeight="1">
      <c r="A328" s="4">
        <v>324</v>
      </c>
      <c r="B328" s="26" t="s">
        <v>355</v>
      </c>
      <c r="C328" s="6" t="s">
        <v>25</v>
      </c>
      <c r="D328" s="7" t="s">
        <v>29</v>
      </c>
      <c r="E328" s="7"/>
      <c r="F328" s="7"/>
      <c r="G328" s="7"/>
      <c r="H328" s="7"/>
      <c r="I328" s="7"/>
      <c r="J328" s="7"/>
      <c r="K328" s="8">
        <v>1</v>
      </c>
      <c r="L328" s="21"/>
      <c r="M328" s="6" t="s">
        <v>358</v>
      </c>
      <c r="N328" s="16">
        <v>-36751.64</v>
      </c>
      <c r="O328" s="11">
        <v>1</v>
      </c>
      <c r="P328" s="12"/>
      <c r="Q328" s="12"/>
    </row>
    <row r="329" spans="1:18" ht="20.100000000000001" customHeight="1">
      <c r="A329" s="4">
        <v>325</v>
      </c>
      <c r="B329" s="26" t="s">
        <v>355</v>
      </c>
      <c r="C329" s="6" t="s">
        <v>25</v>
      </c>
      <c r="D329" s="6" t="s">
        <v>36</v>
      </c>
      <c r="E329" s="6"/>
      <c r="F329" s="9">
        <v>375</v>
      </c>
      <c r="G329" s="6"/>
      <c r="H329" s="6"/>
      <c r="I329" s="6"/>
      <c r="J329" s="6"/>
      <c r="K329" s="14"/>
      <c r="L329" s="25"/>
      <c r="M329" s="46" t="s">
        <v>359</v>
      </c>
      <c r="N329" s="16"/>
      <c r="O329" s="11">
        <v>375</v>
      </c>
      <c r="P329" s="12"/>
      <c r="Q329" s="12"/>
    </row>
    <row r="330" spans="1:18" ht="20.100000000000001" customHeight="1">
      <c r="A330" s="4">
        <v>326</v>
      </c>
      <c r="B330" s="6" t="s">
        <v>360</v>
      </c>
      <c r="C330" s="6" t="s">
        <v>25</v>
      </c>
      <c r="D330" s="7" t="s">
        <v>26</v>
      </c>
      <c r="E330" s="7"/>
      <c r="F330" s="7"/>
      <c r="G330" s="7"/>
      <c r="H330" s="7"/>
      <c r="I330" s="7"/>
      <c r="J330" s="7"/>
      <c r="K330" s="8">
        <v>1</v>
      </c>
      <c r="L330" s="22"/>
      <c r="M330" s="6" t="s">
        <v>361</v>
      </c>
      <c r="N330" s="10">
        <v>163242.82999999999</v>
      </c>
      <c r="O330" s="11">
        <v>1</v>
      </c>
      <c r="P330" s="12"/>
      <c r="Q330" s="12"/>
    </row>
    <row r="331" spans="1:18" ht="20.100000000000001" customHeight="1">
      <c r="A331" s="4">
        <v>327</v>
      </c>
      <c r="B331" s="6" t="s">
        <v>360</v>
      </c>
      <c r="C331" s="6" t="s">
        <v>25</v>
      </c>
      <c r="D331" s="7" t="s">
        <v>29</v>
      </c>
      <c r="E331" s="7"/>
      <c r="F331" s="7"/>
      <c r="G331" s="8">
        <v>1</v>
      </c>
      <c r="H331" s="7"/>
      <c r="I331" s="7"/>
      <c r="J331" s="7"/>
      <c r="K331" s="14"/>
      <c r="L331" s="22"/>
      <c r="M331" s="6" t="s">
        <v>119</v>
      </c>
      <c r="N331" s="10" t="s">
        <v>362</v>
      </c>
      <c r="O331" s="11">
        <v>1</v>
      </c>
      <c r="P331" s="12"/>
      <c r="Q331" s="12"/>
    </row>
    <row r="332" spans="1:18" ht="20.100000000000001" customHeight="1">
      <c r="A332" s="4">
        <v>328</v>
      </c>
      <c r="B332" s="6" t="s">
        <v>360</v>
      </c>
      <c r="C332" s="6" t="s">
        <v>25</v>
      </c>
      <c r="D332" s="7" t="s">
        <v>29</v>
      </c>
      <c r="E332" s="7"/>
      <c r="F332" s="7"/>
      <c r="G332" s="8">
        <v>1</v>
      </c>
      <c r="H332" s="7"/>
      <c r="I332" s="7"/>
      <c r="J332" s="7"/>
      <c r="K332" s="14"/>
      <c r="L332" s="22"/>
      <c r="M332" s="6" t="s">
        <v>49</v>
      </c>
      <c r="N332" s="10">
        <v>-25689279.18</v>
      </c>
      <c r="O332" s="11">
        <v>1</v>
      </c>
      <c r="P332" s="12"/>
      <c r="Q332" s="12"/>
    </row>
    <row r="333" spans="1:18" ht="20.100000000000001" customHeight="1">
      <c r="A333" s="4">
        <v>329</v>
      </c>
      <c r="B333" s="6" t="s">
        <v>360</v>
      </c>
      <c r="C333" s="6" t="s">
        <v>25</v>
      </c>
      <c r="D333" s="7" t="s">
        <v>29</v>
      </c>
      <c r="E333" s="7"/>
      <c r="F333" s="7"/>
      <c r="G333" s="8">
        <v>1</v>
      </c>
      <c r="H333" s="7"/>
      <c r="I333" s="7"/>
      <c r="J333" s="7"/>
      <c r="K333" s="14"/>
      <c r="L333" s="22"/>
      <c r="M333" s="6" t="s">
        <v>32</v>
      </c>
      <c r="N333" s="10">
        <v>20.46</v>
      </c>
      <c r="O333" s="11">
        <v>1</v>
      </c>
      <c r="P333" s="12"/>
      <c r="Q333" s="12"/>
    </row>
    <row r="334" spans="1:18" ht="20.100000000000001" customHeight="1">
      <c r="A334" s="4">
        <v>330</v>
      </c>
      <c r="B334" s="6" t="s">
        <v>360</v>
      </c>
      <c r="C334" s="6" t="s">
        <v>25</v>
      </c>
      <c r="D334" s="7" t="s">
        <v>29</v>
      </c>
      <c r="E334" s="7"/>
      <c r="F334" s="7"/>
      <c r="G334" s="8">
        <v>1</v>
      </c>
      <c r="H334" s="7"/>
      <c r="I334" s="7"/>
      <c r="J334" s="7"/>
      <c r="K334" s="47"/>
      <c r="L334" s="22"/>
      <c r="M334" s="6" t="s">
        <v>363</v>
      </c>
      <c r="N334" s="10">
        <v>50</v>
      </c>
      <c r="O334" s="11">
        <v>1</v>
      </c>
      <c r="P334" s="12"/>
      <c r="Q334" s="12"/>
      <c r="R334" s="23"/>
    </row>
    <row r="335" spans="1:18" ht="20.100000000000001" customHeight="1">
      <c r="A335" s="4">
        <v>331</v>
      </c>
      <c r="B335" s="6" t="s">
        <v>360</v>
      </c>
      <c r="C335" s="6" t="s">
        <v>25</v>
      </c>
      <c r="D335" s="7" t="s">
        <v>29</v>
      </c>
      <c r="E335" s="7"/>
      <c r="F335" s="7"/>
      <c r="G335" s="8">
        <v>1</v>
      </c>
      <c r="H335" s="7"/>
      <c r="I335" s="7"/>
      <c r="J335" s="7"/>
      <c r="K335" s="14"/>
      <c r="L335" s="22"/>
      <c r="M335" s="6" t="s">
        <v>364</v>
      </c>
      <c r="N335" s="10">
        <v>156.11000000000001</v>
      </c>
      <c r="O335" s="11">
        <v>1</v>
      </c>
      <c r="P335" s="12"/>
      <c r="Q335" s="12"/>
    </row>
    <row r="336" spans="1:18" ht="20.100000000000001" customHeight="1">
      <c r="A336" s="4">
        <v>332</v>
      </c>
      <c r="B336" s="6" t="s">
        <v>360</v>
      </c>
      <c r="C336" s="6" t="s">
        <v>25</v>
      </c>
      <c r="D336" s="7" t="s">
        <v>33</v>
      </c>
      <c r="E336" s="7"/>
      <c r="F336" s="7"/>
      <c r="G336" s="7"/>
      <c r="H336" s="7"/>
      <c r="I336" s="8">
        <v>2201</v>
      </c>
      <c r="J336" s="7"/>
      <c r="K336" s="17"/>
      <c r="L336" s="22"/>
      <c r="M336" s="6" t="s">
        <v>35</v>
      </c>
      <c r="N336" s="10"/>
      <c r="O336" s="11">
        <v>2201</v>
      </c>
      <c r="P336" s="12"/>
      <c r="Q336" s="12"/>
    </row>
    <row r="337" spans="1:17" ht="20.100000000000001" customHeight="1">
      <c r="A337" s="4">
        <v>333</v>
      </c>
      <c r="B337" s="6" t="s">
        <v>360</v>
      </c>
      <c r="C337" s="6" t="s">
        <v>25</v>
      </c>
      <c r="D337" s="7" t="s">
        <v>365</v>
      </c>
      <c r="E337" s="7"/>
      <c r="F337" s="7"/>
      <c r="G337" s="7"/>
      <c r="H337" s="7"/>
      <c r="I337" s="7"/>
      <c r="J337" s="7"/>
      <c r="K337" s="9">
        <v>1</v>
      </c>
      <c r="L337" s="22" t="s">
        <v>366</v>
      </c>
      <c r="M337" s="6" t="s">
        <v>104</v>
      </c>
      <c r="N337" s="16"/>
      <c r="O337" s="11">
        <v>1</v>
      </c>
      <c r="P337" s="12"/>
      <c r="Q337" s="12"/>
    </row>
    <row r="338" spans="1:17" ht="20.100000000000001" customHeight="1">
      <c r="A338" s="4">
        <v>334</v>
      </c>
      <c r="B338" s="6" t="s">
        <v>360</v>
      </c>
      <c r="C338" s="6" t="s">
        <v>25</v>
      </c>
      <c r="D338" s="7" t="s">
        <v>36</v>
      </c>
      <c r="E338" s="7"/>
      <c r="F338" s="8">
        <v>1498</v>
      </c>
      <c r="G338" s="7"/>
      <c r="H338" s="7"/>
      <c r="I338" s="7"/>
      <c r="J338" s="7"/>
      <c r="K338" s="14"/>
      <c r="L338" s="22"/>
      <c r="M338" s="6" t="s">
        <v>367</v>
      </c>
      <c r="N338" s="16"/>
      <c r="O338" s="11">
        <v>1498</v>
      </c>
      <c r="P338" s="12"/>
      <c r="Q338" s="12"/>
    </row>
    <row r="339" spans="1:17" ht="20.100000000000001" customHeight="1">
      <c r="A339" s="4">
        <v>335</v>
      </c>
      <c r="B339" s="6" t="s">
        <v>360</v>
      </c>
      <c r="C339" s="6" t="s">
        <v>25</v>
      </c>
      <c r="D339" s="7" t="s">
        <v>38</v>
      </c>
      <c r="E339" s="7"/>
      <c r="F339" s="7"/>
      <c r="G339" s="7"/>
      <c r="H339" s="7"/>
      <c r="I339" s="7"/>
      <c r="J339" s="7"/>
      <c r="K339" s="8">
        <v>1</v>
      </c>
      <c r="L339" s="22">
        <v>46029</v>
      </c>
      <c r="M339" s="6" t="s">
        <v>368</v>
      </c>
      <c r="N339" s="16">
        <v>90000</v>
      </c>
      <c r="O339" s="11">
        <v>1</v>
      </c>
      <c r="P339" s="12"/>
      <c r="Q339" s="12"/>
    </row>
    <row r="340" spans="1:17" ht="20.100000000000001" customHeight="1">
      <c r="A340" s="4">
        <v>336</v>
      </c>
      <c r="B340" s="6" t="s">
        <v>360</v>
      </c>
      <c r="C340" s="6" t="s">
        <v>25</v>
      </c>
      <c r="D340" s="7" t="s">
        <v>38</v>
      </c>
      <c r="E340" s="7"/>
      <c r="F340" s="7"/>
      <c r="G340" s="7"/>
      <c r="H340" s="7"/>
      <c r="I340" s="7"/>
      <c r="J340" s="7"/>
      <c r="K340" s="9">
        <v>1</v>
      </c>
      <c r="L340" s="22">
        <v>46060</v>
      </c>
      <c r="M340" s="6" t="s">
        <v>368</v>
      </c>
      <c r="N340" s="10">
        <v>352212</v>
      </c>
      <c r="O340" s="11">
        <v>1</v>
      </c>
      <c r="P340" s="12"/>
      <c r="Q340" s="12"/>
    </row>
    <row r="341" spans="1:17" ht="20.100000000000001" customHeight="1">
      <c r="A341" s="4">
        <v>337</v>
      </c>
      <c r="B341" s="6" t="s">
        <v>360</v>
      </c>
      <c r="C341" s="6" t="s">
        <v>25</v>
      </c>
      <c r="D341" s="7" t="s">
        <v>38</v>
      </c>
      <c r="E341" s="7"/>
      <c r="F341" s="7"/>
      <c r="G341" s="7"/>
      <c r="H341" s="7"/>
      <c r="I341" s="7"/>
      <c r="J341" s="7"/>
      <c r="K341" s="9">
        <v>1</v>
      </c>
      <c r="L341" s="22">
        <v>46060</v>
      </c>
      <c r="M341" s="6" t="s">
        <v>368</v>
      </c>
      <c r="N341" s="10">
        <v>2000000</v>
      </c>
      <c r="O341" s="11">
        <v>1</v>
      </c>
      <c r="P341" s="12"/>
      <c r="Q341" s="12"/>
    </row>
    <row r="342" spans="1:17" ht="20.100000000000001" customHeight="1">
      <c r="A342" s="4">
        <v>338</v>
      </c>
      <c r="B342" s="6" t="s">
        <v>360</v>
      </c>
      <c r="C342" s="6" t="s">
        <v>25</v>
      </c>
      <c r="D342" s="7" t="s">
        <v>38</v>
      </c>
      <c r="E342" s="7"/>
      <c r="F342" s="7"/>
      <c r="G342" s="7"/>
      <c r="H342" s="7"/>
      <c r="I342" s="7"/>
      <c r="J342" s="7"/>
      <c r="K342" s="9">
        <v>1</v>
      </c>
      <c r="L342" s="22">
        <v>46060</v>
      </c>
      <c r="M342" s="6" t="s">
        <v>369</v>
      </c>
      <c r="N342" s="10">
        <v>50000</v>
      </c>
      <c r="O342" s="11">
        <v>1</v>
      </c>
      <c r="P342" s="12">
        <v>1</v>
      </c>
      <c r="Q342" s="12"/>
    </row>
    <row r="343" spans="1:17" ht="20.100000000000001" customHeight="1">
      <c r="A343" s="4">
        <v>339</v>
      </c>
      <c r="B343" s="6" t="s">
        <v>360</v>
      </c>
      <c r="C343" s="6" t="s">
        <v>25</v>
      </c>
      <c r="D343" s="7" t="s">
        <v>38</v>
      </c>
      <c r="E343" s="7"/>
      <c r="F343" s="7"/>
      <c r="G343" s="7"/>
      <c r="H343" s="7"/>
      <c r="I343" s="7"/>
      <c r="J343" s="7"/>
      <c r="K343" s="9">
        <v>1</v>
      </c>
      <c r="L343" s="22">
        <v>46060</v>
      </c>
      <c r="M343" s="6" t="s">
        <v>370</v>
      </c>
      <c r="N343" s="10">
        <v>1000000</v>
      </c>
      <c r="O343" s="11">
        <v>1</v>
      </c>
      <c r="P343" s="12"/>
      <c r="Q343" s="12"/>
    </row>
    <row r="344" spans="1:17" ht="20.100000000000001" customHeight="1">
      <c r="A344" s="4">
        <v>340</v>
      </c>
      <c r="B344" s="6" t="s">
        <v>360</v>
      </c>
      <c r="C344" s="6" t="s">
        <v>25</v>
      </c>
      <c r="D344" s="7" t="s">
        <v>38</v>
      </c>
      <c r="E344" s="7"/>
      <c r="F344" s="7"/>
      <c r="G344" s="7"/>
      <c r="H344" s="7"/>
      <c r="I344" s="7"/>
      <c r="J344" s="7"/>
      <c r="K344" s="9">
        <v>1</v>
      </c>
      <c r="L344" s="22">
        <v>46088</v>
      </c>
      <c r="M344" s="6" t="s">
        <v>368</v>
      </c>
      <c r="N344" s="10">
        <v>1000000</v>
      </c>
      <c r="O344" s="11">
        <v>1</v>
      </c>
      <c r="P344" s="12"/>
      <c r="Q344" s="12"/>
    </row>
    <row r="345" spans="1:17" ht="20.100000000000001" customHeight="1">
      <c r="A345" s="4">
        <v>341</v>
      </c>
      <c r="B345" s="6" t="s">
        <v>360</v>
      </c>
      <c r="C345" s="6" t="s">
        <v>25</v>
      </c>
      <c r="D345" s="7" t="s">
        <v>38</v>
      </c>
      <c r="E345" s="7"/>
      <c r="F345" s="7"/>
      <c r="G345" s="7"/>
      <c r="H345" s="7"/>
      <c r="I345" s="7"/>
      <c r="J345" s="7"/>
      <c r="K345" s="9">
        <v>1</v>
      </c>
      <c r="L345" s="22">
        <v>46088</v>
      </c>
      <c r="M345" s="6" t="s">
        <v>370</v>
      </c>
      <c r="N345" s="10">
        <v>2300000</v>
      </c>
      <c r="O345" s="11">
        <v>1</v>
      </c>
      <c r="P345" s="12"/>
      <c r="Q345" s="12"/>
    </row>
    <row r="346" spans="1:17" ht="20.100000000000001" customHeight="1">
      <c r="A346" s="4">
        <v>342</v>
      </c>
      <c r="B346" s="6" t="s">
        <v>360</v>
      </c>
      <c r="C346" s="6" t="s">
        <v>25</v>
      </c>
      <c r="D346" s="7" t="s">
        <v>38</v>
      </c>
      <c r="E346" s="7"/>
      <c r="F346" s="7"/>
      <c r="G346" s="7"/>
      <c r="H346" s="7"/>
      <c r="I346" s="7"/>
      <c r="J346" s="7"/>
      <c r="K346" s="9">
        <v>1</v>
      </c>
      <c r="L346" s="22">
        <v>46088</v>
      </c>
      <c r="M346" s="6" t="s">
        <v>370</v>
      </c>
      <c r="N346" s="10">
        <v>600000</v>
      </c>
      <c r="O346" s="11">
        <v>1</v>
      </c>
      <c r="P346" s="12"/>
      <c r="Q346" s="12"/>
    </row>
    <row r="347" spans="1:17" ht="20.100000000000001" customHeight="1">
      <c r="A347" s="4">
        <v>343</v>
      </c>
      <c r="B347" s="6" t="s">
        <v>360</v>
      </c>
      <c r="C347" s="6" t="s">
        <v>25</v>
      </c>
      <c r="D347" s="7" t="s">
        <v>38</v>
      </c>
      <c r="E347" s="7"/>
      <c r="F347" s="7"/>
      <c r="G347" s="7"/>
      <c r="H347" s="7"/>
      <c r="I347" s="7"/>
      <c r="J347" s="7"/>
      <c r="K347" s="9">
        <v>1</v>
      </c>
      <c r="L347" s="45">
        <v>46119</v>
      </c>
      <c r="M347" s="6" t="s">
        <v>368</v>
      </c>
      <c r="N347" s="10">
        <v>2300000</v>
      </c>
      <c r="O347" s="11">
        <v>1</v>
      </c>
      <c r="P347" s="12"/>
      <c r="Q347" s="12"/>
    </row>
    <row r="348" spans="1:17" ht="20.100000000000001" customHeight="1">
      <c r="A348" s="4">
        <v>344</v>
      </c>
      <c r="B348" s="6" t="s">
        <v>360</v>
      </c>
      <c r="C348" s="6" t="s">
        <v>25</v>
      </c>
      <c r="D348" s="7" t="s">
        <v>38</v>
      </c>
      <c r="E348" s="7"/>
      <c r="F348" s="7"/>
      <c r="G348" s="7"/>
      <c r="H348" s="7"/>
      <c r="I348" s="7"/>
      <c r="J348" s="7"/>
      <c r="K348" s="8">
        <v>1</v>
      </c>
      <c r="L348" s="22">
        <v>46119</v>
      </c>
      <c r="M348" s="6" t="s">
        <v>371</v>
      </c>
      <c r="N348" s="10">
        <v>50000</v>
      </c>
      <c r="O348" s="11">
        <v>1</v>
      </c>
      <c r="P348" s="12">
        <v>1</v>
      </c>
      <c r="Q348" s="12"/>
    </row>
    <row r="349" spans="1:17" ht="20.100000000000001" customHeight="1">
      <c r="A349" s="4">
        <v>345</v>
      </c>
      <c r="B349" s="6" t="s">
        <v>360</v>
      </c>
      <c r="C349" s="6" t="s">
        <v>25</v>
      </c>
      <c r="D349" s="7" t="s">
        <v>38</v>
      </c>
      <c r="E349" s="7"/>
      <c r="F349" s="7"/>
      <c r="G349" s="7"/>
      <c r="H349" s="7"/>
      <c r="I349" s="7"/>
      <c r="J349" s="7"/>
      <c r="K349" s="8">
        <v>1</v>
      </c>
      <c r="L349" s="22">
        <v>46272</v>
      </c>
      <c r="M349" s="6" t="s">
        <v>372</v>
      </c>
      <c r="N349" s="10">
        <v>1454550</v>
      </c>
      <c r="O349" s="11">
        <v>1</v>
      </c>
      <c r="P349" s="12"/>
      <c r="Q349" s="12"/>
    </row>
    <row r="350" spans="1:17" ht="20.100000000000001" customHeight="1">
      <c r="A350" s="4">
        <v>346</v>
      </c>
      <c r="B350" s="6" t="s">
        <v>360</v>
      </c>
      <c r="C350" s="6" t="s">
        <v>25</v>
      </c>
      <c r="D350" s="7" t="s">
        <v>38</v>
      </c>
      <c r="E350" s="7"/>
      <c r="F350" s="7"/>
      <c r="G350" s="7"/>
      <c r="H350" s="7"/>
      <c r="I350" s="7"/>
      <c r="J350" s="7"/>
      <c r="K350" s="8">
        <v>1</v>
      </c>
      <c r="L350" s="22">
        <v>46302</v>
      </c>
      <c r="M350" s="6" t="s">
        <v>373</v>
      </c>
      <c r="N350" s="10">
        <v>800000</v>
      </c>
      <c r="O350" s="11">
        <v>1</v>
      </c>
      <c r="P350" s="12"/>
      <c r="Q350" s="12"/>
    </row>
    <row r="351" spans="1:17" ht="20.100000000000001" customHeight="1">
      <c r="A351" s="4">
        <v>347</v>
      </c>
      <c r="B351" s="6" t="s">
        <v>360</v>
      </c>
      <c r="C351" s="6" t="s">
        <v>25</v>
      </c>
      <c r="D351" s="7" t="s">
        <v>38</v>
      </c>
      <c r="E351" s="7"/>
      <c r="F351" s="7"/>
      <c r="G351" s="7"/>
      <c r="H351" s="7"/>
      <c r="I351" s="7"/>
      <c r="J351" s="7"/>
      <c r="K351" s="9">
        <v>1</v>
      </c>
      <c r="L351" s="45">
        <v>46302</v>
      </c>
      <c r="M351" s="6" t="s">
        <v>368</v>
      </c>
      <c r="N351" s="16">
        <v>1690893</v>
      </c>
      <c r="O351" s="11">
        <v>1</v>
      </c>
      <c r="P351" s="12"/>
      <c r="Q351" s="12"/>
    </row>
    <row r="352" spans="1:17" ht="20.100000000000001" customHeight="1">
      <c r="A352" s="4">
        <v>348</v>
      </c>
      <c r="B352" s="6" t="s">
        <v>360</v>
      </c>
      <c r="C352" s="6" t="s">
        <v>25</v>
      </c>
      <c r="D352" s="7" t="s">
        <v>38</v>
      </c>
      <c r="E352" s="7"/>
      <c r="F352" s="7"/>
      <c r="G352" s="7"/>
      <c r="H352" s="7"/>
      <c r="I352" s="7"/>
      <c r="J352" s="7"/>
      <c r="K352" s="9">
        <v>1</v>
      </c>
      <c r="L352" s="45">
        <v>46302</v>
      </c>
      <c r="M352" s="6" t="s">
        <v>368</v>
      </c>
      <c r="N352" s="16">
        <v>600000</v>
      </c>
      <c r="O352" s="11">
        <v>1</v>
      </c>
      <c r="P352" s="12"/>
      <c r="Q352" s="12"/>
    </row>
    <row r="353" spans="1:17" ht="20.100000000000001" customHeight="1">
      <c r="A353" s="4">
        <v>349</v>
      </c>
      <c r="B353" s="6" t="s">
        <v>360</v>
      </c>
      <c r="C353" s="6" t="s">
        <v>25</v>
      </c>
      <c r="D353" s="7" t="s">
        <v>38</v>
      </c>
      <c r="E353" s="7"/>
      <c r="F353" s="7"/>
      <c r="G353" s="7"/>
      <c r="H353" s="7"/>
      <c r="I353" s="7"/>
      <c r="J353" s="7"/>
      <c r="K353" s="8">
        <v>1</v>
      </c>
      <c r="L353" s="45">
        <v>46302</v>
      </c>
      <c r="M353" s="6" t="s">
        <v>370</v>
      </c>
      <c r="N353" s="16">
        <v>2900000</v>
      </c>
      <c r="O353" s="11">
        <v>1</v>
      </c>
      <c r="P353" s="12"/>
      <c r="Q353" s="12"/>
    </row>
    <row r="354" spans="1:17" ht="20.100000000000001" customHeight="1">
      <c r="A354" s="4">
        <v>350</v>
      </c>
      <c r="B354" s="6" t="s">
        <v>360</v>
      </c>
      <c r="C354" s="6" t="s">
        <v>25</v>
      </c>
      <c r="D354" s="7" t="s">
        <v>38</v>
      </c>
      <c r="E354" s="7"/>
      <c r="F354" s="7"/>
      <c r="G354" s="7"/>
      <c r="H354" s="7"/>
      <c r="I354" s="7"/>
      <c r="J354" s="7"/>
      <c r="K354" s="48">
        <v>1</v>
      </c>
      <c r="L354" s="22">
        <v>46302</v>
      </c>
      <c r="M354" s="6" t="s">
        <v>370</v>
      </c>
      <c r="N354" s="10">
        <v>367606</v>
      </c>
      <c r="O354" s="11">
        <v>1</v>
      </c>
      <c r="P354" s="12"/>
      <c r="Q354" s="12"/>
    </row>
    <row r="355" spans="1:17" ht="20.100000000000001" customHeight="1">
      <c r="A355" s="4">
        <v>351</v>
      </c>
      <c r="B355" s="6" t="s">
        <v>360</v>
      </c>
      <c r="C355" s="6" t="s">
        <v>25</v>
      </c>
      <c r="D355" s="7" t="s">
        <v>38</v>
      </c>
      <c r="E355" s="7"/>
      <c r="F355" s="7"/>
      <c r="G355" s="7"/>
      <c r="H355" s="7"/>
      <c r="I355" s="7"/>
      <c r="J355" s="7"/>
      <c r="K355" s="8">
        <v>1</v>
      </c>
      <c r="L355" s="8" t="s">
        <v>334</v>
      </c>
      <c r="M355" s="6" t="s">
        <v>374</v>
      </c>
      <c r="N355" s="10">
        <v>200000</v>
      </c>
      <c r="O355" s="11">
        <v>1</v>
      </c>
      <c r="P355" s="12">
        <v>1</v>
      </c>
      <c r="Q355" s="12"/>
    </row>
    <row r="356" spans="1:17" ht="20.100000000000001" customHeight="1">
      <c r="A356" s="4">
        <v>352</v>
      </c>
      <c r="B356" s="6" t="s">
        <v>360</v>
      </c>
      <c r="C356" s="6" t="s">
        <v>25</v>
      </c>
      <c r="D356" s="7" t="s">
        <v>38</v>
      </c>
      <c r="E356" s="7"/>
      <c r="F356" s="7"/>
      <c r="G356" s="7"/>
      <c r="H356" s="7"/>
      <c r="I356" s="7"/>
      <c r="J356" s="7"/>
      <c r="K356" s="8">
        <v>1</v>
      </c>
      <c r="L356" s="8" t="s">
        <v>334</v>
      </c>
      <c r="M356" s="6" t="s">
        <v>368</v>
      </c>
      <c r="N356" s="10">
        <v>2900000</v>
      </c>
      <c r="O356" s="11">
        <v>1</v>
      </c>
      <c r="P356" s="12"/>
      <c r="Q356" s="12"/>
    </row>
    <row r="357" spans="1:17" ht="20.100000000000001" customHeight="1">
      <c r="A357" s="4">
        <v>353</v>
      </c>
      <c r="B357" s="6" t="s">
        <v>360</v>
      </c>
      <c r="C357" s="6" t="s">
        <v>25</v>
      </c>
      <c r="D357" s="7" t="s">
        <v>38</v>
      </c>
      <c r="E357" s="7"/>
      <c r="F357" s="7"/>
      <c r="G357" s="7"/>
      <c r="H357" s="7"/>
      <c r="I357" s="7"/>
      <c r="J357" s="7"/>
      <c r="K357" s="8">
        <v>1</v>
      </c>
      <c r="L357" s="8" t="s">
        <v>334</v>
      </c>
      <c r="M357" s="6" t="s">
        <v>375</v>
      </c>
      <c r="N357" s="10">
        <v>367606</v>
      </c>
      <c r="O357" s="11">
        <v>1</v>
      </c>
      <c r="P357" s="12"/>
      <c r="Q357" s="12"/>
    </row>
    <row r="358" spans="1:17" ht="20.100000000000001" customHeight="1">
      <c r="A358" s="4">
        <v>354</v>
      </c>
      <c r="B358" s="6" t="s">
        <v>360</v>
      </c>
      <c r="C358" s="6" t="s">
        <v>25</v>
      </c>
      <c r="D358" s="7" t="s">
        <v>38</v>
      </c>
      <c r="E358" s="7"/>
      <c r="F358" s="7"/>
      <c r="G358" s="7"/>
      <c r="H358" s="7"/>
      <c r="I358" s="7"/>
      <c r="J358" s="7"/>
      <c r="K358" s="8">
        <v>1</v>
      </c>
      <c r="L358" s="8" t="s">
        <v>334</v>
      </c>
      <c r="M358" s="6" t="s">
        <v>370</v>
      </c>
      <c r="N358" s="10">
        <v>1800000</v>
      </c>
      <c r="O358" s="11">
        <v>1</v>
      </c>
      <c r="P358" s="12"/>
      <c r="Q358" s="12"/>
    </row>
    <row r="359" spans="1:17" ht="20.100000000000001" customHeight="1">
      <c r="A359" s="4">
        <v>355</v>
      </c>
      <c r="B359" s="6" t="s">
        <v>360</v>
      </c>
      <c r="C359" s="6" t="s">
        <v>25</v>
      </c>
      <c r="D359" s="7" t="s">
        <v>38</v>
      </c>
      <c r="E359" s="7"/>
      <c r="F359" s="7"/>
      <c r="G359" s="7"/>
      <c r="H359" s="7"/>
      <c r="I359" s="7"/>
      <c r="J359" s="7"/>
      <c r="K359" s="8">
        <v>1</v>
      </c>
      <c r="L359" s="8" t="s">
        <v>334</v>
      </c>
      <c r="M359" s="6" t="s">
        <v>370</v>
      </c>
      <c r="N359" s="10">
        <v>300000</v>
      </c>
      <c r="O359" s="11">
        <v>1</v>
      </c>
      <c r="P359" s="12"/>
      <c r="Q359" s="12"/>
    </row>
    <row r="360" spans="1:17" ht="20.100000000000001" customHeight="1">
      <c r="A360" s="4">
        <v>356</v>
      </c>
      <c r="B360" s="6" t="s">
        <v>360</v>
      </c>
      <c r="C360" s="6" t="s">
        <v>25</v>
      </c>
      <c r="D360" s="7" t="s">
        <v>38</v>
      </c>
      <c r="E360" s="7"/>
      <c r="F360" s="7"/>
      <c r="G360" s="7"/>
      <c r="H360" s="7"/>
      <c r="I360" s="7"/>
      <c r="J360" s="7"/>
      <c r="K360" s="8">
        <v>1</v>
      </c>
      <c r="L360" s="8" t="s">
        <v>376</v>
      </c>
      <c r="M360" s="6" t="s">
        <v>377</v>
      </c>
      <c r="N360" s="10">
        <v>1000000</v>
      </c>
      <c r="O360" s="11">
        <v>1</v>
      </c>
      <c r="P360" s="12">
        <v>1</v>
      </c>
      <c r="Q360" s="12"/>
    </row>
    <row r="361" spans="1:17" ht="20.100000000000001" customHeight="1">
      <c r="A361" s="4">
        <v>357</v>
      </c>
      <c r="B361" s="6" t="s">
        <v>360</v>
      </c>
      <c r="C361" s="6" t="s">
        <v>25</v>
      </c>
      <c r="D361" s="7" t="s">
        <v>38</v>
      </c>
      <c r="E361" s="7"/>
      <c r="F361" s="7"/>
      <c r="G361" s="7"/>
      <c r="H361" s="7"/>
      <c r="I361" s="7"/>
      <c r="J361" s="7"/>
      <c r="K361" s="8">
        <v>1</v>
      </c>
      <c r="L361" s="8" t="s">
        <v>378</v>
      </c>
      <c r="M361" s="6" t="s">
        <v>379</v>
      </c>
      <c r="N361" s="10">
        <v>12000</v>
      </c>
      <c r="O361" s="11">
        <v>1</v>
      </c>
      <c r="P361" s="12">
        <v>1</v>
      </c>
      <c r="Q361" s="12"/>
    </row>
    <row r="362" spans="1:17" ht="20.100000000000001" customHeight="1">
      <c r="A362" s="4">
        <v>358</v>
      </c>
      <c r="B362" s="6" t="s">
        <v>360</v>
      </c>
      <c r="C362" s="6" t="s">
        <v>25</v>
      </c>
      <c r="D362" s="7" t="s">
        <v>38</v>
      </c>
      <c r="E362" s="7"/>
      <c r="F362" s="7"/>
      <c r="G362" s="7"/>
      <c r="H362" s="7"/>
      <c r="I362" s="7"/>
      <c r="J362" s="7"/>
      <c r="K362" s="8">
        <v>1</v>
      </c>
      <c r="L362" s="22" t="s">
        <v>378</v>
      </c>
      <c r="M362" s="6" t="s">
        <v>380</v>
      </c>
      <c r="N362" s="10">
        <v>155000</v>
      </c>
      <c r="O362" s="11">
        <v>1</v>
      </c>
      <c r="P362" s="12">
        <v>1</v>
      </c>
      <c r="Q362" s="12"/>
    </row>
    <row r="363" spans="1:17" ht="20.100000000000001" customHeight="1">
      <c r="A363" s="4">
        <v>359</v>
      </c>
      <c r="B363" s="6" t="s">
        <v>360</v>
      </c>
      <c r="C363" s="6" t="s">
        <v>25</v>
      </c>
      <c r="D363" s="7" t="s">
        <v>38</v>
      </c>
      <c r="E363" s="7"/>
      <c r="F363" s="7"/>
      <c r="G363" s="7"/>
      <c r="H363" s="7"/>
      <c r="I363" s="7"/>
      <c r="J363" s="7"/>
      <c r="K363" s="8">
        <v>1</v>
      </c>
      <c r="L363" s="22" t="s">
        <v>381</v>
      </c>
      <c r="M363" s="6" t="s">
        <v>382</v>
      </c>
      <c r="N363" s="10">
        <v>700000</v>
      </c>
      <c r="O363" s="11">
        <v>1</v>
      </c>
      <c r="P363" s="12">
        <v>1</v>
      </c>
      <c r="Q363" s="12"/>
    </row>
    <row r="364" spans="1:17" ht="20.100000000000001" customHeight="1">
      <c r="A364" s="4">
        <v>360</v>
      </c>
      <c r="B364" s="6" t="s">
        <v>360</v>
      </c>
      <c r="C364" s="6" t="s">
        <v>25</v>
      </c>
      <c r="D364" s="7" t="s">
        <v>38</v>
      </c>
      <c r="E364" s="7"/>
      <c r="F364" s="7"/>
      <c r="G364" s="7"/>
      <c r="H364" s="7"/>
      <c r="I364" s="7"/>
      <c r="J364" s="7"/>
      <c r="K364" s="8">
        <v>1</v>
      </c>
      <c r="L364" s="22" t="s">
        <v>60</v>
      </c>
      <c r="M364" s="6" t="s">
        <v>383</v>
      </c>
      <c r="N364" s="10">
        <v>125000</v>
      </c>
      <c r="O364" s="11">
        <v>1</v>
      </c>
      <c r="P364" s="12">
        <v>1</v>
      </c>
      <c r="Q364" s="12"/>
    </row>
    <row r="365" spans="1:17" ht="20.100000000000001" customHeight="1">
      <c r="A365" s="4">
        <v>361</v>
      </c>
      <c r="B365" s="6" t="s">
        <v>360</v>
      </c>
      <c r="C365" s="6" t="s">
        <v>25</v>
      </c>
      <c r="D365" s="7" t="s">
        <v>38</v>
      </c>
      <c r="E365" s="7"/>
      <c r="F365" s="7"/>
      <c r="G365" s="7"/>
      <c r="H365" s="7"/>
      <c r="I365" s="7"/>
      <c r="J365" s="7"/>
      <c r="K365" s="8">
        <v>1</v>
      </c>
      <c r="L365" s="22" t="s">
        <v>60</v>
      </c>
      <c r="M365" s="6" t="s">
        <v>384</v>
      </c>
      <c r="N365" s="10">
        <v>1000000</v>
      </c>
      <c r="O365" s="11">
        <v>1</v>
      </c>
      <c r="P365" s="12">
        <v>1</v>
      </c>
      <c r="Q365" s="12"/>
    </row>
    <row r="366" spans="1:17" ht="20.100000000000001" customHeight="1">
      <c r="A366" s="4">
        <v>362</v>
      </c>
      <c r="B366" s="6" t="s">
        <v>360</v>
      </c>
      <c r="C366" s="6" t="s">
        <v>25</v>
      </c>
      <c r="D366" s="7" t="s">
        <v>38</v>
      </c>
      <c r="E366" s="7"/>
      <c r="F366" s="7"/>
      <c r="G366" s="7"/>
      <c r="H366" s="7"/>
      <c r="I366" s="7"/>
      <c r="J366" s="7"/>
      <c r="K366" s="8">
        <v>1</v>
      </c>
      <c r="L366" s="22" t="s">
        <v>336</v>
      </c>
      <c r="M366" s="6" t="s">
        <v>384</v>
      </c>
      <c r="N366" s="10">
        <v>800000</v>
      </c>
      <c r="O366" s="11">
        <v>1</v>
      </c>
      <c r="P366" s="12">
        <v>1</v>
      </c>
      <c r="Q366" s="12"/>
    </row>
    <row r="367" spans="1:17" ht="20.100000000000001" customHeight="1">
      <c r="A367" s="4">
        <v>363</v>
      </c>
      <c r="B367" s="6" t="s">
        <v>360</v>
      </c>
      <c r="C367" s="6" t="s">
        <v>25</v>
      </c>
      <c r="D367" s="7" t="s">
        <v>38</v>
      </c>
      <c r="E367" s="7"/>
      <c r="F367" s="7"/>
      <c r="G367" s="7"/>
      <c r="H367" s="7"/>
      <c r="I367" s="7"/>
      <c r="J367" s="7"/>
      <c r="K367" s="8">
        <v>1</v>
      </c>
      <c r="L367" s="22" t="s">
        <v>385</v>
      </c>
      <c r="M367" s="6" t="s">
        <v>384</v>
      </c>
      <c r="N367" s="10">
        <v>800000</v>
      </c>
      <c r="O367" s="11">
        <v>1</v>
      </c>
      <c r="P367" s="12">
        <v>1</v>
      </c>
      <c r="Q367" s="12"/>
    </row>
    <row r="368" spans="1:17" ht="20.100000000000001" customHeight="1">
      <c r="A368" s="4">
        <v>364</v>
      </c>
      <c r="B368" s="6" t="s">
        <v>360</v>
      </c>
      <c r="C368" s="6" t="s">
        <v>25</v>
      </c>
      <c r="D368" s="7" t="s">
        <v>38</v>
      </c>
      <c r="E368" s="7"/>
      <c r="F368" s="7"/>
      <c r="G368" s="7"/>
      <c r="H368" s="7"/>
      <c r="I368" s="7"/>
      <c r="J368" s="7"/>
      <c r="K368" s="8">
        <v>1</v>
      </c>
      <c r="L368" s="22" t="s">
        <v>386</v>
      </c>
      <c r="M368" s="6" t="s">
        <v>384</v>
      </c>
      <c r="N368" s="10">
        <v>600000</v>
      </c>
      <c r="O368" s="11">
        <v>1</v>
      </c>
      <c r="P368" s="12">
        <v>1</v>
      </c>
      <c r="Q368" s="12"/>
    </row>
    <row r="369" spans="1:18" ht="20.100000000000001" customHeight="1">
      <c r="A369" s="4">
        <v>365</v>
      </c>
      <c r="B369" s="6" t="s">
        <v>360</v>
      </c>
      <c r="C369" s="6" t="s">
        <v>25</v>
      </c>
      <c r="D369" s="7" t="s">
        <v>38</v>
      </c>
      <c r="E369" s="7"/>
      <c r="F369" s="7"/>
      <c r="G369" s="7"/>
      <c r="H369" s="7"/>
      <c r="I369" s="7"/>
      <c r="J369" s="7"/>
      <c r="K369" s="9">
        <v>1</v>
      </c>
      <c r="L369" s="45" t="s">
        <v>387</v>
      </c>
      <c r="M369" s="46" t="s">
        <v>384</v>
      </c>
      <c r="N369" s="10">
        <v>1300000</v>
      </c>
      <c r="O369" s="11">
        <v>1</v>
      </c>
      <c r="P369" s="12">
        <v>1</v>
      </c>
      <c r="Q369" s="12"/>
    </row>
    <row r="370" spans="1:18" ht="20.100000000000001" customHeight="1">
      <c r="A370" s="4">
        <v>366</v>
      </c>
      <c r="B370" s="6" t="s">
        <v>360</v>
      </c>
      <c r="C370" s="6" t="s">
        <v>25</v>
      </c>
      <c r="D370" s="7" t="s">
        <v>38</v>
      </c>
      <c r="E370" s="7"/>
      <c r="F370" s="7"/>
      <c r="G370" s="7"/>
      <c r="H370" s="7"/>
      <c r="I370" s="7"/>
      <c r="J370" s="7"/>
      <c r="K370" s="9">
        <v>1</v>
      </c>
      <c r="L370" s="45" t="s">
        <v>388</v>
      </c>
      <c r="M370" s="46" t="s">
        <v>384</v>
      </c>
      <c r="N370" s="16">
        <v>2567605</v>
      </c>
      <c r="O370" s="11">
        <v>1</v>
      </c>
      <c r="P370" s="12">
        <v>1</v>
      </c>
      <c r="Q370" s="12"/>
      <c r="R370" s="23"/>
    </row>
    <row r="371" spans="1:18" ht="20.100000000000001" customHeight="1">
      <c r="A371" s="4">
        <v>367</v>
      </c>
      <c r="B371" s="6" t="s">
        <v>360</v>
      </c>
      <c r="C371" s="6" t="s">
        <v>25</v>
      </c>
      <c r="D371" s="7" t="s">
        <v>38</v>
      </c>
      <c r="E371" s="7"/>
      <c r="F371" s="7"/>
      <c r="G371" s="7"/>
      <c r="H371" s="7"/>
      <c r="I371" s="7"/>
      <c r="J371" s="7"/>
      <c r="K371" s="9">
        <v>1</v>
      </c>
      <c r="L371" s="45" t="s">
        <v>388</v>
      </c>
      <c r="M371" s="6" t="s">
        <v>389</v>
      </c>
      <c r="N371" s="16">
        <v>400000</v>
      </c>
      <c r="O371" s="11">
        <v>1</v>
      </c>
      <c r="P371" s="12">
        <v>1</v>
      </c>
      <c r="Q371" s="12"/>
    </row>
    <row r="372" spans="1:18" ht="20.100000000000001" customHeight="1">
      <c r="A372" s="4">
        <v>368</v>
      </c>
      <c r="B372" s="6" t="s">
        <v>360</v>
      </c>
      <c r="C372" s="6" t="s">
        <v>25</v>
      </c>
      <c r="D372" s="7" t="s">
        <v>38</v>
      </c>
      <c r="E372" s="7"/>
      <c r="F372" s="7"/>
      <c r="G372" s="7"/>
      <c r="H372" s="7"/>
      <c r="I372" s="7"/>
      <c r="J372" s="7"/>
      <c r="K372" s="9">
        <v>1</v>
      </c>
      <c r="L372" s="45" t="s">
        <v>388</v>
      </c>
      <c r="M372" s="46" t="s">
        <v>390</v>
      </c>
      <c r="N372" s="16">
        <v>400000</v>
      </c>
      <c r="O372" s="11">
        <v>1</v>
      </c>
      <c r="P372" s="12"/>
      <c r="Q372" s="12"/>
    </row>
    <row r="373" spans="1:18" ht="20.100000000000001" customHeight="1">
      <c r="A373" s="4">
        <v>369</v>
      </c>
      <c r="B373" s="6" t="s">
        <v>391</v>
      </c>
      <c r="C373" s="6" t="s">
        <v>25</v>
      </c>
      <c r="D373" s="7" t="s">
        <v>26</v>
      </c>
      <c r="E373" s="7"/>
      <c r="F373" s="7"/>
      <c r="G373" s="7"/>
      <c r="H373" s="7"/>
      <c r="I373" s="7"/>
      <c r="J373" s="7"/>
      <c r="K373" s="8">
        <v>1</v>
      </c>
      <c r="L373" s="22"/>
      <c r="M373" s="6" t="s">
        <v>48</v>
      </c>
      <c r="N373" s="10">
        <v>-124657.41</v>
      </c>
      <c r="O373" s="11">
        <v>1</v>
      </c>
      <c r="P373" s="12"/>
      <c r="Q373" s="12"/>
    </row>
    <row r="374" spans="1:18" ht="20.100000000000001" customHeight="1">
      <c r="A374" s="4">
        <v>370</v>
      </c>
      <c r="B374" s="6" t="s">
        <v>391</v>
      </c>
      <c r="C374" s="6" t="s">
        <v>25</v>
      </c>
      <c r="D374" s="7" t="s">
        <v>29</v>
      </c>
      <c r="E374" s="7"/>
      <c r="F374" s="7"/>
      <c r="G374" s="8">
        <v>1</v>
      </c>
      <c r="H374" s="7"/>
      <c r="I374" s="7"/>
      <c r="J374" s="7"/>
      <c r="K374" s="14"/>
      <c r="L374" s="22"/>
      <c r="M374" s="6" t="s">
        <v>49</v>
      </c>
      <c r="N374" s="16">
        <v>-86267029.920000002</v>
      </c>
      <c r="O374" s="11">
        <v>1</v>
      </c>
      <c r="P374" s="12"/>
      <c r="Q374" s="12"/>
    </row>
    <row r="375" spans="1:18" ht="20.100000000000001" customHeight="1">
      <c r="A375" s="4">
        <v>371</v>
      </c>
      <c r="B375" s="6" t="s">
        <v>391</v>
      </c>
      <c r="C375" s="6" t="s">
        <v>25</v>
      </c>
      <c r="D375" s="7" t="s">
        <v>29</v>
      </c>
      <c r="E375" s="7"/>
      <c r="F375" s="7"/>
      <c r="G375" s="8">
        <v>1</v>
      </c>
      <c r="H375" s="7"/>
      <c r="I375" s="7"/>
      <c r="J375" s="7"/>
      <c r="K375" s="14"/>
      <c r="L375" s="22"/>
      <c r="M375" s="46" t="s">
        <v>32</v>
      </c>
      <c r="N375" s="10">
        <v>0.54</v>
      </c>
      <c r="O375" s="11">
        <v>1</v>
      </c>
      <c r="P375" s="12"/>
      <c r="Q375" s="12"/>
    </row>
    <row r="376" spans="1:18" ht="20.100000000000001" customHeight="1">
      <c r="A376" s="4">
        <v>372</v>
      </c>
      <c r="B376" s="6" t="s">
        <v>391</v>
      </c>
      <c r="C376" s="6" t="s">
        <v>25</v>
      </c>
      <c r="D376" s="7" t="s">
        <v>29</v>
      </c>
      <c r="E376" s="7"/>
      <c r="F376" s="7"/>
      <c r="G376" s="8">
        <v>1</v>
      </c>
      <c r="H376" s="7"/>
      <c r="I376" s="7"/>
      <c r="J376" s="7"/>
      <c r="K376" s="14"/>
      <c r="L376" s="22"/>
      <c r="M376" s="46" t="s">
        <v>207</v>
      </c>
      <c r="N376" s="10"/>
      <c r="O376" s="11">
        <v>1</v>
      </c>
      <c r="P376" s="12"/>
      <c r="Q376" s="12"/>
    </row>
    <row r="377" spans="1:18" ht="20.100000000000001" customHeight="1">
      <c r="A377" s="4">
        <v>373</v>
      </c>
      <c r="B377" s="6" t="s">
        <v>391</v>
      </c>
      <c r="C377" s="6" t="s">
        <v>25</v>
      </c>
      <c r="D377" s="7" t="s">
        <v>29</v>
      </c>
      <c r="E377" s="7"/>
      <c r="F377" s="7"/>
      <c r="G377" s="8">
        <v>1</v>
      </c>
      <c r="H377" s="7"/>
      <c r="I377" s="7"/>
      <c r="J377" s="7"/>
      <c r="K377" s="14"/>
      <c r="L377" s="22"/>
      <c r="M377" s="46" t="s">
        <v>50</v>
      </c>
      <c r="N377" s="10">
        <v>20</v>
      </c>
      <c r="O377" s="11">
        <v>1</v>
      </c>
      <c r="P377" s="12"/>
      <c r="Q377" s="12"/>
    </row>
    <row r="378" spans="1:18" ht="20.100000000000001" customHeight="1">
      <c r="A378" s="4">
        <v>374</v>
      </c>
      <c r="B378" s="6" t="s">
        <v>391</v>
      </c>
      <c r="C378" s="6" t="s">
        <v>25</v>
      </c>
      <c r="D378" s="7" t="s">
        <v>29</v>
      </c>
      <c r="E378" s="7"/>
      <c r="F378" s="7"/>
      <c r="G378" s="7"/>
      <c r="H378" s="7"/>
      <c r="I378" s="7"/>
      <c r="J378" s="7"/>
      <c r="K378" s="8">
        <v>1</v>
      </c>
      <c r="L378" s="22"/>
      <c r="M378" s="46" t="s">
        <v>392</v>
      </c>
      <c r="N378" s="10">
        <v>-1800</v>
      </c>
      <c r="O378" s="11">
        <v>1</v>
      </c>
      <c r="P378" s="12"/>
      <c r="Q378" s="12"/>
    </row>
    <row r="379" spans="1:18" ht="20.100000000000001" customHeight="1">
      <c r="A379" s="4">
        <v>375</v>
      </c>
      <c r="B379" s="6" t="s">
        <v>391</v>
      </c>
      <c r="C379" s="6" t="s">
        <v>25</v>
      </c>
      <c r="D379" s="7" t="s">
        <v>29</v>
      </c>
      <c r="E379" s="7"/>
      <c r="F379" s="7"/>
      <c r="G379" s="7"/>
      <c r="H379" s="7"/>
      <c r="I379" s="7"/>
      <c r="J379" s="7"/>
      <c r="K379" s="8">
        <v>1</v>
      </c>
      <c r="L379" s="22"/>
      <c r="M379" s="46" t="s">
        <v>393</v>
      </c>
      <c r="N379" s="10"/>
      <c r="O379" s="11">
        <v>1</v>
      </c>
      <c r="P379" s="12"/>
      <c r="Q379" s="12"/>
    </row>
    <row r="380" spans="1:18" ht="20.100000000000001" customHeight="1">
      <c r="A380" s="4">
        <v>376</v>
      </c>
      <c r="B380" s="6" t="s">
        <v>391</v>
      </c>
      <c r="C380" s="6" t="s">
        <v>25</v>
      </c>
      <c r="D380" s="7" t="s">
        <v>29</v>
      </c>
      <c r="E380" s="7"/>
      <c r="F380" s="7"/>
      <c r="G380" s="7"/>
      <c r="H380" s="7"/>
      <c r="I380" s="7"/>
      <c r="J380" s="7"/>
      <c r="K380" s="8">
        <v>1</v>
      </c>
      <c r="L380" s="22"/>
      <c r="M380" s="46" t="s">
        <v>394</v>
      </c>
      <c r="N380" s="10">
        <v>3357.27</v>
      </c>
      <c r="O380" s="11">
        <v>1</v>
      </c>
      <c r="P380" s="12"/>
      <c r="Q380" s="12"/>
    </row>
    <row r="381" spans="1:18" ht="20.100000000000001" customHeight="1">
      <c r="A381" s="4">
        <v>377</v>
      </c>
      <c r="B381" s="6" t="s">
        <v>391</v>
      </c>
      <c r="C381" s="6" t="s">
        <v>25</v>
      </c>
      <c r="D381" s="7" t="s">
        <v>33</v>
      </c>
      <c r="E381" s="7"/>
      <c r="F381" s="7"/>
      <c r="G381" s="7"/>
      <c r="H381" s="8">
        <v>842</v>
      </c>
      <c r="I381" s="7"/>
      <c r="J381" s="7"/>
      <c r="K381" s="14"/>
      <c r="L381" s="22"/>
      <c r="M381" s="46" t="s">
        <v>34</v>
      </c>
      <c r="N381" s="10"/>
      <c r="O381" s="11">
        <v>842</v>
      </c>
      <c r="P381" s="12"/>
      <c r="Q381" s="12"/>
    </row>
    <row r="382" spans="1:18" ht="20.100000000000001" customHeight="1">
      <c r="A382" s="4">
        <v>378</v>
      </c>
      <c r="B382" s="6" t="s">
        <v>391</v>
      </c>
      <c r="C382" s="6" t="s">
        <v>25</v>
      </c>
      <c r="D382" s="7" t="s">
        <v>33</v>
      </c>
      <c r="E382" s="7"/>
      <c r="F382" s="7"/>
      <c r="G382" s="7"/>
      <c r="H382" s="7"/>
      <c r="I382" s="8">
        <v>2974</v>
      </c>
      <c r="J382" s="7"/>
      <c r="K382" s="17"/>
      <c r="L382" s="22"/>
      <c r="M382" s="6" t="s">
        <v>35</v>
      </c>
      <c r="N382" s="10">
        <v>12327886.380000001</v>
      </c>
      <c r="O382" s="11">
        <v>2974</v>
      </c>
      <c r="P382" s="12"/>
      <c r="Q382" s="12"/>
    </row>
    <row r="383" spans="1:18" ht="20.100000000000001" customHeight="1">
      <c r="A383" s="4">
        <v>379</v>
      </c>
      <c r="B383" s="6" t="s">
        <v>391</v>
      </c>
      <c r="C383" s="6" t="s">
        <v>25</v>
      </c>
      <c r="D383" s="7" t="s">
        <v>36</v>
      </c>
      <c r="E383" s="7"/>
      <c r="F383" s="8">
        <v>531</v>
      </c>
      <c r="G383" s="7"/>
      <c r="H383" s="7"/>
      <c r="I383" s="7"/>
      <c r="J383" s="7"/>
      <c r="K383" s="14"/>
      <c r="L383" s="22"/>
      <c r="M383" s="6" t="s">
        <v>395</v>
      </c>
      <c r="N383" s="10"/>
      <c r="O383" s="11">
        <v>531</v>
      </c>
      <c r="P383" s="12"/>
      <c r="Q383" s="12"/>
    </row>
    <row r="384" spans="1:18" ht="20.100000000000001" customHeight="1">
      <c r="A384" s="4">
        <v>380</v>
      </c>
      <c r="B384" s="6" t="s">
        <v>391</v>
      </c>
      <c r="C384" s="6" t="s">
        <v>25</v>
      </c>
      <c r="D384" s="7" t="s">
        <v>38</v>
      </c>
      <c r="E384" s="7"/>
      <c r="F384" s="7"/>
      <c r="G384" s="7"/>
      <c r="H384" s="7"/>
      <c r="I384" s="7"/>
      <c r="J384" s="7"/>
      <c r="K384" s="8">
        <v>1</v>
      </c>
      <c r="L384" s="22"/>
      <c r="M384" s="6" t="s">
        <v>396</v>
      </c>
      <c r="N384" s="10">
        <v>50000</v>
      </c>
      <c r="O384" s="11">
        <v>1</v>
      </c>
      <c r="P384" s="12">
        <v>1</v>
      </c>
      <c r="Q384" s="12"/>
    </row>
    <row r="385" spans="1:17" ht="20.100000000000001" customHeight="1">
      <c r="A385" s="4">
        <v>381</v>
      </c>
      <c r="B385" s="6" t="s">
        <v>391</v>
      </c>
      <c r="C385" s="6" t="s">
        <v>25</v>
      </c>
      <c r="D385" s="7" t="s">
        <v>38</v>
      </c>
      <c r="E385" s="7"/>
      <c r="F385" s="7"/>
      <c r="G385" s="7"/>
      <c r="H385" s="7"/>
      <c r="I385" s="7"/>
      <c r="J385" s="7"/>
      <c r="K385" s="8">
        <v>1</v>
      </c>
      <c r="L385" s="22"/>
      <c r="M385" s="6" t="s">
        <v>396</v>
      </c>
      <c r="N385" s="10">
        <v>10000</v>
      </c>
      <c r="O385" s="11">
        <v>1</v>
      </c>
      <c r="P385" s="12">
        <v>1</v>
      </c>
      <c r="Q385" s="12"/>
    </row>
    <row r="386" spans="1:17" ht="20.100000000000001" customHeight="1">
      <c r="A386" s="4">
        <v>382</v>
      </c>
      <c r="B386" s="6" t="s">
        <v>391</v>
      </c>
      <c r="C386" s="6" t="s">
        <v>25</v>
      </c>
      <c r="D386" s="7" t="s">
        <v>38</v>
      </c>
      <c r="E386" s="7"/>
      <c r="F386" s="7"/>
      <c r="G386" s="7"/>
      <c r="H386" s="7"/>
      <c r="I386" s="7"/>
      <c r="J386" s="7"/>
      <c r="K386" s="8">
        <v>1</v>
      </c>
      <c r="L386" s="22"/>
      <c r="M386" s="6" t="s">
        <v>397</v>
      </c>
      <c r="N386" s="10">
        <v>145620</v>
      </c>
      <c r="O386" s="11">
        <v>1</v>
      </c>
      <c r="P386" s="12">
        <v>1</v>
      </c>
      <c r="Q386" s="12"/>
    </row>
    <row r="387" spans="1:17" ht="20.100000000000001" customHeight="1">
      <c r="A387" s="4">
        <v>383</v>
      </c>
      <c r="B387" s="6" t="s">
        <v>391</v>
      </c>
      <c r="C387" s="6" t="s">
        <v>25</v>
      </c>
      <c r="D387" s="7" t="s">
        <v>38</v>
      </c>
      <c r="E387" s="7"/>
      <c r="F387" s="7"/>
      <c r="G387" s="7"/>
      <c r="H387" s="7"/>
      <c r="I387" s="7"/>
      <c r="J387" s="7"/>
      <c r="K387" s="8">
        <v>1</v>
      </c>
      <c r="L387" s="22"/>
      <c r="M387" s="6" t="s">
        <v>397</v>
      </c>
      <c r="N387" s="10">
        <v>48300</v>
      </c>
      <c r="O387" s="11">
        <v>1</v>
      </c>
      <c r="P387" s="12">
        <v>1</v>
      </c>
      <c r="Q387" s="12"/>
    </row>
    <row r="388" spans="1:17" ht="20.100000000000001" customHeight="1">
      <c r="A388" s="4">
        <v>384</v>
      </c>
      <c r="B388" s="6" t="s">
        <v>391</v>
      </c>
      <c r="C388" s="6" t="s">
        <v>25</v>
      </c>
      <c r="D388" s="7" t="s">
        <v>38</v>
      </c>
      <c r="E388" s="7"/>
      <c r="F388" s="7"/>
      <c r="G388" s="7"/>
      <c r="H388" s="7"/>
      <c r="I388" s="7"/>
      <c r="J388" s="7"/>
      <c r="K388" s="8">
        <v>1</v>
      </c>
      <c r="L388" s="22"/>
      <c r="M388" s="6" t="s">
        <v>397</v>
      </c>
      <c r="N388" s="10">
        <v>29000</v>
      </c>
      <c r="O388" s="11">
        <v>1</v>
      </c>
      <c r="P388" s="12">
        <v>1</v>
      </c>
      <c r="Q388" s="12"/>
    </row>
    <row r="389" spans="1:17" ht="20.100000000000001" customHeight="1">
      <c r="A389" s="4">
        <v>385</v>
      </c>
      <c r="B389" s="6" t="s">
        <v>391</v>
      </c>
      <c r="C389" s="6" t="s">
        <v>25</v>
      </c>
      <c r="D389" s="7" t="s">
        <v>38</v>
      </c>
      <c r="E389" s="7"/>
      <c r="F389" s="7"/>
      <c r="G389" s="7"/>
      <c r="H389" s="7"/>
      <c r="I389" s="7"/>
      <c r="J389" s="7"/>
      <c r="K389" s="8">
        <v>1</v>
      </c>
      <c r="L389" s="22"/>
      <c r="M389" s="6" t="s">
        <v>397</v>
      </c>
      <c r="N389" s="10">
        <v>366300</v>
      </c>
      <c r="O389" s="11">
        <v>1</v>
      </c>
      <c r="P389" s="12">
        <v>1</v>
      </c>
      <c r="Q389" s="12"/>
    </row>
    <row r="390" spans="1:17" ht="20.100000000000001" customHeight="1">
      <c r="A390" s="4">
        <v>386</v>
      </c>
      <c r="B390" s="6" t="s">
        <v>398</v>
      </c>
      <c r="C390" s="6" t="s">
        <v>25</v>
      </c>
      <c r="D390" s="7" t="s">
        <v>26</v>
      </c>
      <c r="E390" s="7"/>
      <c r="F390" s="7"/>
      <c r="G390" s="7"/>
      <c r="H390" s="7"/>
      <c r="I390" s="7"/>
      <c r="J390" s="7"/>
      <c r="K390" s="8">
        <v>1</v>
      </c>
      <c r="L390" s="22">
        <v>45872</v>
      </c>
      <c r="M390" s="6" t="s">
        <v>48</v>
      </c>
      <c r="N390" s="10">
        <v>464506.05</v>
      </c>
      <c r="O390" s="11">
        <v>1</v>
      </c>
      <c r="P390" s="12"/>
      <c r="Q390" s="12"/>
    </row>
    <row r="391" spans="1:17" ht="20.100000000000001" customHeight="1">
      <c r="A391" s="4">
        <v>387</v>
      </c>
      <c r="B391" s="6" t="s">
        <v>398</v>
      </c>
      <c r="C391" s="6" t="s">
        <v>25</v>
      </c>
      <c r="D391" s="7" t="s">
        <v>26</v>
      </c>
      <c r="E391" s="7"/>
      <c r="F391" s="7"/>
      <c r="G391" s="7"/>
      <c r="H391" s="7"/>
      <c r="I391" s="7"/>
      <c r="J391" s="7"/>
      <c r="K391" s="8">
        <v>1</v>
      </c>
      <c r="L391" s="22">
        <v>45694</v>
      </c>
      <c r="M391" s="6" t="s">
        <v>399</v>
      </c>
      <c r="N391" s="10">
        <v>4352.4799999999996</v>
      </c>
      <c r="O391" s="11">
        <v>1</v>
      </c>
      <c r="P391" s="12"/>
      <c r="Q391" s="12"/>
    </row>
    <row r="392" spans="1:17" ht="20.100000000000001" customHeight="1">
      <c r="A392" s="4">
        <v>388</v>
      </c>
      <c r="B392" s="6" t="s">
        <v>398</v>
      </c>
      <c r="C392" s="6" t="s">
        <v>25</v>
      </c>
      <c r="D392" s="7" t="s">
        <v>29</v>
      </c>
      <c r="E392" s="7"/>
      <c r="F392" s="7"/>
      <c r="G392" s="7"/>
      <c r="H392" s="7"/>
      <c r="I392" s="7"/>
      <c r="J392" s="7"/>
      <c r="K392" s="8">
        <v>1</v>
      </c>
      <c r="L392" s="22" t="s">
        <v>400</v>
      </c>
      <c r="M392" s="6" t="s">
        <v>401</v>
      </c>
      <c r="N392" s="10">
        <v>110421.83</v>
      </c>
      <c r="O392" s="11">
        <v>1</v>
      </c>
      <c r="P392" s="12"/>
      <c r="Q392" s="12"/>
    </row>
    <row r="393" spans="1:17" ht="20.100000000000001" customHeight="1">
      <c r="A393" s="4">
        <v>389</v>
      </c>
      <c r="B393" s="6" t="s">
        <v>398</v>
      </c>
      <c r="C393" s="6" t="s">
        <v>25</v>
      </c>
      <c r="D393" s="6" t="s">
        <v>29</v>
      </c>
      <c r="E393" s="6"/>
      <c r="F393" s="6"/>
      <c r="G393" s="6"/>
      <c r="H393" s="6"/>
      <c r="I393" s="6"/>
      <c r="J393" s="6"/>
      <c r="K393" s="8">
        <v>1</v>
      </c>
      <c r="L393" s="8" t="s">
        <v>400</v>
      </c>
      <c r="M393" s="6" t="s">
        <v>402</v>
      </c>
      <c r="N393" s="10">
        <v>-5897.35</v>
      </c>
      <c r="O393" s="11">
        <v>1</v>
      </c>
      <c r="P393" s="12"/>
      <c r="Q393" s="12"/>
    </row>
    <row r="394" spans="1:17" ht="20.100000000000001" customHeight="1">
      <c r="A394" s="4">
        <v>390</v>
      </c>
      <c r="B394" s="6" t="s">
        <v>398</v>
      </c>
      <c r="C394" s="6" t="s">
        <v>25</v>
      </c>
      <c r="D394" s="6" t="s">
        <v>68</v>
      </c>
      <c r="E394" s="6"/>
      <c r="F394" s="6"/>
      <c r="G394" s="6"/>
      <c r="H394" s="6"/>
      <c r="I394" s="6"/>
      <c r="J394" s="6"/>
      <c r="K394" s="8">
        <v>1</v>
      </c>
      <c r="L394" s="22">
        <v>45728</v>
      </c>
      <c r="M394" s="6" t="s">
        <v>403</v>
      </c>
      <c r="N394" s="10">
        <v>2150</v>
      </c>
      <c r="O394" s="11">
        <v>1</v>
      </c>
      <c r="P394" s="12"/>
      <c r="Q394" s="12"/>
    </row>
    <row r="395" spans="1:17" ht="20.100000000000001" customHeight="1">
      <c r="A395" s="4">
        <v>391</v>
      </c>
      <c r="B395" s="6" t="s">
        <v>398</v>
      </c>
      <c r="C395" s="6" t="s">
        <v>25</v>
      </c>
      <c r="D395" s="6" t="s">
        <v>36</v>
      </c>
      <c r="E395" s="6"/>
      <c r="F395" s="8">
        <v>519</v>
      </c>
      <c r="G395" s="6"/>
      <c r="H395" s="6"/>
      <c r="I395" s="6"/>
      <c r="J395" s="6"/>
      <c r="K395" s="14"/>
      <c r="L395" s="8" t="s">
        <v>400</v>
      </c>
      <c r="M395" s="6" t="s">
        <v>404</v>
      </c>
      <c r="N395" s="10"/>
      <c r="O395" s="11">
        <v>519</v>
      </c>
      <c r="P395" s="12"/>
      <c r="Q395" s="12"/>
    </row>
    <row r="396" spans="1:17" ht="20.100000000000001" customHeight="1">
      <c r="A396" s="4">
        <v>392</v>
      </c>
      <c r="B396" s="6" t="s">
        <v>398</v>
      </c>
      <c r="C396" s="6" t="s">
        <v>25</v>
      </c>
      <c r="D396" s="6" t="s">
        <v>169</v>
      </c>
      <c r="E396" s="6"/>
      <c r="F396" s="6"/>
      <c r="G396" s="6"/>
      <c r="H396" s="6"/>
      <c r="I396" s="6"/>
      <c r="J396" s="6"/>
      <c r="K396" s="8">
        <v>1</v>
      </c>
      <c r="L396" s="22">
        <v>45872</v>
      </c>
      <c r="M396" s="6" t="s">
        <v>405</v>
      </c>
      <c r="N396" s="10">
        <v>14580.78</v>
      </c>
      <c r="O396" s="11">
        <v>1</v>
      </c>
      <c r="P396" s="12"/>
      <c r="Q396" s="12"/>
    </row>
    <row r="397" spans="1:17" ht="20.100000000000001" customHeight="1">
      <c r="A397" s="4">
        <v>393</v>
      </c>
      <c r="B397" s="6" t="s">
        <v>398</v>
      </c>
      <c r="C397" s="6" t="s">
        <v>25</v>
      </c>
      <c r="D397" s="7" t="s">
        <v>38</v>
      </c>
      <c r="E397" s="7"/>
      <c r="F397" s="7"/>
      <c r="G397" s="7"/>
      <c r="H397" s="7"/>
      <c r="I397" s="7"/>
      <c r="J397" s="7"/>
      <c r="K397" s="8">
        <v>1</v>
      </c>
      <c r="L397" s="8" t="s">
        <v>406</v>
      </c>
      <c r="M397" s="6" t="s">
        <v>407</v>
      </c>
      <c r="N397" s="10">
        <v>116000</v>
      </c>
      <c r="O397" s="11">
        <v>1</v>
      </c>
      <c r="P397" s="12">
        <v>1</v>
      </c>
      <c r="Q397" s="12"/>
    </row>
    <row r="398" spans="1:17" ht="20.100000000000001" customHeight="1">
      <c r="A398" s="4">
        <v>394</v>
      </c>
      <c r="B398" s="6" t="s">
        <v>398</v>
      </c>
      <c r="C398" s="6" t="s">
        <v>25</v>
      </c>
      <c r="D398" s="7" t="s">
        <v>38</v>
      </c>
      <c r="E398" s="7"/>
      <c r="F398" s="7"/>
      <c r="G398" s="7"/>
      <c r="H398" s="7"/>
      <c r="I398" s="7"/>
      <c r="J398" s="7"/>
      <c r="K398" s="9">
        <v>1</v>
      </c>
      <c r="L398" s="21" t="s">
        <v>406</v>
      </c>
      <c r="M398" s="6" t="s">
        <v>407</v>
      </c>
      <c r="N398" s="16">
        <v>250000</v>
      </c>
      <c r="O398" s="11">
        <v>1</v>
      </c>
      <c r="P398" s="12">
        <v>1</v>
      </c>
      <c r="Q398" s="12"/>
    </row>
    <row r="399" spans="1:17" ht="20.100000000000001" customHeight="1">
      <c r="A399" s="4">
        <v>395</v>
      </c>
      <c r="B399" s="6" t="s">
        <v>398</v>
      </c>
      <c r="C399" s="6" t="s">
        <v>25</v>
      </c>
      <c r="D399" s="7" t="s">
        <v>38</v>
      </c>
      <c r="E399" s="7"/>
      <c r="F399" s="7"/>
      <c r="G399" s="7"/>
      <c r="H399" s="7"/>
      <c r="I399" s="7"/>
      <c r="J399" s="7"/>
      <c r="K399" s="9">
        <v>1</v>
      </c>
      <c r="L399" s="21" t="s">
        <v>408</v>
      </c>
      <c r="M399" s="6" t="s">
        <v>407</v>
      </c>
      <c r="N399" s="16">
        <v>38000</v>
      </c>
      <c r="O399" s="11">
        <v>1</v>
      </c>
      <c r="P399" s="12">
        <v>1</v>
      </c>
      <c r="Q399" s="12"/>
    </row>
    <row r="400" spans="1:17" ht="20.100000000000001" customHeight="1">
      <c r="A400" s="4">
        <v>396</v>
      </c>
      <c r="B400" s="6" t="s">
        <v>398</v>
      </c>
      <c r="C400" s="6" t="s">
        <v>25</v>
      </c>
      <c r="D400" s="7" t="s">
        <v>38</v>
      </c>
      <c r="E400" s="7"/>
      <c r="F400" s="7"/>
      <c r="G400" s="7"/>
      <c r="H400" s="7"/>
      <c r="I400" s="7"/>
      <c r="J400" s="7"/>
      <c r="K400" s="9">
        <v>1</v>
      </c>
      <c r="L400" s="45">
        <v>46332</v>
      </c>
      <c r="M400" s="6" t="s">
        <v>407</v>
      </c>
      <c r="N400" s="10">
        <v>250000</v>
      </c>
      <c r="O400" s="11">
        <v>1</v>
      </c>
      <c r="P400" s="12">
        <v>1</v>
      </c>
      <c r="Q400" s="12"/>
    </row>
    <row r="401" spans="1:18" ht="20.100000000000001" customHeight="1">
      <c r="A401" s="4">
        <v>397</v>
      </c>
      <c r="B401" s="6" t="s">
        <v>398</v>
      </c>
      <c r="C401" s="6" t="s">
        <v>25</v>
      </c>
      <c r="D401" s="7" t="s">
        <v>38</v>
      </c>
      <c r="E401" s="7"/>
      <c r="F401" s="7"/>
      <c r="G401" s="7"/>
      <c r="H401" s="7"/>
      <c r="I401" s="7"/>
      <c r="J401" s="7"/>
      <c r="K401" s="9">
        <v>1</v>
      </c>
      <c r="L401" s="21" t="s">
        <v>409</v>
      </c>
      <c r="M401" s="6" t="s">
        <v>410</v>
      </c>
      <c r="N401" s="10">
        <v>2000</v>
      </c>
      <c r="O401" s="11">
        <v>1</v>
      </c>
      <c r="P401" s="12">
        <v>1</v>
      </c>
      <c r="Q401" s="12"/>
    </row>
    <row r="402" spans="1:18" ht="20.100000000000001" customHeight="1">
      <c r="A402" s="4">
        <v>398</v>
      </c>
      <c r="B402" s="6" t="s">
        <v>398</v>
      </c>
      <c r="C402" s="6" t="s">
        <v>25</v>
      </c>
      <c r="D402" s="7" t="s">
        <v>38</v>
      </c>
      <c r="E402" s="7"/>
      <c r="F402" s="7"/>
      <c r="G402" s="7"/>
      <c r="H402" s="7"/>
      <c r="I402" s="7"/>
      <c r="J402" s="7"/>
      <c r="K402" s="8">
        <v>1</v>
      </c>
      <c r="L402" s="25" t="s">
        <v>411</v>
      </c>
      <c r="M402" s="6" t="s">
        <v>412</v>
      </c>
      <c r="N402" s="16">
        <v>121586.52</v>
      </c>
      <c r="O402" s="11">
        <v>1</v>
      </c>
      <c r="P402" s="12">
        <v>1</v>
      </c>
      <c r="Q402" s="12"/>
    </row>
    <row r="403" spans="1:18" ht="20.100000000000001" customHeight="1">
      <c r="A403" s="4">
        <v>399</v>
      </c>
      <c r="B403" s="6" t="s">
        <v>413</v>
      </c>
      <c r="C403" s="6" t="s">
        <v>25</v>
      </c>
      <c r="D403" s="13" t="s">
        <v>26</v>
      </c>
      <c r="E403" s="13"/>
      <c r="F403" s="13"/>
      <c r="G403" s="13"/>
      <c r="H403" s="13"/>
      <c r="I403" s="13"/>
      <c r="J403" s="7"/>
      <c r="K403" s="8">
        <v>1</v>
      </c>
      <c r="L403" s="22"/>
      <c r="M403" s="6" t="s">
        <v>414</v>
      </c>
      <c r="N403" s="10">
        <v>26939.85</v>
      </c>
      <c r="O403" s="11">
        <v>1</v>
      </c>
      <c r="P403" s="12"/>
      <c r="Q403" s="12"/>
    </row>
    <row r="404" spans="1:18" ht="20.100000000000001" customHeight="1">
      <c r="A404" s="4">
        <v>400</v>
      </c>
      <c r="B404" s="6" t="s">
        <v>413</v>
      </c>
      <c r="C404" s="6" t="s">
        <v>25</v>
      </c>
      <c r="D404" s="13" t="s">
        <v>29</v>
      </c>
      <c r="E404" s="13"/>
      <c r="F404" s="13"/>
      <c r="G404" s="8">
        <v>1</v>
      </c>
      <c r="H404" s="13"/>
      <c r="I404" s="13"/>
      <c r="J404" s="7"/>
      <c r="K404" s="14"/>
      <c r="L404" s="22"/>
      <c r="M404" s="6" t="s">
        <v>49</v>
      </c>
      <c r="N404" s="10">
        <v>11842255.02</v>
      </c>
      <c r="O404" s="11">
        <v>1</v>
      </c>
      <c r="P404" s="12"/>
      <c r="Q404" s="12"/>
    </row>
    <row r="405" spans="1:18" ht="20.100000000000001" customHeight="1">
      <c r="A405" s="4">
        <v>401</v>
      </c>
      <c r="B405" s="6" t="s">
        <v>413</v>
      </c>
      <c r="C405" s="6" t="s">
        <v>25</v>
      </c>
      <c r="D405" s="13" t="s">
        <v>29</v>
      </c>
      <c r="E405" s="13"/>
      <c r="F405" s="13"/>
      <c r="G405" s="8">
        <v>1</v>
      </c>
      <c r="H405" s="13"/>
      <c r="I405" s="13"/>
      <c r="J405" s="7"/>
      <c r="K405" s="14"/>
      <c r="L405" s="22"/>
      <c r="M405" s="6" t="s">
        <v>31</v>
      </c>
      <c r="N405" s="10">
        <v>94.64</v>
      </c>
      <c r="O405" s="11">
        <v>1</v>
      </c>
      <c r="P405" s="12"/>
      <c r="Q405" s="12"/>
    </row>
    <row r="406" spans="1:18" ht="20.100000000000001" customHeight="1">
      <c r="A406" s="4">
        <v>402</v>
      </c>
      <c r="B406" s="6" t="s">
        <v>413</v>
      </c>
      <c r="C406" s="6" t="s">
        <v>25</v>
      </c>
      <c r="D406" s="13" t="s">
        <v>29</v>
      </c>
      <c r="E406" s="13"/>
      <c r="F406" s="13"/>
      <c r="G406" s="8">
        <v>1</v>
      </c>
      <c r="H406" s="13"/>
      <c r="I406" s="13"/>
      <c r="J406" s="7"/>
      <c r="K406" s="14"/>
      <c r="L406" s="22"/>
      <c r="M406" s="6" t="s">
        <v>32</v>
      </c>
      <c r="N406" s="10">
        <v>0.28000000000000003</v>
      </c>
      <c r="O406" s="11">
        <v>1</v>
      </c>
      <c r="P406" s="12"/>
      <c r="Q406" s="12"/>
    </row>
    <row r="407" spans="1:18" ht="20.100000000000001" customHeight="1">
      <c r="A407" s="4">
        <v>403</v>
      </c>
      <c r="B407" s="6" t="s">
        <v>413</v>
      </c>
      <c r="C407" s="6" t="s">
        <v>25</v>
      </c>
      <c r="D407" s="13" t="s">
        <v>29</v>
      </c>
      <c r="E407" s="13"/>
      <c r="F407" s="13"/>
      <c r="G407" s="13"/>
      <c r="H407" s="13"/>
      <c r="I407" s="13"/>
      <c r="J407" s="7"/>
      <c r="K407" s="9">
        <v>1</v>
      </c>
      <c r="L407" s="45"/>
      <c r="M407" s="6" t="s">
        <v>415</v>
      </c>
      <c r="N407" s="16" t="s">
        <v>416</v>
      </c>
      <c r="O407" s="11">
        <v>1</v>
      </c>
      <c r="P407" s="12"/>
      <c r="Q407" s="12"/>
    </row>
    <row r="408" spans="1:18" ht="20.100000000000001" customHeight="1">
      <c r="A408" s="4">
        <v>404</v>
      </c>
      <c r="B408" s="6" t="s">
        <v>413</v>
      </c>
      <c r="C408" s="6" t="s">
        <v>25</v>
      </c>
      <c r="D408" s="32" t="s">
        <v>33</v>
      </c>
      <c r="E408" s="32"/>
      <c r="F408" s="32"/>
      <c r="G408" s="32"/>
      <c r="H408" s="9">
        <v>78</v>
      </c>
      <c r="I408" s="32"/>
      <c r="J408" s="7"/>
      <c r="K408" s="14"/>
      <c r="L408" s="45">
        <v>46234</v>
      </c>
      <c r="M408" s="6" t="s">
        <v>34</v>
      </c>
      <c r="N408" s="16">
        <v>0</v>
      </c>
      <c r="O408" s="11">
        <v>78</v>
      </c>
      <c r="P408" s="12"/>
      <c r="Q408" s="12"/>
    </row>
    <row r="409" spans="1:18" ht="20.100000000000001" customHeight="1">
      <c r="A409" s="4">
        <v>405</v>
      </c>
      <c r="B409" s="6" t="s">
        <v>413</v>
      </c>
      <c r="C409" s="6" t="s">
        <v>25</v>
      </c>
      <c r="D409" s="32" t="s">
        <v>33</v>
      </c>
      <c r="E409" s="32"/>
      <c r="F409" s="32"/>
      <c r="G409" s="32"/>
      <c r="H409" s="32"/>
      <c r="I409" s="8">
        <v>2705</v>
      </c>
      <c r="J409" s="7"/>
      <c r="K409" s="17"/>
      <c r="L409" s="22">
        <v>46234</v>
      </c>
      <c r="M409" s="6" t="s">
        <v>35</v>
      </c>
      <c r="N409" s="18">
        <v>2673001</v>
      </c>
      <c r="O409" s="11">
        <v>2705</v>
      </c>
      <c r="P409" s="12"/>
      <c r="Q409" s="12"/>
    </row>
    <row r="410" spans="1:18" ht="20.100000000000001" customHeight="1">
      <c r="A410" s="4">
        <v>406</v>
      </c>
      <c r="B410" s="6" t="s">
        <v>413</v>
      </c>
      <c r="C410" s="6" t="s">
        <v>25</v>
      </c>
      <c r="D410" s="32" t="s">
        <v>36</v>
      </c>
      <c r="E410" s="32"/>
      <c r="F410" s="8">
        <v>1018</v>
      </c>
      <c r="G410" s="32"/>
      <c r="H410" s="32"/>
      <c r="I410" s="32"/>
      <c r="J410" s="7"/>
      <c r="K410" s="14"/>
      <c r="L410" s="22"/>
      <c r="M410" s="6" t="s">
        <v>417</v>
      </c>
      <c r="N410" s="10"/>
      <c r="O410" s="11">
        <v>1018</v>
      </c>
      <c r="P410" s="12"/>
      <c r="Q410" s="12"/>
    </row>
    <row r="411" spans="1:18" ht="20.100000000000001" customHeight="1">
      <c r="A411" s="4">
        <v>407</v>
      </c>
      <c r="B411" s="6" t="s">
        <v>413</v>
      </c>
      <c r="C411" s="6" t="s">
        <v>25</v>
      </c>
      <c r="D411" s="32" t="s">
        <v>38</v>
      </c>
      <c r="E411" s="32"/>
      <c r="F411" s="32"/>
      <c r="G411" s="32"/>
      <c r="H411" s="32"/>
      <c r="I411" s="32"/>
      <c r="J411" s="7"/>
      <c r="K411" s="8">
        <v>1</v>
      </c>
      <c r="L411" s="22">
        <v>46204</v>
      </c>
      <c r="M411" s="46" t="s">
        <v>418</v>
      </c>
      <c r="N411" s="10">
        <v>13000</v>
      </c>
      <c r="O411" s="11">
        <v>1</v>
      </c>
      <c r="P411" s="12">
        <v>1</v>
      </c>
      <c r="Q411" s="12"/>
    </row>
    <row r="412" spans="1:18" ht="20.100000000000001" customHeight="1">
      <c r="A412" s="4">
        <v>408</v>
      </c>
      <c r="B412" s="6" t="s">
        <v>413</v>
      </c>
      <c r="C412" s="6" t="s">
        <v>25</v>
      </c>
      <c r="D412" s="32" t="s">
        <v>38</v>
      </c>
      <c r="E412" s="32"/>
      <c r="F412" s="32"/>
      <c r="G412" s="32"/>
      <c r="H412" s="32"/>
      <c r="I412" s="32"/>
      <c r="J412" s="7"/>
      <c r="K412" s="8">
        <v>1</v>
      </c>
      <c r="L412" s="22">
        <v>46204</v>
      </c>
      <c r="M412" s="46" t="s">
        <v>419</v>
      </c>
      <c r="N412" s="10">
        <v>50000</v>
      </c>
      <c r="O412" s="11">
        <v>1</v>
      </c>
      <c r="P412" s="12">
        <v>1</v>
      </c>
      <c r="Q412" s="12"/>
    </row>
    <row r="413" spans="1:18" ht="20.100000000000001" customHeight="1">
      <c r="A413" s="4">
        <v>409</v>
      </c>
      <c r="B413" s="6" t="s">
        <v>413</v>
      </c>
      <c r="C413" s="6" t="s">
        <v>25</v>
      </c>
      <c r="D413" s="32" t="s">
        <v>38</v>
      </c>
      <c r="E413" s="32"/>
      <c r="F413" s="32"/>
      <c r="G413" s="32"/>
      <c r="H413" s="32"/>
      <c r="I413" s="32"/>
      <c r="J413" s="7"/>
      <c r="K413" s="8">
        <v>1</v>
      </c>
      <c r="L413" s="22">
        <v>46206</v>
      </c>
      <c r="M413" s="46" t="s">
        <v>420</v>
      </c>
      <c r="N413" s="10">
        <v>39000</v>
      </c>
      <c r="O413" s="11">
        <v>1</v>
      </c>
      <c r="P413" s="12">
        <v>1</v>
      </c>
      <c r="Q413" s="12"/>
    </row>
    <row r="414" spans="1:18" ht="20.100000000000001" customHeight="1">
      <c r="A414" s="4">
        <v>410</v>
      </c>
      <c r="B414" s="6" t="s">
        <v>413</v>
      </c>
      <c r="C414" s="6" t="s">
        <v>25</v>
      </c>
      <c r="D414" s="32" t="s">
        <v>38</v>
      </c>
      <c r="E414" s="32"/>
      <c r="F414" s="32"/>
      <c r="G414" s="32"/>
      <c r="H414" s="32"/>
      <c r="I414" s="32"/>
      <c r="J414" s="7"/>
      <c r="K414" s="8">
        <v>1</v>
      </c>
      <c r="L414" s="22">
        <v>46209</v>
      </c>
      <c r="M414" s="6" t="s">
        <v>421</v>
      </c>
      <c r="N414" s="10">
        <v>82000</v>
      </c>
      <c r="O414" s="11">
        <v>1</v>
      </c>
      <c r="P414" s="12">
        <v>1</v>
      </c>
      <c r="Q414" s="12"/>
      <c r="R414" s="23"/>
    </row>
    <row r="415" spans="1:18" ht="20.100000000000001" customHeight="1">
      <c r="A415" s="4">
        <v>411</v>
      </c>
      <c r="B415" s="6" t="s">
        <v>413</v>
      </c>
      <c r="C415" s="6" t="s">
        <v>25</v>
      </c>
      <c r="D415" s="32" t="s">
        <v>38</v>
      </c>
      <c r="E415" s="32"/>
      <c r="F415" s="32"/>
      <c r="G415" s="32"/>
      <c r="H415" s="32"/>
      <c r="I415" s="32"/>
      <c r="J415" s="7"/>
      <c r="K415" s="8">
        <v>1</v>
      </c>
      <c r="L415" s="22">
        <v>46209</v>
      </c>
      <c r="M415" s="6" t="s">
        <v>422</v>
      </c>
      <c r="N415" s="10">
        <v>3000</v>
      </c>
      <c r="O415" s="11">
        <v>1</v>
      </c>
      <c r="P415" s="12">
        <v>1</v>
      </c>
      <c r="Q415" s="12"/>
    </row>
    <row r="416" spans="1:18" ht="20.100000000000001" customHeight="1">
      <c r="A416" s="4">
        <v>412</v>
      </c>
      <c r="B416" s="6" t="s">
        <v>413</v>
      </c>
      <c r="C416" s="6" t="s">
        <v>25</v>
      </c>
      <c r="D416" s="32" t="s">
        <v>38</v>
      </c>
      <c r="E416" s="32"/>
      <c r="F416" s="32"/>
      <c r="G416" s="32"/>
      <c r="H416" s="32"/>
      <c r="I416" s="32"/>
      <c r="J416" s="7"/>
      <c r="K416" s="8">
        <v>1</v>
      </c>
      <c r="L416" s="22">
        <v>46211</v>
      </c>
      <c r="M416" s="6" t="s">
        <v>423</v>
      </c>
      <c r="N416" s="10">
        <v>25000</v>
      </c>
      <c r="O416" s="11">
        <v>1</v>
      </c>
      <c r="P416" s="12">
        <v>1</v>
      </c>
      <c r="Q416" s="12"/>
    </row>
    <row r="417" spans="1:17" ht="20.100000000000001" customHeight="1">
      <c r="A417" s="4">
        <v>413</v>
      </c>
      <c r="B417" s="6" t="s">
        <v>413</v>
      </c>
      <c r="C417" s="6" t="s">
        <v>25</v>
      </c>
      <c r="D417" s="32" t="s">
        <v>38</v>
      </c>
      <c r="E417" s="32"/>
      <c r="F417" s="32"/>
      <c r="G417" s="32"/>
      <c r="H417" s="32"/>
      <c r="I417" s="32"/>
      <c r="J417" s="7"/>
      <c r="K417" s="8">
        <v>1</v>
      </c>
      <c r="L417" s="22">
        <v>46213</v>
      </c>
      <c r="M417" s="6" t="s">
        <v>421</v>
      </c>
      <c r="N417" s="10">
        <v>18000</v>
      </c>
      <c r="O417" s="11">
        <v>1</v>
      </c>
      <c r="P417" s="12">
        <v>1</v>
      </c>
      <c r="Q417" s="12"/>
    </row>
    <row r="418" spans="1:17" ht="20.100000000000001" customHeight="1">
      <c r="A418" s="4">
        <v>414</v>
      </c>
      <c r="B418" s="6" t="s">
        <v>413</v>
      </c>
      <c r="C418" s="6" t="s">
        <v>25</v>
      </c>
      <c r="D418" s="32" t="s">
        <v>38</v>
      </c>
      <c r="E418" s="32"/>
      <c r="F418" s="32"/>
      <c r="G418" s="32"/>
      <c r="H418" s="32"/>
      <c r="I418" s="32"/>
      <c r="J418" s="7"/>
      <c r="K418" s="8">
        <v>1</v>
      </c>
      <c r="L418" s="22">
        <v>46214</v>
      </c>
      <c r="M418" s="6" t="s">
        <v>421</v>
      </c>
      <c r="N418" s="10">
        <v>5800</v>
      </c>
      <c r="O418" s="11">
        <v>1</v>
      </c>
      <c r="P418" s="12">
        <v>1</v>
      </c>
      <c r="Q418" s="12"/>
    </row>
    <row r="419" spans="1:17" ht="20.100000000000001" customHeight="1">
      <c r="A419" s="4">
        <v>415</v>
      </c>
      <c r="B419" s="6" t="s">
        <v>413</v>
      </c>
      <c r="C419" s="6" t="s">
        <v>25</v>
      </c>
      <c r="D419" s="32" t="s">
        <v>38</v>
      </c>
      <c r="E419" s="32"/>
      <c r="F419" s="32"/>
      <c r="G419" s="32"/>
      <c r="H419" s="32"/>
      <c r="I419" s="32"/>
      <c r="J419" s="7"/>
      <c r="K419" s="8">
        <v>1</v>
      </c>
      <c r="L419" s="22">
        <v>46216</v>
      </c>
      <c r="M419" s="6" t="s">
        <v>421</v>
      </c>
      <c r="N419" s="10">
        <v>75000</v>
      </c>
      <c r="O419" s="11">
        <v>1</v>
      </c>
      <c r="P419" s="12">
        <v>1</v>
      </c>
      <c r="Q419" s="12"/>
    </row>
    <row r="420" spans="1:17" ht="20.100000000000001" customHeight="1">
      <c r="A420" s="4">
        <v>416</v>
      </c>
      <c r="B420" s="6" t="s">
        <v>413</v>
      </c>
      <c r="C420" s="6" t="s">
        <v>25</v>
      </c>
      <c r="D420" s="32" t="s">
        <v>38</v>
      </c>
      <c r="E420" s="32"/>
      <c r="F420" s="32"/>
      <c r="G420" s="32"/>
      <c r="H420" s="32"/>
      <c r="I420" s="32"/>
      <c r="J420" s="7"/>
      <c r="K420" s="8">
        <v>1</v>
      </c>
      <c r="L420" s="22">
        <v>46219</v>
      </c>
      <c r="M420" s="6" t="s">
        <v>421</v>
      </c>
      <c r="N420" s="10">
        <v>125000</v>
      </c>
      <c r="O420" s="11">
        <v>1</v>
      </c>
      <c r="P420" s="12">
        <v>1</v>
      </c>
      <c r="Q420" s="12"/>
    </row>
    <row r="421" spans="1:17" ht="20.100000000000001" customHeight="1">
      <c r="A421" s="4">
        <v>417</v>
      </c>
      <c r="B421" s="6" t="s">
        <v>413</v>
      </c>
      <c r="C421" s="6" t="s">
        <v>25</v>
      </c>
      <c r="D421" s="32" t="s">
        <v>38</v>
      </c>
      <c r="E421" s="32"/>
      <c r="F421" s="32"/>
      <c r="G421" s="32"/>
      <c r="H421" s="32"/>
      <c r="I421" s="32"/>
      <c r="J421" s="7"/>
      <c r="K421" s="8">
        <v>1</v>
      </c>
      <c r="L421" s="22">
        <v>46221</v>
      </c>
      <c r="M421" s="6" t="s">
        <v>421</v>
      </c>
      <c r="N421" s="10">
        <v>281125</v>
      </c>
      <c r="O421" s="11">
        <v>1</v>
      </c>
      <c r="P421" s="12">
        <v>1</v>
      </c>
      <c r="Q421" s="12"/>
    </row>
    <row r="422" spans="1:17" ht="20.100000000000001" customHeight="1">
      <c r="A422" s="4">
        <v>418</v>
      </c>
      <c r="B422" s="6" t="s">
        <v>413</v>
      </c>
      <c r="C422" s="6" t="s">
        <v>25</v>
      </c>
      <c r="D422" s="32" t="s">
        <v>38</v>
      </c>
      <c r="E422" s="32"/>
      <c r="F422" s="32"/>
      <c r="G422" s="32"/>
      <c r="H422" s="32"/>
      <c r="I422" s="32"/>
      <c r="J422" s="7"/>
      <c r="K422" s="8">
        <v>1</v>
      </c>
      <c r="L422" s="22">
        <v>46222</v>
      </c>
      <c r="M422" s="6" t="s">
        <v>422</v>
      </c>
      <c r="N422" s="10">
        <v>30000</v>
      </c>
      <c r="O422" s="11">
        <v>1</v>
      </c>
      <c r="P422" s="12">
        <v>1</v>
      </c>
      <c r="Q422" s="12"/>
    </row>
    <row r="423" spans="1:17" ht="20.100000000000001" customHeight="1">
      <c r="A423" s="4">
        <v>419</v>
      </c>
      <c r="B423" s="6" t="s">
        <v>413</v>
      </c>
      <c r="C423" s="6" t="s">
        <v>25</v>
      </c>
      <c r="D423" s="32" t="s">
        <v>38</v>
      </c>
      <c r="E423" s="32"/>
      <c r="F423" s="32"/>
      <c r="G423" s="32"/>
      <c r="H423" s="32"/>
      <c r="I423" s="32"/>
      <c r="J423" s="7"/>
      <c r="K423" s="8">
        <v>1</v>
      </c>
      <c r="L423" s="22">
        <v>46223</v>
      </c>
      <c r="M423" s="6" t="s">
        <v>421</v>
      </c>
      <c r="N423" s="10">
        <v>15200</v>
      </c>
      <c r="O423" s="11">
        <v>1</v>
      </c>
      <c r="P423" s="12">
        <v>1</v>
      </c>
      <c r="Q423" s="12"/>
    </row>
    <row r="424" spans="1:17" ht="20.100000000000001" customHeight="1">
      <c r="A424" s="4">
        <v>420</v>
      </c>
      <c r="B424" s="6" t="s">
        <v>413</v>
      </c>
      <c r="C424" s="6" t="s">
        <v>25</v>
      </c>
      <c r="D424" s="32" t="s">
        <v>38</v>
      </c>
      <c r="E424" s="32"/>
      <c r="F424" s="32"/>
      <c r="G424" s="32"/>
      <c r="H424" s="32"/>
      <c r="I424" s="32"/>
      <c r="J424" s="7"/>
      <c r="K424" s="8">
        <v>1</v>
      </c>
      <c r="L424" s="22">
        <v>46224</v>
      </c>
      <c r="M424" s="6" t="s">
        <v>424</v>
      </c>
      <c r="N424" s="10">
        <v>13200</v>
      </c>
      <c r="O424" s="11">
        <v>1</v>
      </c>
      <c r="P424" s="12">
        <v>1</v>
      </c>
      <c r="Q424" s="12"/>
    </row>
    <row r="425" spans="1:17" ht="20.100000000000001" customHeight="1">
      <c r="A425" s="4">
        <v>421</v>
      </c>
      <c r="B425" s="6" t="s">
        <v>413</v>
      </c>
      <c r="C425" s="6" t="s">
        <v>25</v>
      </c>
      <c r="D425" s="32" t="s">
        <v>38</v>
      </c>
      <c r="E425" s="32"/>
      <c r="F425" s="32"/>
      <c r="G425" s="32"/>
      <c r="H425" s="32"/>
      <c r="I425" s="32"/>
      <c r="J425" s="7"/>
      <c r="K425" s="8">
        <v>1</v>
      </c>
      <c r="L425" s="22">
        <v>46225</v>
      </c>
      <c r="M425" s="6" t="s">
        <v>422</v>
      </c>
      <c r="N425" s="10">
        <v>13000</v>
      </c>
      <c r="O425" s="11">
        <v>1</v>
      </c>
      <c r="P425" s="12">
        <v>1</v>
      </c>
      <c r="Q425" s="12"/>
    </row>
    <row r="426" spans="1:17" ht="20.100000000000001" customHeight="1">
      <c r="A426" s="4">
        <v>422</v>
      </c>
      <c r="B426" s="6" t="s">
        <v>413</v>
      </c>
      <c r="C426" s="6" t="s">
        <v>25</v>
      </c>
      <c r="D426" s="32" t="s">
        <v>38</v>
      </c>
      <c r="E426" s="32"/>
      <c r="F426" s="32"/>
      <c r="G426" s="32"/>
      <c r="H426" s="32"/>
      <c r="I426" s="32"/>
      <c r="J426" s="7"/>
      <c r="K426" s="8">
        <v>1</v>
      </c>
      <c r="L426" s="22">
        <v>46226</v>
      </c>
      <c r="M426" s="6" t="s">
        <v>419</v>
      </c>
      <c r="N426" s="10">
        <v>45000</v>
      </c>
      <c r="O426" s="11">
        <v>1</v>
      </c>
      <c r="P426" s="12">
        <v>1</v>
      </c>
      <c r="Q426" s="12"/>
    </row>
    <row r="427" spans="1:17" ht="20.100000000000001" customHeight="1">
      <c r="A427" s="4">
        <v>423</v>
      </c>
      <c r="B427" s="6" t="s">
        <v>413</v>
      </c>
      <c r="C427" s="6" t="s">
        <v>25</v>
      </c>
      <c r="D427" s="32" t="s">
        <v>38</v>
      </c>
      <c r="E427" s="32"/>
      <c r="F427" s="32"/>
      <c r="G427" s="32"/>
      <c r="H427" s="32"/>
      <c r="I427" s="32"/>
      <c r="J427" s="7"/>
      <c r="K427" s="8">
        <v>1</v>
      </c>
      <c r="L427" s="22">
        <v>46227</v>
      </c>
      <c r="M427" s="6" t="s">
        <v>420</v>
      </c>
      <c r="N427" s="10">
        <v>23250</v>
      </c>
      <c r="O427" s="11">
        <v>1</v>
      </c>
      <c r="P427" s="12">
        <v>1</v>
      </c>
      <c r="Q427" s="12"/>
    </row>
    <row r="428" spans="1:17" ht="20.100000000000001" customHeight="1">
      <c r="A428" s="4">
        <v>424</v>
      </c>
      <c r="B428" s="6" t="s">
        <v>413</v>
      </c>
      <c r="C428" s="6" t="s">
        <v>25</v>
      </c>
      <c r="D428" s="32" t="s">
        <v>38</v>
      </c>
      <c r="E428" s="32"/>
      <c r="F428" s="32"/>
      <c r="G428" s="32"/>
      <c r="H428" s="32"/>
      <c r="I428" s="32"/>
      <c r="J428" s="7"/>
      <c r="K428" s="8">
        <v>1</v>
      </c>
      <c r="L428" s="22">
        <v>46228</v>
      </c>
      <c r="M428" s="6" t="s">
        <v>421</v>
      </c>
      <c r="N428" s="10">
        <v>110000</v>
      </c>
      <c r="O428" s="11">
        <v>1</v>
      </c>
      <c r="P428" s="12">
        <v>1</v>
      </c>
      <c r="Q428" s="12"/>
    </row>
    <row r="429" spans="1:17" ht="20.100000000000001" customHeight="1">
      <c r="A429" s="4">
        <v>425</v>
      </c>
      <c r="B429" s="6" t="s">
        <v>413</v>
      </c>
      <c r="C429" s="6" t="s">
        <v>25</v>
      </c>
      <c r="D429" s="32" t="s">
        <v>38</v>
      </c>
      <c r="E429" s="32"/>
      <c r="F429" s="32"/>
      <c r="G429" s="32"/>
      <c r="H429" s="32"/>
      <c r="I429" s="32"/>
      <c r="J429" s="7"/>
      <c r="K429" s="8">
        <v>1</v>
      </c>
      <c r="L429" s="22">
        <v>46230</v>
      </c>
      <c r="M429" s="6" t="s">
        <v>422</v>
      </c>
      <c r="N429" s="10">
        <v>18000</v>
      </c>
      <c r="O429" s="11">
        <v>1</v>
      </c>
      <c r="P429" s="12">
        <v>1</v>
      </c>
      <c r="Q429" s="12"/>
    </row>
    <row r="430" spans="1:17" ht="20.100000000000001" customHeight="1">
      <c r="A430" s="4">
        <v>426</v>
      </c>
      <c r="B430" s="6" t="s">
        <v>413</v>
      </c>
      <c r="C430" s="6" t="s">
        <v>25</v>
      </c>
      <c r="D430" s="32" t="s">
        <v>38</v>
      </c>
      <c r="E430" s="32"/>
      <c r="F430" s="32"/>
      <c r="G430" s="32"/>
      <c r="H430" s="32"/>
      <c r="I430" s="32"/>
      <c r="J430" s="7"/>
      <c r="K430" s="8">
        <v>1</v>
      </c>
      <c r="L430" s="49">
        <v>46230</v>
      </c>
      <c r="M430" s="42" t="s">
        <v>422</v>
      </c>
      <c r="N430" s="15">
        <v>16000</v>
      </c>
      <c r="O430" s="11">
        <v>1</v>
      </c>
      <c r="P430" s="12">
        <v>1</v>
      </c>
      <c r="Q430" s="12"/>
    </row>
    <row r="431" spans="1:17" ht="20.100000000000001" customHeight="1">
      <c r="A431" s="4">
        <v>427</v>
      </c>
      <c r="B431" s="6" t="s">
        <v>413</v>
      </c>
      <c r="C431" s="6" t="s">
        <v>25</v>
      </c>
      <c r="D431" s="32" t="s">
        <v>38</v>
      </c>
      <c r="E431" s="32"/>
      <c r="F431" s="32"/>
      <c r="G431" s="32"/>
      <c r="H431" s="32"/>
      <c r="I431" s="32"/>
      <c r="J431" s="7"/>
      <c r="K431" s="8">
        <v>1</v>
      </c>
      <c r="L431" s="22">
        <v>46232</v>
      </c>
      <c r="M431" s="6" t="s">
        <v>425</v>
      </c>
      <c r="N431" s="10">
        <v>20000</v>
      </c>
      <c r="O431" s="11">
        <v>1</v>
      </c>
      <c r="P431" s="12">
        <v>1</v>
      </c>
      <c r="Q431" s="12"/>
    </row>
    <row r="432" spans="1:17" ht="20.100000000000001" customHeight="1">
      <c r="A432" s="4">
        <v>428</v>
      </c>
      <c r="B432" s="6" t="s">
        <v>413</v>
      </c>
      <c r="C432" s="6" t="s">
        <v>25</v>
      </c>
      <c r="D432" s="7" t="s">
        <v>426</v>
      </c>
      <c r="E432" s="7"/>
      <c r="F432" s="7"/>
      <c r="G432" s="7"/>
      <c r="H432" s="7"/>
      <c r="I432" s="7"/>
      <c r="J432" s="7"/>
      <c r="K432" s="8">
        <v>1</v>
      </c>
      <c r="L432" s="22"/>
      <c r="M432" s="6" t="s">
        <v>427</v>
      </c>
      <c r="N432" s="16"/>
      <c r="O432" s="11">
        <v>1</v>
      </c>
      <c r="P432" s="12"/>
      <c r="Q432" s="12"/>
    </row>
    <row r="433" spans="1:17" ht="20.100000000000001" customHeight="1">
      <c r="A433" s="4">
        <v>429</v>
      </c>
      <c r="B433" s="6" t="s">
        <v>428</v>
      </c>
      <c r="C433" s="6" t="s">
        <v>25</v>
      </c>
      <c r="D433" s="7" t="s">
        <v>429</v>
      </c>
      <c r="E433" s="7"/>
      <c r="F433" s="7"/>
      <c r="G433" s="7"/>
      <c r="H433" s="7"/>
      <c r="I433" s="7"/>
      <c r="J433" s="7"/>
      <c r="K433" s="9">
        <v>1</v>
      </c>
      <c r="L433" s="21"/>
      <c r="M433" s="6" t="s">
        <v>430</v>
      </c>
      <c r="N433" s="16">
        <v>-43080.03</v>
      </c>
      <c r="O433" s="11">
        <v>1</v>
      </c>
      <c r="P433" s="12"/>
      <c r="Q433" s="12"/>
    </row>
    <row r="434" spans="1:17" ht="20.100000000000001" customHeight="1">
      <c r="A434" s="4">
        <v>430</v>
      </c>
      <c r="B434" s="6" t="s">
        <v>428</v>
      </c>
      <c r="C434" s="6" t="s">
        <v>25</v>
      </c>
      <c r="D434" s="7" t="s">
        <v>29</v>
      </c>
      <c r="E434" s="7"/>
      <c r="F434" s="7"/>
      <c r="G434" s="8">
        <v>1</v>
      </c>
      <c r="H434" s="7"/>
      <c r="I434" s="7"/>
      <c r="J434" s="7"/>
      <c r="K434" s="14"/>
      <c r="L434" s="8"/>
      <c r="M434" s="6" t="s">
        <v>431</v>
      </c>
      <c r="N434" s="10">
        <v>0.21</v>
      </c>
      <c r="O434" s="11">
        <v>1</v>
      </c>
      <c r="P434" s="12"/>
      <c r="Q434" s="12"/>
    </row>
    <row r="435" spans="1:17" ht="20.100000000000001" customHeight="1">
      <c r="A435" s="4">
        <v>431</v>
      </c>
      <c r="B435" s="6" t="s">
        <v>428</v>
      </c>
      <c r="C435" s="6" t="s">
        <v>25</v>
      </c>
      <c r="D435" s="7" t="s">
        <v>29</v>
      </c>
      <c r="E435" s="7"/>
      <c r="F435" s="7"/>
      <c r="G435" s="8">
        <v>1</v>
      </c>
      <c r="H435" s="7"/>
      <c r="I435" s="7"/>
      <c r="J435" s="7"/>
      <c r="K435" s="14"/>
      <c r="L435" s="8"/>
      <c r="M435" s="6" t="s">
        <v>432</v>
      </c>
      <c r="N435" s="10">
        <v>58.5</v>
      </c>
      <c r="O435" s="11">
        <v>1</v>
      </c>
      <c r="P435" s="12"/>
      <c r="Q435" s="12"/>
    </row>
    <row r="436" spans="1:17" ht="20.100000000000001" customHeight="1">
      <c r="A436" s="4">
        <v>432</v>
      </c>
      <c r="B436" s="6" t="s">
        <v>428</v>
      </c>
      <c r="C436" s="6" t="s">
        <v>25</v>
      </c>
      <c r="D436" s="7" t="s">
        <v>29</v>
      </c>
      <c r="E436" s="7"/>
      <c r="F436" s="7"/>
      <c r="G436" s="8">
        <v>1</v>
      </c>
      <c r="H436" s="7"/>
      <c r="I436" s="7"/>
      <c r="J436" s="7"/>
      <c r="K436" s="14"/>
      <c r="L436" s="8"/>
      <c r="M436" s="6" t="s">
        <v>433</v>
      </c>
      <c r="N436" s="10">
        <v>58.5</v>
      </c>
      <c r="O436" s="11">
        <v>1</v>
      </c>
      <c r="P436" s="12"/>
      <c r="Q436" s="12"/>
    </row>
    <row r="437" spans="1:17" ht="20.100000000000001" customHeight="1">
      <c r="A437" s="4">
        <v>433</v>
      </c>
      <c r="B437" s="6" t="s">
        <v>428</v>
      </c>
      <c r="C437" s="6" t="s">
        <v>25</v>
      </c>
      <c r="D437" s="7" t="s">
        <v>29</v>
      </c>
      <c r="E437" s="7"/>
      <c r="F437" s="7"/>
      <c r="G437" s="8">
        <v>1</v>
      </c>
      <c r="H437" s="7"/>
      <c r="I437" s="7"/>
      <c r="J437" s="7"/>
      <c r="K437" s="14"/>
      <c r="L437" s="8"/>
      <c r="M437" s="6" t="s">
        <v>49</v>
      </c>
      <c r="N437" s="10">
        <v>2303360.35</v>
      </c>
      <c r="O437" s="11">
        <v>1</v>
      </c>
      <c r="P437" s="12"/>
      <c r="Q437" s="12"/>
    </row>
    <row r="438" spans="1:17" ht="20.100000000000001" customHeight="1">
      <c r="A438" s="4">
        <v>434</v>
      </c>
      <c r="B438" s="6" t="s">
        <v>428</v>
      </c>
      <c r="C438" s="6" t="s">
        <v>25</v>
      </c>
      <c r="D438" s="7" t="s">
        <v>434</v>
      </c>
      <c r="E438" s="7"/>
      <c r="F438" s="7"/>
      <c r="G438" s="7"/>
      <c r="H438" s="8">
        <v>43</v>
      </c>
      <c r="I438" s="7"/>
      <c r="J438" s="7"/>
      <c r="K438" s="14"/>
      <c r="L438" s="8"/>
      <c r="M438" s="6" t="s">
        <v>435</v>
      </c>
      <c r="N438" s="10"/>
      <c r="O438" s="11">
        <v>43</v>
      </c>
      <c r="P438" s="12"/>
      <c r="Q438" s="12"/>
    </row>
    <row r="439" spans="1:17" ht="20.100000000000001" customHeight="1">
      <c r="A439" s="4">
        <v>435</v>
      </c>
      <c r="B439" s="6" t="s">
        <v>428</v>
      </c>
      <c r="C439" s="6" t="s">
        <v>25</v>
      </c>
      <c r="D439" s="7" t="s">
        <v>434</v>
      </c>
      <c r="E439" s="7"/>
      <c r="F439" s="7"/>
      <c r="G439" s="7"/>
      <c r="H439" s="7"/>
      <c r="I439" s="8">
        <v>248</v>
      </c>
      <c r="J439" s="7"/>
      <c r="K439" s="17"/>
      <c r="L439" s="8"/>
      <c r="M439" s="6" t="s">
        <v>436</v>
      </c>
      <c r="N439" s="10"/>
      <c r="O439" s="11">
        <v>248</v>
      </c>
      <c r="P439" s="12"/>
      <c r="Q439" s="12"/>
    </row>
    <row r="440" spans="1:17" ht="20.100000000000001" customHeight="1">
      <c r="A440" s="4">
        <v>436</v>
      </c>
      <c r="B440" s="6" t="s">
        <v>428</v>
      </c>
      <c r="C440" s="6" t="s">
        <v>25</v>
      </c>
      <c r="D440" s="7" t="s">
        <v>437</v>
      </c>
      <c r="E440" s="7"/>
      <c r="F440" s="7"/>
      <c r="G440" s="7"/>
      <c r="H440" s="7"/>
      <c r="I440" s="7"/>
      <c r="J440" s="7"/>
      <c r="K440" s="8">
        <v>1</v>
      </c>
      <c r="L440" s="8"/>
      <c r="M440" s="6" t="s">
        <v>438</v>
      </c>
      <c r="N440" s="10"/>
      <c r="O440" s="11">
        <v>1</v>
      </c>
      <c r="P440" s="12"/>
      <c r="Q440" s="12"/>
    </row>
    <row r="441" spans="1:17" ht="20.100000000000001" customHeight="1">
      <c r="A441" s="4">
        <v>437</v>
      </c>
      <c r="B441" s="6" t="s">
        <v>428</v>
      </c>
      <c r="C441" s="6" t="s">
        <v>25</v>
      </c>
      <c r="D441" s="7" t="s">
        <v>437</v>
      </c>
      <c r="E441" s="7"/>
      <c r="F441" s="7"/>
      <c r="G441" s="7"/>
      <c r="H441" s="7"/>
      <c r="I441" s="7"/>
      <c r="J441" s="7"/>
      <c r="K441" s="8">
        <v>2</v>
      </c>
      <c r="L441" s="8"/>
      <c r="M441" s="6" t="s">
        <v>196</v>
      </c>
      <c r="N441" s="10"/>
      <c r="O441" s="11">
        <v>2</v>
      </c>
      <c r="P441" s="12"/>
      <c r="Q441" s="12"/>
    </row>
    <row r="442" spans="1:17" ht="20.100000000000001" customHeight="1">
      <c r="A442" s="4">
        <v>438</v>
      </c>
      <c r="B442" s="6" t="s">
        <v>428</v>
      </c>
      <c r="C442" s="6" t="s">
        <v>25</v>
      </c>
      <c r="D442" s="7" t="s">
        <v>439</v>
      </c>
      <c r="E442" s="7"/>
      <c r="F442" s="8">
        <v>530</v>
      </c>
      <c r="G442" s="7"/>
      <c r="H442" s="7"/>
      <c r="I442" s="7"/>
      <c r="J442" s="7"/>
      <c r="K442" s="14"/>
      <c r="L442" s="8"/>
      <c r="M442" s="6" t="s">
        <v>440</v>
      </c>
      <c r="N442" s="10"/>
      <c r="O442" s="11">
        <v>530</v>
      </c>
      <c r="P442" s="12"/>
      <c r="Q442" s="12"/>
    </row>
    <row r="443" spans="1:17" ht="20.100000000000001" customHeight="1">
      <c r="A443" s="4">
        <v>439</v>
      </c>
      <c r="B443" s="6" t="s">
        <v>428</v>
      </c>
      <c r="C443" s="6" t="s">
        <v>25</v>
      </c>
      <c r="D443" s="7" t="s">
        <v>236</v>
      </c>
      <c r="E443" s="7"/>
      <c r="F443" s="7"/>
      <c r="G443" s="7"/>
      <c r="H443" s="7"/>
      <c r="I443" s="7"/>
      <c r="J443" s="7"/>
      <c r="K443" s="8">
        <v>11</v>
      </c>
      <c r="L443" s="8"/>
      <c r="M443" s="6" t="s">
        <v>441</v>
      </c>
      <c r="N443" s="10"/>
      <c r="O443" s="11">
        <v>11</v>
      </c>
      <c r="P443" s="12"/>
      <c r="Q443" s="12"/>
    </row>
    <row r="444" spans="1:17" ht="20.100000000000001" customHeight="1">
      <c r="A444" s="4">
        <v>440</v>
      </c>
      <c r="B444" s="6" t="s">
        <v>428</v>
      </c>
      <c r="C444" s="6" t="s">
        <v>25</v>
      </c>
      <c r="D444" s="7" t="s">
        <v>442</v>
      </c>
      <c r="E444" s="7"/>
      <c r="F444" s="7"/>
      <c r="G444" s="7"/>
      <c r="H444" s="7"/>
      <c r="I444" s="7"/>
      <c r="J444" s="7"/>
      <c r="K444" s="8">
        <v>1</v>
      </c>
      <c r="L444" s="22">
        <v>45818</v>
      </c>
      <c r="M444" s="6" t="s">
        <v>443</v>
      </c>
      <c r="N444" s="10">
        <v>1500</v>
      </c>
      <c r="O444" s="11">
        <v>1</v>
      </c>
      <c r="P444" s="12"/>
      <c r="Q444" s="12"/>
    </row>
    <row r="445" spans="1:17" ht="20.100000000000001" customHeight="1">
      <c r="A445" s="4">
        <v>441</v>
      </c>
      <c r="B445" s="6" t="s">
        <v>428</v>
      </c>
      <c r="C445" s="6" t="s">
        <v>25</v>
      </c>
      <c r="D445" s="7" t="s">
        <v>442</v>
      </c>
      <c r="E445" s="7"/>
      <c r="F445" s="7"/>
      <c r="G445" s="7"/>
      <c r="H445" s="7"/>
      <c r="I445" s="7"/>
      <c r="J445" s="7"/>
      <c r="K445" s="8">
        <v>1</v>
      </c>
      <c r="L445" s="22">
        <v>45880</v>
      </c>
      <c r="M445" s="6" t="s">
        <v>444</v>
      </c>
      <c r="N445" s="10">
        <v>993000</v>
      </c>
      <c r="O445" s="11">
        <v>1</v>
      </c>
      <c r="P445" s="12"/>
      <c r="Q445" s="12"/>
    </row>
    <row r="446" spans="1:17" ht="20.100000000000001" customHeight="1">
      <c r="A446" s="4">
        <v>442</v>
      </c>
      <c r="B446" s="7" t="s">
        <v>445</v>
      </c>
      <c r="C446" s="6" t="s">
        <v>25</v>
      </c>
      <c r="D446" s="13" t="s">
        <v>26</v>
      </c>
      <c r="E446" s="13"/>
      <c r="F446" s="13"/>
      <c r="G446" s="13"/>
      <c r="H446" s="13"/>
      <c r="I446" s="13"/>
      <c r="J446" s="7"/>
      <c r="K446" s="8">
        <v>1</v>
      </c>
      <c r="L446" s="8" t="s">
        <v>446</v>
      </c>
      <c r="M446" s="6" t="s">
        <v>118</v>
      </c>
      <c r="N446" s="10">
        <v>7600</v>
      </c>
      <c r="O446" s="11">
        <v>1</v>
      </c>
      <c r="P446" s="12"/>
      <c r="Q446" s="12"/>
    </row>
    <row r="447" spans="1:17" ht="20.100000000000001" customHeight="1">
      <c r="A447" s="4">
        <v>443</v>
      </c>
      <c r="B447" s="7" t="s">
        <v>445</v>
      </c>
      <c r="C447" s="6" t="s">
        <v>25</v>
      </c>
      <c r="D447" s="13" t="s">
        <v>29</v>
      </c>
      <c r="E447" s="13"/>
      <c r="F447" s="13"/>
      <c r="G447" s="8">
        <v>1</v>
      </c>
      <c r="H447" s="13"/>
      <c r="I447" s="13"/>
      <c r="J447" s="7"/>
      <c r="K447" s="14"/>
      <c r="L447" s="8"/>
      <c r="M447" s="6" t="s">
        <v>32</v>
      </c>
      <c r="N447" s="10">
        <v>1.96</v>
      </c>
      <c r="O447" s="11">
        <v>1</v>
      </c>
      <c r="P447" s="12"/>
      <c r="Q447" s="12"/>
    </row>
    <row r="448" spans="1:17" ht="20.100000000000001" customHeight="1">
      <c r="A448" s="4">
        <v>444</v>
      </c>
      <c r="B448" s="7" t="s">
        <v>445</v>
      </c>
      <c r="C448" s="6" t="s">
        <v>25</v>
      </c>
      <c r="D448" s="13" t="s">
        <v>29</v>
      </c>
      <c r="E448" s="13"/>
      <c r="F448" s="13"/>
      <c r="G448" s="13"/>
      <c r="H448" s="13"/>
      <c r="I448" s="13"/>
      <c r="J448" s="7"/>
      <c r="K448" s="9">
        <v>1</v>
      </c>
      <c r="L448" s="45"/>
      <c r="M448" s="50" t="s">
        <v>447</v>
      </c>
      <c r="N448" s="16">
        <v>10517.38</v>
      </c>
      <c r="O448" s="11">
        <v>1</v>
      </c>
      <c r="P448" s="12"/>
      <c r="Q448" s="12"/>
    </row>
    <row r="449" spans="1:17" ht="20.100000000000001" customHeight="1">
      <c r="A449" s="4">
        <v>445</v>
      </c>
      <c r="B449" s="7" t="s">
        <v>445</v>
      </c>
      <c r="C449" s="6" t="s">
        <v>25</v>
      </c>
      <c r="D449" s="13" t="s">
        <v>29</v>
      </c>
      <c r="E449" s="13"/>
      <c r="F449" s="13"/>
      <c r="G449" s="13"/>
      <c r="H449" s="13"/>
      <c r="I449" s="13"/>
      <c r="J449" s="7"/>
      <c r="K449" s="9">
        <v>1</v>
      </c>
      <c r="L449" s="21"/>
      <c r="M449" s="50" t="s">
        <v>448</v>
      </c>
      <c r="N449" s="16">
        <v>147.32</v>
      </c>
      <c r="O449" s="11">
        <v>1</v>
      </c>
      <c r="P449" s="12"/>
      <c r="Q449" s="12"/>
    </row>
    <row r="450" spans="1:17" ht="20.100000000000001" customHeight="1">
      <c r="A450" s="4">
        <v>446</v>
      </c>
      <c r="B450" s="7" t="s">
        <v>445</v>
      </c>
      <c r="C450" s="6" t="s">
        <v>25</v>
      </c>
      <c r="D450" s="13" t="s">
        <v>33</v>
      </c>
      <c r="E450" s="13"/>
      <c r="F450" s="13"/>
      <c r="G450" s="13"/>
      <c r="H450" s="13"/>
      <c r="I450" s="8">
        <v>11733</v>
      </c>
      <c r="J450" s="7"/>
      <c r="K450" s="17"/>
      <c r="L450" s="8"/>
      <c r="M450" s="6" t="s">
        <v>449</v>
      </c>
      <c r="N450" s="18"/>
      <c r="O450" s="11">
        <v>11733</v>
      </c>
      <c r="P450" s="12"/>
      <c r="Q450" s="12"/>
    </row>
    <row r="451" spans="1:17" ht="20.100000000000001" customHeight="1">
      <c r="A451" s="4">
        <v>448</v>
      </c>
      <c r="B451" s="7" t="s">
        <v>445</v>
      </c>
      <c r="C451" s="6" t="s">
        <v>25</v>
      </c>
      <c r="D451" s="13" t="s">
        <v>33</v>
      </c>
      <c r="E451" s="13"/>
      <c r="F451" s="13"/>
      <c r="G451" s="13"/>
      <c r="H451" s="13"/>
      <c r="I451" s="13"/>
      <c r="J451" s="7"/>
      <c r="K451" s="8">
        <v>1</v>
      </c>
      <c r="L451" s="43"/>
      <c r="M451" s="6" t="s">
        <v>196</v>
      </c>
      <c r="N451" s="16"/>
      <c r="O451" s="11">
        <v>1</v>
      </c>
      <c r="P451" s="12"/>
      <c r="Q451" s="12"/>
    </row>
    <row r="452" spans="1:17" ht="20.100000000000001" customHeight="1">
      <c r="A452" s="4">
        <v>449</v>
      </c>
      <c r="B452" s="7" t="s">
        <v>445</v>
      </c>
      <c r="C452" s="6" t="s">
        <v>25</v>
      </c>
      <c r="D452" s="13" t="s">
        <v>365</v>
      </c>
      <c r="E452" s="13"/>
      <c r="F452" s="13"/>
      <c r="G452" s="13"/>
      <c r="H452" s="13"/>
      <c r="I452" s="13"/>
      <c r="J452" s="7"/>
      <c r="K452" s="8">
        <v>1</v>
      </c>
      <c r="L452" s="8"/>
      <c r="M452" s="6" t="s">
        <v>104</v>
      </c>
      <c r="N452" s="10"/>
      <c r="O452" s="11">
        <v>1</v>
      </c>
      <c r="P452" s="12"/>
      <c r="Q452" s="12"/>
    </row>
    <row r="453" spans="1:17" ht="20.100000000000001" customHeight="1">
      <c r="A453" s="4">
        <v>450</v>
      </c>
      <c r="B453" s="7" t="s">
        <v>445</v>
      </c>
      <c r="C453" s="6" t="s">
        <v>25</v>
      </c>
      <c r="D453" s="13" t="s">
        <v>36</v>
      </c>
      <c r="E453" s="13"/>
      <c r="F453" s="40">
        <v>605</v>
      </c>
      <c r="G453" s="13"/>
      <c r="H453" s="13"/>
      <c r="I453" s="13"/>
      <c r="J453" s="7"/>
      <c r="K453" s="14"/>
      <c r="L453" s="9"/>
      <c r="M453" s="6" t="s">
        <v>450</v>
      </c>
      <c r="N453" s="16"/>
      <c r="O453" s="11">
        <v>605</v>
      </c>
      <c r="P453" s="12"/>
      <c r="Q453" s="12"/>
    </row>
    <row r="454" spans="1:17" ht="20.100000000000001" customHeight="1">
      <c r="A454" s="4">
        <v>451</v>
      </c>
      <c r="B454" s="7" t="s">
        <v>445</v>
      </c>
      <c r="C454" s="6" t="s">
        <v>25</v>
      </c>
      <c r="D454" s="13" t="s">
        <v>38</v>
      </c>
      <c r="E454" s="13"/>
      <c r="F454" s="13"/>
      <c r="G454" s="13"/>
      <c r="H454" s="13"/>
      <c r="I454" s="13"/>
      <c r="J454" s="7"/>
      <c r="K454" s="8">
        <v>1</v>
      </c>
      <c r="L454" s="8" t="s">
        <v>451</v>
      </c>
      <c r="M454" s="46" t="s">
        <v>452</v>
      </c>
      <c r="N454" s="10">
        <v>200000</v>
      </c>
      <c r="O454" s="11">
        <v>1</v>
      </c>
      <c r="P454" s="12"/>
      <c r="Q454" s="12"/>
    </row>
    <row r="455" spans="1:17" ht="20.100000000000001" customHeight="1">
      <c r="A455" s="4">
        <v>452</v>
      </c>
      <c r="B455" s="7" t="s">
        <v>445</v>
      </c>
      <c r="C455" s="6" t="s">
        <v>25</v>
      </c>
      <c r="D455" s="13" t="s">
        <v>38</v>
      </c>
      <c r="E455" s="13"/>
      <c r="F455" s="13"/>
      <c r="G455" s="13"/>
      <c r="H455" s="13"/>
      <c r="I455" s="13"/>
      <c r="J455" s="7"/>
      <c r="K455" s="8">
        <v>1</v>
      </c>
      <c r="L455" s="8" t="s">
        <v>453</v>
      </c>
      <c r="M455" s="46" t="s">
        <v>454</v>
      </c>
      <c r="N455" s="10">
        <v>1621</v>
      </c>
      <c r="O455" s="11">
        <v>1</v>
      </c>
      <c r="P455" s="12"/>
      <c r="Q455" s="12"/>
    </row>
    <row r="456" spans="1:17" ht="20.100000000000001" customHeight="1">
      <c r="A456" s="4">
        <v>453</v>
      </c>
      <c r="B456" s="7" t="s">
        <v>445</v>
      </c>
      <c r="C456" s="6" t="s">
        <v>25</v>
      </c>
      <c r="D456" s="13" t="s">
        <v>38</v>
      </c>
      <c r="E456" s="13"/>
      <c r="F456" s="13"/>
      <c r="G456" s="13"/>
      <c r="H456" s="13"/>
      <c r="I456" s="13"/>
      <c r="J456" s="7"/>
      <c r="K456" s="8">
        <v>1</v>
      </c>
      <c r="L456" s="8" t="s">
        <v>406</v>
      </c>
      <c r="M456" s="46" t="s">
        <v>455</v>
      </c>
      <c r="N456" s="10">
        <v>50000</v>
      </c>
      <c r="O456" s="11">
        <v>1</v>
      </c>
      <c r="P456" s="12"/>
      <c r="Q456" s="12"/>
    </row>
    <row r="457" spans="1:17" ht="20.100000000000001" customHeight="1">
      <c r="A457" s="4">
        <v>454</v>
      </c>
      <c r="B457" s="7" t="s">
        <v>445</v>
      </c>
      <c r="C457" s="6" t="s">
        <v>25</v>
      </c>
      <c r="D457" s="13" t="s">
        <v>38</v>
      </c>
      <c r="E457" s="13"/>
      <c r="F457" s="13"/>
      <c r="G457" s="13"/>
      <c r="H457" s="13"/>
      <c r="I457" s="13"/>
      <c r="J457" s="7"/>
      <c r="K457" s="8">
        <v>1</v>
      </c>
      <c r="L457" s="8" t="s">
        <v>406</v>
      </c>
      <c r="M457" s="46" t="s">
        <v>456</v>
      </c>
      <c r="N457" s="10">
        <v>158000</v>
      </c>
      <c r="O457" s="11">
        <v>1</v>
      </c>
      <c r="P457" s="12"/>
      <c r="Q457" s="12"/>
    </row>
    <row r="458" spans="1:17" ht="20.100000000000001" customHeight="1">
      <c r="A458" s="4">
        <v>455</v>
      </c>
      <c r="B458" s="7" t="s">
        <v>445</v>
      </c>
      <c r="C458" s="6" t="s">
        <v>25</v>
      </c>
      <c r="D458" s="13" t="s">
        <v>38</v>
      </c>
      <c r="E458" s="13"/>
      <c r="F458" s="13"/>
      <c r="G458" s="13"/>
      <c r="H458" s="13"/>
      <c r="I458" s="13"/>
      <c r="J458" s="7"/>
      <c r="K458" s="8">
        <v>1</v>
      </c>
      <c r="L458" s="8" t="s">
        <v>406</v>
      </c>
      <c r="M458" s="46" t="s">
        <v>457</v>
      </c>
      <c r="N458" s="10">
        <v>80000</v>
      </c>
      <c r="O458" s="11">
        <v>1</v>
      </c>
      <c r="P458" s="12"/>
      <c r="Q458" s="12"/>
    </row>
    <row r="459" spans="1:17" ht="20.100000000000001" customHeight="1">
      <c r="A459" s="4">
        <v>456</v>
      </c>
      <c r="B459" s="7" t="s">
        <v>445</v>
      </c>
      <c r="C459" s="6" t="s">
        <v>25</v>
      </c>
      <c r="D459" s="13" t="s">
        <v>38</v>
      </c>
      <c r="E459" s="13"/>
      <c r="F459" s="13"/>
      <c r="G459" s="13"/>
      <c r="H459" s="13"/>
      <c r="I459" s="13"/>
      <c r="J459" s="7"/>
      <c r="K459" s="8">
        <v>1</v>
      </c>
      <c r="L459" s="8" t="s">
        <v>458</v>
      </c>
      <c r="M459" s="46" t="s">
        <v>459</v>
      </c>
      <c r="N459" s="10">
        <v>70000</v>
      </c>
      <c r="O459" s="11">
        <v>1</v>
      </c>
      <c r="P459" s="12"/>
      <c r="Q459" s="12"/>
    </row>
    <row r="460" spans="1:17" ht="20.100000000000001" customHeight="1">
      <c r="A460" s="4">
        <v>457</v>
      </c>
      <c r="B460" s="7" t="s">
        <v>445</v>
      </c>
      <c r="C460" s="6" t="s">
        <v>25</v>
      </c>
      <c r="D460" s="13" t="s">
        <v>38</v>
      </c>
      <c r="E460" s="13"/>
      <c r="F460" s="13"/>
      <c r="G460" s="13"/>
      <c r="H460" s="13"/>
      <c r="I460" s="13"/>
      <c r="J460" s="7"/>
      <c r="K460" s="8">
        <v>1</v>
      </c>
      <c r="L460" s="8" t="s">
        <v>316</v>
      </c>
      <c r="M460" s="46" t="s">
        <v>460</v>
      </c>
      <c r="N460" s="10">
        <v>400000</v>
      </c>
      <c r="O460" s="11">
        <v>1</v>
      </c>
      <c r="P460" s="12"/>
      <c r="Q460" s="12"/>
    </row>
    <row r="461" spans="1:17" ht="20.100000000000001" customHeight="1">
      <c r="A461" s="4">
        <v>458</v>
      </c>
      <c r="B461" s="7" t="s">
        <v>445</v>
      </c>
      <c r="C461" s="6" t="s">
        <v>25</v>
      </c>
      <c r="D461" s="13" t="s">
        <v>38</v>
      </c>
      <c r="E461" s="13"/>
      <c r="F461" s="13"/>
      <c r="G461" s="13"/>
      <c r="H461" s="13"/>
      <c r="I461" s="13"/>
      <c r="J461" s="7"/>
      <c r="K461" s="8">
        <v>1</v>
      </c>
      <c r="L461" s="8" t="s">
        <v>461</v>
      </c>
      <c r="M461" s="46" t="s">
        <v>462</v>
      </c>
      <c r="N461" s="10">
        <v>35000</v>
      </c>
      <c r="O461" s="11">
        <v>1</v>
      </c>
      <c r="P461" s="12"/>
      <c r="Q461" s="12"/>
    </row>
    <row r="462" spans="1:17" ht="20.100000000000001" customHeight="1">
      <c r="A462" s="4">
        <v>459</v>
      </c>
      <c r="B462" s="7" t="s">
        <v>445</v>
      </c>
      <c r="C462" s="6" t="s">
        <v>25</v>
      </c>
      <c r="D462" s="13" t="s">
        <v>38</v>
      </c>
      <c r="E462" s="13"/>
      <c r="F462" s="13"/>
      <c r="G462" s="13"/>
      <c r="H462" s="13"/>
      <c r="I462" s="13"/>
      <c r="J462" s="7"/>
      <c r="K462" s="8">
        <v>1</v>
      </c>
      <c r="L462" s="8" t="s">
        <v>223</v>
      </c>
      <c r="M462" s="46" t="s">
        <v>463</v>
      </c>
      <c r="N462" s="10">
        <v>40000</v>
      </c>
      <c r="O462" s="11">
        <v>1</v>
      </c>
      <c r="P462" s="12"/>
      <c r="Q462" s="12"/>
    </row>
    <row r="463" spans="1:17" ht="20.100000000000001" customHeight="1">
      <c r="A463" s="4">
        <v>460</v>
      </c>
      <c r="B463" s="7" t="s">
        <v>445</v>
      </c>
      <c r="C463" s="6" t="s">
        <v>25</v>
      </c>
      <c r="D463" s="13" t="s">
        <v>38</v>
      </c>
      <c r="E463" s="13"/>
      <c r="F463" s="13"/>
      <c r="G463" s="13"/>
      <c r="H463" s="13"/>
      <c r="I463" s="13"/>
      <c r="J463" s="7"/>
      <c r="K463" s="8">
        <v>1</v>
      </c>
      <c r="L463" s="8" t="s">
        <v>464</v>
      </c>
      <c r="M463" s="46" t="s">
        <v>465</v>
      </c>
      <c r="N463" s="10">
        <v>14000</v>
      </c>
      <c r="O463" s="11">
        <v>1</v>
      </c>
      <c r="P463" s="12"/>
      <c r="Q463" s="12"/>
    </row>
    <row r="464" spans="1:17" ht="20.100000000000001" customHeight="1">
      <c r="A464" s="4">
        <v>461</v>
      </c>
      <c r="B464" s="7" t="s">
        <v>445</v>
      </c>
      <c r="C464" s="6" t="s">
        <v>25</v>
      </c>
      <c r="D464" s="13" t="s">
        <v>38</v>
      </c>
      <c r="E464" s="13"/>
      <c r="F464" s="13"/>
      <c r="G464" s="13"/>
      <c r="H464" s="13"/>
      <c r="I464" s="13"/>
      <c r="J464" s="7"/>
      <c r="K464" s="8">
        <v>1</v>
      </c>
      <c r="L464" s="8" t="s">
        <v>466</v>
      </c>
      <c r="M464" s="46" t="s">
        <v>467</v>
      </c>
      <c r="N464" s="10">
        <v>420000</v>
      </c>
      <c r="O464" s="11">
        <v>1</v>
      </c>
      <c r="P464" s="12"/>
      <c r="Q464" s="12"/>
    </row>
    <row r="465" spans="1:17" ht="20.100000000000001" customHeight="1">
      <c r="A465" s="4">
        <v>462</v>
      </c>
      <c r="B465" s="7" t="s">
        <v>445</v>
      </c>
      <c r="C465" s="6" t="s">
        <v>25</v>
      </c>
      <c r="D465" s="13" t="s">
        <v>38</v>
      </c>
      <c r="E465" s="13"/>
      <c r="F465" s="13"/>
      <c r="G465" s="13"/>
      <c r="H465" s="13"/>
      <c r="I465" s="13"/>
      <c r="J465" s="7"/>
      <c r="K465" s="8">
        <v>1</v>
      </c>
      <c r="L465" s="8" t="s">
        <v>468</v>
      </c>
      <c r="M465" s="46" t="s">
        <v>469</v>
      </c>
      <c r="N465" s="10">
        <v>500000</v>
      </c>
      <c r="O465" s="11">
        <v>1</v>
      </c>
      <c r="P465" s="12"/>
      <c r="Q465" s="12"/>
    </row>
    <row r="466" spans="1:17" ht="20.100000000000001" customHeight="1">
      <c r="A466" s="4">
        <v>463</v>
      </c>
      <c r="B466" s="7" t="s">
        <v>445</v>
      </c>
      <c r="C466" s="6" t="s">
        <v>25</v>
      </c>
      <c r="D466" s="13" t="s">
        <v>105</v>
      </c>
      <c r="E466" s="13"/>
      <c r="F466" s="13"/>
      <c r="G466" s="13"/>
      <c r="H466" s="13"/>
      <c r="I466" s="13"/>
      <c r="J466" s="7"/>
      <c r="K466" s="8">
        <v>1</v>
      </c>
      <c r="L466" s="8"/>
      <c r="M466" s="6" t="s">
        <v>470</v>
      </c>
      <c r="N466" s="10" t="s">
        <v>471</v>
      </c>
      <c r="O466" s="11">
        <v>1</v>
      </c>
      <c r="P466" s="12"/>
      <c r="Q466" s="12"/>
    </row>
    <row r="467" spans="1:17" ht="20.100000000000001" customHeight="1">
      <c r="A467" s="4">
        <v>464</v>
      </c>
      <c r="B467" s="7" t="s">
        <v>445</v>
      </c>
      <c r="C467" s="6" t="s">
        <v>25</v>
      </c>
      <c r="D467" s="13" t="s">
        <v>105</v>
      </c>
      <c r="E467" s="13"/>
      <c r="F467" s="13"/>
      <c r="G467" s="13"/>
      <c r="H467" s="13"/>
      <c r="I467" s="13"/>
      <c r="J467" s="7"/>
      <c r="K467" s="8">
        <v>1</v>
      </c>
      <c r="L467" s="8"/>
      <c r="M467" s="50" t="s">
        <v>472</v>
      </c>
      <c r="N467" s="10"/>
      <c r="O467" s="11">
        <v>1</v>
      </c>
      <c r="P467" s="12"/>
      <c r="Q467" s="12"/>
    </row>
    <row r="468" spans="1:17" ht="20.100000000000001" customHeight="1">
      <c r="A468" s="4">
        <v>465</v>
      </c>
      <c r="B468" s="7" t="s">
        <v>445</v>
      </c>
      <c r="C468" s="6" t="s">
        <v>25</v>
      </c>
      <c r="D468" s="13" t="s">
        <v>105</v>
      </c>
      <c r="E468" s="13"/>
      <c r="F468" s="13"/>
      <c r="G468" s="13"/>
      <c r="H468" s="13"/>
      <c r="I468" s="13"/>
      <c r="J468" s="7"/>
      <c r="K468" s="8">
        <v>1</v>
      </c>
      <c r="L468" s="25"/>
      <c r="M468" s="6" t="s">
        <v>473</v>
      </c>
      <c r="N468" s="10"/>
      <c r="O468" s="11">
        <v>1</v>
      </c>
      <c r="P468" s="12"/>
      <c r="Q468" s="12"/>
    </row>
    <row r="469" spans="1:17" ht="20.100000000000001" customHeight="1">
      <c r="A469" s="4">
        <v>466</v>
      </c>
      <c r="B469" s="7" t="s">
        <v>474</v>
      </c>
      <c r="C469" s="6" t="s">
        <v>25</v>
      </c>
      <c r="D469" s="13" t="s">
        <v>29</v>
      </c>
      <c r="E469" s="13"/>
      <c r="F469" s="13"/>
      <c r="G469" s="8">
        <v>1</v>
      </c>
      <c r="H469" s="13"/>
      <c r="I469" s="13"/>
      <c r="J469" s="7"/>
      <c r="K469" s="14"/>
      <c r="L469" s="51"/>
      <c r="M469" s="6" t="s">
        <v>31</v>
      </c>
      <c r="N469" s="10">
        <v>0.25</v>
      </c>
      <c r="O469" s="11">
        <v>1</v>
      </c>
      <c r="P469" s="12"/>
      <c r="Q469" s="12"/>
    </row>
    <row r="470" spans="1:17" ht="20.100000000000001" customHeight="1">
      <c r="A470" s="4">
        <v>467</v>
      </c>
      <c r="B470" s="7" t="s">
        <v>474</v>
      </c>
      <c r="C470" s="6" t="s">
        <v>25</v>
      </c>
      <c r="D470" s="13" t="s">
        <v>33</v>
      </c>
      <c r="E470" s="13"/>
      <c r="F470" s="13"/>
      <c r="G470" s="13"/>
      <c r="H470" s="13"/>
      <c r="I470" s="8">
        <v>254</v>
      </c>
      <c r="J470" s="7"/>
      <c r="K470" s="17"/>
      <c r="L470" s="22">
        <v>46030</v>
      </c>
      <c r="M470" s="6" t="s">
        <v>35</v>
      </c>
      <c r="N470" s="16">
        <v>512201.23</v>
      </c>
      <c r="O470" s="11">
        <v>254</v>
      </c>
      <c r="P470" s="12"/>
      <c r="Q470" s="12"/>
    </row>
    <row r="471" spans="1:17" ht="20.100000000000001" customHeight="1">
      <c r="A471" s="4">
        <v>468</v>
      </c>
      <c r="B471" s="7" t="s">
        <v>474</v>
      </c>
      <c r="C471" s="6" t="s">
        <v>25</v>
      </c>
      <c r="D471" s="13" t="s">
        <v>38</v>
      </c>
      <c r="E471" s="13"/>
      <c r="F471" s="13"/>
      <c r="G471" s="13"/>
      <c r="H471" s="13"/>
      <c r="I471" s="13"/>
      <c r="J471" s="7"/>
      <c r="K471" s="8">
        <v>1</v>
      </c>
      <c r="L471" s="22">
        <v>46029</v>
      </c>
      <c r="M471" s="20" t="s">
        <v>475</v>
      </c>
      <c r="N471" s="41">
        <v>505000</v>
      </c>
      <c r="O471" s="11">
        <v>1</v>
      </c>
      <c r="P471" s="12">
        <v>1</v>
      </c>
      <c r="Q471" s="12"/>
    </row>
    <row r="472" spans="1:17" ht="20.100000000000001" customHeight="1">
      <c r="A472" s="4">
        <v>469</v>
      </c>
      <c r="B472" s="7" t="s">
        <v>474</v>
      </c>
      <c r="C472" s="6" t="s">
        <v>25</v>
      </c>
      <c r="D472" s="13" t="s">
        <v>38</v>
      </c>
      <c r="E472" s="13"/>
      <c r="F472" s="13"/>
      <c r="G472" s="13"/>
      <c r="H472" s="13"/>
      <c r="I472" s="13"/>
      <c r="J472" s="7"/>
      <c r="K472" s="8">
        <v>1</v>
      </c>
      <c r="L472" s="22">
        <v>46210</v>
      </c>
      <c r="M472" s="20" t="s">
        <v>476</v>
      </c>
      <c r="N472" s="41">
        <v>300000</v>
      </c>
      <c r="O472" s="11">
        <v>1</v>
      </c>
      <c r="P472" s="12">
        <v>1</v>
      </c>
      <c r="Q472" s="12"/>
    </row>
    <row r="473" spans="1:17" ht="20.100000000000001" customHeight="1">
      <c r="A473" s="4">
        <v>470</v>
      </c>
      <c r="B473" s="7" t="s">
        <v>474</v>
      </c>
      <c r="C473" s="6" t="s">
        <v>25</v>
      </c>
      <c r="D473" s="13" t="s">
        <v>38</v>
      </c>
      <c r="E473" s="13"/>
      <c r="F473" s="13"/>
      <c r="G473" s="13"/>
      <c r="H473" s="13"/>
      <c r="I473" s="13"/>
      <c r="J473" s="7"/>
      <c r="K473" s="8">
        <v>1</v>
      </c>
      <c r="L473" s="22">
        <v>46272</v>
      </c>
      <c r="M473" s="20" t="s">
        <v>476</v>
      </c>
      <c r="N473" s="41">
        <v>70000</v>
      </c>
      <c r="O473" s="11">
        <v>1</v>
      </c>
      <c r="P473" s="12">
        <v>1</v>
      </c>
      <c r="Q473" s="12"/>
    </row>
    <row r="474" spans="1:17" ht="20.100000000000001" customHeight="1">
      <c r="A474" s="4">
        <v>471</v>
      </c>
      <c r="B474" s="7" t="s">
        <v>474</v>
      </c>
      <c r="C474" s="6" t="s">
        <v>25</v>
      </c>
      <c r="D474" s="13" t="s">
        <v>38</v>
      </c>
      <c r="E474" s="13"/>
      <c r="F474" s="13"/>
      <c r="G474" s="13"/>
      <c r="H474" s="13"/>
      <c r="I474" s="13"/>
      <c r="J474" s="7"/>
      <c r="K474" s="8">
        <v>1</v>
      </c>
      <c r="L474" s="22" t="s">
        <v>477</v>
      </c>
      <c r="M474" s="20" t="s">
        <v>478</v>
      </c>
      <c r="N474" s="41">
        <v>270000</v>
      </c>
      <c r="O474" s="11">
        <v>1</v>
      </c>
      <c r="P474" s="12">
        <v>1</v>
      </c>
      <c r="Q474" s="12"/>
    </row>
    <row r="475" spans="1:17" ht="20.100000000000001" customHeight="1">
      <c r="A475" s="4">
        <v>472</v>
      </c>
      <c r="B475" s="7" t="s">
        <v>474</v>
      </c>
      <c r="C475" s="6" t="s">
        <v>25</v>
      </c>
      <c r="D475" s="13" t="s">
        <v>38</v>
      </c>
      <c r="E475" s="13"/>
      <c r="F475" s="13"/>
      <c r="G475" s="13"/>
      <c r="H475" s="13"/>
      <c r="I475" s="13"/>
      <c r="J475" s="7"/>
      <c r="K475" s="8">
        <v>1</v>
      </c>
      <c r="L475" s="22" t="s">
        <v>479</v>
      </c>
      <c r="M475" s="20" t="s">
        <v>480</v>
      </c>
      <c r="N475" s="41">
        <v>100000</v>
      </c>
      <c r="O475" s="11">
        <v>1</v>
      </c>
      <c r="P475" s="12">
        <v>1</v>
      </c>
      <c r="Q475" s="12"/>
    </row>
    <row r="476" spans="1:17" ht="20.100000000000001" customHeight="1">
      <c r="A476" s="4">
        <v>473</v>
      </c>
      <c r="B476" s="7" t="s">
        <v>481</v>
      </c>
      <c r="C476" s="6" t="s">
        <v>25</v>
      </c>
      <c r="D476" s="13" t="s">
        <v>29</v>
      </c>
      <c r="E476" s="13"/>
      <c r="F476" s="13"/>
      <c r="G476" s="8">
        <v>1</v>
      </c>
      <c r="H476" s="13"/>
      <c r="I476" s="13"/>
      <c r="J476" s="7"/>
      <c r="K476" s="14"/>
      <c r="L476" s="8"/>
      <c r="M476" s="6" t="s">
        <v>32</v>
      </c>
      <c r="N476" s="10">
        <v>0.48</v>
      </c>
      <c r="O476" s="11">
        <v>1</v>
      </c>
      <c r="P476" s="12"/>
      <c r="Q476" s="12"/>
    </row>
    <row r="477" spans="1:17" ht="20.100000000000001" customHeight="1">
      <c r="A477" s="4">
        <v>474</v>
      </c>
      <c r="B477" s="7" t="s">
        <v>481</v>
      </c>
      <c r="C477" s="6" t="s">
        <v>25</v>
      </c>
      <c r="D477" s="13" t="s">
        <v>33</v>
      </c>
      <c r="E477" s="13"/>
      <c r="F477" s="13"/>
      <c r="G477" s="13"/>
      <c r="H477" s="13"/>
      <c r="I477" s="8">
        <v>1090</v>
      </c>
      <c r="J477" s="7"/>
      <c r="K477" s="17"/>
      <c r="L477" s="8"/>
      <c r="M477" s="6" t="s">
        <v>35</v>
      </c>
      <c r="N477" s="18">
        <v>1090</v>
      </c>
      <c r="O477" s="11">
        <v>1090</v>
      </c>
      <c r="P477" s="12"/>
      <c r="Q477" s="12"/>
    </row>
    <row r="478" spans="1:17" ht="20.100000000000001" customHeight="1">
      <c r="A478" s="4">
        <v>475</v>
      </c>
      <c r="B478" s="7" t="s">
        <v>481</v>
      </c>
      <c r="C478" s="6" t="s">
        <v>25</v>
      </c>
      <c r="D478" s="13" t="s">
        <v>36</v>
      </c>
      <c r="E478" s="13"/>
      <c r="F478" s="8">
        <v>352</v>
      </c>
      <c r="G478" s="13"/>
      <c r="H478" s="13"/>
      <c r="I478" s="13"/>
      <c r="J478" s="7"/>
      <c r="K478" s="14"/>
      <c r="L478" s="8"/>
      <c r="M478" s="6" t="s">
        <v>482</v>
      </c>
      <c r="N478" s="10"/>
      <c r="O478" s="11">
        <v>352</v>
      </c>
      <c r="P478" s="12"/>
      <c r="Q478" s="12"/>
    </row>
    <row r="479" spans="1:17" ht="20.100000000000001" customHeight="1">
      <c r="A479" s="4">
        <v>476</v>
      </c>
      <c r="B479" s="7" t="s">
        <v>481</v>
      </c>
      <c r="C479" s="6" t="s">
        <v>25</v>
      </c>
      <c r="D479" s="13" t="s">
        <v>38</v>
      </c>
      <c r="E479" s="13"/>
      <c r="F479" s="13"/>
      <c r="G479" s="13"/>
      <c r="H479" s="13"/>
      <c r="I479" s="13"/>
      <c r="J479" s="7"/>
      <c r="K479" s="8">
        <v>1</v>
      </c>
      <c r="L479" s="52" t="s">
        <v>483</v>
      </c>
      <c r="M479" s="6" t="s">
        <v>484</v>
      </c>
      <c r="N479" s="10">
        <v>14000</v>
      </c>
      <c r="O479" s="11">
        <v>1</v>
      </c>
      <c r="P479" s="12"/>
      <c r="Q479" s="12"/>
    </row>
    <row r="480" spans="1:17" ht="20.100000000000001" customHeight="1">
      <c r="A480" s="4">
        <v>477</v>
      </c>
      <c r="B480" s="7" t="s">
        <v>481</v>
      </c>
      <c r="C480" s="6" t="s">
        <v>25</v>
      </c>
      <c r="D480" s="13" t="s">
        <v>38</v>
      </c>
      <c r="E480" s="13"/>
      <c r="F480" s="13"/>
      <c r="G480" s="13"/>
      <c r="H480" s="13"/>
      <c r="I480" s="13"/>
      <c r="J480" s="7"/>
      <c r="K480" s="8">
        <v>1</v>
      </c>
      <c r="L480" s="52" t="s">
        <v>219</v>
      </c>
      <c r="M480" s="6" t="s">
        <v>485</v>
      </c>
      <c r="N480" s="10">
        <v>5000</v>
      </c>
      <c r="O480" s="11">
        <v>1</v>
      </c>
      <c r="P480" s="12">
        <v>1</v>
      </c>
      <c r="Q480" s="12"/>
    </row>
    <row r="481" spans="1:17" ht="20.100000000000001" customHeight="1">
      <c r="A481" s="4">
        <v>478</v>
      </c>
      <c r="B481" s="7" t="s">
        <v>481</v>
      </c>
      <c r="C481" s="6" t="s">
        <v>25</v>
      </c>
      <c r="D481" s="13" t="s">
        <v>38</v>
      </c>
      <c r="E481" s="13"/>
      <c r="F481" s="13"/>
      <c r="G481" s="13"/>
      <c r="H481" s="13"/>
      <c r="I481" s="13"/>
      <c r="J481" s="7"/>
      <c r="K481" s="8">
        <v>1</v>
      </c>
      <c r="L481" s="8" t="s">
        <v>486</v>
      </c>
      <c r="M481" s="6" t="s">
        <v>487</v>
      </c>
      <c r="N481" s="10">
        <v>40000</v>
      </c>
      <c r="O481" s="11">
        <v>1</v>
      </c>
      <c r="P481" s="12">
        <v>1</v>
      </c>
      <c r="Q481" s="12"/>
    </row>
    <row r="482" spans="1:17" ht="20.100000000000001" customHeight="1">
      <c r="A482" s="4">
        <v>479</v>
      </c>
      <c r="B482" s="7" t="s">
        <v>481</v>
      </c>
      <c r="C482" s="6" t="s">
        <v>25</v>
      </c>
      <c r="D482" s="13" t="s">
        <v>38</v>
      </c>
      <c r="E482" s="13"/>
      <c r="F482" s="13"/>
      <c r="G482" s="13"/>
      <c r="H482" s="13"/>
      <c r="I482" s="13"/>
      <c r="J482" s="7"/>
      <c r="K482" s="8">
        <v>1</v>
      </c>
      <c r="L482" s="8" t="s">
        <v>486</v>
      </c>
      <c r="M482" s="6" t="s">
        <v>488</v>
      </c>
      <c r="N482" s="10">
        <v>10000</v>
      </c>
      <c r="O482" s="11">
        <v>1</v>
      </c>
      <c r="P482" s="12">
        <v>1</v>
      </c>
      <c r="Q482" s="12"/>
    </row>
    <row r="483" spans="1:17" ht="20.100000000000001" customHeight="1">
      <c r="A483" s="4">
        <v>480</v>
      </c>
      <c r="B483" s="7" t="s">
        <v>481</v>
      </c>
      <c r="C483" s="6" t="s">
        <v>25</v>
      </c>
      <c r="D483" s="13" t="s">
        <v>38</v>
      </c>
      <c r="E483" s="13"/>
      <c r="F483" s="13"/>
      <c r="G483" s="13"/>
      <c r="H483" s="13"/>
      <c r="I483" s="13"/>
      <c r="J483" s="7"/>
      <c r="K483" s="8">
        <v>1</v>
      </c>
      <c r="L483" s="8" t="s">
        <v>489</v>
      </c>
      <c r="M483" s="6" t="s">
        <v>490</v>
      </c>
      <c r="N483" s="10">
        <v>400</v>
      </c>
      <c r="O483" s="11">
        <v>1</v>
      </c>
      <c r="P483" s="12">
        <v>1</v>
      </c>
      <c r="Q483" s="12"/>
    </row>
    <row r="484" spans="1:17" ht="20.100000000000001" customHeight="1">
      <c r="A484" s="4">
        <v>481</v>
      </c>
      <c r="B484" s="7" t="s">
        <v>481</v>
      </c>
      <c r="C484" s="6" t="s">
        <v>25</v>
      </c>
      <c r="D484" s="13" t="s">
        <v>105</v>
      </c>
      <c r="E484" s="13"/>
      <c r="F484" s="13"/>
      <c r="G484" s="13"/>
      <c r="H484" s="13"/>
      <c r="I484" s="13"/>
      <c r="J484" s="7"/>
      <c r="K484" s="8">
        <v>1</v>
      </c>
      <c r="L484" s="8"/>
      <c r="M484" s="6" t="s">
        <v>491</v>
      </c>
      <c r="N484" s="10"/>
      <c r="O484" s="11">
        <v>1</v>
      </c>
      <c r="P484" s="12"/>
      <c r="Q484" s="12"/>
    </row>
    <row r="485" spans="1:17" ht="20.100000000000001" customHeight="1">
      <c r="A485" s="4">
        <v>482</v>
      </c>
      <c r="B485" s="7" t="s">
        <v>492</v>
      </c>
      <c r="C485" s="6" t="s">
        <v>25</v>
      </c>
      <c r="D485" s="13" t="s">
        <v>26</v>
      </c>
      <c r="E485" s="13"/>
      <c r="F485" s="13"/>
      <c r="G485" s="13"/>
      <c r="H485" s="13"/>
      <c r="I485" s="13"/>
      <c r="J485" s="7"/>
      <c r="K485" s="8">
        <v>1</v>
      </c>
      <c r="L485" s="8"/>
      <c r="M485" s="6" t="s">
        <v>28</v>
      </c>
      <c r="N485" s="10">
        <v>8182.25</v>
      </c>
      <c r="O485" s="11">
        <v>1</v>
      </c>
      <c r="P485" s="12"/>
      <c r="Q485" s="12"/>
    </row>
    <row r="486" spans="1:17" ht="20.100000000000001" customHeight="1">
      <c r="A486" s="4">
        <v>483</v>
      </c>
      <c r="B486" s="7" t="s">
        <v>492</v>
      </c>
      <c r="C486" s="6" t="s">
        <v>25</v>
      </c>
      <c r="D486" s="7" t="s">
        <v>103</v>
      </c>
      <c r="E486" s="7"/>
      <c r="F486" s="7"/>
      <c r="G486" s="7"/>
      <c r="H486" s="7"/>
      <c r="I486" s="7"/>
      <c r="J486" s="8">
        <v>34</v>
      </c>
      <c r="K486" s="14"/>
      <c r="L486" s="8"/>
      <c r="M486" s="50" t="s">
        <v>493</v>
      </c>
      <c r="N486" s="16">
        <v>1083.25</v>
      </c>
      <c r="O486" s="11">
        <v>34</v>
      </c>
      <c r="P486" s="12"/>
      <c r="Q486" s="12"/>
    </row>
    <row r="487" spans="1:17" ht="20.100000000000001" customHeight="1">
      <c r="A487" s="4">
        <v>484</v>
      </c>
      <c r="B487" s="7" t="s">
        <v>492</v>
      </c>
      <c r="C487" s="6" t="s">
        <v>25</v>
      </c>
      <c r="D487" s="13" t="s">
        <v>29</v>
      </c>
      <c r="E487" s="13"/>
      <c r="F487" s="13"/>
      <c r="G487" s="8">
        <v>1</v>
      </c>
      <c r="H487" s="13"/>
      <c r="I487" s="13"/>
      <c r="J487" s="7"/>
      <c r="K487" s="14"/>
      <c r="L487" s="8"/>
      <c r="M487" s="6" t="s">
        <v>119</v>
      </c>
      <c r="N487" s="10">
        <v>-2709488.84</v>
      </c>
      <c r="O487" s="11">
        <v>1</v>
      </c>
      <c r="P487" s="12"/>
      <c r="Q487" s="12"/>
    </row>
    <row r="488" spans="1:17" ht="20.100000000000001" customHeight="1">
      <c r="A488" s="4">
        <v>485</v>
      </c>
      <c r="B488" s="7" t="s">
        <v>492</v>
      </c>
      <c r="C488" s="6" t="s">
        <v>25</v>
      </c>
      <c r="D488" s="13" t="s">
        <v>29</v>
      </c>
      <c r="E488" s="13"/>
      <c r="F488" s="13"/>
      <c r="G488" s="8">
        <v>1</v>
      </c>
      <c r="H488" s="13"/>
      <c r="I488" s="13"/>
      <c r="J488" s="7"/>
      <c r="K488" s="14"/>
      <c r="L488" s="8"/>
      <c r="M488" s="6" t="s">
        <v>49</v>
      </c>
      <c r="N488" s="10">
        <v>10482703</v>
      </c>
      <c r="O488" s="11">
        <v>1</v>
      </c>
      <c r="P488" s="12"/>
      <c r="Q488" s="12"/>
    </row>
    <row r="489" spans="1:17" ht="20.100000000000001" customHeight="1">
      <c r="A489" s="4">
        <v>486</v>
      </c>
      <c r="B489" s="7" t="s">
        <v>492</v>
      </c>
      <c r="C489" s="6" t="s">
        <v>25</v>
      </c>
      <c r="D489" s="13" t="s">
        <v>29</v>
      </c>
      <c r="E489" s="13"/>
      <c r="F489" s="13"/>
      <c r="G489" s="8">
        <v>1</v>
      </c>
      <c r="H489" s="13"/>
      <c r="I489" s="13"/>
      <c r="J489" s="7"/>
      <c r="K489" s="14"/>
      <c r="L489" s="8"/>
      <c r="M489" s="6" t="s">
        <v>494</v>
      </c>
      <c r="N489" s="10">
        <v>211.95</v>
      </c>
      <c r="O489" s="11">
        <v>1</v>
      </c>
      <c r="P489" s="12"/>
      <c r="Q489" s="12"/>
    </row>
    <row r="490" spans="1:17" ht="20.100000000000001" customHeight="1">
      <c r="A490" s="4">
        <v>487</v>
      </c>
      <c r="B490" s="7" t="s">
        <v>492</v>
      </c>
      <c r="C490" s="6" t="s">
        <v>25</v>
      </c>
      <c r="D490" s="13" t="s">
        <v>29</v>
      </c>
      <c r="E490" s="13"/>
      <c r="F490" s="13"/>
      <c r="G490" s="13"/>
      <c r="H490" s="13"/>
      <c r="I490" s="13"/>
      <c r="J490" s="7"/>
      <c r="K490" s="8">
        <v>1</v>
      </c>
      <c r="L490" s="8"/>
      <c r="M490" s="6" t="s">
        <v>495</v>
      </c>
      <c r="N490" s="10">
        <v>642875.57999999996</v>
      </c>
      <c r="O490" s="11">
        <v>1</v>
      </c>
      <c r="P490" s="12"/>
      <c r="Q490" s="12"/>
    </row>
    <row r="491" spans="1:17" ht="20.100000000000001" customHeight="1">
      <c r="A491" s="4">
        <v>488</v>
      </c>
      <c r="B491" s="7" t="s">
        <v>492</v>
      </c>
      <c r="C491" s="6" t="s">
        <v>25</v>
      </c>
      <c r="D491" s="13" t="s">
        <v>29</v>
      </c>
      <c r="E491" s="13"/>
      <c r="F491" s="13"/>
      <c r="G491" s="13"/>
      <c r="H491" s="13"/>
      <c r="I491" s="13"/>
      <c r="J491" s="7"/>
      <c r="K491" s="9">
        <v>1</v>
      </c>
      <c r="L491" s="21"/>
      <c r="M491" s="6" t="s">
        <v>496</v>
      </c>
      <c r="N491" s="16">
        <v>23627855.010000002</v>
      </c>
      <c r="O491" s="11">
        <v>1</v>
      </c>
      <c r="P491" s="12"/>
      <c r="Q491" s="12"/>
    </row>
    <row r="492" spans="1:17" ht="20.100000000000001" customHeight="1">
      <c r="A492" s="4">
        <v>489</v>
      </c>
      <c r="B492" s="7" t="s">
        <v>492</v>
      </c>
      <c r="C492" s="6" t="s">
        <v>25</v>
      </c>
      <c r="D492" s="13" t="s">
        <v>29</v>
      </c>
      <c r="E492" s="13"/>
      <c r="F492" s="13"/>
      <c r="G492" s="13"/>
      <c r="H492" s="13"/>
      <c r="I492" s="13"/>
      <c r="J492" s="7"/>
      <c r="K492" s="9">
        <v>1</v>
      </c>
      <c r="L492" s="21"/>
      <c r="M492" s="6" t="s">
        <v>497</v>
      </c>
      <c r="N492" s="31">
        <v>1493.26</v>
      </c>
      <c r="O492" s="11">
        <v>1</v>
      </c>
      <c r="P492" s="12"/>
      <c r="Q492" s="12"/>
    </row>
    <row r="493" spans="1:17" ht="20.100000000000001" customHeight="1">
      <c r="A493" s="4">
        <v>490</v>
      </c>
      <c r="B493" s="7" t="s">
        <v>492</v>
      </c>
      <c r="C493" s="6" t="s">
        <v>25</v>
      </c>
      <c r="D493" s="13" t="s">
        <v>33</v>
      </c>
      <c r="E493" s="13"/>
      <c r="F493" s="13"/>
      <c r="G493" s="13"/>
      <c r="H493" s="13"/>
      <c r="I493" s="8">
        <v>1125</v>
      </c>
      <c r="J493" s="7"/>
      <c r="K493" s="17"/>
      <c r="L493" s="8"/>
      <c r="M493" s="6" t="s">
        <v>498</v>
      </c>
      <c r="N493" s="53"/>
      <c r="O493" s="11">
        <v>1125</v>
      </c>
      <c r="P493" s="12"/>
      <c r="Q493" s="12"/>
    </row>
    <row r="494" spans="1:17" ht="20.100000000000001" customHeight="1">
      <c r="A494" s="4">
        <v>491</v>
      </c>
      <c r="B494" s="7" t="s">
        <v>492</v>
      </c>
      <c r="C494" s="6" t="s">
        <v>25</v>
      </c>
      <c r="D494" s="13" t="s">
        <v>365</v>
      </c>
      <c r="E494" s="13"/>
      <c r="F494" s="13"/>
      <c r="G494" s="13"/>
      <c r="H494" s="13"/>
      <c r="I494" s="13"/>
      <c r="J494" s="7"/>
      <c r="K494" s="8">
        <v>1</v>
      </c>
      <c r="L494" s="8"/>
      <c r="M494" s="6" t="s">
        <v>104</v>
      </c>
      <c r="N494" s="10"/>
      <c r="O494" s="11">
        <v>1</v>
      </c>
      <c r="P494" s="12"/>
      <c r="Q494" s="12"/>
    </row>
    <row r="495" spans="1:17" ht="20.100000000000001" customHeight="1">
      <c r="A495" s="4">
        <v>492</v>
      </c>
      <c r="B495" s="7" t="s">
        <v>492</v>
      </c>
      <c r="C495" s="6" t="s">
        <v>25</v>
      </c>
      <c r="D495" s="13" t="s">
        <v>36</v>
      </c>
      <c r="E495" s="13"/>
      <c r="F495" s="8">
        <v>829</v>
      </c>
      <c r="G495" s="13"/>
      <c r="H495" s="13"/>
      <c r="I495" s="13"/>
      <c r="J495" s="7"/>
      <c r="K495" s="14"/>
      <c r="L495" s="8"/>
      <c r="M495" s="6" t="s">
        <v>499</v>
      </c>
      <c r="N495" s="10"/>
      <c r="O495" s="11">
        <v>829</v>
      </c>
      <c r="P495" s="12"/>
      <c r="Q495" s="12"/>
    </row>
    <row r="496" spans="1:17" ht="20.100000000000001" customHeight="1">
      <c r="A496" s="4">
        <v>493</v>
      </c>
      <c r="B496" s="7" t="s">
        <v>492</v>
      </c>
      <c r="C496" s="6" t="s">
        <v>25</v>
      </c>
      <c r="D496" s="13" t="s">
        <v>38</v>
      </c>
      <c r="E496" s="13"/>
      <c r="F496" s="13"/>
      <c r="G496" s="13"/>
      <c r="H496" s="13"/>
      <c r="I496" s="13"/>
      <c r="J496" s="7"/>
      <c r="K496" s="8">
        <v>1</v>
      </c>
      <c r="L496" s="9" t="s">
        <v>500</v>
      </c>
      <c r="M496" s="6" t="s">
        <v>501</v>
      </c>
      <c r="N496" s="10">
        <v>300000</v>
      </c>
      <c r="O496" s="11">
        <v>1</v>
      </c>
      <c r="P496" s="12">
        <v>1</v>
      </c>
      <c r="Q496" s="12"/>
    </row>
    <row r="497" spans="1:17" ht="20.100000000000001" customHeight="1">
      <c r="A497" s="4">
        <v>494</v>
      </c>
      <c r="B497" s="7" t="s">
        <v>492</v>
      </c>
      <c r="C497" s="6" t="s">
        <v>25</v>
      </c>
      <c r="D497" s="13" t="s">
        <v>38</v>
      </c>
      <c r="E497" s="13"/>
      <c r="F497" s="13"/>
      <c r="G497" s="13"/>
      <c r="H497" s="13"/>
      <c r="I497" s="13"/>
      <c r="J497" s="7"/>
      <c r="K497" s="8">
        <v>1</v>
      </c>
      <c r="L497" s="9" t="s">
        <v>502</v>
      </c>
      <c r="M497" s="6" t="s">
        <v>503</v>
      </c>
      <c r="N497" s="10">
        <v>54919.59</v>
      </c>
      <c r="O497" s="11">
        <v>1</v>
      </c>
      <c r="P497" s="12">
        <v>1</v>
      </c>
      <c r="Q497" s="12"/>
    </row>
    <row r="498" spans="1:17" ht="20.100000000000001" customHeight="1">
      <c r="A498" s="4">
        <v>495</v>
      </c>
      <c r="B498" s="7" t="s">
        <v>492</v>
      </c>
      <c r="C498" s="6" t="s">
        <v>25</v>
      </c>
      <c r="D498" s="13" t="s">
        <v>38</v>
      </c>
      <c r="E498" s="13"/>
      <c r="F498" s="13"/>
      <c r="G498" s="13"/>
      <c r="H498" s="13"/>
      <c r="I498" s="13"/>
      <c r="J498" s="7"/>
      <c r="K498" s="8">
        <v>1</v>
      </c>
      <c r="L498" s="9" t="s">
        <v>504</v>
      </c>
      <c r="M498" s="6" t="s">
        <v>505</v>
      </c>
      <c r="N498" s="10">
        <v>300000</v>
      </c>
      <c r="O498" s="11">
        <v>1</v>
      </c>
      <c r="P498" s="12">
        <v>1</v>
      </c>
      <c r="Q498" s="12"/>
    </row>
    <row r="499" spans="1:17" ht="20.100000000000001" customHeight="1">
      <c r="A499" s="4">
        <v>496</v>
      </c>
      <c r="B499" s="7" t="s">
        <v>492</v>
      </c>
      <c r="C499" s="6" t="s">
        <v>25</v>
      </c>
      <c r="D499" s="13" t="s">
        <v>38</v>
      </c>
      <c r="E499" s="13"/>
      <c r="F499" s="13"/>
      <c r="G499" s="13"/>
      <c r="H499" s="13"/>
      <c r="I499" s="13"/>
      <c r="J499" s="7"/>
      <c r="K499" s="8">
        <v>1</v>
      </c>
      <c r="L499" s="8"/>
      <c r="M499" s="6" t="s">
        <v>506</v>
      </c>
      <c r="N499" s="10"/>
      <c r="O499" s="11">
        <v>1</v>
      </c>
      <c r="P499" s="12"/>
      <c r="Q499" s="12"/>
    </row>
    <row r="500" spans="1:17" ht="20.100000000000001" customHeight="1">
      <c r="A500" s="4">
        <v>497</v>
      </c>
      <c r="B500" s="7" t="s">
        <v>507</v>
      </c>
      <c r="C500" s="6" t="s">
        <v>25</v>
      </c>
      <c r="D500" s="7" t="s">
        <v>26</v>
      </c>
      <c r="E500" s="7"/>
      <c r="F500" s="7"/>
      <c r="G500" s="7"/>
      <c r="H500" s="7"/>
      <c r="I500" s="7"/>
      <c r="J500" s="7"/>
      <c r="K500" s="8">
        <v>1</v>
      </c>
      <c r="L500" s="8"/>
      <c r="M500" s="6" t="s">
        <v>48</v>
      </c>
      <c r="N500" s="10">
        <v>12900</v>
      </c>
      <c r="O500" s="11">
        <v>1</v>
      </c>
      <c r="P500" s="12"/>
      <c r="Q500" s="12"/>
    </row>
    <row r="501" spans="1:17" ht="20.100000000000001" customHeight="1">
      <c r="A501" s="4">
        <v>498</v>
      </c>
      <c r="B501" s="7" t="s">
        <v>507</v>
      </c>
      <c r="C501" s="6" t="s">
        <v>25</v>
      </c>
      <c r="D501" s="7" t="s">
        <v>29</v>
      </c>
      <c r="E501" s="7"/>
      <c r="F501" s="7"/>
      <c r="G501" s="8">
        <v>1</v>
      </c>
      <c r="H501" s="7"/>
      <c r="I501" s="7"/>
      <c r="J501" s="7"/>
      <c r="K501" s="14"/>
      <c r="L501" s="8"/>
      <c r="M501" s="6" t="s">
        <v>119</v>
      </c>
      <c r="N501" s="10">
        <v>-2227475.84</v>
      </c>
      <c r="O501" s="11">
        <v>1</v>
      </c>
      <c r="P501" s="12"/>
      <c r="Q501" s="12"/>
    </row>
    <row r="502" spans="1:17" ht="20.100000000000001" customHeight="1">
      <c r="A502" s="4">
        <v>499</v>
      </c>
      <c r="B502" s="7" t="s">
        <v>507</v>
      </c>
      <c r="C502" s="6" t="s">
        <v>25</v>
      </c>
      <c r="D502" s="7" t="s">
        <v>29</v>
      </c>
      <c r="E502" s="7"/>
      <c r="F502" s="7"/>
      <c r="G502" s="8">
        <v>1</v>
      </c>
      <c r="H502" s="7"/>
      <c r="I502" s="7"/>
      <c r="J502" s="7"/>
      <c r="K502" s="14"/>
      <c r="L502" s="8"/>
      <c r="M502" s="6" t="s">
        <v>49</v>
      </c>
      <c r="N502" s="10">
        <v>-49929438.460000001</v>
      </c>
      <c r="O502" s="11">
        <v>1</v>
      </c>
      <c r="P502" s="12"/>
      <c r="Q502" s="12"/>
    </row>
    <row r="503" spans="1:17" ht="20.100000000000001" customHeight="1">
      <c r="A503" s="4">
        <v>500</v>
      </c>
      <c r="B503" s="7" t="s">
        <v>507</v>
      </c>
      <c r="C503" s="6" t="s">
        <v>25</v>
      </c>
      <c r="D503" s="7" t="s">
        <v>29</v>
      </c>
      <c r="E503" s="7"/>
      <c r="F503" s="7"/>
      <c r="G503" s="8">
        <v>1</v>
      </c>
      <c r="H503" s="7"/>
      <c r="I503" s="7"/>
      <c r="J503" s="7"/>
      <c r="K503" s="14"/>
      <c r="L503" s="8"/>
      <c r="M503" s="6" t="s">
        <v>32</v>
      </c>
      <c r="N503" s="10">
        <v>142.97</v>
      </c>
      <c r="O503" s="11">
        <v>1</v>
      </c>
      <c r="P503" s="12"/>
      <c r="Q503" s="12"/>
    </row>
    <row r="504" spans="1:17" ht="20.100000000000001" customHeight="1">
      <c r="A504" s="4">
        <v>501</v>
      </c>
      <c r="B504" s="7" t="s">
        <v>507</v>
      </c>
      <c r="C504" s="6" t="s">
        <v>25</v>
      </c>
      <c r="D504" s="7" t="s">
        <v>29</v>
      </c>
      <c r="E504" s="7"/>
      <c r="F504" s="7"/>
      <c r="G504" s="9">
        <v>1</v>
      </c>
      <c r="H504" s="7"/>
      <c r="I504" s="7"/>
      <c r="J504" s="7"/>
      <c r="K504" s="14"/>
      <c r="L504" s="21"/>
      <c r="M504" s="6" t="s">
        <v>50</v>
      </c>
      <c r="N504" s="16">
        <v>2896.13</v>
      </c>
      <c r="O504" s="11">
        <v>1</v>
      </c>
      <c r="P504" s="12"/>
      <c r="Q504" s="12"/>
    </row>
    <row r="505" spans="1:17" ht="20.100000000000001" customHeight="1">
      <c r="A505" s="4">
        <v>502</v>
      </c>
      <c r="B505" s="7" t="s">
        <v>507</v>
      </c>
      <c r="C505" s="6" t="s">
        <v>25</v>
      </c>
      <c r="D505" s="7" t="s">
        <v>33</v>
      </c>
      <c r="E505" s="7"/>
      <c r="F505" s="7"/>
      <c r="G505" s="7"/>
      <c r="H505" s="7"/>
      <c r="I505" s="8">
        <v>6484</v>
      </c>
      <c r="J505" s="7"/>
      <c r="K505" s="17"/>
      <c r="L505" s="8"/>
      <c r="M505" s="6" t="s">
        <v>35</v>
      </c>
      <c r="N505" s="10">
        <v>6485</v>
      </c>
      <c r="O505" s="54">
        <v>6484</v>
      </c>
      <c r="P505" s="12"/>
      <c r="Q505" s="12"/>
    </row>
    <row r="506" spans="1:17" ht="20.100000000000001" customHeight="1">
      <c r="A506" s="4">
        <v>503</v>
      </c>
      <c r="B506" s="7" t="s">
        <v>507</v>
      </c>
      <c r="C506" s="6" t="s">
        <v>25</v>
      </c>
      <c r="D506" s="7" t="s">
        <v>36</v>
      </c>
      <c r="E506" s="7"/>
      <c r="F506" s="8">
        <v>448</v>
      </c>
      <c r="G506" s="7"/>
      <c r="H506" s="7"/>
      <c r="I506" s="7"/>
      <c r="J506" s="7"/>
      <c r="K506" s="14"/>
      <c r="L506" s="8"/>
      <c r="M506" s="6" t="s">
        <v>508</v>
      </c>
      <c r="N506" s="10"/>
      <c r="O506" s="11">
        <v>448</v>
      </c>
      <c r="P506" s="12"/>
      <c r="Q506" s="12"/>
    </row>
    <row r="507" spans="1:17" ht="20.100000000000001" customHeight="1">
      <c r="A507" s="4">
        <v>504</v>
      </c>
      <c r="B507" s="7" t="s">
        <v>507</v>
      </c>
      <c r="C507" s="6" t="s">
        <v>25</v>
      </c>
      <c r="D507" s="7" t="s">
        <v>38</v>
      </c>
      <c r="E507" s="7"/>
      <c r="F507" s="7"/>
      <c r="G507" s="7"/>
      <c r="H507" s="7"/>
      <c r="I507" s="7"/>
      <c r="J507" s="7"/>
      <c r="K507" s="8">
        <v>1</v>
      </c>
      <c r="L507" s="8"/>
      <c r="M507" s="6" t="s">
        <v>509</v>
      </c>
      <c r="N507" s="10" t="s">
        <v>510</v>
      </c>
      <c r="O507" s="11">
        <v>1</v>
      </c>
      <c r="P507" s="12">
        <v>1</v>
      </c>
      <c r="Q507" s="12"/>
    </row>
    <row r="508" spans="1:17" ht="20.100000000000001" customHeight="1">
      <c r="A508" s="4">
        <v>505</v>
      </c>
      <c r="B508" s="7" t="s">
        <v>507</v>
      </c>
      <c r="C508" s="6" t="s">
        <v>25</v>
      </c>
      <c r="D508" s="7" t="s">
        <v>105</v>
      </c>
      <c r="E508" s="7"/>
      <c r="F508" s="7"/>
      <c r="G508" s="8">
        <v>1</v>
      </c>
      <c r="H508" s="7"/>
      <c r="I508" s="7"/>
      <c r="J508" s="7"/>
      <c r="K508" s="14"/>
      <c r="L508" s="8"/>
      <c r="M508" s="6" t="s">
        <v>511</v>
      </c>
      <c r="N508" s="55">
        <v>42660.03</v>
      </c>
      <c r="O508" s="11">
        <v>1</v>
      </c>
      <c r="P508" s="12"/>
      <c r="Q508" s="12"/>
    </row>
    <row r="509" spans="1:17" ht="20.100000000000001" customHeight="1">
      <c r="A509" s="4">
        <v>506</v>
      </c>
      <c r="B509" s="7" t="s">
        <v>512</v>
      </c>
      <c r="C509" s="6" t="s">
        <v>25</v>
      </c>
      <c r="D509" s="13" t="s">
        <v>26</v>
      </c>
      <c r="E509" s="13"/>
      <c r="F509" s="13"/>
      <c r="G509" s="13"/>
      <c r="H509" s="13"/>
      <c r="I509" s="13"/>
      <c r="J509" s="7"/>
      <c r="K509" s="8">
        <v>1</v>
      </c>
      <c r="L509" s="8" t="s">
        <v>100</v>
      </c>
      <c r="M509" s="6" t="s">
        <v>48</v>
      </c>
      <c r="N509" s="18">
        <v>12400</v>
      </c>
      <c r="O509" s="11">
        <v>1</v>
      </c>
      <c r="P509" s="12"/>
      <c r="Q509" s="12"/>
    </row>
    <row r="510" spans="1:17" ht="20.100000000000001" customHeight="1">
      <c r="A510" s="4">
        <v>507</v>
      </c>
      <c r="B510" s="7" t="s">
        <v>512</v>
      </c>
      <c r="C510" s="6" t="s">
        <v>25</v>
      </c>
      <c r="D510" s="7" t="s">
        <v>103</v>
      </c>
      <c r="E510" s="7"/>
      <c r="F510" s="7"/>
      <c r="G510" s="7"/>
      <c r="H510" s="7"/>
      <c r="I510" s="7"/>
      <c r="J510" s="8">
        <v>1</v>
      </c>
      <c r="K510" s="14"/>
      <c r="L510" s="8" t="s">
        <v>513</v>
      </c>
      <c r="M510" s="56" t="s">
        <v>514</v>
      </c>
      <c r="N510" s="10">
        <v>75</v>
      </c>
      <c r="O510" s="11">
        <v>1</v>
      </c>
      <c r="P510" s="12"/>
      <c r="Q510" s="12"/>
    </row>
    <row r="511" spans="1:17" ht="20.100000000000001" customHeight="1">
      <c r="A511" s="4">
        <v>508</v>
      </c>
      <c r="B511" s="7" t="s">
        <v>512</v>
      </c>
      <c r="C511" s="6" t="s">
        <v>25</v>
      </c>
      <c r="D511" s="13" t="s">
        <v>29</v>
      </c>
      <c r="E511" s="13"/>
      <c r="F511" s="13"/>
      <c r="G511" s="13"/>
      <c r="H511" s="13"/>
      <c r="I511" s="13"/>
      <c r="J511" s="7"/>
      <c r="K511" s="8">
        <v>1</v>
      </c>
      <c r="L511" s="8" t="s">
        <v>515</v>
      </c>
      <c r="M511" s="6" t="s">
        <v>516</v>
      </c>
      <c r="N511" s="10">
        <v>-0.3</v>
      </c>
      <c r="O511" s="11">
        <v>1</v>
      </c>
      <c r="P511" s="12"/>
      <c r="Q511" s="12"/>
    </row>
    <row r="512" spans="1:17" ht="20.100000000000001" customHeight="1">
      <c r="A512" s="4">
        <v>509</v>
      </c>
      <c r="B512" s="7" t="s">
        <v>512</v>
      </c>
      <c r="C512" s="6" t="s">
        <v>25</v>
      </c>
      <c r="D512" s="13" t="s">
        <v>29</v>
      </c>
      <c r="E512" s="13"/>
      <c r="F512" s="13"/>
      <c r="G512" s="13"/>
      <c r="H512" s="13"/>
      <c r="I512" s="13"/>
      <c r="J512" s="7"/>
      <c r="K512" s="9">
        <v>1</v>
      </c>
      <c r="L512" s="21" t="s">
        <v>515</v>
      </c>
      <c r="M512" s="6" t="s">
        <v>517</v>
      </c>
      <c r="N512" s="16">
        <v>9128</v>
      </c>
      <c r="O512" s="11">
        <v>1</v>
      </c>
      <c r="P512" s="12"/>
      <c r="Q512" s="12"/>
    </row>
    <row r="513" spans="1:17" ht="20.100000000000001" customHeight="1">
      <c r="A513" s="4">
        <v>510</v>
      </c>
      <c r="B513" s="7" t="s">
        <v>512</v>
      </c>
      <c r="C513" s="6" t="s">
        <v>25</v>
      </c>
      <c r="D513" s="13" t="s">
        <v>68</v>
      </c>
      <c r="E513" s="13"/>
      <c r="F513" s="13"/>
      <c r="G513" s="13"/>
      <c r="H513" s="13"/>
      <c r="I513" s="13"/>
      <c r="J513" s="7"/>
      <c r="K513" s="9">
        <v>1</v>
      </c>
      <c r="L513" s="21" t="s">
        <v>100</v>
      </c>
      <c r="M513" s="6" t="s">
        <v>518</v>
      </c>
      <c r="N513" s="15">
        <v>328523</v>
      </c>
      <c r="O513" s="11">
        <v>1</v>
      </c>
      <c r="P513" s="12"/>
      <c r="Q513" s="12"/>
    </row>
    <row r="514" spans="1:17" ht="20.100000000000001" customHeight="1">
      <c r="A514" s="4">
        <v>511</v>
      </c>
      <c r="B514" s="7" t="s">
        <v>512</v>
      </c>
      <c r="C514" s="6" t="s">
        <v>25</v>
      </c>
      <c r="D514" s="13" t="s">
        <v>33</v>
      </c>
      <c r="E514" s="13"/>
      <c r="F514" s="13"/>
      <c r="G514" s="13"/>
      <c r="H514" s="13"/>
      <c r="I514" s="8">
        <v>1860</v>
      </c>
      <c r="J514" s="7"/>
      <c r="K514" s="17"/>
      <c r="L514" s="8" t="s">
        <v>100</v>
      </c>
      <c r="M514" s="6" t="s">
        <v>35</v>
      </c>
      <c r="N514" s="18"/>
      <c r="O514" s="11">
        <v>1860</v>
      </c>
      <c r="P514" s="12"/>
      <c r="Q514" s="12"/>
    </row>
    <row r="515" spans="1:17" ht="20.100000000000001" customHeight="1">
      <c r="A515" s="4">
        <v>512</v>
      </c>
      <c r="B515" s="7" t="s">
        <v>512</v>
      </c>
      <c r="C515" s="6" t="s">
        <v>25</v>
      </c>
      <c r="D515" s="13" t="s">
        <v>195</v>
      </c>
      <c r="E515" s="13"/>
      <c r="F515" s="13"/>
      <c r="G515" s="13"/>
      <c r="H515" s="13"/>
      <c r="I515" s="13"/>
      <c r="J515" s="7"/>
      <c r="K515" s="8">
        <v>2</v>
      </c>
      <c r="L515" s="8" t="s">
        <v>519</v>
      </c>
      <c r="M515" s="6" t="s">
        <v>196</v>
      </c>
      <c r="N515" s="10"/>
      <c r="O515" s="11">
        <v>2</v>
      </c>
      <c r="P515" s="12"/>
      <c r="Q515" s="12"/>
    </row>
    <row r="516" spans="1:17" ht="20.100000000000001" customHeight="1">
      <c r="A516" s="4">
        <v>513</v>
      </c>
      <c r="B516" s="7" t="s">
        <v>512</v>
      </c>
      <c r="C516" s="6" t="s">
        <v>25</v>
      </c>
      <c r="D516" s="13" t="s">
        <v>365</v>
      </c>
      <c r="E516" s="13"/>
      <c r="F516" s="13"/>
      <c r="G516" s="13"/>
      <c r="H516" s="13"/>
      <c r="I516" s="13"/>
      <c r="J516" s="7"/>
      <c r="K516" s="8">
        <v>1</v>
      </c>
      <c r="L516" s="8" t="s">
        <v>519</v>
      </c>
      <c r="M516" s="6" t="s">
        <v>520</v>
      </c>
      <c r="N516" s="10"/>
      <c r="O516" s="11">
        <v>1</v>
      </c>
      <c r="P516" s="12"/>
      <c r="Q516" s="12"/>
    </row>
    <row r="517" spans="1:17" ht="20.100000000000001" customHeight="1">
      <c r="A517" s="4">
        <v>514</v>
      </c>
      <c r="B517" s="7" t="s">
        <v>512</v>
      </c>
      <c r="C517" s="6" t="s">
        <v>25</v>
      </c>
      <c r="D517" s="13" t="s">
        <v>36</v>
      </c>
      <c r="E517" s="13"/>
      <c r="F517" s="8">
        <v>69</v>
      </c>
      <c r="G517" s="13"/>
      <c r="H517" s="13"/>
      <c r="I517" s="13"/>
      <c r="J517" s="7"/>
      <c r="K517" s="14"/>
      <c r="L517" s="8" t="s">
        <v>521</v>
      </c>
      <c r="M517" s="6" t="s">
        <v>522</v>
      </c>
      <c r="N517" s="10">
        <v>121</v>
      </c>
      <c r="O517" s="11">
        <v>69</v>
      </c>
      <c r="P517" s="12"/>
      <c r="Q517" s="12"/>
    </row>
    <row r="518" spans="1:17" ht="20.100000000000001" customHeight="1">
      <c r="A518" s="4">
        <v>515</v>
      </c>
      <c r="B518" s="7" t="s">
        <v>512</v>
      </c>
      <c r="C518" s="6" t="s">
        <v>25</v>
      </c>
      <c r="D518" s="13" t="s">
        <v>38</v>
      </c>
      <c r="E518" s="13"/>
      <c r="F518" s="13"/>
      <c r="G518" s="13"/>
      <c r="H518" s="13"/>
      <c r="I518" s="13"/>
      <c r="J518" s="7"/>
      <c r="K518" s="8">
        <v>1</v>
      </c>
      <c r="L518" s="22" t="s">
        <v>523</v>
      </c>
      <c r="M518" s="6" t="s">
        <v>524</v>
      </c>
      <c r="N518" s="10">
        <v>800</v>
      </c>
      <c r="O518" s="11">
        <v>1</v>
      </c>
      <c r="P518" s="12"/>
      <c r="Q518" s="12"/>
    </row>
    <row r="519" spans="1:17" ht="20.100000000000001" customHeight="1">
      <c r="A519" s="4">
        <v>516</v>
      </c>
      <c r="B519" s="7" t="s">
        <v>512</v>
      </c>
      <c r="C519" s="6" t="s">
        <v>25</v>
      </c>
      <c r="D519" s="13" t="s">
        <v>38</v>
      </c>
      <c r="E519" s="13"/>
      <c r="F519" s="13"/>
      <c r="G519" s="13"/>
      <c r="H519" s="13"/>
      <c r="I519" s="13"/>
      <c r="J519" s="7"/>
      <c r="K519" s="8">
        <v>1</v>
      </c>
      <c r="L519" s="57" t="s">
        <v>525</v>
      </c>
      <c r="M519" s="6" t="s">
        <v>526</v>
      </c>
      <c r="N519" s="10">
        <v>30000</v>
      </c>
      <c r="O519" s="11">
        <v>1</v>
      </c>
      <c r="P519" s="12"/>
      <c r="Q519" s="12"/>
    </row>
    <row r="520" spans="1:17" ht="20.100000000000001" customHeight="1">
      <c r="A520" s="4">
        <v>517</v>
      </c>
      <c r="B520" s="7" t="s">
        <v>512</v>
      </c>
      <c r="C520" s="6" t="s">
        <v>25</v>
      </c>
      <c r="D520" s="13" t="s">
        <v>38</v>
      </c>
      <c r="E520" s="13"/>
      <c r="F520" s="13"/>
      <c r="G520" s="13"/>
      <c r="H520" s="13"/>
      <c r="I520" s="13"/>
      <c r="J520" s="7"/>
      <c r="K520" s="8">
        <v>1</v>
      </c>
      <c r="L520" s="57" t="s">
        <v>525</v>
      </c>
      <c r="M520" s="6" t="s">
        <v>527</v>
      </c>
      <c r="N520" s="10">
        <v>700</v>
      </c>
      <c r="O520" s="11">
        <v>1</v>
      </c>
      <c r="P520" s="12"/>
      <c r="Q520" s="12"/>
    </row>
    <row r="521" spans="1:17" ht="20.100000000000001" customHeight="1">
      <c r="A521" s="4">
        <v>518</v>
      </c>
      <c r="B521" s="7" t="s">
        <v>512</v>
      </c>
      <c r="C521" s="6" t="s">
        <v>25</v>
      </c>
      <c r="D521" s="13" t="s">
        <v>38</v>
      </c>
      <c r="E521" s="13"/>
      <c r="F521" s="13"/>
      <c r="G521" s="13"/>
      <c r="H521" s="13"/>
      <c r="I521" s="13"/>
      <c r="J521" s="7"/>
      <c r="K521" s="8">
        <v>1</v>
      </c>
      <c r="L521" s="57" t="s">
        <v>528</v>
      </c>
      <c r="M521" s="6" t="s">
        <v>529</v>
      </c>
      <c r="N521" s="10">
        <v>1000</v>
      </c>
      <c r="O521" s="11">
        <v>1</v>
      </c>
      <c r="P521" s="12"/>
      <c r="Q521" s="12"/>
    </row>
    <row r="522" spans="1:17" ht="20.100000000000001" customHeight="1">
      <c r="A522" s="4">
        <v>519</v>
      </c>
      <c r="B522" s="7" t="s">
        <v>512</v>
      </c>
      <c r="C522" s="6" t="s">
        <v>25</v>
      </c>
      <c r="D522" s="13" t="s">
        <v>38</v>
      </c>
      <c r="E522" s="13"/>
      <c r="F522" s="13"/>
      <c r="G522" s="13"/>
      <c r="H522" s="13"/>
      <c r="I522" s="13"/>
      <c r="J522" s="7"/>
      <c r="K522" s="8">
        <v>1</v>
      </c>
      <c r="L522" s="8" t="s">
        <v>530</v>
      </c>
      <c r="M522" s="6" t="s">
        <v>531</v>
      </c>
      <c r="N522" s="10">
        <v>2998.8</v>
      </c>
      <c r="O522" s="11">
        <v>1</v>
      </c>
      <c r="P522" s="12"/>
      <c r="Q522" s="12"/>
    </row>
    <row r="523" spans="1:17" ht="20.100000000000001" customHeight="1">
      <c r="A523" s="4">
        <v>520</v>
      </c>
      <c r="B523" s="7" t="s">
        <v>512</v>
      </c>
      <c r="C523" s="6" t="s">
        <v>25</v>
      </c>
      <c r="D523" s="13" t="s">
        <v>38</v>
      </c>
      <c r="E523" s="13"/>
      <c r="F523" s="13"/>
      <c r="G523" s="13"/>
      <c r="H523" s="13"/>
      <c r="I523" s="13"/>
      <c r="J523" s="7"/>
      <c r="K523" s="8">
        <v>1</v>
      </c>
      <c r="L523" s="58" t="s">
        <v>532</v>
      </c>
      <c r="M523" s="6" t="s">
        <v>529</v>
      </c>
      <c r="N523" s="10">
        <v>1000</v>
      </c>
      <c r="O523" s="11">
        <v>1</v>
      </c>
      <c r="P523" s="12"/>
      <c r="Q523" s="12"/>
    </row>
    <row r="524" spans="1:17" ht="20.100000000000001" customHeight="1">
      <c r="A524" s="4">
        <v>521</v>
      </c>
      <c r="B524" s="7" t="s">
        <v>512</v>
      </c>
      <c r="C524" s="6" t="s">
        <v>25</v>
      </c>
      <c r="D524" s="13" t="s">
        <v>38</v>
      </c>
      <c r="E524" s="13"/>
      <c r="F524" s="13"/>
      <c r="G524" s="13"/>
      <c r="H524" s="13"/>
      <c r="I524" s="13"/>
      <c r="J524" s="7"/>
      <c r="K524" s="8">
        <v>1</v>
      </c>
      <c r="L524" s="58" t="s">
        <v>533</v>
      </c>
      <c r="M524" s="6" t="s">
        <v>534</v>
      </c>
      <c r="N524" s="10">
        <v>30000</v>
      </c>
      <c r="O524" s="11">
        <v>1</v>
      </c>
      <c r="P524" s="12">
        <v>1</v>
      </c>
      <c r="Q524" s="12"/>
    </row>
    <row r="525" spans="1:17" ht="20.100000000000001" customHeight="1">
      <c r="A525" s="4">
        <v>522</v>
      </c>
      <c r="B525" s="7" t="s">
        <v>535</v>
      </c>
      <c r="C525" s="6" t="s">
        <v>25</v>
      </c>
      <c r="D525" s="26" t="s">
        <v>29</v>
      </c>
      <c r="E525" s="26"/>
      <c r="F525" s="26"/>
      <c r="G525" s="8">
        <v>1</v>
      </c>
      <c r="H525" s="26"/>
      <c r="I525" s="26"/>
      <c r="J525" s="26"/>
      <c r="K525" s="14"/>
      <c r="L525" s="22" t="s">
        <v>536</v>
      </c>
      <c r="M525" s="27" t="s">
        <v>32</v>
      </c>
      <c r="N525" s="10">
        <v>0.1</v>
      </c>
      <c r="O525" s="11">
        <v>1</v>
      </c>
      <c r="P525" s="12"/>
      <c r="Q525" s="12"/>
    </row>
    <row r="526" spans="1:17" ht="20.100000000000001" customHeight="1">
      <c r="A526" s="4">
        <v>523</v>
      </c>
      <c r="B526" s="7" t="s">
        <v>535</v>
      </c>
      <c r="C526" s="6" t="s">
        <v>25</v>
      </c>
      <c r="D526" s="26" t="s">
        <v>29</v>
      </c>
      <c r="E526" s="26"/>
      <c r="F526" s="26"/>
      <c r="G526" s="8">
        <v>1</v>
      </c>
      <c r="H526" s="26"/>
      <c r="I526" s="26"/>
      <c r="J526" s="26"/>
      <c r="K526" s="14"/>
      <c r="L526" s="22" t="s">
        <v>536</v>
      </c>
      <c r="M526" s="27" t="s">
        <v>537</v>
      </c>
      <c r="N526" s="10">
        <v>-1047817.1</v>
      </c>
      <c r="O526" s="11">
        <v>1</v>
      </c>
      <c r="P526" s="12"/>
      <c r="Q526" s="12"/>
    </row>
    <row r="527" spans="1:17" ht="20.100000000000001" customHeight="1">
      <c r="A527" s="4">
        <v>524</v>
      </c>
      <c r="B527" s="7" t="s">
        <v>535</v>
      </c>
      <c r="C527" s="6" t="s">
        <v>25</v>
      </c>
      <c r="D527" s="26" t="s">
        <v>29</v>
      </c>
      <c r="E527" s="26"/>
      <c r="F527" s="26"/>
      <c r="G527" s="8">
        <v>1</v>
      </c>
      <c r="H527" s="26"/>
      <c r="I527" s="26"/>
      <c r="J527" s="26"/>
      <c r="K527" s="14"/>
      <c r="L527" s="22" t="s">
        <v>536</v>
      </c>
      <c r="M527" s="27" t="s">
        <v>50</v>
      </c>
      <c r="N527" s="10">
        <v>-309.27999999999997</v>
      </c>
      <c r="O527" s="11">
        <v>1</v>
      </c>
      <c r="P527" s="12"/>
      <c r="Q527" s="12"/>
    </row>
    <row r="528" spans="1:17" ht="20.100000000000001" customHeight="1">
      <c r="A528" s="4">
        <v>525</v>
      </c>
      <c r="B528" s="7" t="s">
        <v>535</v>
      </c>
      <c r="C528" s="6" t="s">
        <v>25</v>
      </c>
      <c r="D528" s="26" t="s">
        <v>33</v>
      </c>
      <c r="E528" s="26"/>
      <c r="F528" s="26"/>
      <c r="G528" s="26"/>
      <c r="H528" s="26"/>
      <c r="I528" s="8">
        <v>1546</v>
      </c>
      <c r="J528" s="26"/>
      <c r="K528" s="17"/>
      <c r="L528" s="22" t="s">
        <v>536</v>
      </c>
      <c r="M528" s="27" t="s">
        <v>538</v>
      </c>
      <c r="N528" s="10">
        <v>1546</v>
      </c>
      <c r="O528" s="54">
        <v>1546</v>
      </c>
      <c r="P528" s="12"/>
      <c r="Q528" s="12"/>
    </row>
    <row r="529" spans="1:17" ht="20.100000000000001" customHeight="1">
      <c r="A529" s="4">
        <v>526</v>
      </c>
      <c r="B529" s="7" t="s">
        <v>535</v>
      </c>
      <c r="C529" s="6" t="s">
        <v>25</v>
      </c>
      <c r="D529" s="13" t="s">
        <v>36</v>
      </c>
      <c r="E529" s="13"/>
      <c r="F529" s="8">
        <v>986</v>
      </c>
      <c r="G529" s="13"/>
      <c r="H529" s="13"/>
      <c r="I529" s="13"/>
      <c r="J529" s="7"/>
      <c r="K529" s="14"/>
      <c r="L529" s="22"/>
      <c r="M529" s="27" t="s">
        <v>539</v>
      </c>
      <c r="N529" s="10">
        <v>986</v>
      </c>
      <c r="O529" s="11">
        <v>986</v>
      </c>
      <c r="P529" s="12"/>
      <c r="Q529" s="12"/>
    </row>
    <row r="530" spans="1:17" ht="20.100000000000001" customHeight="1">
      <c r="A530" s="4">
        <v>527</v>
      </c>
      <c r="B530" s="7" t="s">
        <v>535</v>
      </c>
      <c r="C530" s="6" t="s">
        <v>25</v>
      </c>
      <c r="D530" s="26" t="s">
        <v>540</v>
      </c>
      <c r="E530" s="26"/>
      <c r="F530" s="26"/>
      <c r="G530" s="26"/>
      <c r="H530" s="26"/>
      <c r="I530" s="26"/>
      <c r="J530" s="26"/>
      <c r="K530" s="8">
        <v>1</v>
      </c>
      <c r="L530" s="22" t="s">
        <v>541</v>
      </c>
      <c r="M530" s="27" t="s">
        <v>542</v>
      </c>
      <c r="N530" s="10">
        <v>600000</v>
      </c>
      <c r="O530" s="11">
        <v>1</v>
      </c>
      <c r="P530" s="12">
        <v>1</v>
      </c>
      <c r="Q530" s="12"/>
    </row>
    <row r="531" spans="1:17" ht="20.100000000000001" customHeight="1">
      <c r="A531" s="4">
        <v>528</v>
      </c>
      <c r="B531" s="7" t="s">
        <v>535</v>
      </c>
      <c r="C531" s="6" t="s">
        <v>25</v>
      </c>
      <c r="D531" s="26" t="s">
        <v>540</v>
      </c>
      <c r="E531" s="26"/>
      <c r="F531" s="26"/>
      <c r="G531" s="26"/>
      <c r="H531" s="26"/>
      <c r="I531" s="26"/>
      <c r="J531" s="26"/>
      <c r="K531" s="8">
        <v>1</v>
      </c>
      <c r="L531" s="22">
        <v>45669</v>
      </c>
      <c r="M531" s="27" t="s">
        <v>542</v>
      </c>
      <c r="N531" s="10">
        <v>1000000</v>
      </c>
      <c r="O531" s="11">
        <v>1</v>
      </c>
      <c r="P531" s="12">
        <v>1</v>
      </c>
      <c r="Q531" s="12"/>
    </row>
    <row r="532" spans="1:17" ht="20.100000000000001" customHeight="1">
      <c r="A532" s="4">
        <v>529</v>
      </c>
      <c r="B532" s="7" t="s">
        <v>535</v>
      </c>
      <c r="C532" s="6" t="s">
        <v>25</v>
      </c>
      <c r="D532" s="26" t="s">
        <v>540</v>
      </c>
      <c r="E532" s="26"/>
      <c r="F532" s="26"/>
      <c r="G532" s="26"/>
      <c r="H532" s="26"/>
      <c r="I532" s="26"/>
      <c r="J532" s="26"/>
      <c r="K532" s="8">
        <v>1</v>
      </c>
      <c r="L532" s="22" t="s">
        <v>543</v>
      </c>
      <c r="M532" s="27" t="s">
        <v>542</v>
      </c>
      <c r="N532" s="10">
        <v>47000</v>
      </c>
      <c r="O532" s="11">
        <v>1</v>
      </c>
      <c r="P532" s="12">
        <v>1</v>
      </c>
      <c r="Q532" s="12"/>
    </row>
    <row r="533" spans="1:17" ht="20.100000000000001" customHeight="1">
      <c r="A533" s="4">
        <v>530</v>
      </c>
      <c r="B533" s="7" t="s">
        <v>535</v>
      </c>
      <c r="C533" s="6" t="s">
        <v>25</v>
      </c>
      <c r="D533" s="26" t="s">
        <v>540</v>
      </c>
      <c r="E533" s="26"/>
      <c r="F533" s="26"/>
      <c r="G533" s="26"/>
      <c r="H533" s="26"/>
      <c r="I533" s="26"/>
      <c r="J533" s="26"/>
      <c r="K533" s="8">
        <v>1</v>
      </c>
      <c r="L533" s="22">
        <v>46148</v>
      </c>
      <c r="M533" s="27" t="s">
        <v>544</v>
      </c>
      <c r="N533" s="10">
        <v>14000000</v>
      </c>
      <c r="O533" s="11">
        <v>1</v>
      </c>
      <c r="P533" s="12">
        <v>1</v>
      </c>
      <c r="Q533" s="12"/>
    </row>
    <row r="534" spans="1:17" ht="20.100000000000001" customHeight="1">
      <c r="A534" s="4">
        <v>531</v>
      </c>
      <c r="B534" s="7" t="s">
        <v>535</v>
      </c>
      <c r="C534" s="6" t="s">
        <v>25</v>
      </c>
      <c r="D534" s="26" t="s">
        <v>540</v>
      </c>
      <c r="E534" s="26"/>
      <c r="F534" s="26"/>
      <c r="G534" s="26"/>
      <c r="H534" s="26"/>
      <c r="I534" s="26"/>
      <c r="J534" s="26"/>
      <c r="K534" s="8">
        <v>1</v>
      </c>
      <c r="L534" s="22">
        <v>46271</v>
      </c>
      <c r="M534" s="27" t="s">
        <v>544</v>
      </c>
      <c r="N534" s="10">
        <v>10000000</v>
      </c>
      <c r="O534" s="11">
        <v>1</v>
      </c>
      <c r="P534" s="12">
        <v>1</v>
      </c>
      <c r="Q534" s="12"/>
    </row>
    <row r="535" spans="1:17" ht="20.100000000000001" customHeight="1">
      <c r="A535" s="4">
        <v>532</v>
      </c>
      <c r="B535" s="7" t="s">
        <v>535</v>
      </c>
      <c r="C535" s="6" t="s">
        <v>25</v>
      </c>
      <c r="D535" s="26" t="s">
        <v>540</v>
      </c>
      <c r="E535" s="26"/>
      <c r="F535" s="26"/>
      <c r="G535" s="26"/>
      <c r="H535" s="26"/>
      <c r="I535" s="26"/>
      <c r="J535" s="26"/>
      <c r="K535" s="8">
        <v>1</v>
      </c>
      <c r="L535" s="22">
        <v>46240</v>
      </c>
      <c r="M535" s="27" t="s">
        <v>544</v>
      </c>
      <c r="N535" s="10">
        <v>103000</v>
      </c>
      <c r="O535" s="11">
        <v>1</v>
      </c>
      <c r="P535" s="12">
        <v>1</v>
      </c>
      <c r="Q535" s="12"/>
    </row>
    <row r="536" spans="1:17" ht="20.100000000000001" customHeight="1">
      <c r="A536" s="4">
        <v>533</v>
      </c>
      <c r="B536" s="7" t="s">
        <v>545</v>
      </c>
      <c r="C536" s="6" t="s">
        <v>25</v>
      </c>
      <c r="D536" s="6" t="s">
        <v>26</v>
      </c>
      <c r="E536" s="6"/>
      <c r="F536" s="6"/>
      <c r="G536" s="6"/>
      <c r="H536" s="6"/>
      <c r="I536" s="6"/>
      <c r="J536" s="6"/>
      <c r="K536" s="8">
        <v>1</v>
      </c>
      <c r="L536" s="22">
        <v>44470</v>
      </c>
      <c r="M536" s="6" t="s">
        <v>546</v>
      </c>
      <c r="N536" s="10">
        <v>45600</v>
      </c>
      <c r="O536" s="11">
        <v>1</v>
      </c>
      <c r="P536" s="12"/>
      <c r="Q536" s="12"/>
    </row>
    <row r="537" spans="1:17" ht="20.100000000000001" customHeight="1">
      <c r="A537" s="4">
        <v>534</v>
      </c>
      <c r="B537" s="7" t="s">
        <v>545</v>
      </c>
      <c r="C537" s="6" t="s">
        <v>25</v>
      </c>
      <c r="D537" s="6" t="s">
        <v>26</v>
      </c>
      <c r="E537" s="6"/>
      <c r="F537" s="6"/>
      <c r="G537" s="6"/>
      <c r="H537" s="6"/>
      <c r="I537" s="6"/>
      <c r="J537" s="6"/>
      <c r="K537" s="8">
        <v>1</v>
      </c>
      <c r="L537" s="22">
        <v>44531</v>
      </c>
      <c r="M537" s="6" t="s">
        <v>547</v>
      </c>
      <c r="N537" s="10">
        <v>13452.79</v>
      </c>
      <c r="O537" s="11">
        <v>1</v>
      </c>
      <c r="P537" s="12"/>
      <c r="Q537" s="12"/>
    </row>
    <row r="538" spans="1:17" ht="20.100000000000001" customHeight="1">
      <c r="A538" s="4">
        <v>535</v>
      </c>
      <c r="B538" s="7" t="s">
        <v>545</v>
      </c>
      <c r="C538" s="6" t="s">
        <v>25</v>
      </c>
      <c r="D538" s="6" t="s">
        <v>29</v>
      </c>
      <c r="E538" s="6"/>
      <c r="F538" s="6"/>
      <c r="G538" s="6"/>
      <c r="H538" s="6"/>
      <c r="I538" s="6"/>
      <c r="J538" s="6"/>
      <c r="K538" s="8">
        <v>1</v>
      </c>
      <c r="L538" s="22"/>
      <c r="M538" s="6" t="s">
        <v>548</v>
      </c>
      <c r="N538" s="10">
        <v>2880</v>
      </c>
      <c r="O538" s="11">
        <v>1</v>
      </c>
      <c r="P538" s="12"/>
      <c r="Q538" s="12"/>
    </row>
    <row r="539" spans="1:17" ht="20.100000000000001" customHeight="1">
      <c r="A539" s="4">
        <v>536</v>
      </c>
      <c r="B539" s="7" t="s">
        <v>545</v>
      </c>
      <c r="C539" s="6" t="s">
        <v>25</v>
      </c>
      <c r="D539" s="6" t="s">
        <v>29</v>
      </c>
      <c r="E539" s="6"/>
      <c r="F539" s="6"/>
      <c r="G539" s="6"/>
      <c r="H539" s="6"/>
      <c r="I539" s="6"/>
      <c r="J539" s="6"/>
      <c r="K539" s="8">
        <v>1</v>
      </c>
      <c r="L539" s="22">
        <v>44749</v>
      </c>
      <c r="M539" s="6" t="s">
        <v>549</v>
      </c>
      <c r="N539" s="10">
        <v>50583.4</v>
      </c>
      <c r="O539" s="11">
        <v>1</v>
      </c>
      <c r="P539" s="12"/>
      <c r="Q539" s="12"/>
    </row>
    <row r="540" spans="1:17" ht="20.100000000000001" customHeight="1">
      <c r="A540" s="4">
        <v>537</v>
      </c>
      <c r="B540" s="7" t="s">
        <v>545</v>
      </c>
      <c r="C540" s="6" t="s">
        <v>25</v>
      </c>
      <c r="D540" s="6" t="s">
        <v>29</v>
      </c>
      <c r="E540" s="6"/>
      <c r="F540" s="6"/>
      <c r="G540" s="6"/>
      <c r="H540" s="6"/>
      <c r="I540" s="6"/>
      <c r="J540" s="6"/>
      <c r="K540" s="8">
        <v>1</v>
      </c>
      <c r="L540" s="25" t="s">
        <v>550</v>
      </c>
      <c r="M540" s="6" t="s">
        <v>551</v>
      </c>
      <c r="N540" s="55">
        <v>2000000</v>
      </c>
      <c r="O540" s="11">
        <v>1</v>
      </c>
      <c r="P540" s="12"/>
      <c r="Q540" s="12"/>
    </row>
    <row r="541" spans="1:17" ht="20.100000000000001" customHeight="1">
      <c r="A541" s="4">
        <v>538</v>
      </c>
      <c r="B541" s="7" t="s">
        <v>545</v>
      </c>
      <c r="C541" s="6" t="s">
        <v>25</v>
      </c>
      <c r="D541" s="6" t="s">
        <v>29</v>
      </c>
      <c r="E541" s="6"/>
      <c r="F541" s="6"/>
      <c r="G541" s="6"/>
      <c r="H541" s="6"/>
      <c r="I541" s="6"/>
      <c r="J541" s="6"/>
      <c r="K541" s="8">
        <v>1</v>
      </c>
      <c r="L541" s="25" t="s">
        <v>550</v>
      </c>
      <c r="M541" s="6" t="s">
        <v>552</v>
      </c>
      <c r="N541" s="55">
        <v>2000000</v>
      </c>
      <c r="O541" s="11">
        <v>1</v>
      </c>
      <c r="P541" s="12"/>
      <c r="Q541" s="12"/>
    </row>
    <row r="542" spans="1:17" ht="20.100000000000001" customHeight="1">
      <c r="A542" s="4">
        <v>539</v>
      </c>
      <c r="B542" s="7" t="s">
        <v>545</v>
      </c>
      <c r="C542" s="6" t="s">
        <v>25</v>
      </c>
      <c r="D542" s="6" t="s">
        <v>29</v>
      </c>
      <c r="E542" s="6"/>
      <c r="F542" s="6"/>
      <c r="G542" s="6"/>
      <c r="H542" s="6"/>
      <c r="I542" s="6"/>
      <c r="J542" s="6"/>
      <c r="K542" s="8">
        <v>1</v>
      </c>
      <c r="L542" s="25" t="s">
        <v>550</v>
      </c>
      <c r="M542" s="6" t="s">
        <v>553</v>
      </c>
      <c r="N542" s="55">
        <v>2093683.04</v>
      </c>
      <c r="O542" s="11">
        <v>1</v>
      </c>
      <c r="P542" s="12"/>
      <c r="Q542" s="12"/>
    </row>
    <row r="543" spans="1:17" ht="20.100000000000001" customHeight="1">
      <c r="A543" s="4">
        <v>540</v>
      </c>
      <c r="B543" s="7" t="s">
        <v>545</v>
      </c>
      <c r="C543" s="6" t="s">
        <v>25</v>
      </c>
      <c r="D543" s="6" t="s">
        <v>29</v>
      </c>
      <c r="E543" s="6"/>
      <c r="F543" s="6"/>
      <c r="G543" s="8">
        <v>1</v>
      </c>
      <c r="H543" s="6"/>
      <c r="I543" s="6"/>
      <c r="J543" s="6"/>
      <c r="K543" s="14"/>
      <c r="L543" s="22">
        <v>44206</v>
      </c>
      <c r="M543" s="6" t="s">
        <v>32</v>
      </c>
      <c r="N543" s="59">
        <v>-217712.72</v>
      </c>
      <c r="O543" s="11">
        <v>1</v>
      </c>
      <c r="P543" s="12"/>
      <c r="Q543" s="12"/>
    </row>
    <row r="544" spans="1:17" ht="20.100000000000001" customHeight="1">
      <c r="A544" s="4">
        <v>541</v>
      </c>
      <c r="B544" s="7" t="s">
        <v>545</v>
      </c>
      <c r="C544" s="6" t="s">
        <v>25</v>
      </c>
      <c r="D544" s="6" t="s">
        <v>29</v>
      </c>
      <c r="E544" s="6"/>
      <c r="F544" s="6"/>
      <c r="G544" s="6"/>
      <c r="H544" s="6"/>
      <c r="I544" s="6"/>
      <c r="J544" s="6"/>
      <c r="K544" s="8">
        <v>1</v>
      </c>
      <c r="L544" s="25"/>
      <c r="M544" s="6" t="s">
        <v>554</v>
      </c>
      <c r="N544" s="59">
        <v>-13349.77</v>
      </c>
      <c r="O544" s="11">
        <v>1</v>
      </c>
      <c r="P544" s="12"/>
      <c r="Q544" s="12"/>
    </row>
    <row r="545" spans="1:17" ht="20.100000000000001" customHeight="1">
      <c r="A545" s="4">
        <v>542</v>
      </c>
      <c r="B545" s="7" t="s">
        <v>545</v>
      </c>
      <c r="C545" s="6" t="s">
        <v>25</v>
      </c>
      <c r="D545" s="6" t="s">
        <v>29</v>
      </c>
      <c r="E545" s="6"/>
      <c r="F545" s="6"/>
      <c r="G545" s="8">
        <v>1</v>
      </c>
      <c r="H545" s="6"/>
      <c r="I545" s="6"/>
      <c r="J545" s="6"/>
      <c r="K545" s="14"/>
      <c r="L545" s="25" t="s">
        <v>555</v>
      </c>
      <c r="M545" s="6" t="s">
        <v>50</v>
      </c>
      <c r="N545" s="55">
        <v>7823.51</v>
      </c>
      <c r="O545" s="11">
        <v>1</v>
      </c>
      <c r="P545" s="12"/>
      <c r="Q545" s="12"/>
    </row>
    <row r="546" spans="1:17" ht="20.100000000000001" customHeight="1">
      <c r="A546" s="4">
        <v>543</v>
      </c>
      <c r="B546" s="7" t="s">
        <v>545</v>
      </c>
      <c r="C546" s="6" t="s">
        <v>25</v>
      </c>
      <c r="D546" s="6" t="s">
        <v>33</v>
      </c>
      <c r="E546" s="6"/>
      <c r="F546" s="6"/>
      <c r="G546" s="6"/>
      <c r="H546" s="6"/>
      <c r="I546" s="8">
        <v>2986</v>
      </c>
      <c r="J546" s="6"/>
      <c r="K546" s="17"/>
      <c r="L546" s="25"/>
      <c r="M546" s="6" t="s">
        <v>35</v>
      </c>
      <c r="N546" s="10"/>
      <c r="O546" s="11">
        <v>2986</v>
      </c>
      <c r="P546" s="12"/>
      <c r="Q546" s="12"/>
    </row>
    <row r="547" spans="1:17" ht="20.100000000000001" customHeight="1">
      <c r="A547" s="4">
        <v>544</v>
      </c>
      <c r="B547" s="7" t="s">
        <v>545</v>
      </c>
      <c r="C547" s="6" t="s">
        <v>25</v>
      </c>
      <c r="D547" s="6" t="s">
        <v>195</v>
      </c>
      <c r="E547" s="6"/>
      <c r="F547" s="6"/>
      <c r="G547" s="6"/>
      <c r="H547" s="6"/>
      <c r="I547" s="6"/>
      <c r="J547" s="6"/>
      <c r="K547" s="8">
        <v>1</v>
      </c>
      <c r="L547" s="45">
        <v>46026</v>
      </c>
      <c r="M547" s="6" t="s">
        <v>196</v>
      </c>
      <c r="N547" s="16"/>
      <c r="O547" s="11">
        <v>1</v>
      </c>
      <c r="P547" s="12"/>
      <c r="Q547" s="12"/>
    </row>
    <row r="548" spans="1:17" ht="20.100000000000001" customHeight="1">
      <c r="A548" s="4">
        <v>545</v>
      </c>
      <c r="B548" s="7" t="s">
        <v>545</v>
      </c>
      <c r="C548" s="6" t="s">
        <v>25</v>
      </c>
      <c r="D548" s="6" t="s">
        <v>36</v>
      </c>
      <c r="E548" s="6"/>
      <c r="F548" s="8">
        <v>305</v>
      </c>
      <c r="G548" s="6"/>
      <c r="H548" s="6"/>
      <c r="I548" s="6"/>
      <c r="J548" s="6"/>
      <c r="K548" s="14"/>
      <c r="L548" s="45">
        <v>44897</v>
      </c>
      <c r="M548" s="6" t="s">
        <v>52</v>
      </c>
      <c r="N548" s="16" t="s">
        <v>556</v>
      </c>
      <c r="O548" s="11">
        <v>305</v>
      </c>
      <c r="P548" s="12"/>
      <c r="Q548" s="12"/>
    </row>
    <row r="549" spans="1:17" ht="20.100000000000001" customHeight="1">
      <c r="A549" s="4">
        <v>546</v>
      </c>
      <c r="B549" s="7" t="s">
        <v>545</v>
      </c>
      <c r="C549" s="6" t="s">
        <v>25</v>
      </c>
      <c r="D549" s="6" t="s">
        <v>557</v>
      </c>
      <c r="E549" s="6"/>
      <c r="F549" s="6"/>
      <c r="G549" s="6"/>
      <c r="H549" s="6"/>
      <c r="I549" s="6"/>
      <c r="J549" s="6"/>
      <c r="K549" s="8">
        <v>1</v>
      </c>
      <c r="L549" s="45">
        <v>46302</v>
      </c>
      <c r="M549" s="6" t="s">
        <v>558</v>
      </c>
      <c r="N549" s="16">
        <v>13000</v>
      </c>
      <c r="O549" s="11">
        <v>1</v>
      </c>
      <c r="P549" s="12">
        <v>1</v>
      </c>
      <c r="Q549" s="12"/>
    </row>
    <row r="550" spans="1:17" ht="20.100000000000001" customHeight="1">
      <c r="A550" s="4">
        <v>547</v>
      </c>
      <c r="B550" s="7" t="s">
        <v>545</v>
      </c>
      <c r="C550" s="6" t="s">
        <v>25</v>
      </c>
      <c r="D550" s="6" t="s">
        <v>557</v>
      </c>
      <c r="E550" s="6"/>
      <c r="F550" s="6"/>
      <c r="G550" s="6"/>
      <c r="H550" s="6"/>
      <c r="I550" s="6"/>
      <c r="J550" s="6"/>
      <c r="K550" s="8">
        <v>1</v>
      </c>
      <c r="L550" s="45">
        <v>46333</v>
      </c>
      <c r="M550" s="6" t="s">
        <v>559</v>
      </c>
      <c r="N550" s="16">
        <v>10000</v>
      </c>
      <c r="O550" s="11">
        <v>1</v>
      </c>
      <c r="P550" s="12">
        <v>1</v>
      </c>
      <c r="Q550" s="12"/>
    </row>
    <row r="551" spans="1:17" ht="20.100000000000001" customHeight="1">
      <c r="A551" s="4">
        <v>548</v>
      </c>
      <c r="B551" s="6" t="s">
        <v>560</v>
      </c>
      <c r="C551" s="6" t="s">
        <v>25</v>
      </c>
      <c r="D551" s="60" t="s">
        <v>26</v>
      </c>
      <c r="E551" s="60"/>
      <c r="F551" s="60"/>
      <c r="G551" s="60"/>
      <c r="H551" s="60"/>
      <c r="I551" s="60"/>
      <c r="J551" s="6"/>
      <c r="K551" s="8">
        <v>1</v>
      </c>
      <c r="L551" s="25"/>
      <c r="M551" s="6" t="s">
        <v>561</v>
      </c>
      <c r="N551" s="53">
        <v>39296.1</v>
      </c>
      <c r="O551" s="11">
        <v>1</v>
      </c>
      <c r="P551" s="12"/>
      <c r="Q551" s="12"/>
    </row>
    <row r="552" spans="1:17" ht="20.100000000000001" customHeight="1">
      <c r="A552" s="4">
        <v>549</v>
      </c>
      <c r="B552" s="6" t="s">
        <v>560</v>
      </c>
      <c r="C552" s="6" t="s">
        <v>25</v>
      </c>
      <c r="D552" s="60" t="s">
        <v>29</v>
      </c>
      <c r="E552" s="60"/>
      <c r="F552" s="60"/>
      <c r="G552" s="8">
        <v>1</v>
      </c>
      <c r="H552" s="60"/>
      <c r="I552" s="60"/>
      <c r="J552" s="6"/>
      <c r="K552" s="14"/>
      <c r="L552" s="25"/>
      <c r="M552" s="6" t="s">
        <v>119</v>
      </c>
      <c r="N552" s="16">
        <v>-2224398.2200000002</v>
      </c>
      <c r="O552" s="11">
        <v>1</v>
      </c>
      <c r="P552" s="12"/>
      <c r="Q552" s="12"/>
    </row>
    <row r="553" spans="1:17" ht="20.100000000000001" customHeight="1">
      <c r="A553" s="4">
        <v>550</v>
      </c>
      <c r="B553" s="6" t="s">
        <v>560</v>
      </c>
      <c r="C553" s="6" t="s">
        <v>25</v>
      </c>
      <c r="D553" s="60" t="s">
        <v>29</v>
      </c>
      <c r="E553" s="60"/>
      <c r="F553" s="60"/>
      <c r="G553" s="8">
        <v>1</v>
      </c>
      <c r="H553" s="60"/>
      <c r="I553" s="60"/>
      <c r="J553" s="6"/>
      <c r="K553" s="14"/>
      <c r="L553" s="25"/>
      <c r="M553" s="6" t="s">
        <v>49</v>
      </c>
      <c r="N553" s="16">
        <v>-30122535.670000002</v>
      </c>
      <c r="O553" s="11">
        <v>1</v>
      </c>
      <c r="P553" s="12"/>
      <c r="Q553" s="12"/>
    </row>
    <row r="554" spans="1:17" ht="20.100000000000001" customHeight="1">
      <c r="A554" s="4">
        <v>551</v>
      </c>
      <c r="B554" s="6" t="s">
        <v>560</v>
      </c>
      <c r="C554" s="6" t="s">
        <v>25</v>
      </c>
      <c r="D554" s="60" t="s">
        <v>29</v>
      </c>
      <c r="E554" s="60"/>
      <c r="F554" s="60"/>
      <c r="G554" s="8">
        <v>1</v>
      </c>
      <c r="H554" s="60"/>
      <c r="I554" s="60"/>
      <c r="J554" s="6"/>
      <c r="K554" s="14"/>
      <c r="L554" s="25"/>
      <c r="M554" s="6" t="s">
        <v>32</v>
      </c>
      <c r="N554" s="16">
        <v>0.23</v>
      </c>
      <c r="O554" s="11">
        <v>1</v>
      </c>
      <c r="P554" s="12"/>
      <c r="Q554" s="12"/>
    </row>
    <row r="555" spans="1:17" ht="20.100000000000001" customHeight="1">
      <c r="A555" s="4">
        <v>552</v>
      </c>
      <c r="B555" s="6" t="s">
        <v>560</v>
      </c>
      <c r="C555" s="6" t="s">
        <v>25</v>
      </c>
      <c r="D555" s="60" t="s">
        <v>29</v>
      </c>
      <c r="E555" s="60"/>
      <c r="F555" s="60"/>
      <c r="G555" s="8">
        <v>1</v>
      </c>
      <c r="H555" s="60"/>
      <c r="I555" s="60"/>
      <c r="J555" s="6"/>
      <c r="K555" s="14"/>
      <c r="L555" s="25"/>
      <c r="M555" s="6" t="s">
        <v>207</v>
      </c>
      <c r="N555" s="16">
        <v>-1959228.07</v>
      </c>
      <c r="O555" s="11">
        <v>1</v>
      </c>
      <c r="P555" s="12"/>
      <c r="Q555" s="12"/>
    </row>
    <row r="556" spans="1:17" ht="20.100000000000001" customHeight="1">
      <c r="A556" s="4">
        <v>553</v>
      </c>
      <c r="B556" s="6" t="s">
        <v>560</v>
      </c>
      <c r="C556" s="6" t="s">
        <v>25</v>
      </c>
      <c r="D556" s="60" t="s">
        <v>29</v>
      </c>
      <c r="E556" s="60"/>
      <c r="F556" s="60"/>
      <c r="G556" s="8">
        <v>1</v>
      </c>
      <c r="H556" s="60"/>
      <c r="I556" s="60"/>
      <c r="J556" s="6"/>
      <c r="K556" s="14"/>
      <c r="L556" s="25"/>
      <c r="M556" s="6" t="s">
        <v>50</v>
      </c>
      <c r="N556" s="16">
        <v>150</v>
      </c>
      <c r="O556" s="11">
        <v>1</v>
      </c>
      <c r="P556" s="12"/>
      <c r="Q556" s="12"/>
    </row>
    <row r="557" spans="1:17" ht="20.100000000000001" customHeight="1">
      <c r="A557" s="4">
        <v>554</v>
      </c>
      <c r="B557" s="6" t="s">
        <v>560</v>
      </c>
      <c r="C557" s="6" t="s">
        <v>25</v>
      </c>
      <c r="D557" s="60" t="s">
        <v>33</v>
      </c>
      <c r="E557" s="60"/>
      <c r="F557" s="60"/>
      <c r="G557" s="60"/>
      <c r="H557" s="60"/>
      <c r="I557" s="8">
        <v>646</v>
      </c>
      <c r="J557" s="6"/>
      <c r="K557" s="17"/>
      <c r="L557" s="25"/>
      <c r="M557" s="6" t="s">
        <v>35</v>
      </c>
      <c r="N557" s="16"/>
      <c r="O557" s="11">
        <v>646</v>
      </c>
      <c r="P557" s="12"/>
      <c r="Q557" s="12"/>
    </row>
    <row r="558" spans="1:17" ht="20.100000000000001" customHeight="1">
      <c r="A558" s="4">
        <v>555</v>
      </c>
      <c r="B558" s="6" t="s">
        <v>560</v>
      </c>
      <c r="C558" s="6" t="s">
        <v>25</v>
      </c>
      <c r="D558" s="60" t="s">
        <v>36</v>
      </c>
      <c r="E558" s="60"/>
      <c r="F558" s="8">
        <v>25</v>
      </c>
      <c r="G558" s="60"/>
      <c r="H558" s="60"/>
      <c r="I558" s="60"/>
      <c r="J558" s="6"/>
      <c r="K558" s="14"/>
      <c r="L558" s="25"/>
      <c r="M558" s="6" t="s">
        <v>562</v>
      </c>
      <c r="N558" s="60"/>
      <c r="O558" s="11">
        <v>25</v>
      </c>
      <c r="P558" s="12"/>
      <c r="Q558" s="12"/>
    </row>
    <row r="559" spans="1:17" ht="20.100000000000001" customHeight="1">
      <c r="A559" s="4">
        <v>556</v>
      </c>
      <c r="B559" s="6" t="s">
        <v>560</v>
      </c>
      <c r="C559" s="6" t="s">
        <v>25</v>
      </c>
      <c r="D559" s="60" t="s">
        <v>38</v>
      </c>
      <c r="E559" s="60"/>
      <c r="F559" s="60"/>
      <c r="G559" s="60"/>
      <c r="H559" s="60"/>
      <c r="I559" s="60"/>
      <c r="J559" s="6"/>
      <c r="K559" s="8">
        <v>1</v>
      </c>
      <c r="L559" s="25" t="s">
        <v>563</v>
      </c>
      <c r="M559" s="6" t="s">
        <v>564</v>
      </c>
      <c r="N559" s="38">
        <v>8875915.9499999993</v>
      </c>
      <c r="O559" s="11">
        <v>1</v>
      </c>
      <c r="P559" s="12"/>
      <c r="Q559" s="12"/>
    </row>
    <row r="560" spans="1:17" ht="20.100000000000001" customHeight="1">
      <c r="A560" s="4">
        <v>557</v>
      </c>
      <c r="B560" s="6" t="s">
        <v>560</v>
      </c>
      <c r="C560" s="6" t="s">
        <v>25</v>
      </c>
      <c r="D560" s="60" t="s">
        <v>38</v>
      </c>
      <c r="E560" s="60"/>
      <c r="F560" s="60"/>
      <c r="G560" s="60"/>
      <c r="H560" s="60"/>
      <c r="I560" s="60"/>
      <c r="J560" s="6"/>
      <c r="K560" s="8">
        <v>1</v>
      </c>
      <c r="L560" s="25" t="s">
        <v>98</v>
      </c>
      <c r="M560" s="6" t="s">
        <v>565</v>
      </c>
      <c r="N560" s="38">
        <v>8792437.9800000004</v>
      </c>
      <c r="O560" s="11">
        <v>1</v>
      </c>
      <c r="P560" s="12"/>
      <c r="Q560" s="12"/>
    </row>
    <row r="561" spans="1:17" ht="20.100000000000001" customHeight="1">
      <c r="A561" s="4">
        <v>558</v>
      </c>
      <c r="B561" s="6" t="s">
        <v>560</v>
      </c>
      <c r="C561" s="6" t="s">
        <v>25</v>
      </c>
      <c r="D561" s="60" t="s">
        <v>38</v>
      </c>
      <c r="E561" s="60"/>
      <c r="F561" s="60"/>
      <c r="G561" s="60"/>
      <c r="H561" s="60"/>
      <c r="I561" s="60"/>
      <c r="J561" s="6"/>
      <c r="K561" s="8">
        <v>1</v>
      </c>
      <c r="L561" s="25" t="s">
        <v>563</v>
      </c>
      <c r="M561" s="6" t="s">
        <v>566</v>
      </c>
      <c r="N561" s="38">
        <v>5836437.9800000004</v>
      </c>
      <c r="O561" s="11">
        <v>1</v>
      </c>
      <c r="P561" s="12"/>
      <c r="Q561" s="12"/>
    </row>
    <row r="562" spans="1:17" ht="20.100000000000001" customHeight="1">
      <c r="A562" s="4">
        <v>559</v>
      </c>
      <c r="B562" s="6" t="s">
        <v>560</v>
      </c>
      <c r="C562" s="6" t="s">
        <v>25</v>
      </c>
      <c r="D562" s="60" t="s">
        <v>38</v>
      </c>
      <c r="E562" s="60"/>
      <c r="F562" s="60"/>
      <c r="G562" s="60"/>
      <c r="H562" s="60"/>
      <c r="I562" s="60"/>
      <c r="J562" s="6"/>
      <c r="K562" s="8">
        <v>1</v>
      </c>
      <c r="L562" s="25" t="s">
        <v>567</v>
      </c>
      <c r="M562" s="6" t="s">
        <v>568</v>
      </c>
      <c r="N562" s="38">
        <v>500</v>
      </c>
      <c r="O562" s="11">
        <v>1</v>
      </c>
      <c r="P562" s="12"/>
      <c r="Q562" s="12"/>
    </row>
    <row r="563" spans="1:17" ht="20.100000000000001" customHeight="1">
      <c r="A563" s="4">
        <v>560</v>
      </c>
      <c r="B563" s="6" t="s">
        <v>560</v>
      </c>
      <c r="C563" s="6" t="s">
        <v>25</v>
      </c>
      <c r="D563" s="60" t="s">
        <v>38</v>
      </c>
      <c r="E563" s="60"/>
      <c r="F563" s="60"/>
      <c r="G563" s="60"/>
      <c r="H563" s="60"/>
      <c r="I563" s="60"/>
      <c r="J563" s="6"/>
      <c r="K563" s="8">
        <v>1</v>
      </c>
      <c r="L563" s="25" t="s">
        <v>569</v>
      </c>
      <c r="M563" s="6" t="s">
        <v>570</v>
      </c>
      <c r="N563" s="38">
        <v>250000</v>
      </c>
      <c r="O563" s="11">
        <v>1</v>
      </c>
      <c r="P563" s="12"/>
      <c r="Q563" s="12"/>
    </row>
    <row r="564" spans="1:17" ht="20.100000000000001" customHeight="1">
      <c r="A564" s="4">
        <v>561</v>
      </c>
      <c r="B564" s="6" t="s">
        <v>560</v>
      </c>
      <c r="C564" s="6" t="s">
        <v>25</v>
      </c>
      <c r="D564" s="60" t="s">
        <v>38</v>
      </c>
      <c r="E564" s="60"/>
      <c r="F564" s="60"/>
      <c r="G564" s="60"/>
      <c r="H564" s="60"/>
      <c r="I564" s="60"/>
      <c r="J564" s="6"/>
      <c r="K564" s="8">
        <v>1</v>
      </c>
      <c r="L564" s="25" t="s">
        <v>62</v>
      </c>
      <c r="M564" s="6" t="s">
        <v>571</v>
      </c>
      <c r="N564" s="38">
        <v>250000</v>
      </c>
      <c r="O564" s="11">
        <v>1</v>
      </c>
      <c r="P564" s="12"/>
      <c r="Q564" s="12"/>
    </row>
    <row r="565" spans="1:17" ht="20.100000000000001" customHeight="1">
      <c r="A565" s="4">
        <v>562</v>
      </c>
      <c r="B565" s="6" t="s">
        <v>560</v>
      </c>
      <c r="C565" s="6" t="s">
        <v>25</v>
      </c>
      <c r="D565" s="60" t="s">
        <v>38</v>
      </c>
      <c r="E565" s="60"/>
      <c r="F565" s="60"/>
      <c r="G565" s="60"/>
      <c r="H565" s="60"/>
      <c r="I565" s="60"/>
      <c r="J565" s="6"/>
      <c r="K565" s="8">
        <v>1</v>
      </c>
      <c r="L565" s="25" t="s">
        <v>572</v>
      </c>
      <c r="M565" s="6" t="s">
        <v>573</v>
      </c>
      <c r="N565" s="10">
        <v>10000</v>
      </c>
      <c r="O565" s="11">
        <v>1</v>
      </c>
      <c r="P565" s="12"/>
      <c r="Q565" s="12"/>
    </row>
    <row r="566" spans="1:17" ht="20.100000000000001" customHeight="1">
      <c r="A566" s="4">
        <v>563</v>
      </c>
      <c r="B566" s="6" t="s">
        <v>560</v>
      </c>
      <c r="C566" s="6" t="s">
        <v>25</v>
      </c>
      <c r="D566" s="6" t="s">
        <v>38</v>
      </c>
      <c r="E566" s="6"/>
      <c r="F566" s="6"/>
      <c r="G566" s="6"/>
      <c r="H566" s="6"/>
      <c r="I566" s="6"/>
      <c r="J566" s="6"/>
      <c r="K566" s="8">
        <v>1</v>
      </c>
      <c r="L566" s="25" t="s">
        <v>574</v>
      </c>
      <c r="M566" s="6" t="s">
        <v>575</v>
      </c>
      <c r="N566" s="10">
        <v>40000</v>
      </c>
      <c r="O566" s="11">
        <v>1</v>
      </c>
      <c r="P566" s="12"/>
      <c r="Q566" s="12"/>
    </row>
    <row r="567" spans="1:17" ht="20.100000000000001" customHeight="1">
      <c r="A567" s="4">
        <v>564</v>
      </c>
      <c r="B567" s="6" t="s">
        <v>560</v>
      </c>
      <c r="C567" s="6" t="s">
        <v>25</v>
      </c>
      <c r="D567" s="6" t="s">
        <v>38</v>
      </c>
      <c r="E567" s="6"/>
      <c r="F567" s="6"/>
      <c r="G567" s="6"/>
      <c r="H567" s="6"/>
      <c r="I567" s="6"/>
      <c r="J567" s="6"/>
      <c r="K567" s="8">
        <v>1</v>
      </c>
      <c r="L567" s="25" t="s">
        <v>576</v>
      </c>
      <c r="M567" s="6" t="s">
        <v>577</v>
      </c>
      <c r="N567" s="10">
        <v>83000</v>
      </c>
      <c r="O567" s="11">
        <v>1</v>
      </c>
      <c r="P567" s="12"/>
      <c r="Q567" s="12"/>
    </row>
    <row r="568" spans="1:17" ht="20.100000000000001" customHeight="1">
      <c r="A568" s="4">
        <v>565</v>
      </c>
      <c r="B568" s="6" t="s">
        <v>560</v>
      </c>
      <c r="C568" s="6" t="s">
        <v>25</v>
      </c>
      <c r="D568" s="6" t="s">
        <v>38</v>
      </c>
      <c r="E568" s="6"/>
      <c r="F568" s="6"/>
      <c r="G568" s="6"/>
      <c r="H568" s="6"/>
      <c r="I568" s="6"/>
      <c r="J568" s="6"/>
      <c r="K568" s="8">
        <v>1</v>
      </c>
      <c r="L568" s="25" t="s">
        <v>578</v>
      </c>
      <c r="M568" s="6" t="s">
        <v>579</v>
      </c>
      <c r="N568" s="10">
        <v>37000</v>
      </c>
      <c r="O568" s="11">
        <v>1</v>
      </c>
      <c r="P568" s="12"/>
      <c r="Q568" s="12"/>
    </row>
    <row r="569" spans="1:17" ht="20.100000000000001" customHeight="1">
      <c r="A569" s="4">
        <v>566</v>
      </c>
      <c r="B569" s="6" t="s">
        <v>560</v>
      </c>
      <c r="C569" s="6" t="s">
        <v>25</v>
      </c>
      <c r="D569" s="6" t="s">
        <v>38</v>
      </c>
      <c r="E569" s="6"/>
      <c r="F569" s="6"/>
      <c r="G569" s="6"/>
      <c r="H569" s="6"/>
      <c r="I569" s="6"/>
      <c r="J569" s="6"/>
      <c r="K569" s="8">
        <v>1</v>
      </c>
      <c r="L569" s="25" t="s">
        <v>580</v>
      </c>
      <c r="M569" s="6" t="s">
        <v>581</v>
      </c>
      <c r="N569" s="10">
        <v>64000</v>
      </c>
      <c r="O569" s="11">
        <v>1</v>
      </c>
      <c r="P569" s="12"/>
      <c r="Q569" s="12"/>
    </row>
    <row r="570" spans="1:17" ht="20.100000000000001" customHeight="1">
      <c r="A570" s="4">
        <v>567</v>
      </c>
      <c r="B570" s="6" t="s">
        <v>560</v>
      </c>
      <c r="C570" s="6" t="s">
        <v>25</v>
      </c>
      <c r="D570" s="6" t="s">
        <v>38</v>
      </c>
      <c r="E570" s="6"/>
      <c r="F570" s="6"/>
      <c r="G570" s="6"/>
      <c r="H570" s="6"/>
      <c r="I570" s="6"/>
      <c r="J570" s="6"/>
      <c r="K570" s="8">
        <v>1</v>
      </c>
      <c r="L570" s="25" t="s">
        <v>582</v>
      </c>
      <c r="M570" s="6" t="s">
        <v>583</v>
      </c>
      <c r="N570" s="10">
        <v>100000</v>
      </c>
      <c r="O570" s="11">
        <v>1</v>
      </c>
      <c r="P570" s="12"/>
      <c r="Q570" s="12"/>
    </row>
    <row r="571" spans="1:17" ht="20.100000000000001" customHeight="1">
      <c r="A571" s="4">
        <v>568</v>
      </c>
      <c r="B571" s="26" t="s">
        <v>584</v>
      </c>
      <c r="C571" s="6" t="s">
        <v>25</v>
      </c>
      <c r="D571" s="26" t="s">
        <v>26</v>
      </c>
      <c r="E571" s="26"/>
      <c r="F571" s="26"/>
      <c r="G571" s="26"/>
      <c r="H571" s="26"/>
      <c r="I571" s="26"/>
      <c r="J571" s="26"/>
      <c r="K571" s="8">
        <v>1</v>
      </c>
      <c r="L571" s="22"/>
      <c r="M571" s="27" t="s">
        <v>48</v>
      </c>
      <c r="N571" s="10">
        <v>632352.5</v>
      </c>
      <c r="O571" s="11">
        <v>1</v>
      </c>
      <c r="P571" s="12"/>
      <c r="Q571" s="12"/>
    </row>
    <row r="572" spans="1:17" ht="20.100000000000001" customHeight="1">
      <c r="A572" s="4">
        <v>569</v>
      </c>
      <c r="B572" s="26" t="s">
        <v>584</v>
      </c>
      <c r="C572" s="6" t="s">
        <v>25</v>
      </c>
      <c r="D572" s="26" t="s">
        <v>29</v>
      </c>
      <c r="E572" s="26"/>
      <c r="F572" s="26"/>
      <c r="G572" s="8">
        <v>1</v>
      </c>
      <c r="H572" s="26"/>
      <c r="I572" s="26"/>
      <c r="J572" s="26"/>
      <c r="K572" s="14"/>
      <c r="L572" s="22"/>
      <c r="M572" s="27" t="s">
        <v>119</v>
      </c>
      <c r="N572" s="10">
        <v>-2673931.7599999998</v>
      </c>
      <c r="O572" s="11">
        <v>1</v>
      </c>
      <c r="P572" s="12"/>
      <c r="Q572" s="12"/>
    </row>
    <row r="573" spans="1:17" ht="20.100000000000001" customHeight="1">
      <c r="A573" s="4">
        <v>570</v>
      </c>
      <c r="B573" s="26" t="s">
        <v>584</v>
      </c>
      <c r="C573" s="6" t="s">
        <v>25</v>
      </c>
      <c r="D573" s="26" t="s">
        <v>29</v>
      </c>
      <c r="E573" s="26"/>
      <c r="F573" s="26"/>
      <c r="G573" s="8">
        <v>1</v>
      </c>
      <c r="H573" s="26"/>
      <c r="I573" s="26"/>
      <c r="J573" s="26"/>
      <c r="K573" s="14"/>
      <c r="L573" s="22"/>
      <c r="M573" s="27" t="s">
        <v>49</v>
      </c>
      <c r="N573" s="10">
        <v>-191630958.30000001</v>
      </c>
      <c r="O573" s="11">
        <v>1</v>
      </c>
      <c r="P573" s="12"/>
      <c r="Q573" s="12"/>
    </row>
    <row r="574" spans="1:17" ht="20.100000000000001" customHeight="1">
      <c r="A574" s="4">
        <v>571</v>
      </c>
      <c r="B574" s="26" t="s">
        <v>584</v>
      </c>
      <c r="C574" s="6" t="s">
        <v>25</v>
      </c>
      <c r="D574" s="26" t="s">
        <v>29</v>
      </c>
      <c r="E574" s="26"/>
      <c r="F574" s="26"/>
      <c r="G574" s="8">
        <v>1</v>
      </c>
      <c r="H574" s="26"/>
      <c r="I574" s="26"/>
      <c r="J574" s="26"/>
      <c r="K574" s="14"/>
      <c r="L574" s="22"/>
      <c r="M574" s="27" t="s">
        <v>31</v>
      </c>
      <c r="N574" s="10">
        <v>-21560.18</v>
      </c>
      <c r="O574" s="11">
        <v>1</v>
      </c>
      <c r="P574" s="12"/>
      <c r="Q574" s="12"/>
    </row>
    <row r="575" spans="1:17" ht="20.100000000000001" customHeight="1">
      <c r="A575" s="4">
        <v>572</v>
      </c>
      <c r="B575" s="26" t="s">
        <v>584</v>
      </c>
      <c r="C575" s="6" t="s">
        <v>25</v>
      </c>
      <c r="D575" s="26" t="s">
        <v>29</v>
      </c>
      <c r="E575" s="26"/>
      <c r="F575" s="26"/>
      <c r="G575" s="8">
        <v>1</v>
      </c>
      <c r="H575" s="26"/>
      <c r="I575" s="26"/>
      <c r="J575" s="26"/>
      <c r="K575" s="14"/>
      <c r="L575" s="22"/>
      <c r="M575" s="27" t="s">
        <v>32</v>
      </c>
      <c r="N575" s="10">
        <v>653.03</v>
      </c>
      <c r="O575" s="11">
        <v>1</v>
      </c>
      <c r="P575" s="12"/>
      <c r="Q575" s="12"/>
    </row>
    <row r="576" spans="1:17" ht="20.100000000000001" customHeight="1">
      <c r="A576" s="4">
        <v>573</v>
      </c>
      <c r="B576" s="26" t="s">
        <v>584</v>
      </c>
      <c r="C576" s="6" t="s">
        <v>25</v>
      </c>
      <c r="D576" s="26" t="s">
        <v>29</v>
      </c>
      <c r="E576" s="26"/>
      <c r="F576" s="26"/>
      <c r="G576" s="8">
        <v>1</v>
      </c>
      <c r="H576" s="26"/>
      <c r="I576" s="26"/>
      <c r="J576" s="26"/>
      <c r="K576" s="14"/>
      <c r="L576" s="22"/>
      <c r="M576" s="27" t="s">
        <v>50</v>
      </c>
      <c r="N576" s="10">
        <v>1.1100000000000001</v>
      </c>
      <c r="O576" s="11">
        <v>1</v>
      </c>
      <c r="P576" s="12"/>
      <c r="Q576" s="12"/>
    </row>
    <row r="577" spans="1:17" ht="20.100000000000001" customHeight="1">
      <c r="A577" s="4">
        <v>574</v>
      </c>
      <c r="B577" s="26" t="s">
        <v>584</v>
      </c>
      <c r="C577" s="6" t="s">
        <v>25</v>
      </c>
      <c r="D577" s="26" t="s">
        <v>33</v>
      </c>
      <c r="E577" s="26"/>
      <c r="F577" s="26"/>
      <c r="G577" s="26"/>
      <c r="H577" s="26"/>
      <c r="I577" s="8">
        <v>801</v>
      </c>
      <c r="J577" s="26"/>
      <c r="K577" s="17"/>
      <c r="L577" s="22"/>
      <c r="M577" s="27" t="s">
        <v>35</v>
      </c>
      <c r="N577" s="10">
        <v>-61942337.149999999</v>
      </c>
      <c r="O577" s="11">
        <v>801</v>
      </c>
      <c r="P577" s="12"/>
      <c r="Q577" s="12"/>
    </row>
    <row r="578" spans="1:17" ht="20.100000000000001" customHeight="1">
      <c r="A578" s="4">
        <v>575</v>
      </c>
      <c r="B578" s="26" t="s">
        <v>584</v>
      </c>
      <c r="C578" s="6" t="s">
        <v>25</v>
      </c>
      <c r="D578" s="26" t="s">
        <v>36</v>
      </c>
      <c r="E578" s="26"/>
      <c r="F578" s="8">
        <v>864</v>
      </c>
      <c r="G578" s="26"/>
      <c r="H578" s="26"/>
      <c r="I578" s="26"/>
      <c r="J578" s="26"/>
      <c r="K578" s="14"/>
      <c r="L578" s="22"/>
      <c r="M578" s="27" t="s">
        <v>585</v>
      </c>
      <c r="N578" s="10"/>
      <c r="O578" s="11">
        <v>864</v>
      </c>
      <c r="P578" s="12"/>
      <c r="Q578" s="12"/>
    </row>
    <row r="579" spans="1:17" ht="20.100000000000001" customHeight="1">
      <c r="A579" s="4">
        <v>576</v>
      </c>
      <c r="B579" s="26" t="s">
        <v>584</v>
      </c>
      <c r="C579" s="6" t="s">
        <v>25</v>
      </c>
      <c r="D579" s="26" t="s">
        <v>38</v>
      </c>
      <c r="E579" s="26"/>
      <c r="F579" s="26"/>
      <c r="G579" s="26"/>
      <c r="H579" s="26"/>
      <c r="I579" s="26"/>
      <c r="J579" s="26"/>
      <c r="K579" s="8">
        <v>1</v>
      </c>
      <c r="L579" s="22" t="s">
        <v>586</v>
      </c>
      <c r="M579" s="27" t="s">
        <v>587</v>
      </c>
      <c r="N579" s="10">
        <v>3000</v>
      </c>
      <c r="O579" s="11">
        <v>1</v>
      </c>
      <c r="P579" s="12">
        <v>1</v>
      </c>
      <c r="Q579" s="12"/>
    </row>
    <row r="580" spans="1:17" ht="20.100000000000001" customHeight="1">
      <c r="A580" s="4">
        <v>577</v>
      </c>
      <c r="B580" s="26" t="s">
        <v>584</v>
      </c>
      <c r="C580" s="6" t="s">
        <v>25</v>
      </c>
      <c r="D580" s="26" t="s">
        <v>38</v>
      </c>
      <c r="E580" s="26"/>
      <c r="F580" s="26"/>
      <c r="G580" s="26"/>
      <c r="H580" s="26"/>
      <c r="I580" s="26"/>
      <c r="J580" s="26"/>
      <c r="K580" s="8">
        <v>1</v>
      </c>
      <c r="L580" s="22" t="s">
        <v>318</v>
      </c>
      <c r="M580" s="27" t="s">
        <v>588</v>
      </c>
      <c r="N580" s="10">
        <v>26672.5</v>
      </c>
      <c r="O580" s="11">
        <v>1</v>
      </c>
      <c r="P580" s="12">
        <v>1</v>
      </c>
      <c r="Q580" s="12"/>
    </row>
    <row r="581" spans="1:17" ht="20.100000000000001" customHeight="1">
      <c r="A581" s="4">
        <v>578</v>
      </c>
      <c r="B581" s="26" t="s">
        <v>584</v>
      </c>
      <c r="C581" s="6" t="s">
        <v>25</v>
      </c>
      <c r="D581" s="26" t="s">
        <v>38</v>
      </c>
      <c r="E581" s="26"/>
      <c r="F581" s="26"/>
      <c r="G581" s="26"/>
      <c r="H581" s="26"/>
      <c r="I581" s="26"/>
      <c r="J581" s="26"/>
      <c r="K581" s="8">
        <v>2</v>
      </c>
      <c r="L581" s="22" t="s">
        <v>327</v>
      </c>
      <c r="M581" s="27" t="s">
        <v>589</v>
      </c>
      <c r="N581" s="10">
        <v>50000</v>
      </c>
      <c r="O581" s="11">
        <v>2</v>
      </c>
      <c r="P581" s="12"/>
      <c r="Q581" s="12"/>
    </row>
    <row r="582" spans="1:17" ht="20.100000000000001" customHeight="1">
      <c r="A582" s="4">
        <v>579</v>
      </c>
      <c r="B582" s="26" t="s">
        <v>584</v>
      </c>
      <c r="C582" s="6" t="s">
        <v>25</v>
      </c>
      <c r="D582" s="26" t="s">
        <v>105</v>
      </c>
      <c r="E582" s="26"/>
      <c r="F582" s="26"/>
      <c r="G582" s="26"/>
      <c r="H582" s="26"/>
      <c r="I582" s="26"/>
      <c r="J582" s="26"/>
      <c r="K582" s="8">
        <v>2</v>
      </c>
      <c r="L582" s="22"/>
      <c r="M582" s="27" t="s">
        <v>590</v>
      </c>
      <c r="N582" s="10">
        <v>1550</v>
      </c>
      <c r="O582" s="11">
        <v>2</v>
      </c>
      <c r="P582" s="12"/>
      <c r="Q582" s="12"/>
    </row>
    <row r="583" spans="1:17" ht="20.100000000000001" customHeight="1">
      <c r="A583" s="4">
        <v>580</v>
      </c>
      <c r="B583" s="26" t="s">
        <v>591</v>
      </c>
      <c r="C583" s="6" t="s">
        <v>25</v>
      </c>
      <c r="D583" s="26" t="s">
        <v>26</v>
      </c>
      <c r="E583" s="26"/>
      <c r="F583" s="26"/>
      <c r="G583" s="26"/>
      <c r="H583" s="26"/>
      <c r="I583" s="26"/>
      <c r="J583" s="26"/>
      <c r="K583" s="8">
        <v>1</v>
      </c>
      <c r="L583" s="22" t="s">
        <v>592</v>
      </c>
      <c r="M583" s="27" t="s">
        <v>593</v>
      </c>
      <c r="N583" s="10">
        <v>295670</v>
      </c>
      <c r="O583" s="11">
        <v>1</v>
      </c>
      <c r="P583" s="12"/>
      <c r="Q583" s="12"/>
    </row>
    <row r="584" spans="1:17" ht="20.100000000000001" customHeight="1">
      <c r="A584" s="4">
        <v>581</v>
      </c>
      <c r="B584" s="26" t="s">
        <v>591</v>
      </c>
      <c r="C584" s="6" t="s">
        <v>25</v>
      </c>
      <c r="D584" s="26" t="s">
        <v>26</v>
      </c>
      <c r="E584" s="26"/>
      <c r="F584" s="26"/>
      <c r="G584" s="26"/>
      <c r="H584" s="26"/>
      <c r="I584" s="26"/>
      <c r="J584" s="26"/>
      <c r="K584" s="8">
        <v>1</v>
      </c>
      <c r="L584" s="22">
        <v>45997</v>
      </c>
      <c r="M584" s="27" t="s">
        <v>594</v>
      </c>
      <c r="N584" s="10">
        <v>8043.79</v>
      </c>
      <c r="O584" s="11">
        <v>1</v>
      </c>
      <c r="P584" s="12"/>
      <c r="Q584" s="12"/>
    </row>
    <row r="585" spans="1:17" ht="20.100000000000001" customHeight="1">
      <c r="A585" s="4">
        <v>582</v>
      </c>
      <c r="B585" s="26" t="s">
        <v>591</v>
      </c>
      <c r="C585" s="6" t="s">
        <v>25</v>
      </c>
      <c r="D585" s="26" t="s">
        <v>26</v>
      </c>
      <c r="E585" s="26"/>
      <c r="F585" s="26"/>
      <c r="G585" s="26"/>
      <c r="H585" s="26"/>
      <c r="I585" s="26"/>
      <c r="J585" s="26"/>
      <c r="K585" s="8">
        <v>2</v>
      </c>
      <c r="L585" s="22">
        <v>45510</v>
      </c>
      <c r="M585" s="27" t="s">
        <v>595</v>
      </c>
      <c r="N585" s="10">
        <v>9000</v>
      </c>
      <c r="O585" s="11">
        <v>2</v>
      </c>
      <c r="P585" s="12"/>
      <c r="Q585" s="12"/>
    </row>
    <row r="586" spans="1:17" ht="20.100000000000001" customHeight="1">
      <c r="A586" s="4">
        <v>583</v>
      </c>
      <c r="B586" s="26" t="s">
        <v>591</v>
      </c>
      <c r="C586" s="6" t="s">
        <v>25</v>
      </c>
      <c r="D586" s="26" t="s">
        <v>596</v>
      </c>
      <c r="E586" s="26"/>
      <c r="F586" s="26"/>
      <c r="G586" s="8">
        <v>1</v>
      </c>
      <c r="H586" s="26"/>
      <c r="I586" s="26"/>
      <c r="J586" s="26"/>
      <c r="K586" s="14"/>
      <c r="L586" s="22" t="s">
        <v>100</v>
      </c>
      <c r="M586" s="27" t="s">
        <v>597</v>
      </c>
      <c r="N586" s="10">
        <v>-2312550.4500000002</v>
      </c>
      <c r="O586" s="11">
        <v>1</v>
      </c>
      <c r="P586" s="12"/>
      <c r="Q586" s="12"/>
    </row>
    <row r="587" spans="1:17" ht="20.100000000000001" customHeight="1">
      <c r="A587" s="4">
        <v>584</v>
      </c>
      <c r="B587" s="26" t="s">
        <v>591</v>
      </c>
      <c r="C587" s="6" t="s">
        <v>25</v>
      </c>
      <c r="D587" s="26" t="s">
        <v>596</v>
      </c>
      <c r="E587" s="26"/>
      <c r="F587" s="26"/>
      <c r="G587" s="8">
        <v>1</v>
      </c>
      <c r="H587" s="26"/>
      <c r="I587" s="26"/>
      <c r="J587" s="26"/>
      <c r="K587" s="14"/>
      <c r="L587" s="22">
        <v>44206</v>
      </c>
      <c r="M587" s="27" t="s">
        <v>598</v>
      </c>
      <c r="N587" s="10">
        <v>-950305499.10000002</v>
      </c>
      <c r="O587" s="11">
        <v>1</v>
      </c>
      <c r="P587" s="12"/>
      <c r="Q587" s="12"/>
    </row>
    <row r="588" spans="1:17" ht="20.100000000000001" customHeight="1">
      <c r="A588" s="4">
        <v>585</v>
      </c>
      <c r="B588" s="26" t="s">
        <v>591</v>
      </c>
      <c r="C588" s="6" t="s">
        <v>25</v>
      </c>
      <c r="D588" s="26" t="s">
        <v>596</v>
      </c>
      <c r="E588" s="26"/>
      <c r="F588" s="26"/>
      <c r="G588" s="8">
        <v>1</v>
      </c>
      <c r="H588" s="26"/>
      <c r="I588" s="26"/>
      <c r="J588" s="26"/>
      <c r="K588" s="14"/>
      <c r="L588" s="22">
        <v>44206</v>
      </c>
      <c r="M588" s="27" t="s">
        <v>599</v>
      </c>
      <c r="N588" s="10">
        <v>-1046072.35</v>
      </c>
      <c r="O588" s="11">
        <v>1</v>
      </c>
      <c r="P588" s="12"/>
      <c r="Q588" s="12"/>
    </row>
    <row r="589" spans="1:17" ht="20.100000000000001" customHeight="1">
      <c r="A589" s="4">
        <v>586</v>
      </c>
      <c r="B589" s="26" t="s">
        <v>591</v>
      </c>
      <c r="C589" s="6" t="s">
        <v>25</v>
      </c>
      <c r="D589" s="26" t="s">
        <v>68</v>
      </c>
      <c r="E589" s="26"/>
      <c r="F589" s="26"/>
      <c r="G589" s="26"/>
      <c r="H589" s="26"/>
      <c r="I589" s="26"/>
      <c r="J589" s="26"/>
      <c r="K589" s="8">
        <v>1</v>
      </c>
      <c r="L589" s="22" t="s">
        <v>600</v>
      </c>
      <c r="M589" s="27" t="s">
        <v>601</v>
      </c>
      <c r="N589" s="10">
        <v>-273872.7</v>
      </c>
      <c r="O589" s="11">
        <v>1</v>
      </c>
      <c r="P589" s="12"/>
      <c r="Q589" s="12"/>
    </row>
    <row r="590" spans="1:17" ht="20.100000000000001" customHeight="1">
      <c r="A590" s="4">
        <v>587</v>
      </c>
      <c r="B590" s="26" t="s">
        <v>591</v>
      </c>
      <c r="C590" s="6" t="s">
        <v>25</v>
      </c>
      <c r="D590" s="26" t="s">
        <v>602</v>
      </c>
      <c r="E590" s="26"/>
      <c r="F590" s="26"/>
      <c r="G590" s="26"/>
      <c r="H590" s="26"/>
      <c r="I590" s="26"/>
      <c r="J590" s="26"/>
      <c r="K590" s="8">
        <v>1</v>
      </c>
      <c r="L590" s="22" t="s">
        <v>100</v>
      </c>
      <c r="M590" s="27" t="s">
        <v>603</v>
      </c>
      <c r="N590" s="10">
        <v>-5950</v>
      </c>
      <c r="O590" s="11">
        <v>1</v>
      </c>
      <c r="P590" s="12"/>
      <c r="Q590" s="12"/>
    </row>
    <row r="591" spans="1:17" ht="20.100000000000001" customHeight="1">
      <c r="A591" s="4">
        <v>588</v>
      </c>
      <c r="B591" s="26" t="s">
        <v>591</v>
      </c>
      <c r="C591" s="6" t="s">
        <v>25</v>
      </c>
      <c r="D591" s="26" t="s">
        <v>604</v>
      </c>
      <c r="E591" s="26"/>
      <c r="F591" s="26"/>
      <c r="G591" s="26"/>
      <c r="H591" s="26"/>
      <c r="I591" s="26"/>
      <c r="J591" s="26"/>
      <c r="K591" s="8">
        <v>1</v>
      </c>
      <c r="L591" s="22" t="s">
        <v>408</v>
      </c>
      <c r="M591" s="27" t="s">
        <v>605</v>
      </c>
      <c r="N591" s="10">
        <v>-106982.37</v>
      </c>
      <c r="O591" s="11">
        <v>1</v>
      </c>
      <c r="P591" s="12"/>
      <c r="Q591" s="12"/>
    </row>
    <row r="592" spans="1:17" ht="20.100000000000001" customHeight="1">
      <c r="A592" s="4">
        <v>589</v>
      </c>
      <c r="B592" s="26" t="s">
        <v>591</v>
      </c>
      <c r="C592" s="6" t="s">
        <v>25</v>
      </c>
      <c r="D592" s="26" t="s">
        <v>68</v>
      </c>
      <c r="E592" s="26"/>
      <c r="F592" s="26"/>
      <c r="G592" s="26"/>
      <c r="H592" s="26"/>
      <c r="I592" s="26"/>
      <c r="J592" s="26"/>
      <c r="K592" s="8">
        <v>1</v>
      </c>
      <c r="L592" s="22">
        <v>44449</v>
      </c>
      <c r="M592" s="27" t="s">
        <v>606</v>
      </c>
      <c r="N592" s="10">
        <v>-10507597.119999999</v>
      </c>
      <c r="O592" s="11">
        <v>1</v>
      </c>
      <c r="P592" s="12"/>
      <c r="Q592" s="12"/>
    </row>
    <row r="593" spans="1:17" ht="20.100000000000001" customHeight="1">
      <c r="A593" s="4">
        <v>590</v>
      </c>
      <c r="B593" s="26" t="s">
        <v>591</v>
      </c>
      <c r="C593" s="6" t="s">
        <v>25</v>
      </c>
      <c r="D593" s="26" t="s">
        <v>33</v>
      </c>
      <c r="E593" s="26"/>
      <c r="F593" s="26"/>
      <c r="G593" s="26"/>
      <c r="H593" s="26"/>
      <c r="I593" s="8">
        <v>424</v>
      </c>
      <c r="J593" s="26"/>
      <c r="K593" s="17"/>
      <c r="L593" s="22" t="s">
        <v>100</v>
      </c>
      <c r="M593" s="27" t="s">
        <v>607</v>
      </c>
      <c r="N593" s="10">
        <v>5335881.04</v>
      </c>
      <c r="O593" s="11">
        <v>424</v>
      </c>
      <c r="P593" s="12">
        <v>11</v>
      </c>
      <c r="Q593" s="12"/>
    </row>
    <row r="594" spans="1:17" ht="20.100000000000001" customHeight="1">
      <c r="A594" s="4">
        <v>591</v>
      </c>
      <c r="B594" s="26" t="s">
        <v>591</v>
      </c>
      <c r="C594" s="6" t="s">
        <v>25</v>
      </c>
      <c r="D594" s="26" t="s">
        <v>608</v>
      </c>
      <c r="E594" s="26"/>
      <c r="F594" s="8">
        <v>794</v>
      </c>
      <c r="G594" s="26"/>
      <c r="H594" s="26"/>
      <c r="I594" s="26"/>
      <c r="J594" s="26"/>
      <c r="K594" s="14"/>
      <c r="L594" s="22" t="s">
        <v>100</v>
      </c>
      <c r="M594" s="27" t="s">
        <v>609</v>
      </c>
      <c r="N594" s="10"/>
      <c r="O594" s="11">
        <v>794</v>
      </c>
      <c r="P594" s="12"/>
      <c r="Q594" s="12"/>
    </row>
    <row r="595" spans="1:17" ht="20.100000000000001" customHeight="1">
      <c r="A595" s="4">
        <v>592</v>
      </c>
      <c r="B595" s="26" t="s">
        <v>591</v>
      </c>
      <c r="C595" s="6" t="s">
        <v>25</v>
      </c>
      <c r="D595" s="26" t="s">
        <v>442</v>
      </c>
      <c r="E595" s="26"/>
      <c r="F595" s="26"/>
      <c r="G595" s="26"/>
      <c r="H595" s="26"/>
      <c r="I595" s="26"/>
      <c r="J595" s="26"/>
      <c r="K595" s="8">
        <v>1</v>
      </c>
      <c r="L595" s="22">
        <v>46029</v>
      </c>
      <c r="M595" s="27" t="s">
        <v>610</v>
      </c>
      <c r="N595" s="10">
        <v>210156.55</v>
      </c>
      <c r="O595" s="11">
        <v>1</v>
      </c>
      <c r="P595" s="12"/>
      <c r="Q595" s="12"/>
    </row>
    <row r="596" spans="1:17" ht="20.100000000000001" customHeight="1">
      <c r="A596" s="4">
        <v>593</v>
      </c>
      <c r="B596" s="26" t="s">
        <v>591</v>
      </c>
      <c r="C596" s="6" t="s">
        <v>25</v>
      </c>
      <c r="D596" s="26" t="s">
        <v>442</v>
      </c>
      <c r="E596" s="26"/>
      <c r="F596" s="26"/>
      <c r="G596" s="26"/>
      <c r="H596" s="26"/>
      <c r="I596" s="26"/>
      <c r="J596" s="26"/>
      <c r="K596" s="8">
        <v>1</v>
      </c>
      <c r="L596" s="22">
        <v>46060</v>
      </c>
      <c r="M596" s="27" t="s">
        <v>611</v>
      </c>
      <c r="N596" s="10">
        <v>500</v>
      </c>
      <c r="O596" s="11">
        <v>1</v>
      </c>
      <c r="P596" s="12"/>
      <c r="Q596" s="12"/>
    </row>
    <row r="597" spans="1:17" ht="20.100000000000001" customHeight="1">
      <c r="A597" s="4">
        <v>594</v>
      </c>
      <c r="B597" s="26" t="s">
        <v>591</v>
      </c>
      <c r="C597" s="6" t="s">
        <v>25</v>
      </c>
      <c r="D597" s="26" t="s">
        <v>442</v>
      </c>
      <c r="E597" s="26"/>
      <c r="F597" s="26"/>
      <c r="G597" s="26"/>
      <c r="H597" s="26"/>
      <c r="I597" s="26"/>
      <c r="J597" s="26"/>
      <c r="K597" s="8">
        <v>1</v>
      </c>
      <c r="L597" s="22">
        <v>46210</v>
      </c>
      <c r="M597" s="27" t="s">
        <v>610</v>
      </c>
      <c r="N597" s="10">
        <v>1326960</v>
      </c>
      <c r="O597" s="11">
        <v>1</v>
      </c>
      <c r="P597" s="12"/>
      <c r="Q597" s="12"/>
    </row>
    <row r="598" spans="1:17" ht="20.100000000000001" customHeight="1">
      <c r="A598" s="4">
        <v>595</v>
      </c>
      <c r="B598" s="26" t="s">
        <v>591</v>
      </c>
      <c r="C598" s="6" t="s">
        <v>25</v>
      </c>
      <c r="D598" s="26" t="s">
        <v>442</v>
      </c>
      <c r="E598" s="26"/>
      <c r="F598" s="26"/>
      <c r="G598" s="26"/>
      <c r="H598" s="26"/>
      <c r="I598" s="26"/>
      <c r="J598" s="26"/>
      <c r="K598" s="8">
        <v>1</v>
      </c>
      <c r="L598" s="22">
        <v>46241</v>
      </c>
      <c r="M598" s="27" t="s">
        <v>612</v>
      </c>
      <c r="N598" s="10">
        <v>5000</v>
      </c>
      <c r="O598" s="11">
        <v>1</v>
      </c>
      <c r="P598" s="12"/>
      <c r="Q598" s="12"/>
    </row>
    <row r="599" spans="1:17" ht="20.100000000000001" customHeight="1">
      <c r="A599" s="4">
        <v>596</v>
      </c>
      <c r="B599" s="26" t="s">
        <v>591</v>
      </c>
      <c r="C599" s="6" t="s">
        <v>25</v>
      </c>
      <c r="D599" s="26" t="s">
        <v>442</v>
      </c>
      <c r="E599" s="26"/>
      <c r="F599" s="26"/>
      <c r="G599" s="26"/>
      <c r="H599" s="26"/>
      <c r="I599" s="26"/>
      <c r="J599" s="26"/>
      <c r="K599" s="8">
        <v>1</v>
      </c>
      <c r="L599" s="22" t="s">
        <v>223</v>
      </c>
      <c r="M599" s="27" t="s">
        <v>611</v>
      </c>
      <c r="N599" s="10">
        <v>1150</v>
      </c>
      <c r="O599" s="11">
        <v>1</v>
      </c>
      <c r="P599" s="12"/>
      <c r="Q599" s="12"/>
    </row>
    <row r="600" spans="1:17" ht="20.100000000000001" customHeight="1">
      <c r="A600" s="4">
        <v>597</v>
      </c>
      <c r="B600" s="26" t="s">
        <v>591</v>
      </c>
      <c r="C600" s="6" t="s">
        <v>25</v>
      </c>
      <c r="D600" s="26" t="s">
        <v>442</v>
      </c>
      <c r="E600" s="26"/>
      <c r="F600" s="26"/>
      <c r="G600" s="26"/>
      <c r="H600" s="26"/>
      <c r="I600" s="26"/>
      <c r="J600" s="26"/>
      <c r="K600" s="8">
        <v>1</v>
      </c>
      <c r="L600" s="22" t="s">
        <v>327</v>
      </c>
      <c r="M600" s="27" t="s">
        <v>613</v>
      </c>
      <c r="N600" s="10">
        <v>150000</v>
      </c>
      <c r="O600" s="11">
        <v>1</v>
      </c>
      <c r="P600" s="12"/>
      <c r="Q600" s="12"/>
    </row>
    <row r="601" spans="1:17" ht="20.100000000000001" customHeight="1">
      <c r="A601" s="4">
        <v>598</v>
      </c>
      <c r="B601" s="26" t="s">
        <v>591</v>
      </c>
      <c r="C601" s="6" t="s">
        <v>25</v>
      </c>
      <c r="D601" s="26" t="s">
        <v>442</v>
      </c>
      <c r="E601" s="26"/>
      <c r="F601" s="26"/>
      <c r="G601" s="26"/>
      <c r="H601" s="26"/>
      <c r="I601" s="26"/>
      <c r="J601" s="26"/>
      <c r="K601" s="8">
        <v>1</v>
      </c>
      <c r="L601" s="22" t="s">
        <v>489</v>
      </c>
      <c r="M601" s="27" t="s">
        <v>613</v>
      </c>
      <c r="N601" s="10">
        <v>42000</v>
      </c>
      <c r="O601" s="11">
        <v>1</v>
      </c>
      <c r="P601" s="12"/>
      <c r="Q601" s="12"/>
    </row>
    <row r="602" spans="1:17" ht="20.100000000000001" customHeight="1">
      <c r="A602" s="4">
        <v>599</v>
      </c>
      <c r="B602" s="26" t="s">
        <v>591</v>
      </c>
      <c r="C602" s="6" t="s">
        <v>25</v>
      </c>
      <c r="D602" s="26" t="s">
        <v>442</v>
      </c>
      <c r="E602" s="26"/>
      <c r="F602" s="26"/>
      <c r="G602" s="26"/>
      <c r="H602" s="26"/>
      <c r="I602" s="26"/>
      <c r="J602" s="26"/>
      <c r="K602" s="8">
        <v>1</v>
      </c>
      <c r="L602" s="22" t="s">
        <v>98</v>
      </c>
      <c r="M602" s="27" t="s">
        <v>614</v>
      </c>
      <c r="N602" s="10">
        <v>33950</v>
      </c>
      <c r="O602" s="11">
        <v>1</v>
      </c>
      <c r="P602" s="12"/>
      <c r="Q602" s="12"/>
    </row>
    <row r="603" spans="1:17" ht="20.100000000000001" customHeight="1">
      <c r="A603" s="4">
        <v>600</v>
      </c>
      <c r="B603" s="26" t="s">
        <v>591</v>
      </c>
      <c r="C603" s="6" t="s">
        <v>25</v>
      </c>
      <c r="D603" s="26" t="s">
        <v>169</v>
      </c>
      <c r="E603" s="26"/>
      <c r="F603" s="26"/>
      <c r="G603" s="8">
        <v>2</v>
      </c>
      <c r="H603" s="26"/>
      <c r="I603" s="26"/>
      <c r="J603" s="26"/>
      <c r="K603" s="14"/>
      <c r="L603" s="22" t="s">
        <v>100</v>
      </c>
      <c r="M603" s="27" t="s">
        <v>615</v>
      </c>
      <c r="N603" s="10">
        <v>222137.86</v>
      </c>
      <c r="O603" s="11">
        <v>2</v>
      </c>
      <c r="P603" s="12"/>
      <c r="Q603" s="12"/>
    </row>
    <row r="604" spans="1:17" ht="20.100000000000001" customHeight="1">
      <c r="A604" s="4">
        <v>601</v>
      </c>
      <c r="B604" s="26" t="s">
        <v>616</v>
      </c>
      <c r="C604" s="6" t="s">
        <v>25</v>
      </c>
      <c r="D604" s="26" t="s">
        <v>26</v>
      </c>
      <c r="E604" s="26"/>
      <c r="F604" s="26"/>
      <c r="G604" s="26"/>
      <c r="H604" s="26"/>
      <c r="I604" s="26"/>
      <c r="J604" s="26"/>
      <c r="K604" s="8">
        <v>1</v>
      </c>
      <c r="L604" s="22"/>
      <c r="M604" s="27" t="s">
        <v>48</v>
      </c>
      <c r="N604" s="10">
        <v>-47255</v>
      </c>
      <c r="O604" s="11">
        <v>1</v>
      </c>
      <c r="P604" s="12"/>
      <c r="Q604" s="12"/>
    </row>
    <row r="605" spans="1:17" ht="20.100000000000001" customHeight="1">
      <c r="A605" s="4">
        <v>602</v>
      </c>
      <c r="B605" s="26" t="s">
        <v>616</v>
      </c>
      <c r="C605" s="6" t="s">
        <v>25</v>
      </c>
      <c r="D605" s="26" t="s">
        <v>26</v>
      </c>
      <c r="E605" s="26"/>
      <c r="F605" s="26"/>
      <c r="G605" s="26"/>
      <c r="H605" s="26"/>
      <c r="I605" s="26"/>
      <c r="J605" s="26"/>
      <c r="K605" s="8">
        <v>1</v>
      </c>
      <c r="L605" s="22"/>
      <c r="M605" s="27" t="s">
        <v>28</v>
      </c>
      <c r="N605" s="10">
        <v>-47255</v>
      </c>
      <c r="O605" s="11">
        <v>1</v>
      </c>
      <c r="P605" s="12"/>
      <c r="Q605" s="12"/>
    </row>
    <row r="606" spans="1:17" ht="20.100000000000001" customHeight="1">
      <c r="A606" s="4">
        <v>603</v>
      </c>
      <c r="B606" s="26" t="s">
        <v>616</v>
      </c>
      <c r="C606" s="6" t="s">
        <v>25</v>
      </c>
      <c r="D606" s="26" t="s">
        <v>103</v>
      </c>
      <c r="E606" s="26"/>
      <c r="F606" s="26"/>
      <c r="G606" s="26"/>
      <c r="H606" s="26"/>
      <c r="I606" s="26"/>
      <c r="J606" s="8">
        <v>2</v>
      </c>
      <c r="K606" s="14"/>
      <c r="L606" s="22"/>
      <c r="M606" s="27" t="s">
        <v>179</v>
      </c>
      <c r="N606" s="10">
        <v>185</v>
      </c>
      <c r="O606" s="11">
        <v>2</v>
      </c>
      <c r="P606" s="12"/>
      <c r="Q606" s="12"/>
    </row>
    <row r="607" spans="1:17" ht="20.100000000000001" customHeight="1">
      <c r="A607" s="4">
        <v>604</v>
      </c>
      <c r="B607" s="26" t="s">
        <v>616</v>
      </c>
      <c r="C607" s="6" t="s">
        <v>25</v>
      </c>
      <c r="D607" s="26" t="s">
        <v>103</v>
      </c>
      <c r="E607" s="26"/>
      <c r="F607" s="26"/>
      <c r="G607" s="26"/>
      <c r="H607" s="26"/>
      <c r="I607" s="26"/>
      <c r="J607" s="26"/>
      <c r="K607" s="8">
        <v>1</v>
      </c>
      <c r="L607" s="22"/>
      <c r="M607" s="27" t="s">
        <v>617</v>
      </c>
      <c r="N607" s="10">
        <v>1653</v>
      </c>
      <c r="O607" s="11">
        <v>1</v>
      </c>
      <c r="P607" s="12"/>
      <c r="Q607" s="12"/>
    </row>
    <row r="608" spans="1:17" ht="20.100000000000001" customHeight="1">
      <c r="A608" s="4">
        <v>605</v>
      </c>
      <c r="B608" s="26" t="s">
        <v>616</v>
      </c>
      <c r="C608" s="6" t="s">
        <v>25</v>
      </c>
      <c r="D608" s="26" t="s">
        <v>618</v>
      </c>
      <c r="E608" s="26"/>
      <c r="F608" s="26"/>
      <c r="G608" s="8">
        <v>1</v>
      </c>
      <c r="H608" s="26"/>
      <c r="I608" s="26"/>
      <c r="J608" s="26"/>
      <c r="K608" s="14"/>
      <c r="L608" s="22"/>
      <c r="M608" s="27" t="s">
        <v>119</v>
      </c>
      <c r="N608" s="10"/>
      <c r="O608" s="11">
        <v>1</v>
      </c>
      <c r="P608" s="12"/>
      <c r="Q608" s="12"/>
    </row>
    <row r="609" spans="1:17" ht="20.100000000000001" customHeight="1">
      <c r="A609" s="4">
        <v>606</v>
      </c>
      <c r="B609" s="26" t="s">
        <v>616</v>
      </c>
      <c r="C609" s="6" t="s">
        <v>25</v>
      </c>
      <c r="D609" s="26" t="s">
        <v>619</v>
      </c>
      <c r="E609" s="26"/>
      <c r="F609" s="26"/>
      <c r="G609" s="8">
        <v>1</v>
      </c>
      <c r="H609" s="26"/>
      <c r="I609" s="26"/>
      <c r="J609" s="26"/>
      <c r="K609" s="14"/>
      <c r="L609" s="22"/>
      <c r="M609" s="27" t="s">
        <v>49</v>
      </c>
      <c r="N609" s="10">
        <v>-43552506.539999999</v>
      </c>
      <c r="O609" s="11">
        <v>1</v>
      </c>
      <c r="P609" s="12"/>
      <c r="Q609" s="12"/>
    </row>
    <row r="610" spans="1:17" ht="20.100000000000001" customHeight="1">
      <c r="A610" s="4">
        <v>607</v>
      </c>
      <c r="B610" s="26" t="s">
        <v>616</v>
      </c>
      <c r="C610" s="6" t="s">
        <v>25</v>
      </c>
      <c r="D610" s="26" t="s">
        <v>619</v>
      </c>
      <c r="E610" s="26"/>
      <c r="F610" s="26"/>
      <c r="G610" s="8">
        <v>1</v>
      </c>
      <c r="H610" s="26"/>
      <c r="I610" s="26"/>
      <c r="J610" s="26"/>
      <c r="K610" s="14"/>
      <c r="L610" s="22"/>
      <c r="M610" s="27" t="s">
        <v>31</v>
      </c>
      <c r="N610" s="10">
        <v>-145.21</v>
      </c>
      <c r="O610" s="11">
        <v>1</v>
      </c>
      <c r="P610" s="12"/>
      <c r="Q610" s="12"/>
    </row>
    <row r="611" spans="1:17" ht="20.100000000000001" customHeight="1">
      <c r="A611" s="4">
        <v>608</v>
      </c>
      <c r="B611" s="26" t="s">
        <v>616</v>
      </c>
      <c r="C611" s="6" t="s">
        <v>25</v>
      </c>
      <c r="D611" s="26" t="s">
        <v>619</v>
      </c>
      <c r="E611" s="26"/>
      <c r="F611" s="26"/>
      <c r="G611" s="8">
        <v>1</v>
      </c>
      <c r="H611" s="26"/>
      <c r="I611" s="26"/>
      <c r="J611" s="26"/>
      <c r="K611" s="14"/>
      <c r="L611" s="22"/>
      <c r="M611" s="27" t="s">
        <v>32</v>
      </c>
      <c r="N611" s="10">
        <v>40.659999999999997</v>
      </c>
      <c r="O611" s="11">
        <v>1</v>
      </c>
      <c r="P611" s="12"/>
      <c r="Q611" s="12"/>
    </row>
    <row r="612" spans="1:17" ht="20.100000000000001" customHeight="1">
      <c r="A612" s="4">
        <v>609</v>
      </c>
      <c r="B612" s="26" t="s">
        <v>616</v>
      </c>
      <c r="C612" s="6" t="s">
        <v>25</v>
      </c>
      <c r="D612" s="26" t="s">
        <v>619</v>
      </c>
      <c r="E612" s="26"/>
      <c r="F612" s="26"/>
      <c r="G612" s="8">
        <v>1</v>
      </c>
      <c r="H612" s="26"/>
      <c r="I612" s="26"/>
      <c r="J612" s="26"/>
      <c r="K612" s="14"/>
      <c r="L612" s="22"/>
      <c r="M612" s="27" t="s">
        <v>207</v>
      </c>
      <c r="N612" s="10">
        <v>-1658498.77</v>
      </c>
      <c r="O612" s="11">
        <v>1</v>
      </c>
      <c r="P612" s="12"/>
      <c r="Q612" s="12"/>
    </row>
    <row r="613" spans="1:17" ht="20.100000000000001" customHeight="1">
      <c r="A613" s="4">
        <v>610</v>
      </c>
      <c r="B613" s="26" t="s">
        <v>616</v>
      </c>
      <c r="C613" s="6" t="s">
        <v>25</v>
      </c>
      <c r="D613" s="26" t="s">
        <v>619</v>
      </c>
      <c r="E613" s="26"/>
      <c r="F613" s="26"/>
      <c r="G613" s="26"/>
      <c r="H613" s="26"/>
      <c r="I613" s="8">
        <v>4298</v>
      </c>
      <c r="J613" s="26"/>
      <c r="K613" s="17"/>
      <c r="L613" s="22"/>
      <c r="M613" s="27" t="s">
        <v>35</v>
      </c>
      <c r="N613" s="10">
        <v>4298</v>
      </c>
      <c r="O613" s="11">
        <v>4298</v>
      </c>
      <c r="P613" s="12"/>
      <c r="Q613" s="12"/>
    </row>
    <row r="614" spans="1:17" ht="20.100000000000001" customHeight="1">
      <c r="A614" s="4">
        <v>611</v>
      </c>
      <c r="B614" s="26" t="s">
        <v>616</v>
      </c>
      <c r="C614" s="6" t="s">
        <v>25</v>
      </c>
      <c r="D614" s="26" t="s">
        <v>36</v>
      </c>
      <c r="E614" s="26"/>
      <c r="F614" s="8">
        <v>488</v>
      </c>
      <c r="G614" s="26"/>
      <c r="H614" s="26"/>
      <c r="I614" s="26"/>
      <c r="J614" s="26"/>
      <c r="K614" s="14"/>
      <c r="L614" s="22"/>
      <c r="M614" s="27" t="s">
        <v>620</v>
      </c>
      <c r="N614" s="10"/>
      <c r="O614" s="11">
        <v>488</v>
      </c>
      <c r="P614" s="12"/>
      <c r="Q614" s="12"/>
    </row>
    <row r="615" spans="1:17" ht="20.100000000000001" customHeight="1">
      <c r="A615" s="4">
        <v>612</v>
      </c>
      <c r="B615" s="26" t="s">
        <v>616</v>
      </c>
      <c r="C615" s="6" t="s">
        <v>25</v>
      </c>
      <c r="D615" s="26" t="s">
        <v>38</v>
      </c>
      <c r="E615" s="26"/>
      <c r="F615" s="26"/>
      <c r="G615" s="26"/>
      <c r="H615" s="26"/>
      <c r="I615" s="26"/>
      <c r="J615" s="26"/>
      <c r="K615" s="8">
        <v>1</v>
      </c>
      <c r="L615" s="22"/>
      <c r="M615" s="27" t="s">
        <v>621</v>
      </c>
      <c r="N615" s="10">
        <v>41848.31</v>
      </c>
      <c r="O615" s="11">
        <v>1</v>
      </c>
      <c r="P615" s="12"/>
      <c r="Q615" s="12"/>
    </row>
    <row r="616" spans="1:17" ht="20.100000000000001" customHeight="1">
      <c r="A616" s="4">
        <v>613</v>
      </c>
      <c r="B616" s="26" t="s">
        <v>616</v>
      </c>
      <c r="C616" s="6" t="s">
        <v>25</v>
      </c>
      <c r="D616" s="26" t="s">
        <v>38</v>
      </c>
      <c r="E616" s="26"/>
      <c r="F616" s="26"/>
      <c r="G616" s="26"/>
      <c r="H616" s="26"/>
      <c r="I616" s="26"/>
      <c r="J616" s="26"/>
      <c r="K616" s="8">
        <v>1</v>
      </c>
      <c r="L616" s="22"/>
      <c r="M616" s="27" t="s">
        <v>622</v>
      </c>
      <c r="N616" s="10">
        <v>1149400</v>
      </c>
      <c r="O616" s="11">
        <v>1</v>
      </c>
      <c r="P616" s="12"/>
      <c r="Q616" s="12"/>
    </row>
    <row r="617" spans="1:17" ht="20.100000000000001" customHeight="1">
      <c r="A617" s="4">
        <v>614</v>
      </c>
      <c r="B617" s="26" t="s">
        <v>616</v>
      </c>
      <c r="C617" s="6" t="s">
        <v>25</v>
      </c>
      <c r="D617" s="26" t="s">
        <v>38</v>
      </c>
      <c r="E617" s="26"/>
      <c r="F617" s="26"/>
      <c r="G617" s="26"/>
      <c r="H617" s="26"/>
      <c r="I617" s="26"/>
      <c r="J617" s="26"/>
      <c r="K617" s="8">
        <v>1</v>
      </c>
      <c r="L617" s="22"/>
      <c r="M617" s="27" t="s">
        <v>623</v>
      </c>
      <c r="N617" s="10">
        <v>200</v>
      </c>
      <c r="O617" s="11">
        <v>1</v>
      </c>
      <c r="P617" s="12"/>
      <c r="Q617" s="12"/>
    </row>
    <row r="618" spans="1:17" ht="20.100000000000001" customHeight="1">
      <c r="A618" s="4">
        <v>615</v>
      </c>
      <c r="B618" s="26" t="s">
        <v>616</v>
      </c>
      <c r="C618" s="6" t="s">
        <v>25</v>
      </c>
      <c r="D618" s="26" t="s">
        <v>38</v>
      </c>
      <c r="E618" s="26"/>
      <c r="F618" s="26"/>
      <c r="G618" s="26"/>
      <c r="H618" s="26"/>
      <c r="I618" s="26"/>
      <c r="J618" s="26"/>
      <c r="K618" s="8">
        <v>1</v>
      </c>
      <c r="L618" s="22"/>
      <c r="M618" s="27" t="s">
        <v>624</v>
      </c>
      <c r="N618" s="10">
        <v>2000</v>
      </c>
      <c r="O618" s="11">
        <v>1</v>
      </c>
      <c r="P618" s="12"/>
      <c r="Q618" s="12"/>
    </row>
    <row r="619" spans="1:17" ht="20.100000000000001" customHeight="1">
      <c r="A619" s="4">
        <v>616</v>
      </c>
      <c r="B619" s="26" t="s">
        <v>616</v>
      </c>
      <c r="C619" s="6" t="s">
        <v>25</v>
      </c>
      <c r="D619" s="26" t="s">
        <v>38</v>
      </c>
      <c r="E619" s="26"/>
      <c r="F619" s="26"/>
      <c r="G619" s="26"/>
      <c r="H619" s="26"/>
      <c r="I619" s="26"/>
      <c r="J619" s="26"/>
      <c r="K619" s="8">
        <v>1</v>
      </c>
      <c r="L619" s="22"/>
      <c r="M619" s="27" t="s">
        <v>625</v>
      </c>
      <c r="N619" s="10">
        <v>500</v>
      </c>
      <c r="O619" s="11">
        <v>1</v>
      </c>
      <c r="P619" s="12"/>
      <c r="Q619" s="12"/>
    </row>
    <row r="620" spans="1:17" ht="20.100000000000001" customHeight="1">
      <c r="A620" s="4">
        <v>617</v>
      </c>
      <c r="B620" s="26" t="s">
        <v>616</v>
      </c>
      <c r="C620" s="6" t="s">
        <v>25</v>
      </c>
      <c r="D620" s="26" t="s">
        <v>38</v>
      </c>
      <c r="E620" s="26"/>
      <c r="F620" s="26"/>
      <c r="G620" s="26"/>
      <c r="H620" s="26"/>
      <c r="I620" s="26"/>
      <c r="J620" s="26"/>
      <c r="K620" s="8">
        <v>1</v>
      </c>
      <c r="L620" s="22"/>
      <c r="M620" s="27" t="s">
        <v>626</v>
      </c>
      <c r="N620" s="10">
        <v>1000</v>
      </c>
      <c r="O620" s="11">
        <v>1</v>
      </c>
      <c r="P620" s="12"/>
      <c r="Q620" s="12"/>
    </row>
    <row r="621" spans="1:17" ht="20.100000000000001" customHeight="1">
      <c r="A621" s="4">
        <v>618</v>
      </c>
      <c r="B621" s="26" t="s">
        <v>616</v>
      </c>
      <c r="C621" s="6" t="s">
        <v>25</v>
      </c>
      <c r="D621" s="26" t="s">
        <v>38</v>
      </c>
      <c r="E621" s="26"/>
      <c r="F621" s="26"/>
      <c r="G621" s="26"/>
      <c r="H621" s="26"/>
      <c r="I621" s="26"/>
      <c r="J621" s="26"/>
      <c r="K621" s="8">
        <v>1</v>
      </c>
      <c r="L621" s="22"/>
      <c r="M621" s="27" t="s">
        <v>627</v>
      </c>
      <c r="N621" s="10">
        <v>3762.5</v>
      </c>
      <c r="O621" s="11">
        <v>1</v>
      </c>
      <c r="P621" s="12"/>
      <c r="Q621" s="12"/>
    </row>
    <row r="622" spans="1:17" ht="20.100000000000001" customHeight="1">
      <c r="A622" s="4">
        <v>619</v>
      </c>
      <c r="B622" s="26" t="s">
        <v>616</v>
      </c>
      <c r="C622" s="6" t="s">
        <v>25</v>
      </c>
      <c r="D622" s="26" t="s">
        <v>38</v>
      </c>
      <c r="E622" s="26"/>
      <c r="F622" s="26"/>
      <c r="G622" s="26"/>
      <c r="H622" s="26"/>
      <c r="I622" s="26"/>
      <c r="J622" s="26"/>
      <c r="K622" s="8">
        <v>1</v>
      </c>
      <c r="L622" s="22"/>
      <c r="M622" s="27" t="s">
        <v>628</v>
      </c>
      <c r="N622" s="10">
        <v>10000</v>
      </c>
      <c r="O622" s="11">
        <v>1</v>
      </c>
      <c r="P622" s="12"/>
      <c r="Q622" s="12"/>
    </row>
    <row r="623" spans="1:17" ht="20.100000000000001" customHeight="1">
      <c r="A623" s="4">
        <v>620</v>
      </c>
      <c r="B623" s="26" t="s">
        <v>616</v>
      </c>
      <c r="C623" s="6" t="s">
        <v>25</v>
      </c>
      <c r="D623" s="26" t="s">
        <v>38</v>
      </c>
      <c r="E623" s="26"/>
      <c r="F623" s="26"/>
      <c r="G623" s="26"/>
      <c r="H623" s="26"/>
      <c r="I623" s="26"/>
      <c r="J623" s="26"/>
      <c r="K623" s="8">
        <v>1</v>
      </c>
      <c r="L623" s="22"/>
      <c r="M623" s="27" t="s">
        <v>629</v>
      </c>
      <c r="N623" s="10">
        <v>1000</v>
      </c>
      <c r="O623" s="11">
        <v>1</v>
      </c>
      <c r="P623" s="12"/>
      <c r="Q623" s="12"/>
    </row>
    <row r="624" spans="1:17" ht="20.100000000000001" customHeight="1">
      <c r="A624" s="4">
        <v>621</v>
      </c>
      <c r="B624" s="26" t="s">
        <v>630</v>
      </c>
      <c r="C624" s="6" t="s">
        <v>25</v>
      </c>
      <c r="D624" s="26" t="s">
        <v>26</v>
      </c>
      <c r="E624" s="26"/>
      <c r="F624" s="26"/>
      <c r="G624" s="26"/>
      <c r="H624" s="26"/>
      <c r="I624" s="26"/>
      <c r="J624" s="26"/>
      <c r="K624" s="8">
        <v>1</v>
      </c>
      <c r="L624" s="22"/>
      <c r="M624" s="27" t="s">
        <v>631</v>
      </c>
      <c r="N624" s="10">
        <v>-113881.19</v>
      </c>
      <c r="O624" s="11">
        <v>1</v>
      </c>
      <c r="P624" s="12"/>
      <c r="Q624" s="12"/>
    </row>
    <row r="625" spans="1:17" ht="20.100000000000001" customHeight="1">
      <c r="A625" s="4">
        <v>622</v>
      </c>
      <c r="B625" s="26" t="s">
        <v>630</v>
      </c>
      <c r="C625" s="6" t="s">
        <v>25</v>
      </c>
      <c r="D625" s="26" t="s">
        <v>26</v>
      </c>
      <c r="E625" s="26"/>
      <c r="F625" s="26"/>
      <c r="G625" s="26"/>
      <c r="H625" s="26"/>
      <c r="I625" s="26"/>
      <c r="J625" s="26"/>
      <c r="K625" s="8">
        <v>1</v>
      </c>
      <c r="L625" s="22"/>
      <c r="M625" s="27" t="s">
        <v>632</v>
      </c>
      <c r="N625" s="10">
        <v>823556</v>
      </c>
      <c r="O625" s="11">
        <v>1</v>
      </c>
      <c r="P625" s="12"/>
      <c r="Q625" s="12"/>
    </row>
    <row r="626" spans="1:17" ht="20.100000000000001" customHeight="1">
      <c r="A626" s="4">
        <v>623</v>
      </c>
      <c r="B626" s="26" t="s">
        <v>630</v>
      </c>
      <c r="C626" s="6" t="s">
        <v>25</v>
      </c>
      <c r="D626" s="26" t="s">
        <v>29</v>
      </c>
      <c r="E626" s="26"/>
      <c r="F626" s="26"/>
      <c r="G626" s="8">
        <v>1</v>
      </c>
      <c r="H626" s="26"/>
      <c r="I626" s="26"/>
      <c r="J626" s="26"/>
      <c r="K626" s="14"/>
      <c r="L626" s="22"/>
      <c r="M626" s="27" t="s">
        <v>633</v>
      </c>
      <c r="N626" s="10">
        <v>-159970655.80000001</v>
      </c>
      <c r="O626" s="11">
        <v>1</v>
      </c>
      <c r="P626" s="12"/>
      <c r="Q626" s="12"/>
    </row>
    <row r="627" spans="1:17" ht="20.100000000000001" customHeight="1">
      <c r="A627" s="4">
        <v>624</v>
      </c>
      <c r="B627" s="26" t="s">
        <v>630</v>
      </c>
      <c r="C627" s="6" t="s">
        <v>25</v>
      </c>
      <c r="D627" s="26" t="s">
        <v>29</v>
      </c>
      <c r="E627" s="26"/>
      <c r="F627" s="26"/>
      <c r="G627" s="8">
        <v>1</v>
      </c>
      <c r="H627" s="26"/>
      <c r="I627" s="26"/>
      <c r="J627" s="26"/>
      <c r="K627" s="14"/>
      <c r="L627" s="22"/>
      <c r="M627" s="27" t="s">
        <v>516</v>
      </c>
      <c r="N627" s="10">
        <v>4793.43</v>
      </c>
      <c r="O627" s="11">
        <v>1</v>
      </c>
      <c r="P627" s="12"/>
      <c r="Q627" s="12"/>
    </row>
    <row r="628" spans="1:17" ht="20.100000000000001" customHeight="1">
      <c r="A628" s="4">
        <v>625</v>
      </c>
      <c r="B628" s="26" t="s">
        <v>630</v>
      </c>
      <c r="C628" s="6" t="s">
        <v>25</v>
      </c>
      <c r="D628" s="26" t="s">
        <v>29</v>
      </c>
      <c r="E628" s="26"/>
      <c r="F628" s="26"/>
      <c r="G628" s="8">
        <v>1</v>
      </c>
      <c r="H628" s="26"/>
      <c r="I628" s="26"/>
      <c r="J628" s="26"/>
      <c r="K628" s="14"/>
      <c r="L628" s="22"/>
      <c r="M628" s="27" t="s">
        <v>634</v>
      </c>
      <c r="N628" s="10">
        <v>237698.93</v>
      </c>
      <c r="O628" s="11">
        <v>1</v>
      </c>
      <c r="P628" s="12"/>
      <c r="Q628" s="12"/>
    </row>
    <row r="629" spans="1:17" ht="20.100000000000001" customHeight="1">
      <c r="A629" s="4">
        <v>626</v>
      </c>
      <c r="B629" s="26" t="s">
        <v>630</v>
      </c>
      <c r="C629" s="6" t="s">
        <v>25</v>
      </c>
      <c r="D629" s="26" t="s">
        <v>29</v>
      </c>
      <c r="E629" s="26"/>
      <c r="F629" s="26"/>
      <c r="G629" s="26"/>
      <c r="H629" s="26"/>
      <c r="I629" s="26"/>
      <c r="J629" s="26"/>
      <c r="K629" s="8">
        <v>1</v>
      </c>
      <c r="L629" s="22"/>
      <c r="M629" s="27" t="s">
        <v>635</v>
      </c>
      <c r="N629" s="10">
        <v>9800</v>
      </c>
      <c r="O629" s="11">
        <v>1</v>
      </c>
      <c r="P629" s="12"/>
      <c r="Q629" s="12"/>
    </row>
    <row r="630" spans="1:17" ht="20.100000000000001" customHeight="1">
      <c r="A630" s="4">
        <v>627</v>
      </c>
      <c r="B630" s="26" t="s">
        <v>630</v>
      </c>
      <c r="C630" s="6" t="s">
        <v>25</v>
      </c>
      <c r="D630" s="26" t="s">
        <v>29</v>
      </c>
      <c r="E630" s="26"/>
      <c r="F630" s="26"/>
      <c r="G630" s="26"/>
      <c r="H630" s="26"/>
      <c r="I630" s="26"/>
      <c r="J630" s="26"/>
      <c r="K630" s="8">
        <v>3</v>
      </c>
      <c r="L630" s="22"/>
      <c r="M630" s="27" t="s">
        <v>636</v>
      </c>
      <c r="N630" s="10">
        <v>16832.63</v>
      </c>
      <c r="O630" s="11">
        <v>3</v>
      </c>
      <c r="P630" s="12"/>
      <c r="Q630" s="12"/>
    </row>
    <row r="631" spans="1:17" ht="20.100000000000001" customHeight="1">
      <c r="A631" s="4">
        <v>628</v>
      </c>
      <c r="B631" s="26" t="s">
        <v>630</v>
      </c>
      <c r="C631" s="6" t="s">
        <v>25</v>
      </c>
      <c r="D631" s="26" t="s">
        <v>29</v>
      </c>
      <c r="E631" s="26"/>
      <c r="F631" s="26"/>
      <c r="G631" s="26"/>
      <c r="H631" s="26"/>
      <c r="I631" s="26"/>
      <c r="J631" s="26"/>
      <c r="K631" s="8">
        <v>5</v>
      </c>
      <c r="L631" s="22"/>
      <c r="M631" s="27" t="s">
        <v>637</v>
      </c>
      <c r="N631" s="10">
        <v>26632.63</v>
      </c>
      <c r="O631" s="11">
        <v>5</v>
      </c>
      <c r="P631" s="12">
        <v>4</v>
      </c>
      <c r="Q631" s="12"/>
    </row>
    <row r="632" spans="1:17" ht="20.100000000000001" customHeight="1">
      <c r="A632" s="4">
        <v>629</v>
      </c>
      <c r="B632" s="26" t="s">
        <v>630</v>
      </c>
      <c r="C632" s="6" t="s">
        <v>25</v>
      </c>
      <c r="D632" s="26" t="s">
        <v>29</v>
      </c>
      <c r="E632" s="26"/>
      <c r="F632" s="26"/>
      <c r="G632" s="26"/>
      <c r="H632" s="26"/>
      <c r="I632" s="26"/>
      <c r="J632" s="26"/>
      <c r="K632" s="8">
        <v>1</v>
      </c>
      <c r="L632" s="22"/>
      <c r="M632" s="27" t="s">
        <v>638</v>
      </c>
      <c r="N632" s="10">
        <v>4439.33</v>
      </c>
      <c r="O632" s="11">
        <v>1</v>
      </c>
      <c r="P632" s="12"/>
      <c r="Q632" s="12"/>
    </row>
    <row r="633" spans="1:17" ht="20.100000000000001" customHeight="1">
      <c r="A633" s="4">
        <v>630</v>
      </c>
      <c r="B633" s="26" t="s">
        <v>630</v>
      </c>
      <c r="C633" s="6" t="s">
        <v>25</v>
      </c>
      <c r="D633" s="26" t="s">
        <v>68</v>
      </c>
      <c r="E633" s="26"/>
      <c r="F633" s="26"/>
      <c r="G633" s="26"/>
      <c r="H633" s="26"/>
      <c r="I633" s="26"/>
      <c r="J633" s="26"/>
      <c r="K633" s="8">
        <v>1</v>
      </c>
      <c r="L633" s="22"/>
      <c r="M633" s="27" t="s">
        <v>639</v>
      </c>
      <c r="N633" s="10">
        <v>1898.1</v>
      </c>
      <c r="O633" s="11">
        <v>1</v>
      </c>
      <c r="P633" s="12"/>
      <c r="Q633" s="12"/>
    </row>
    <row r="634" spans="1:17" ht="20.100000000000001" customHeight="1">
      <c r="A634" s="4">
        <v>631</v>
      </c>
      <c r="B634" s="26" t="s">
        <v>630</v>
      </c>
      <c r="C634" s="6" t="s">
        <v>25</v>
      </c>
      <c r="D634" s="26" t="s">
        <v>36</v>
      </c>
      <c r="E634" s="26"/>
      <c r="F634" s="8">
        <v>1076</v>
      </c>
      <c r="G634" s="26"/>
      <c r="H634" s="26"/>
      <c r="I634" s="26"/>
      <c r="J634" s="26"/>
      <c r="K634" s="14"/>
      <c r="L634" s="22"/>
      <c r="M634" s="27" t="s">
        <v>640</v>
      </c>
      <c r="N634" s="10"/>
      <c r="O634" s="11">
        <v>1076</v>
      </c>
      <c r="P634" s="12"/>
      <c r="Q634" s="12"/>
    </row>
    <row r="635" spans="1:17" ht="20.100000000000001" customHeight="1">
      <c r="A635" s="4">
        <v>632</v>
      </c>
      <c r="B635" s="26" t="s">
        <v>630</v>
      </c>
      <c r="C635" s="6" t="s">
        <v>25</v>
      </c>
      <c r="D635" s="26" t="s">
        <v>105</v>
      </c>
      <c r="E635" s="26"/>
      <c r="F635" s="26"/>
      <c r="G635" s="26"/>
      <c r="H635" s="26"/>
      <c r="I635" s="26"/>
      <c r="J635" s="26"/>
      <c r="K635" s="8">
        <v>1</v>
      </c>
      <c r="L635" s="22"/>
      <c r="M635" s="27" t="s">
        <v>641</v>
      </c>
      <c r="N635" s="10">
        <v>32615.599999999999</v>
      </c>
      <c r="O635" s="11">
        <v>1</v>
      </c>
      <c r="P635" s="12"/>
      <c r="Q635" s="12"/>
    </row>
    <row r="636" spans="1:17" ht="20.100000000000001" customHeight="1">
      <c r="A636" s="4">
        <v>633</v>
      </c>
      <c r="B636" s="26" t="s">
        <v>630</v>
      </c>
      <c r="C636" s="6" t="s">
        <v>25</v>
      </c>
      <c r="D636" s="26" t="s">
        <v>105</v>
      </c>
      <c r="E636" s="26"/>
      <c r="F636" s="26"/>
      <c r="G636" s="26"/>
      <c r="H636" s="26"/>
      <c r="I636" s="26"/>
      <c r="J636" s="26"/>
      <c r="K636" s="8">
        <v>2</v>
      </c>
      <c r="L636" s="22"/>
      <c r="M636" s="27" t="s">
        <v>642</v>
      </c>
      <c r="N636" s="10">
        <v>27286.07</v>
      </c>
      <c r="O636" s="11">
        <v>2</v>
      </c>
      <c r="P636" s="12"/>
      <c r="Q636" s="12"/>
    </row>
    <row r="637" spans="1:17" ht="20.100000000000001" customHeight="1">
      <c r="A637" s="4">
        <v>634</v>
      </c>
      <c r="B637" s="26" t="s">
        <v>630</v>
      </c>
      <c r="C637" s="6" t="s">
        <v>25</v>
      </c>
      <c r="D637" s="26" t="s">
        <v>105</v>
      </c>
      <c r="E637" s="26"/>
      <c r="F637" s="26"/>
      <c r="G637" s="26"/>
      <c r="H637" s="26"/>
      <c r="I637" s="26"/>
      <c r="J637" s="26"/>
      <c r="K637" s="8">
        <v>2</v>
      </c>
      <c r="L637" s="22"/>
      <c r="M637" s="27" t="s">
        <v>643</v>
      </c>
      <c r="N637" s="10">
        <v>55953.84</v>
      </c>
      <c r="O637" s="11">
        <v>2</v>
      </c>
      <c r="P637" s="12"/>
      <c r="Q637" s="12"/>
    </row>
    <row r="638" spans="1:17" ht="20.100000000000001" customHeight="1">
      <c r="A638" s="4">
        <v>635</v>
      </c>
      <c r="B638" s="26" t="s">
        <v>630</v>
      </c>
      <c r="C638" s="6" t="s">
        <v>25</v>
      </c>
      <c r="D638" s="26" t="s">
        <v>618</v>
      </c>
      <c r="E638" s="26"/>
      <c r="F638" s="26"/>
      <c r="G638" s="26"/>
      <c r="H638" s="26"/>
      <c r="I638" s="26"/>
      <c r="J638" s="26"/>
      <c r="K638" s="8">
        <v>1</v>
      </c>
      <c r="L638" s="22"/>
      <c r="M638" s="27" t="s">
        <v>104</v>
      </c>
      <c r="N638" s="10"/>
      <c r="O638" s="11">
        <v>1</v>
      </c>
      <c r="P638" s="12">
        <v>1</v>
      </c>
      <c r="Q638" s="12"/>
    </row>
    <row r="639" spans="1:17" ht="20.100000000000001" customHeight="1">
      <c r="A639" s="4">
        <v>636</v>
      </c>
      <c r="B639" s="26" t="s">
        <v>630</v>
      </c>
      <c r="C639" s="6" t="s">
        <v>25</v>
      </c>
      <c r="D639" s="26" t="s">
        <v>644</v>
      </c>
      <c r="E639" s="26"/>
      <c r="F639" s="26"/>
      <c r="G639" s="26"/>
      <c r="H639" s="26"/>
      <c r="I639" s="26"/>
      <c r="J639" s="26"/>
      <c r="K639" s="8">
        <v>1</v>
      </c>
      <c r="L639" s="22"/>
      <c r="M639" s="27" t="s">
        <v>645</v>
      </c>
      <c r="N639" s="10">
        <v>736000</v>
      </c>
      <c r="O639" s="11">
        <v>1</v>
      </c>
      <c r="P639" s="12">
        <v>1</v>
      </c>
      <c r="Q639" s="12"/>
    </row>
    <row r="640" spans="1:17" ht="20.100000000000001" customHeight="1">
      <c r="A640" s="4">
        <v>637</v>
      </c>
      <c r="B640" s="26" t="s">
        <v>630</v>
      </c>
      <c r="C640" s="6" t="s">
        <v>25</v>
      </c>
      <c r="D640" s="26" t="s">
        <v>38</v>
      </c>
      <c r="E640" s="26"/>
      <c r="F640" s="26"/>
      <c r="G640" s="26"/>
      <c r="H640" s="26"/>
      <c r="I640" s="26"/>
      <c r="J640" s="26"/>
      <c r="K640" s="8">
        <v>1</v>
      </c>
      <c r="L640" s="22"/>
      <c r="M640" s="27" t="s">
        <v>645</v>
      </c>
      <c r="N640" s="10">
        <v>3811876.52</v>
      </c>
      <c r="O640" s="11">
        <v>1</v>
      </c>
      <c r="P640" s="12"/>
      <c r="Q640" s="12"/>
    </row>
    <row r="641" spans="1:17" ht="20.100000000000001" customHeight="1">
      <c r="A641" s="4">
        <v>638</v>
      </c>
      <c r="B641" s="26" t="s">
        <v>630</v>
      </c>
      <c r="C641" s="6" t="s">
        <v>25</v>
      </c>
      <c r="D641" s="7" t="s">
        <v>38</v>
      </c>
      <c r="E641" s="7"/>
      <c r="F641" s="7"/>
      <c r="G641" s="7"/>
      <c r="H641" s="7"/>
      <c r="I641" s="7"/>
      <c r="J641" s="7"/>
      <c r="K641" s="8">
        <v>1</v>
      </c>
      <c r="L641" s="22"/>
      <c r="M641" s="6" t="s">
        <v>645</v>
      </c>
      <c r="N641" s="10">
        <v>200000</v>
      </c>
      <c r="O641" s="11">
        <v>1</v>
      </c>
      <c r="P641" s="12">
        <v>1</v>
      </c>
      <c r="Q641" s="12"/>
    </row>
    <row r="642" spans="1:17" ht="20.100000000000001" customHeight="1">
      <c r="A642" s="4">
        <v>639</v>
      </c>
      <c r="B642" s="26" t="s">
        <v>630</v>
      </c>
      <c r="C642" s="6" t="s">
        <v>25</v>
      </c>
      <c r="D642" s="7" t="s">
        <v>38</v>
      </c>
      <c r="E642" s="7"/>
      <c r="F642" s="7"/>
      <c r="G642" s="7"/>
      <c r="H642" s="7"/>
      <c r="I642" s="7"/>
      <c r="J642" s="7"/>
      <c r="K642" s="8">
        <v>1</v>
      </c>
      <c r="L642" s="22"/>
      <c r="M642" s="6" t="s">
        <v>645</v>
      </c>
      <c r="N642" s="10">
        <v>6000</v>
      </c>
      <c r="O642" s="11">
        <v>1</v>
      </c>
      <c r="P642" s="12">
        <v>1</v>
      </c>
      <c r="Q642" s="12"/>
    </row>
    <row r="643" spans="1:17" ht="20.100000000000001" customHeight="1">
      <c r="A643" s="4">
        <v>640</v>
      </c>
      <c r="B643" s="26" t="s">
        <v>630</v>
      </c>
      <c r="C643" s="6" t="s">
        <v>25</v>
      </c>
      <c r="D643" s="7" t="s">
        <v>38</v>
      </c>
      <c r="E643" s="7"/>
      <c r="F643" s="7"/>
      <c r="G643" s="7"/>
      <c r="H643" s="7"/>
      <c r="I643" s="7"/>
      <c r="J643" s="7"/>
      <c r="K643" s="8">
        <v>1</v>
      </c>
      <c r="L643" s="22"/>
      <c r="M643" s="6" t="s">
        <v>645</v>
      </c>
      <c r="N643" s="10">
        <v>8700</v>
      </c>
      <c r="O643" s="11">
        <v>1</v>
      </c>
      <c r="P643" s="12">
        <v>1</v>
      </c>
      <c r="Q643" s="12"/>
    </row>
    <row r="644" spans="1:17" ht="20.100000000000001" customHeight="1">
      <c r="A644" s="4">
        <v>641</v>
      </c>
      <c r="B644" s="26" t="s">
        <v>630</v>
      </c>
      <c r="C644" s="6" t="s">
        <v>25</v>
      </c>
      <c r="D644" s="7" t="s">
        <v>38</v>
      </c>
      <c r="E644" s="7"/>
      <c r="F644" s="7"/>
      <c r="G644" s="7"/>
      <c r="H644" s="7"/>
      <c r="I644" s="7"/>
      <c r="J644" s="7"/>
      <c r="K644" s="8">
        <v>1</v>
      </c>
      <c r="L644" s="22"/>
      <c r="M644" s="6" t="s">
        <v>645</v>
      </c>
      <c r="N644" s="10">
        <v>8250</v>
      </c>
      <c r="O644" s="11">
        <v>1</v>
      </c>
      <c r="P644" s="12">
        <v>1</v>
      </c>
      <c r="Q644" s="12"/>
    </row>
    <row r="645" spans="1:17" ht="20.100000000000001" customHeight="1">
      <c r="A645" s="4">
        <v>642</v>
      </c>
      <c r="B645" s="26" t="s">
        <v>630</v>
      </c>
      <c r="C645" s="6" t="s">
        <v>25</v>
      </c>
      <c r="D645" s="7" t="s">
        <v>38</v>
      </c>
      <c r="E645" s="7"/>
      <c r="F645" s="7"/>
      <c r="G645" s="7"/>
      <c r="H645" s="7"/>
      <c r="I645" s="7"/>
      <c r="J645" s="7"/>
      <c r="K645" s="8">
        <v>1</v>
      </c>
      <c r="L645" s="22"/>
      <c r="M645" s="6" t="s">
        <v>645</v>
      </c>
      <c r="N645" s="10">
        <v>175000</v>
      </c>
      <c r="O645" s="11">
        <v>1</v>
      </c>
      <c r="P645" s="12">
        <v>1</v>
      </c>
      <c r="Q645" s="12"/>
    </row>
    <row r="646" spans="1:17" ht="20.100000000000001" customHeight="1">
      <c r="A646" s="4">
        <v>643</v>
      </c>
      <c r="B646" s="26" t="s">
        <v>630</v>
      </c>
      <c r="C646" s="6" t="s">
        <v>25</v>
      </c>
      <c r="D646" s="7" t="s">
        <v>38</v>
      </c>
      <c r="E646" s="7"/>
      <c r="F646" s="7"/>
      <c r="G646" s="7"/>
      <c r="H646" s="7"/>
      <c r="I646" s="7"/>
      <c r="J646" s="7"/>
      <c r="K646" s="8">
        <v>1</v>
      </c>
      <c r="L646" s="22"/>
      <c r="M646" s="6" t="s">
        <v>645</v>
      </c>
      <c r="N646" s="10">
        <v>10000</v>
      </c>
      <c r="O646" s="11">
        <v>1</v>
      </c>
      <c r="P646" s="12">
        <v>1</v>
      </c>
      <c r="Q646" s="12"/>
    </row>
    <row r="647" spans="1:17" ht="20.100000000000001" customHeight="1">
      <c r="A647" s="4">
        <v>644</v>
      </c>
      <c r="B647" s="26" t="s">
        <v>630</v>
      </c>
      <c r="C647" s="6" t="s">
        <v>25</v>
      </c>
      <c r="D647" s="7" t="s">
        <v>38</v>
      </c>
      <c r="E647" s="7"/>
      <c r="F647" s="7"/>
      <c r="G647" s="7"/>
      <c r="H647" s="7"/>
      <c r="I647" s="7"/>
      <c r="J647" s="7"/>
      <c r="K647" s="8">
        <v>1</v>
      </c>
      <c r="L647" s="22" t="s">
        <v>646</v>
      </c>
      <c r="M647" s="6" t="s">
        <v>647</v>
      </c>
      <c r="N647" s="10">
        <v>15000</v>
      </c>
      <c r="O647" s="11">
        <v>1</v>
      </c>
      <c r="P647" s="12">
        <v>1</v>
      </c>
      <c r="Q647" s="12"/>
    </row>
    <row r="648" spans="1:17" ht="20.100000000000001" customHeight="1">
      <c r="A648" s="4">
        <v>645</v>
      </c>
      <c r="B648" s="26" t="s">
        <v>630</v>
      </c>
      <c r="C648" s="6" t="s">
        <v>25</v>
      </c>
      <c r="D648" s="7" t="s">
        <v>38</v>
      </c>
      <c r="E648" s="7"/>
      <c r="F648" s="7"/>
      <c r="G648" s="7"/>
      <c r="H648" s="7"/>
      <c r="I648" s="7"/>
      <c r="J648" s="7"/>
      <c r="K648" s="8">
        <v>1</v>
      </c>
      <c r="L648" s="22" t="s">
        <v>648</v>
      </c>
      <c r="M648" s="6" t="s">
        <v>109</v>
      </c>
      <c r="N648" s="10">
        <v>50000</v>
      </c>
      <c r="O648" s="11">
        <v>1</v>
      </c>
      <c r="P648" s="12">
        <v>1</v>
      </c>
      <c r="Q648" s="12"/>
    </row>
    <row r="649" spans="1:17" ht="20.100000000000001" customHeight="1">
      <c r="A649" s="4">
        <v>646</v>
      </c>
      <c r="B649" s="26" t="s">
        <v>630</v>
      </c>
      <c r="C649" s="6" t="s">
        <v>25</v>
      </c>
      <c r="D649" s="7" t="s">
        <v>38</v>
      </c>
      <c r="E649" s="7"/>
      <c r="F649" s="7"/>
      <c r="G649" s="7"/>
      <c r="H649" s="7"/>
      <c r="I649" s="7"/>
      <c r="J649" s="7"/>
      <c r="K649" s="8">
        <v>1</v>
      </c>
      <c r="L649" s="22" t="s">
        <v>649</v>
      </c>
      <c r="M649" s="6" t="s">
        <v>650</v>
      </c>
      <c r="N649" s="10">
        <v>1000</v>
      </c>
      <c r="O649" s="11">
        <v>1</v>
      </c>
      <c r="P649" s="12">
        <v>1</v>
      </c>
      <c r="Q649" s="12"/>
    </row>
    <row r="650" spans="1:17" ht="20.100000000000001" customHeight="1">
      <c r="A650" s="4">
        <v>647</v>
      </c>
      <c r="B650" s="26" t="s">
        <v>630</v>
      </c>
      <c r="C650" s="6" t="s">
        <v>25</v>
      </c>
      <c r="D650" s="7" t="s">
        <v>38</v>
      </c>
      <c r="E650" s="7"/>
      <c r="F650" s="7"/>
      <c r="G650" s="7"/>
      <c r="H650" s="7"/>
      <c r="I650" s="7"/>
      <c r="J650" s="7"/>
      <c r="K650" s="8">
        <v>1</v>
      </c>
      <c r="L650" s="25" t="s">
        <v>651</v>
      </c>
      <c r="M650" s="6" t="s">
        <v>652</v>
      </c>
      <c r="N650" s="13">
        <v>5000</v>
      </c>
      <c r="O650" s="11">
        <v>1</v>
      </c>
      <c r="P650" s="12">
        <v>1</v>
      </c>
      <c r="Q650" s="12"/>
    </row>
    <row r="651" spans="1:17" ht="20.100000000000001" customHeight="1">
      <c r="A651" s="4">
        <v>648</v>
      </c>
      <c r="B651" s="26" t="s">
        <v>630</v>
      </c>
      <c r="C651" s="6" t="s">
        <v>25</v>
      </c>
      <c r="D651" s="7" t="s">
        <v>38</v>
      </c>
      <c r="E651" s="7"/>
      <c r="F651" s="7"/>
      <c r="G651" s="7"/>
      <c r="H651" s="7"/>
      <c r="I651" s="7"/>
      <c r="J651" s="7"/>
      <c r="K651" s="8">
        <v>1</v>
      </c>
      <c r="L651" s="25" t="s">
        <v>649</v>
      </c>
      <c r="M651" s="6" t="s">
        <v>650</v>
      </c>
      <c r="N651" s="13">
        <v>100</v>
      </c>
      <c r="O651" s="11">
        <v>1</v>
      </c>
      <c r="P651" s="12">
        <v>1</v>
      </c>
      <c r="Q651" s="12"/>
    </row>
    <row r="652" spans="1:17" ht="20.100000000000001" customHeight="1">
      <c r="A652" s="4">
        <v>649</v>
      </c>
      <c r="B652" s="26" t="s">
        <v>630</v>
      </c>
      <c r="C652" s="6" t="s">
        <v>25</v>
      </c>
      <c r="D652" s="7" t="s">
        <v>38</v>
      </c>
      <c r="E652" s="7"/>
      <c r="F652" s="7"/>
      <c r="G652" s="7"/>
      <c r="H652" s="7"/>
      <c r="I652" s="7"/>
      <c r="J652" s="7"/>
      <c r="K652" s="8">
        <v>1</v>
      </c>
      <c r="L652" s="25" t="s">
        <v>649</v>
      </c>
      <c r="M652" s="6" t="s">
        <v>109</v>
      </c>
      <c r="N652" s="13">
        <v>10000</v>
      </c>
      <c r="O652" s="11">
        <v>1</v>
      </c>
      <c r="P652" s="12">
        <v>1</v>
      </c>
      <c r="Q652" s="12"/>
    </row>
    <row r="653" spans="1:17" ht="20.100000000000001" customHeight="1">
      <c r="A653" s="4">
        <v>650</v>
      </c>
      <c r="B653" s="26" t="s">
        <v>630</v>
      </c>
      <c r="C653" s="6" t="s">
        <v>25</v>
      </c>
      <c r="D653" s="7" t="s">
        <v>38</v>
      </c>
      <c r="E653" s="7"/>
      <c r="F653" s="7"/>
      <c r="G653" s="7"/>
      <c r="H653" s="7"/>
      <c r="I653" s="7"/>
      <c r="J653" s="7"/>
      <c r="K653" s="8">
        <v>1</v>
      </c>
      <c r="L653" s="25"/>
      <c r="M653" s="6" t="s">
        <v>650</v>
      </c>
      <c r="N653" s="13">
        <v>400</v>
      </c>
      <c r="O653" s="11">
        <v>1</v>
      </c>
      <c r="P653" s="12">
        <v>1</v>
      </c>
      <c r="Q653" s="12"/>
    </row>
    <row r="654" spans="1:17" ht="20.100000000000001" customHeight="1">
      <c r="A654" s="4">
        <v>651</v>
      </c>
      <c r="B654" s="26" t="s">
        <v>630</v>
      </c>
      <c r="C654" s="6" t="s">
        <v>25</v>
      </c>
      <c r="D654" s="7" t="s">
        <v>38</v>
      </c>
      <c r="E654" s="7"/>
      <c r="F654" s="7"/>
      <c r="G654" s="7"/>
      <c r="H654" s="7"/>
      <c r="I654" s="7"/>
      <c r="J654" s="7"/>
      <c r="K654" s="8">
        <v>1</v>
      </c>
      <c r="L654" s="25"/>
      <c r="M654" s="6" t="s">
        <v>653</v>
      </c>
      <c r="N654" s="13">
        <v>50000</v>
      </c>
      <c r="O654" s="11">
        <v>1</v>
      </c>
      <c r="P654" s="12">
        <v>1</v>
      </c>
      <c r="Q654" s="12"/>
    </row>
    <row r="655" spans="1:17" ht="20.100000000000001" customHeight="1">
      <c r="A655" s="4">
        <v>652</v>
      </c>
      <c r="B655" s="26" t="s">
        <v>630</v>
      </c>
      <c r="C655" s="6" t="s">
        <v>25</v>
      </c>
      <c r="D655" s="7" t="s">
        <v>38</v>
      </c>
      <c r="E655" s="7"/>
      <c r="F655" s="7"/>
      <c r="G655" s="7"/>
      <c r="H655" s="7"/>
      <c r="I655" s="7"/>
      <c r="J655" s="7"/>
      <c r="K655" s="8">
        <v>1</v>
      </c>
      <c r="L655" s="25"/>
      <c r="M655" s="6" t="s">
        <v>652</v>
      </c>
      <c r="N655" s="13">
        <v>6000</v>
      </c>
      <c r="O655" s="11">
        <v>1</v>
      </c>
      <c r="P655" s="12">
        <v>1</v>
      </c>
      <c r="Q655" s="12"/>
    </row>
    <row r="656" spans="1:17" ht="20.100000000000001" customHeight="1">
      <c r="A656" s="4">
        <v>653</v>
      </c>
      <c r="B656" s="26" t="s">
        <v>630</v>
      </c>
      <c r="C656" s="6" t="s">
        <v>25</v>
      </c>
      <c r="D656" s="7" t="s">
        <v>38</v>
      </c>
      <c r="E656" s="7"/>
      <c r="F656" s="7"/>
      <c r="G656" s="7"/>
      <c r="H656" s="7"/>
      <c r="I656" s="7"/>
      <c r="J656" s="7"/>
      <c r="K656" s="8">
        <v>1</v>
      </c>
      <c r="L656" s="25" t="s">
        <v>654</v>
      </c>
      <c r="M656" s="6" t="s">
        <v>655</v>
      </c>
      <c r="N656" s="13">
        <v>5000</v>
      </c>
      <c r="O656" s="11">
        <v>1</v>
      </c>
      <c r="P656" s="12">
        <v>1</v>
      </c>
      <c r="Q656" s="12"/>
    </row>
    <row r="657" spans="1:17" ht="20.100000000000001" customHeight="1">
      <c r="A657" s="4">
        <v>654</v>
      </c>
      <c r="B657" s="26" t="s">
        <v>630</v>
      </c>
      <c r="C657" s="6" t="s">
        <v>25</v>
      </c>
      <c r="D657" s="7" t="s">
        <v>38</v>
      </c>
      <c r="E657" s="7"/>
      <c r="F657" s="7"/>
      <c r="G657" s="7"/>
      <c r="H657" s="7"/>
      <c r="I657" s="7"/>
      <c r="J657" s="7"/>
      <c r="K657" s="8">
        <v>1</v>
      </c>
      <c r="L657" s="25" t="s">
        <v>654</v>
      </c>
      <c r="M657" s="6" t="s">
        <v>656</v>
      </c>
      <c r="N657" s="13">
        <v>40000</v>
      </c>
      <c r="O657" s="11">
        <v>1</v>
      </c>
      <c r="P657" s="12">
        <v>1</v>
      </c>
      <c r="Q657" s="12"/>
    </row>
    <row r="658" spans="1:17" ht="20.100000000000001" customHeight="1">
      <c r="A658" s="4">
        <v>655</v>
      </c>
      <c r="B658" s="26" t="s">
        <v>630</v>
      </c>
      <c r="C658" s="6" t="s">
        <v>25</v>
      </c>
      <c r="D658" s="7" t="s">
        <v>38</v>
      </c>
      <c r="E658" s="7"/>
      <c r="F658" s="7"/>
      <c r="G658" s="7"/>
      <c r="H658" s="7"/>
      <c r="I658" s="7"/>
      <c r="J658" s="7"/>
      <c r="K658" s="8">
        <v>1</v>
      </c>
      <c r="L658" s="25" t="s">
        <v>657</v>
      </c>
      <c r="M658" s="6" t="s">
        <v>652</v>
      </c>
      <c r="N658" s="13">
        <v>50000</v>
      </c>
      <c r="O658" s="11">
        <v>1</v>
      </c>
      <c r="P658" s="12">
        <v>1</v>
      </c>
      <c r="Q658" s="12"/>
    </row>
    <row r="659" spans="1:17" ht="20.100000000000001" customHeight="1">
      <c r="A659" s="4">
        <v>656</v>
      </c>
      <c r="B659" s="7" t="s">
        <v>658</v>
      </c>
      <c r="C659" s="6" t="s">
        <v>25</v>
      </c>
      <c r="D659" s="7" t="s">
        <v>26</v>
      </c>
      <c r="E659" s="7"/>
      <c r="F659" s="7"/>
      <c r="G659" s="7"/>
      <c r="H659" s="7"/>
      <c r="I659" s="7"/>
      <c r="J659" s="7"/>
      <c r="K659" s="8">
        <v>1</v>
      </c>
      <c r="L659" s="25"/>
      <c r="M659" s="6" t="s">
        <v>48</v>
      </c>
      <c r="N659" s="13">
        <v>16614.13</v>
      </c>
      <c r="O659" s="11">
        <v>1</v>
      </c>
      <c r="P659" s="12"/>
      <c r="Q659" s="12"/>
    </row>
    <row r="660" spans="1:17" ht="20.100000000000001" customHeight="1">
      <c r="A660" s="4">
        <v>657</v>
      </c>
      <c r="B660" s="7" t="s">
        <v>658</v>
      </c>
      <c r="C660" s="6" t="s">
        <v>25</v>
      </c>
      <c r="D660" s="7" t="s">
        <v>26</v>
      </c>
      <c r="E660" s="7"/>
      <c r="F660" s="7"/>
      <c r="G660" s="7"/>
      <c r="H660" s="7"/>
      <c r="I660" s="7"/>
      <c r="J660" s="7"/>
      <c r="K660" s="8">
        <v>1</v>
      </c>
      <c r="L660" s="25"/>
      <c r="M660" s="6" t="s">
        <v>659</v>
      </c>
      <c r="N660" s="13">
        <v>35600</v>
      </c>
      <c r="O660" s="11">
        <v>1</v>
      </c>
      <c r="P660" s="12"/>
      <c r="Q660" s="12"/>
    </row>
    <row r="661" spans="1:17" ht="20.100000000000001" customHeight="1">
      <c r="A661" s="4">
        <v>658</v>
      </c>
      <c r="B661" s="7" t="s">
        <v>658</v>
      </c>
      <c r="C661" s="6" t="s">
        <v>25</v>
      </c>
      <c r="D661" s="7" t="s">
        <v>660</v>
      </c>
      <c r="E661" s="7"/>
      <c r="F661" s="7"/>
      <c r="G661" s="8">
        <v>1</v>
      </c>
      <c r="H661" s="7"/>
      <c r="I661" s="7"/>
      <c r="J661" s="7"/>
      <c r="K661" s="14"/>
      <c r="L661" s="25"/>
      <c r="M661" s="6" t="s">
        <v>32</v>
      </c>
      <c r="N661" s="10">
        <v>1521893.55</v>
      </c>
      <c r="O661" s="11">
        <v>1</v>
      </c>
      <c r="P661" s="12"/>
      <c r="Q661" s="12"/>
    </row>
    <row r="662" spans="1:17" ht="20.100000000000001" customHeight="1">
      <c r="A662" s="4">
        <v>659</v>
      </c>
      <c r="B662" s="7" t="s">
        <v>658</v>
      </c>
      <c r="C662" s="6" t="s">
        <v>25</v>
      </c>
      <c r="D662" s="7" t="s">
        <v>660</v>
      </c>
      <c r="E662" s="7"/>
      <c r="F662" s="7"/>
      <c r="G662" s="7"/>
      <c r="H662" s="8">
        <v>248</v>
      </c>
      <c r="I662" s="7"/>
      <c r="J662" s="7"/>
      <c r="K662" s="14"/>
      <c r="L662" s="25"/>
      <c r="M662" s="6" t="s">
        <v>34</v>
      </c>
      <c r="N662" s="13"/>
      <c r="O662" s="11">
        <v>248</v>
      </c>
      <c r="P662" s="12">
        <v>4</v>
      </c>
      <c r="Q662" s="12"/>
    </row>
    <row r="663" spans="1:17" ht="20.100000000000001" customHeight="1">
      <c r="A663" s="4">
        <v>660</v>
      </c>
      <c r="B663" s="7" t="s">
        <v>658</v>
      </c>
      <c r="C663" s="6" t="s">
        <v>25</v>
      </c>
      <c r="D663" s="7" t="s">
        <v>660</v>
      </c>
      <c r="E663" s="7"/>
      <c r="F663" s="7"/>
      <c r="G663" s="7"/>
      <c r="H663" s="7"/>
      <c r="I663" s="8">
        <v>5322</v>
      </c>
      <c r="J663" s="7"/>
      <c r="K663" s="17"/>
      <c r="L663" s="25"/>
      <c r="M663" s="6" t="s">
        <v>35</v>
      </c>
      <c r="N663" s="13"/>
      <c r="O663" s="11">
        <v>5322</v>
      </c>
      <c r="P663" s="12"/>
      <c r="Q663" s="12"/>
    </row>
    <row r="664" spans="1:17" ht="20.100000000000001" customHeight="1">
      <c r="A664" s="4">
        <v>661</v>
      </c>
      <c r="B664" s="7" t="s">
        <v>658</v>
      </c>
      <c r="C664" s="6" t="s">
        <v>25</v>
      </c>
      <c r="D664" s="7" t="s">
        <v>36</v>
      </c>
      <c r="E664" s="7"/>
      <c r="F664" s="8">
        <v>529</v>
      </c>
      <c r="G664" s="7"/>
      <c r="H664" s="7"/>
      <c r="I664" s="7"/>
      <c r="J664" s="7"/>
      <c r="K664" s="14"/>
      <c r="L664" s="25"/>
      <c r="M664" s="6" t="s">
        <v>52</v>
      </c>
      <c r="N664" s="60"/>
      <c r="O664" s="11">
        <v>529</v>
      </c>
      <c r="P664" s="12"/>
      <c r="Q664" s="12"/>
    </row>
    <row r="665" spans="1:17" ht="20.100000000000001" customHeight="1">
      <c r="A665" s="4">
        <v>662</v>
      </c>
      <c r="B665" s="7" t="s">
        <v>661</v>
      </c>
      <c r="C665" s="6" t="s">
        <v>25</v>
      </c>
      <c r="D665" s="7" t="s">
        <v>662</v>
      </c>
      <c r="E665" s="7"/>
      <c r="F665" s="7"/>
      <c r="G665" s="7"/>
      <c r="H665" s="7"/>
      <c r="I665" s="7"/>
      <c r="J665" s="7"/>
      <c r="K665" s="8">
        <v>1</v>
      </c>
      <c r="L665" s="25"/>
      <c r="M665" s="6" t="s">
        <v>663</v>
      </c>
      <c r="N665" s="13">
        <v>28400.03</v>
      </c>
      <c r="O665" s="11">
        <v>1</v>
      </c>
      <c r="P665" s="12"/>
      <c r="Q665" s="12"/>
    </row>
    <row r="666" spans="1:17" ht="20.100000000000001" customHeight="1">
      <c r="A666" s="4">
        <v>663</v>
      </c>
      <c r="B666" s="7" t="s">
        <v>661</v>
      </c>
      <c r="C666" s="6" t="s">
        <v>25</v>
      </c>
      <c r="D666" s="7" t="s">
        <v>662</v>
      </c>
      <c r="E666" s="7"/>
      <c r="F666" s="7"/>
      <c r="G666" s="7"/>
      <c r="H666" s="7"/>
      <c r="I666" s="7"/>
      <c r="J666" s="7"/>
      <c r="K666" s="8">
        <v>1</v>
      </c>
      <c r="L666" s="25"/>
      <c r="M666" s="6" t="s">
        <v>664</v>
      </c>
      <c r="N666" s="13">
        <v>-98317.260000000009</v>
      </c>
      <c r="O666" s="11">
        <v>1</v>
      </c>
      <c r="P666" s="12"/>
      <c r="Q666" s="12"/>
    </row>
    <row r="667" spans="1:17" ht="20.100000000000001" customHeight="1">
      <c r="A667" s="4">
        <v>664</v>
      </c>
      <c r="B667" s="7" t="s">
        <v>661</v>
      </c>
      <c r="C667" s="6" t="s">
        <v>25</v>
      </c>
      <c r="D667" s="7" t="s">
        <v>29</v>
      </c>
      <c r="E667" s="7"/>
      <c r="F667" s="7"/>
      <c r="G667" s="8">
        <v>1</v>
      </c>
      <c r="H667" s="7"/>
      <c r="I667" s="7"/>
      <c r="J667" s="7"/>
      <c r="K667" s="14"/>
      <c r="L667" s="25"/>
      <c r="M667" s="6" t="s">
        <v>49</v>
      </c>
      <c r="N667" s="13">
        <v>27037713.989999998</v>
      </c>
      <c r="O667" s="11">
        <v>1</v>
      </c>
      <c r="P667" s="12"/>
      <c r="Q667" s="12"/>
    </row>
    <row r="668" spans="1:17" ht="20.100000000000001" customHeight="1">
      <c r="A668" s="4">
        <v>665</v>
      </c>
      <c r="B668" s="7" t="s">
        <v>661</v>
      </c>
      <c r="C668" s="6" t="s">
        <v>25</v>
      </c>
      <c r="D668" s="7" t="s">
        <v>29</v>
      </c>
      <c r="E668" s="7"/>
      <c r="F668" s="7"/>
      <c r="G668" s="8">
        <v>1</v>
      </c>
      <c r="H668" s="7"/>
      <c r="I668" s="7"/>
      <c r="J668" s="7"/>
      <c r="K668" s="14"/>
      <c r="L668" s="25"/>
      <c r="M668" s="6" t="s">
        <v>32</v>
      </c>
      <c r="N668" s="13">
        <v>58.47</v>
      </c>
      <c r="O668" s="11">
        <v>1</v>
      </c>
      <c r="P668" s="12"/>
      <c r="Q668" s="12"/>
    </row>
    <row r="669" spans="1:17" ht="20.100000000000001" customHeight="1">
      <c r="A669" s="4">
        <v>666</v>
      </c>
      <c r="B669" s="7" t="s">
        <v>661</v>
      </c>
      <c r="C669" s="6" t="s">
        <v>25</v>
      </c>
      <c r="D669" s="7" t="s">
        <v>29</v>
      </c>
      <c r="E669" s="7"/>
      <c r="F669" s="7"/>
      <c r="G669" s="8">
        <v>1</v>
      </c>
      <c r="H669" s="7"/>
      <c r="I669" s="7"/>
      <c r="J669" s="7"/>
      <c r="K669" s="14"/>
      <c r="L669" s="25"/>
      <c r="M669" s="6" t="s">
        <v>665</v>
      </c>
      <c r="N669" s="13">
        <v>36342.400000000001</v>
      </c>
      <c r="O669" s="11">
        <v>1</v>
      </c>
      <c r="P669" s="12"/>
      <c r="Q669" s="12"/>
    </row>
    <row r="670" spans="1:17" ht="20.100000000000001" customHeight="1">
      <c r="A670" s="4">
        <v>667</v>
      </c>
      <c r="B670" s="7" t="s">
        <v>661</v>
      </c>
      <c r="C670" s="6" t="s">
        <v>25</v>
      </c>
      <c r="D670" s="7" t="s">
        <v>29</v>
      </c>
      <c r="E670" s="7"/>
      <c r="F670" s="7"/>
      <c r="G670" s="8">
        <v>1</v>
      </c>
      <c r="H670" s="7"/>
      <c r="I670" s="7"/>
      <c r="J670" s="7"/>
      <c r="K670" s="14"/>
      <c r="L670" s="25"/>
      <c r="M670" s="6" t="s">
        <v>50</v>
      </c>
      <c r="N670" s="13">
        <v>51</v>
      </c>
      <c r="O670" s="11">
        <v>1</v>
      </c>
      <c r="P670" s="12"/>
      <c r="Q670" s="12"/>
    </row>
    <row r="671" spans="1:17" ht="20.100000000000001" customHeight="1">
      <c r="A671" s="4">
        <v>668</v>
      </c>
      <c r="B671" s="7" t="s">
        <v>661</v>
      </c>
      <c r="C671" s="6" t="s">
        <v>25</v>
      </c>
      <c r="D671" s="7" t="s">
        <v>29</v>
      </c>
      <c r="E671" s="7"/>
      <c r="F671" s="7"/>
      <c r="G671" s="7"/>
      <c r="H671" s="7"/>
      <c r="I671" s="7"/>
      <c r="J671" s="7"/>
      <c r="K671" s="8">
        <v>1</v>
      </c>
      <c r="L671" s="25"/>
      <c r="M671" s="6" t="s">
        <v>666</v>
      </c>
      <c r="N671" s="13">
        <v>30787.33</v>
      </c>
      <c r="O671" s="11">
        <v>1</v>
      </c>
      <c r="P671" s="12"/>
      <c r="Q671" s="12"/>
    </row>
    <row r="672" spans="1:17" ht="20.100000000000001" customHeight="1">
      <c r="A672" s="4">
        <v>669</v>
      </c>
      <c r="B672" s="7" t="s">
        <v>661</v>
      </c>
      <c r="C672" s="6" t="s">
        <v>25</v>
      </c>
      <c r="D672" s="7" t="s">
        <v>29</v>
      </c>
      <c r="E672" s="7"/>
      <c r="F672" s="7"/>
      <c r="G672" s="7"/>
      <c r="H672" s="7"/>
      <c r="I672" s="7"/>
      <c r="J672" s="7"/>
      <c r="K672" s="8">
        <v>1</v>
      </c>
      <c r="L672" s="25"/>
      <c r="M672" s="6" t="s">
        <v>667</v>
      </c>
      <c r="N672" s="13">
        <v>707498.06</v>
      </c>
      <c r="O672" s="11">
        <v>1</v>
      </c>
      <c r="P672" s="12"/>
      <c r="Q672" s="12"/>
    </row>
    <row r="673" spans="1:17" ht="20.100000000000001" customHeight="1">
      <c r="A673" s="4">
        <v>670</v>
      </c>
      <c r="B673" s="7" t="s">
        <v>661</v>
      </c>
      <c r="C673" s="6" t="s">
        <v>25</v>
      </c>
      <c r="D673" s="7" t="s">
        <v>29</v>
      </c>
      <c r="E673" s="7"/>
      <c r="F673" s="7"/>
      <c r="G673" s="7"/>
      <c r="H673" s="7"/>
      <c r="I673" s="7"/>
      <c r="J673" s="7"/>
      <c r="K673" s="8">
        <v>13</v>
      </c>
      <c r="L673" s="25"/>
      <c r="M673" s="61" t="s">
        <v>668</v>
      </c>
      <c r="N673" s="62"/>
      <c r="O673" s="11">
        <v>13</v>
      </c>
      <c r="P673" s="12"/>
      <c r="Q673" s="12"/>
    </row>
    <row r="674" spans="1:17" ht="20.100000000000001" customHeight="1">
      <c r="A674" s="4">
        <v>671</v>
      </c>
      <c r="B674" s="7" t="s">
        <v>661</v>
      </c>
      <c r="C674" s="6" t="s">
        <v>25</v>
      </c>
      <c r="D674" s="7" t="s">
        <v>29</v>
      </c>
      <c r="E674" s="7"/>
      <c r="F674" s="7"/>
      <c r="G674" s="7"/>
      <c r="H674" s="7"/>
      <c r="I674" s="7"/>
      <c r="J674" s="7"/>
      <c r="K674" s="8">
        <v>2</v>
      </c>
      <c r="L674" s="25"/>
      <c r="M674" s="61" t="s">
        <v>669</v>
      </c>
      <c r="N674" s="62">
        <v>1875</v>
      </c>
      <c r="O674" s="11">
        <v>2</v>
      </c>
      <c r="P674" s="12"/>
      <c r="Q674" s="12"/>
    </row>
    <row r="675" spans="1:17" ht="20.100000000000001" customHeight="1">
      <c r="A675" s="4">
        <v>672</v>
      </c>
      <c r="B675" s="7" t="s">
        <v>661</v>
      </c>
      <c r="C675" s="6" t="s">
        <v>25</v>
      </c>
      <c r="D675" s="7" t="s">
        <v>670</v>
      </c>
      <c r="E675" s="7"/>
      <c r="F675" s="7"/>
      <c r="G675" s="7"/>
      <c r="H675" s="7"/>
      <c r="I675" s="8">
        <v>3700</v>
      </c>
      <c r="J675" s="7"/>
      <c r="K675" s="17"/>
      <c r="L675" s="25"/>
      <c r="M675" s="6" t="s">
        <v>35</v>
      </c>
      <c r="N675" s="13"/>
      <c r="O675" s="11">
        <v>3700</v>
      </c>
      <c r="P675" s="12"/>
      <c r="Q675" s="12"/>
    </row>
    <row r="676" spans="1:17" ht="20.100000000000001" customHeight="1">
      <c r="A676" s="4">
        <v>673</v>
      </c>
      <c r="B676" s="7" t="s">
        <v>661</v>
      </c>
      <c r="C676" s="6" t="s">
        <v>25</v>
      </c>
      <c r="D676" s="7" t="s">
        <v>671</v>
      </c>
      <c r="E676" s="7"/>
      <c r="F676" s="8">
        <v>770</v>
      </c>
      <c r="G676" s="7"/>
      <c r="H676" s="7"/>
      <c r="I676" s="7"/>
      <c r="J676" s="7"/>
      <c r="K676" s="14"/>
      <c r="L676" s="25"/>
      <c r="M676" s="6" t="s">
        <v>672</v>
      </c>
      <c r="N676" s="13"/>
      <c r="O676" s="11">
        <v>770</v>
      </c>
      <c r="P676" s="12"/>
      <c r="Q676" s="12"/>
    </row>
    <row r="677" spans="1:17" ht="20.100000000000001" customHeight="1">
      <c r="A677" s="4">
        <v>674</v>
      </c>
      <c r="B677" s="7" t="s">
        <v>673</v>
      </c>
      <c r="C677" s="6" t="s">
        <v>25</v>
      </c>
      <c r="D677" s="7" t="s">
        <v>26</v>
      </c>
      <c r="E677" s="7"/>
      <c r="F677" s="7"/>
      <c r="G677" s="7"/>
      <c r="H677" s="7"/>
      <c r="I677" s="7"/>
      <c r="J677" s="7"/>
      <c r="K677" s="8">
        <v>1</v>
      </c>
      <c r="L677" s="25"/>
      <c r="M677" s="6" t="s">
        <v>48</v>
      </c>
      <c r="N677" s="13">
        <v>5000</v>
      </c>
      <c r="O677" s="11">
        <v>1</v>
      </c>
      <c r="P677" s="12"/>
      <c r="Q677" s="12"/>
    </row>
    <row r="678" spans="1:17" ht="20.100000000000001" customHeight="1">
      <c r="A678" s="4">
        <v>675</v>
      </c>
      <c r="B678" s="7" t="s">
        <v>673</v>
      </c>
      <c r="C678" s="6" t="s">
        <v>25</v>
      </c>
      <c r="D678" s="7" t="s">
        <v>29</v>
      </c>
      <c r="E678" s="7"/>
      <c r="F678" s="7"/>
      <c r="G678" s="7"/>
      <c r="H678" s="7"/>
      <c r="I678" s="7"/>
      <c r="J678" s="7"/>
      <c r="K678" s="8">
        <v>1</v>
      </c>
      <c r="L678" s="25"/>
      <c r="M678" s="6" t="s">
        <v>674</v>
      </c>
      <c r="N678" s="13">
        <v>1700</v>
      </c>
      <c r="O678" s="11">
        <v>1</v>
      </c>
      <c r="P678" s="12"/>
      <c r="Q678" s="12"/>
    </row>
    <row r="679" spans="1:17" ht="20.100000000000001" customHeight="1">
      <c r="A679" s="4">
        <v>676</v>
      </c>
      <c r="B679" s="7" t="s">
        <v>673</v>
      </c>
      <c r="C679" s="6" t="s">
        <v>25</v>
      </c>
      <c r="D679" s="7" t="s">
        <v>29</v>
      </c>
      <c r="E679" s="7"/>
      <c r="F679" s="7"/>
      <c r="G679" s="8">
        <v>1</v>
      </c>
      <c r="H679" s="7"/>
      <c r="I679" s="7"/>
      <c r="J679" s="7"/>
      <c r="K679" s="14"/>
      <c r="L679" s="25"/>
      <c r="M679" s="6" t="s">
        <v>675</v>
      </c>
      <c r="N679" s="13">
        <v>5.68</v>
      </c>
      <c r="O679" s="11">
        <v>1</v>
      </c>
      <c r="P679" s="12">
        <v>1</v>
      </c>
      <c r="Q679" s="12"/>
    </row>
    <row r="680" spans="1:17" ht="20.100000000000001" customHeight="1">
      <c r="A680" s="4">
        <v>677</v>
      </c>
      <c r="B680" s="7" t="s">
        <v>673</v>
      </c>
      <c r="C680" s="6" t="s">
        <v>25</v>
      </c>
      <c r="D680" s="7" t="s">
        <v>29</v>
      </c>
      <c r="E680" s="7"/>
      <c r="F680" s="7"/>
      <c r="G680" s="7"/>
      <c r="H680" s="7"/>
      <c r="I680" s="7"/>
      <c r="J680" s="7"/>
      <c r="K680" s="8">
        <v>1</v>
      </c>
      <c r="L680" s="25"/>
      <c r="M680" s="6" t="s">
        <v>676</v>
      </c>
      <c r="N680" s="13">
        <v>9702.67</v>
      </c>
      <c r="O680" s="11">
        <v>1</v>
      </c>
      <c r="P680" s="12"/>
      <c r="Q680" s="12"/>
    </row>
    <row r="681" spans="1:17" ht="20.100000000000001" customHeight="1">
      <c r="A681" s="4">
        <v>678</v>
      </c>
      <c r="B681" s="7" t="s">
        <v>673</v>
      </c>
      <c r="C681" s="6" t="s">
        <v>25</v>
      </c>
      <c r="D681" s="7" t="s">
        <v>29</v>
      </c>
      <c r="E681" s="7"/>
      <c r="F681" s="7"/>
      <c r="G681" s="7"/>
      <c r="H681" s="7"/>
      <c r="I681" s="7"/>
      <c r="J681" s="7"/>
      <c r="K681" s="8">
        <v>1</v>
      </c>
      <c r="L681" s="25"/>
      <c r="M681" s="6" t="s">
        <v>677</v>
      </c>
      <c r="N681" s="13">
        <v>2802.32</v>
      </c>
      <c r="O681" s="11">
        <v>1</v>
      </c>
      <c r="P681" s="12"/>
      <c r="Q681" s="12"/>
    </row>
    <row r="682" spans="1:17" ht="20.100000000000001" customHeight="1">
      <c r="A682" s="4">
        <v>679</v>
      </c>
      <c r="B682" s="7" t="s">
        <v>673</v>
      </c>
      <c r="C682" s="6" t="s">
        <v>25</v>
      </c>
      <c r="D682" s="7" t="s">
        <v>29</v>
      </c>
      <c r="E682" s="7"/>
      <c r="F682" s="7"/>
      <c r="G682" s="7"/>
      <c r="H682" s="7"/>
      <c r="I682" s="7"/>
      <c r="J682" s="7"/>
      <c r="K682" s="8">
        <v>1</v>
      </c>
      <c r="L682" s="25"/>
      <c r="M682" s="6" t="s">
        <v>678</v>
      </c>
      <c r="N682" s="13">
        <v>-8843.27</v>
      </c>
      <c r="O682" s="11">
        <v>1</v>
      </c>
      <c r="P682" s="12"/>
      <c r="Q682" s="12"/>
    </row>
    <row r="683" spans="1:17" ht="20.100000000000001" customHeight="1">
      <c r="A683" s="4">
        <v>680</v>
      </c>
      <c r="B683" s="7" t="s">
        <v>673</v>
      </c>
      <c r="C683" s="6" t="s">
        <v>25</v>
      </c>
      <c r="D683" s="7" t="s">
        <v>33</v>
      </c>
      <c r="E683" s="7"/>
      <c r="F683" s="7"/>
      <c r="G683" s="7"/>
      <c r="H683" s="7"/>
      <c r="I683" s="8">
        <v>1966</v>
      </c>
      <c r="J683" s="7"/>
      <c r="K683" s="17"/>
      <c r="L683" s="25"/>
      <c r="M683" s="6" t="s">
        <v>35</v>
      </c>
      <c r="N683" s="13">
        <v>1332615.3899999999</v>
      </c>
      <c r="O683" s="11">
        <v>1966</v>
      </c>
      <c r="P683" s="12"/>
      <c r="Q683" s="12"/>
    </row>
    <row r="684" spans="1:17" ht="20.100000000000001" customHeight="1">
      <c r="A684" s="4">
        <v>681</v>
      </c>
      <c r="B684" s="7" t="s">
        <v>673</v>
      </c>
      <c r="C684" s="6" t="s">
        <v>25</v>
      </c>
      <c r="D684" s="7" t="s">
        <v>36</v>
      </c>
      <c r="E684" s="7"/>
      <c r="F684" s="8">
        <v>967</v>
      </c>
      <c r="G684" s="7"/>
      <c r="H684" s="7"/>
      <c r="I684" s="7"/>
      <c r="J684" s="7"/>
      <c r="K684" s="14"/>
      <c r="L684" s="25"/>
      <c r="M684" s="6" t="s">
        <v>679</v>
      </c>
      <c r="N684" s="13"/>
      <c r="O684" s="11">
        <v>967</v>
      </c>
      <c r="P684" s="12"/>
      <c r="Q684" s="12"/>
    </row>
    <row r="685" spans="1:17" ht="20.100000000000001" customHeight="1">
      <c r="A685" s="4">
        <v>682</v>
      </c>
      <c r="B685" s="7" t="s">
        <v>673</v>
      </c>
      <c r="C685" s="6" t="s">
        <v>25</v>
      </c>
      <c r="D685" s="7" t="s">
        <v>38</v>
      </c>
      <c r="E685" s="7"/>
      <c r="F685" s="7"/>
      <c r="G685" s="7"/>
      <c r="H685" s="7"/>
      <c r="I685" s="7"/>
      <c r="J685" s="7"/>
      <c r="K685" s="8">
        <v>1</v>
      </c>
      <c r="L685" s="25">
        <v>46138</v>
      </c>
      <c r="M685" s="6" t="s">
        <v>680</v>
      </c>
      <c r="N685" s="13">
        <v>3800</v>
      </c>
      <c r="O685" s="11">
        <v>1</v>
      </c>
      <c r="P685" s="12"/>
      <c r="Q685" s="12"/>
    </row>
    <row r="686" spans="1:17" ht="20.100000000000001" customHeight="1">
      <c r="A686" s="4">
        <v>683</v>
      </c>
      <c r="B686" s="7" t="s">
        <v>673</v>
      </c>
      <c r="C686" s="6" t="s">
        <v>25</v>
      </c>
      <c r="D686" s="7" t="s">
        <v>38</v>
      </c>
      <c r="E686" s="7"/>
      <c r="F686" s="7"/>
      <c r="G686" s="7"/>
      <c r="H686" s="7"/>
      <c r="I686" s="7"/>
      <c r="J686" s="7"/>
      <c r="K686" s="8">
        <v>1</v>
      </c>
      <c r="L686" s="25">
        <v>46214</v>
      </c>
      <c r="M686" s="6" t="s">
        <v>681</v>
      </c>
      <c r="N686" s="13">
        <v>2334.5</v>
      </c>
      <c r="O686" s="11">
        <v>1</v>
      </c>
      <c r="P686" s="12"/>
      <c r="Q686" s="12"/>
    </row>
    <row r="687" spans="1:17" ht="20.100000000000001" customHeight="1">
      <c r="A687" s="4">
        <v>684</v>
      </c>
      <c r="B687" s="7" t="s">
        <v>673</v>
      </c>
      <c r="C687" s="6" t="s">
        <v>25</v>
      </c>
      <c r="D687" s="7" t="s">
        <v>38</v>
      </c>
      <c r="E687" s="7"/>
      <c r="F687" s="7"/>
      <c r="G687" s="7"/>
      <c r="H687" s="7"/>
      <c r="I687" s="7"/>
      <c r="J687" s="7"/>
      <c r="K687" s="8">
        <v>1</v>
      </c>
      <c r="L687" s="25">
        <v>46214</v>
      </c>
      <c r="M687" s="6" t="s">
        <v>682</v>
      </c>
      <c r="N687" s="13">
        <v>5000</v>
      </c>
      <c r="O687" s="11">
        <v>1</v>
      </c>
      <c r="P687" s="12"/>
      <c r="Q687" s="12"/>
    </row>
    <row r="688" spans="1:17" ht="20.100000000000001" customHeight="1">
      <c r="A688" s="4">
        <v>685</v>
      </c>
      <c r="B688" s="32" t="s">
        <v>673</v>
      </c>
      <c r="C688" s="6" t="s">
        <v>25</v>
      </c>
      <c r="D688" s="32" t="s">
        <v>38</v>
      </c>
      <c r="E688" s="32"/>
      <c r="F688" s="32"/>
      <c r="G688" s="32"/>
      <c r="H688" s="32"/>
      <c r="I688" s="32"/>
      <c r="J688" s="7"/>
      <c r="K688" s="8">
        <v>1</v>
      </c>
      <c r="L688" s="63">
        <v>46219</v>
      </c>
      <c r="M688" s="56" t="s">
        <v>683</v>
      </c>
      <c r="N688" s="64">
        <v>30000</v>
      </c>
      <c r="O688" s="11">
        <v>1</v>
      </c>
      <c r="P688" s="12"/>
      <c r="Q688" s="12"/>
    </row>
    <row r="689" spans="1:17" ht="20.100000000000001" customHeight="1">
      <c r="A689" s="4">
        <v>686</v>
      </c>
      <c r="B689" s="7" t="s">
        <v>673</v>
      </c>
      <c r="C689" s="6" t="s">
        <v>25</v>
      </c>
      <c r="D689" s="7" t="s">
        <v>38</v>
      </c>
      <c r="E689" s="7"/>
      <c r="F689" s="7"/>
      <c r="G689" s="7"/>
      <c r="H689" s="7"/>
      <c r="I689" s="7"/>
      <c r="J689" s="7"/>
      <c r="K689" s="8">
        <v>1</v>
      </c>
      <c r="L689" s="25">
        <v>46200</v>
      </c>
      <c r="M689" s="6" t="s">
        <v>684</v>
      </c>
      <c r="N689" s="13">
        <v>10000</v>
      </c>
      <c r="O689" s="11">
        <v>1</v>
      </c>
      <c r="P689" s="12"/>
      <c r="Q689" s="12"/>
    </row>
    <row r="690" spans="1:17" ht="20.100000000000001" customHeight="1">
      <c r="A690" s="4">
        <v>687</v>
      </c>
      <c r="B690" s="7" t="s">
        <v>685</v>
      </c>
      <c r="C690" s="6" t="s">
        <v>25</v>
      </c>
      <c r="D690" s="7" t="s">
        <v>26</v>
      </c>
      <c r="E690" s="7"/>
      <c r="F690" s="7"/>
      <c r="G690" s="7"/>
      <c r="H690" s="7"/>
      <c r="I690" s="7"/>
      <c r="J690" s="7"/>
      <c r="K690" s="8">
        <v>1</v>
      </c>
      <c r="L690" s="25" t="s">
        <v>686</v>
      </c>
      <c r="M690" s="6" t="s">
        <v>48</v>
      </c>
      <c r="N690" s="13">
        <v>407000</v>
      </c>
      <c r="O690" s="11">
        <v>1</v>
      </c>
      <c r="P690" s="12"/>
      <c r="Q690" s="12"/>
    </row>
    <row r="691" spans="1:17" ht="20.100000000000001" customHeight="1">
      <c r="A691" s="4">
        <v>688</v>
      </c>
      <c r="B691" s="7" t="s">
        <v>685</v>
      </c>
      <c r="C691" s="6" t="s">
        <v>25</v>
      </c>
      <c r="D691" s="7" t="s">
        <v>26</v>
      </c>
      <c r="E691" s="7"/>
      <c r="F691" s="7"/>
      <c r="G691" s="7"/>
      <c r="H691" s="7"/>
      <c r="I691" s="7"/>
      <c r="J691" s="7"/>
      <c r="K691" s="8">
        <v>1</v>
      </c>
      <c r="L691" s="25" t="s">
        <v>76</v>
      </c>
      <c r="M691" s="6" t="s">
        <v>687</v>
      </c>
      <c r="N691" s="13" t="s">
        <v>688</v>
      </c>
      <c r="O691" s="11">
        <v>1</v>
      </c>
      <c r="P691" s="12"/>
      <c r="Q691" s="12"/>
    </row>
    <row r="692" spans="1:17" ht="20.100000000000001" customHeight="1">
      <c r="A692" s="4">
        <v>689</v>
      </c>
      <c r="B692" s="7" t="s">
        <v>685</v>
      </c>
      <c r="C692" s="6" t="s">
        <v>25</v>
      </c>
      <c r="D692" s="7" t="s">
        <v>29</v>
      </c>
      <c r="E692" s="7"/>
      <c r="F692" s="7"/>
      <c r="G692" s="8">
        <v>1</v>
      </c>
      <c r="H692" s="7"/>
      <c r="I692" s="7"/>
      <c r="J692" s="7"/>
      <c r="K692" s="14"/>
      <c r="L692" s="25" t="s">
        <v>689</v>
      </c>
      <c r="M692" s="6" t="s">
        <v>49</v>
      </c>
      <c r="N692" s="13">
        <v>327671256.10000002</v>
      </c>
      <c r="O692" s="11">
        <v>1</v>
      </c>
      <c r="P692" s="12"/>
      <c r="Q692" s="12"/>
    </row>
    <row r="693" spans="1:17" ht="20.100000000000001" customHeight="1">
      <c r="A693" s="4">
        <v>690</v>
      </c>
      <c r="B693" s="7" t="s">
        <v>685</v>
      </c>
      <c r="C693" s="6" t="s">
        <v>25</v>
      </c>
      <c r="D693" s="7" t="s">
        <v>29</v>
      </c>
      <c r="E693" s="7"/>
      <c r="F693" s="7"/>
      <c r="G693" s="8">
        <v>1</v>
      </c>
      <c r="H693" s="7"/>
      <c r="I693" s="7"/>
      <c r="J693" s="7"/>
      <c r="K693" s="14"/>
      <c r="L693" s="25" t="s">
        <v>689</v>
      </c>
      <c r="M693" s="6" t="s">
        <v>32</v>
      </c>
      <c r="N693" s="13">
        <v>704.66</v>
      </c>
      <c r="O693" s="11">
        <v>1</v>
      </c>
      <c r="P693" s="12"/>
      <c r="Q693" s="12"/>
    </row>
    <row r="694" spans="1:17" ht="20.100000000000001" customHeight="1">
      <c r="A694" s="4">
        <v>691</v>
      </c>
      <c r="B694" s="7" t="s">
        <v>685</v>
      </c>
      <c r="C694" s="6" t="s">
        <v>25</v>
      </c>
      <c r="D694" s="7" t="s">
        <v>29</v>
      </c>
      <c r="E694" s="7"/>
      <c r="F694" s="7"/>
      <c r="G694" s="8">
        <v>1</v>
      </c>
      <c r="H694" s="7"/>
      <c r="I694" s="7"/>
      <c r="J694" s="7"/>
      <c r="K694" s="14"/>
      <c r="L694" s="25" t="s">
        <v>689</v>
      </c>
      <c r="M694" s="6" t="s">
        <v>207</v>
      </c>
      <c r="N694" s="13">
        <v>4119392.76</v>
      </c>
      <c r="O694" s="11">
        <v>1</v>
      </c>
      <c r="P694" s="12"/>
      <c r="Q694" s="12"/>
    </row>
    <row r="695" spans="1:17" ht="20.100000000000001" customHeight="1">
      <c r="A695" s="4">
        <v>692</v>
      </c>
      <c r="B695" s="7" t="s">
        <v>685</v>
      </c>
      <c r="C695" s="6" t="s">
        <v>25</v>
      </c>
      <c r="D695" s="7" t="s">
        <v>33</v>
      </c>
      <c r="E695" s="7"/>
      <c r="F695" s="7"/>
      <c r="G695" s="7"/>
      <c r="H695" s="7"/>
      <c r="I695" s="8">
        <v>5101</v>
      </c>
      <c r="J695" s="7"/>
      <c r="K695" s="17"/>
      <c r="L695" s="25" t="s">
        <v>76</v>
      </c>
      <c r="M695" s="6" t="s">
        <v>35</v>
      </c>
      <c r="N695" s="13">
        <v>12197623.4</v>
      </c>
      <c r="O695" s="54">
        <v>5101</v>
      </c>
      <c r="P695" s="12">
        <v>2</v>
      </c>
      <c r="Q695" s="12"/>
    </row>
    <row r="696" spans="1:17" ht="20.100000000000001" customHeight="1">
      <c r="A696" s="4">
        <v>693</v>
      </c>
      <c r="B696" s="7" t="s">
        <v>685</v>
      </c>
      <c r="C696" s="6" t="s">
        <v>25</v>
      </c>
      <c r="D696" s="7" t="s">
        <v>36</v>
      </c>
      <c r="E696" s="7"/>
      <c r="F696" s="8">
        <v>119</v>
      </c>
      <c r="G696" s="7"/>
      <c r="H696" s="7"/>
      <c r="I696" s="7"/>
      <c r="J696" s="7"/>
      <c r="K696" s="14"/>
      <c r="L696" s="25"/>
      <c r="M696" s="6" t="s">
        <v>690</v>
      </c>
      <c r="N696" s="13"/>
      <c r="O696" s="11">
        <v>119</v>
      </c>
      <c r="P696" s="12"/>
      <c r="Q696" s="12"/>
    </row>
    <row r="697" spans="1:17" ht="20.100000000000001" customHeight="1">
      <c r="A697" s="4">
        <v>694</v>
      </c>
      <c r="B697" s="7" t="s">
        <v>685</v>
      </c>
      <c r="C697" s="6" t="s">
        <v>25</v>
      </c>
      <c r="D697" s="7" t="s">
        <v>618</v>
      </c>
      <c r="E697" s="7"/>
      <c r="F697" s="7"/>
      <c r="G697" s="7"/>
      <c r="H697" s="7"/>
      <c r="I697" s="7"/>
      <c r="J697" s="7"/>
      <c r="K697" s="8">
        <v>1</v>
      </c>
      <c r="L697" s="25"/>
      <c r="M697" s="6" t="s">
        <v>691</v>
      </c>
      <c r="N697" s="13"/>
      <c r="O697" s="11">
        <v>1</v>
      </c>
      <c r="P697" s="12"/>
      <c r="Q697" s="12"/>
    </row>
    <row r="698" spans="1:17" ht="20.100000000000001" customHeight="1">
      <c r="A698" s="4">
        <v>695</v>
      </c>
      <c r="B698" s="7" t="s">
        <v>685</v>
      </c>
      <c r="C698" s="6" t="s">
        <v>25</v>
      </c>
      <c r="D698" s="7" t="s">
        <v>38</v>
      </c>
      <c r="E698" s="7"/>
      <c r="F698" s="7"/>
      <c r="G698" s="7"/>
      <c r="H698" s="7"/>
      <c r="I698" s="7"/>
      <c r="J698" s="7"/>
      <c r="K698" s="8">
        <v>1</v>
      </c>
      <c r="L698" s="25"/>
      <c r="M698" s="6" t="s">
        <v>692</v>
      </c>
      <c r="N698" s="13">
        <v>4932</v>
      </c>
      <c r="O698" s="11">
        <v>1</v>
      </c>
      <c r="P698" s="12">
        <v>1</v>
      </c>
      <c r="Q698" s="12"/>
    </row>
    <row r="699" spans="1:17" ht="20.100000000000001" customHeight="1">
      <c r="A699" s="4">
        <v>696</v>
      </c>
      <c r="B699" s="7" t="s">
        <v>685</v>
      </c>
      <c r="C699" s="6" t="s">
        <v>25</v>
      </c>
      <c r="D699" s="7" t="s">
        <v>38</v>
      </c>
      <c r="E699" s="7"/>
      <c r="F699" s="7"/>
      <c r="G699" s="7"/>
      <c r="H699" s="7"/>
      <c r="I699" s="7"/>
      <c r="J699" s="7"/>
      <c r="K699" s="8">
        <v>1</v>
      </c>
      <c r="L699" s="25"/>
      <c r="M699" s="6" t="s">
        <v>693</v>
      </c>
      <c r="N699" s="13">
        <v>11975</v>
      </c>
      <c r="O699" s="11">
        <v>1</v>
      </c>
      <c r="P699" s="12">
        <v>1</v>
      </c>
      <c r="Q699" s="12"/>
    </row>
    <row r="700" spans="1:17" ht="20.100000000000001" customHeight="1">
      <c r="A700" s="4">
        <v>697</v>
      </c>
      <c r="B700" s="7" t="s">
        <v>685</v>
      </c>
      <c r="C700" s="6" t="s">
        <v>25</v>
      </c>
      <c r="D700" s="7" t="s">
        <v>38</v>
      </c>
      <c r="E700" s="7"/>
      <c r="F700" s="7"/>
      <c r="G700" s="7"/>
      <c r="H700" s="7"/>
      <c r="I700" s="7"/>
      <c r="J700" s="7"/>
      <c r="K700" s="8">
        <v>1</v>
      </c>
      <c r="L700" s="25"/>
      <c r="M700" s="6" t="s">
        <v>694</v>
      </c>
      <c r="N700" s="13">
        <v>1300</v>
      </c>
      <c r="O700" s="11">
        <v>1</v>
      </c>
      <c r="P700" s="12">
        <v>1</v>
      </c>
      <c r="Q700" s="12"/>
    </row>
    <row r="701" spans="1:17" ht="20.100000000000001" customHeight="1">
      <c r="A701" s="4">
        <v>698</v>
      </c>
      <c r="B701" s="7" t="s">
        <v>685</v>
      </c>
      <c r="C701" s="6" t="s">
        <v>25</v>
      </c>
      <c r="D701" s="7" t="s">
        <v>38</v>
      </c>
      <c r="E701" s="7"/>
      <c r="F701" s="7"/>
      <c r="G701" s="7"/>
      <c r="H701" s="7"/>
      <c r="I701" s="7"/>
      <c r="J701" s="7"/>
      <c r="K701" s="8">
        <v>1</v>
      </c>
      <c r="L701" s="25" t="s">
        <v>234</v>
      </c>
      <c r="M701" s="6" t="s">
        <v>695</v>
      </c>
      <c r="N701" s="13">
        <v>5000</v>
      </c>
      <c r="O701" s="11">
        <v>1</v>
      </c>
      <c r="P701" s="12">
        <v>1</v>
      </c>
      <c r="Q701" s="12"/>
    </row>
    <row r="702" spans="1:17" ht="20.100000000000001" customHeight="1">
      <c r="A702" s="4">
        <v>699</v>
      </c>
      <c r="B702" s="7" t="s">
        <v>685</v>
      </c>
      <c r="C702" s="6" t="s">
        <v>25</v>
      </c>
      <c r="D702" s="7" t="s">
        <v>38</v>
      </c>
      <c r="E702" s="7"/>
      <c r="F702" s="7"/>
      <c r="G702" s="7"/>
      <c r="H702" s="7"/>
      <c r="I702" s="7"/>
      <c r="J702" s="7"/>
      <c r="K702" s="8">
        <v>1</v>
      </c>
      <c r="L702" s="25" t="s">
        <v>483</v>
      </c>
      <c r="M702" s="6" t="s">
        <v>696</v>
      </c>
      <c r="N702" s="13">
        <v>500</v>
      </c>
      <c r="O702" s="11">
        <v>1</v>
      </c>
      <c r="P702" s="12">
        <v>1</v>
      </c>
      <c r="Q702" s="12"/>
    </row>
    <row r="703" spans="1:17" ht="20.100000000000001" customHeight="1">
      <c r="A703" s="4">
        <v>700</v>
      </c>
      <c r="B703" s="7" t="s">
        <v>685</v>
      </c>
      <c r="C703" s="6" t="s">
        <v>25</v>
      </c>
      <c r="D703" s="7" t="s">
        <v>38</v>
      </c>
      <c r="E703" s="7"/>
      <c r="F703" s="7"/>
      <c r="G703" s="7"/>
      <c r="H703" s="7"/>
      <c r="I703" s="7"/>
      <c r="J703" s="7"/>
      <c r="K703" s="8">
        <v>1</v>
      </c>
      <c r="L703" s="25" t="s">
        <v>318</v>
      </c>
      <c r="M703" s="6" t="s">
        <v>697</v>
      </c>
      <c r="N703" s="13">
        <v>1517</v>
      </c>
      <c r="O703" s="11">
        <v>1</v>
      </c>
      <c r="P703" s="12">
        <v>1</v>
      </c>
      <c r="Q703" s="12"/>
    </row>
    <row r="704" spans="1:17" ht="20.100000000000001" customHeight="1">
      <c r="A704" s="4">
        <v>701</v>
      </c>
      <c r="B704" s="7" t="s">
        <v>685</v>
      </c>
      <c r="C704" s="6" t="s">
        <v>25</v>
      </c>
      <c r="D704" s="7" t="s">
        <v>38</v>
      </c>
      <c r="E704" s="7"/>
      <c r="F704" s="7"/>
      <c r="G704" s="7"/>
      <c r="H704" s="7"/>
      <c r="I704" s="7"/>
      <c r="J704" s="7"/>
      <c r="K704" s="8">
        <v>1</v>
      </c>
      <c r="L704" s="25" t="s">
        <v>489</v>
      </c>
      <c r="M704" s="6" t="s">
        <v>698</v>
      </c>
      <c r="N704" s="13">
        <v>450</v>
      </c>
      <c r="O704" s="11">
        <v>1</v>
      </c>
      <c r="P704" s="12">
        <v>1</v>
      </c>
      <c r="Q704" s="12"/>
    </row>
    <row r="705" spans="1:17" ht="20.100000000000001" customHeight="1">
      <c r="A705" s="4">
        <v>702</v>
      </c>
      <c r="B705" s="7" t="s">
        <v>685</v>
      </c>
      <c r="C705" s="6" t="s">
        <v>25</v>
      </c>
      <c r="D705" s="7" t="s">
        <v>38</v>
      </c>
      <c r="E705" s="7"/>
      <c r="F705" s="7"/>
      <c r="G705" s="7"/>
      <c r="H705" s="7"/>
      <c r="I705" s="7"/>
      <c r="J705" s="7"/>
      <c r="K705" s="8">
        <v>1</v>
      </c>
      <c r="L705" s="25" t="s">
        <v>699</v>
      </c>
      <c r="M705" s="6" t="s">
        <v>700</v>
      </c>
      <c r="N705" s="13">
        <v>4800</v>
      </c>
      <c r="O705" s="11">
        <v>1</v>
      </c>
      <c r="P705" s="12">
        <v>1</v>
      </c>
      <c r="Q705" s="12"/>
    </row>
    <row r="706" spans="1:17" ht="20.100000000000001" customHeight="1">
      <c r="A706" s="4">
        <v>703</v>
      </c>
      <c r="B706" s="7" t="s">
        <v>701</v>
      </c>
      <c r="C706" s="6" t="s">
        <v>25</v>
      </c>
      <c r="D706" s="7" t="s">
        <v>26</v>
      </c>
      <c r="E706" s="7"/>
      <c r="F706" s="7"/>
      <c r="G706" s="7"/>
      <c r="H706" s="7"/>
      <c r="I706" s="7"/>
      <c r="J706" s="7"/>
      <c r="K706" s="8">
        <v>1</v>
      </c>
      <c r="L706" s="25"/>
      <c r="M706" s="6" t="s">
        <v>702</v>
      </c>
      <c r="N706" s="13">
        <v>500</v>
      </c>
      <c r="O706" s="11">
        <v>1</v>
      </c>
      <c r="P706" s="12"/>
      <c r="Q706" s="12"/>
    </row>
    <row r="707" spans="1:17" ht="20.100000000000001" customHeight="1">
      <c r="A707" s="4">
        <v>704</v>
      </c>
      <c r="B707" s="7" t="s">
        <v>701</v>
      </c>
      <c r="C707" s="6" t="s">
        <v>25</v>
      </c>
      <c r="D707" s="7" t="s">
        <v>26</v>
      </c>
      <c r="E707" s="7"/>
      <c r="F707" s="7"/>
      <c r="G707" s="7"/>
      <c r="H707" s="7"/>
      <c r="I707" s="7"/>
      <c r="J707" s="7"/>
      <c r="K707" s="8">
        <v>1</v>
      </c>
      <c r="L707" s="25"/>
      <c r="M707" s="6" t="s">
        <v>703</v>
      </c>
      <c r="N707" s="13"/>
      <c r="O707" s="11">
        <v>1</v>
      </c>
      <c r="P707" s="12"/>
      <c r="Q707" s="12"/>
    </row>
    <row r="708" spans="1:17" ht="20.100000000000001" customHeight="1">
      <c r="A708" s="4">
        <v>705</v>
      </c>
      <c r="B708" s="7" t="s">
        <v>701</v>
      </c>
      <c r="C708" s="6" t="s">
        <v>25</v>
      </c>
      <c r="D708" s="7" t="s">
        <v>26</v>
      </c>
      <c r="E708" s="7"/>
      <c r="F708" s="7"/>
      <c r="G708" s="7"/>
      <c r="H708" s="7"/>
      <c r="I708" s="7"/>
      <c r="J708" s="7"/>
      <c r="K708" s="8">
        <v>1</v>
      </c>
      <c r="L708" s="25"/>
      <c r="M708" s="6" t="s">
        <v>704</v>
      </c>
      <c r="N708" s="13">
        <v>137323.53</v>
      </c>
      <c r="O708" s="11">
        <v>1</v>
      </c>
      <c r="P708" s="12"/>
      <c r="Q708" s="12"/>
    </row>
    <row r="709" spans="1:17" ht="20.100000000000001" customHeight="1">
      <c r="A709" s="4">
        <v>706</v>
      </c>
      <c r="B709" s="7" t="s">
        <v>701</v>
      </c>
      <c r="C709" s="6" t="s">
        <v>25</v>
      </c>
      <c r="D709" s="7" t="s">
        <v>705</v>
      </c>
      <c r="E709" s="7"/>
      <c r="F709" s="7"/>
      <c r="G709" s="7"/>
      <c r="H709" s="7"/>
      <c r="I709" s="7"/>
      <c r="J709" s="7"/>
      <c r="K709" s="8">
        <v>1</v>
      </c>
      <c r="L709" s="25"/>
      <c r="M709" s="6" t="s">
        <v>706</v>
      </c>
      <c r="N709" s="13">
        <v>2305</v>
      </c>
      <c r="O709" s="11">
        <v>1</v>
      </c>
      <c r="P709" s="12"/>
      <c r="Q709" s="12"/>
    </row>
    <row r="710" spans="1:17" ht="20.100000000000001" customHeight="1">
      <c r="A710" s="4">
        <v>707</v>
      </c>
      <c r="B710" s="7" t="s">
        <v>701</v>
      </c>
      <c r="C710" s="6" t="s">
        <v>25</v>
      </c>
      <c r="D710" s="7" t="s">
        <v>705</v>
      </c>
      <c r="E710" s="7"/>
      <c r="F710" s="7"/>
      <c r="G710" s="7"/>
      <c r="H710" s="7"/>
      <c r="I710" s="7"/>
      <c r="J710" s="7"/>
      <c r="K710" s="8">
        <v>1</v>
      </c>
      <c r="L710" s="25"/>
      <c r="M710" s="6" t="s">
        <v>707</v>
      </c>
      <c r="N710" s="13">
        <v>4200</v>
      </c>
      <c r="O710" s="11">
        <v>1</v>
      </c>
      <c r="P710" s="12"/>
      <c r="Q710" s="12"/>
    </row>
    <row r="711" spans="1:17" ht="20.100000000000001" customHeight="1">
      <c r="A711" s="4">
        <v>708</v>
      </c>
      <c r="B711" s="7" t="s">
        <v>701</v>
      </c>
      <c r="C711" s="6" t="s">
        <v>25</v>
      </c>
      <c r="D711" s="7" t="s">
        <v>705</v>
      </c>
      <c r="E711" s="7"/>
      <c r="F711" s="7"/>
      <c r="G711" s="8">
        <v>1</v>
      </c>
      <c r="H711" s="7"/>
      <c r="I711" s="7"/>
      <c r="J711" s="7"/>
      <c r="K711" s="14"/>
      <c r="L711" s="25"/>
      <c r="M711" s="6" t="s">
        <v>49</v>
      </c>
      <c r="N711" s="13">
        <v>1731880106</v>
      </c>
      <c r="O711" s="11">
        <v>1</v>
      </c>
      <c r="P711" s="12"/>
      <c r="Q711" s="12"/>
    </row>
    <row r="712" spans="1:17" ht="20.100000000000001" customHeight="1">
      <c r="A712" s="4">
        <v>709</v>
      </c>
      <c r="B712" s="7" t="s">
        <v>701</v>
      </c>
      <c r="C712" s="6" t="s">
        <v>25</v>
      </c>
      <c r="D712" s="7" t="s">
        <v>705</v>
      </c>
      <c r="E712" s="7"/>
      <c r="F712" s="7"/>
      <c r="G712" s="8">
        <v>1</v>
      </c>
      <c r="H712" s="7"/>
      <c r="I712" s="7"/>
      <c r="J712" s="7"/>
      <c r="K712" s="14"/>
      <c r="L712" s="25"/>
      <c r="M712" s="6" t="s">
        <v>31</v>
      </c>
      <c r="N712" s="13">
        <v>43294.86</v>
      </c>
      <c r="O712" s="11">
        <v>1</v>
      </c>
      <c r="P712" s="12"/>
      <c r="Q712" s="12"/>
    </row>
    <row r="713" spans="1:17" ht="20.100000000000001" customHeight="1">
      <c r="A713" s="4">
        <v>710</v>
      </c>
      <c r="B713" s="7" t="s">
        <v>701</v>
      </c>
      <c r="C713" s="6" t="s">
        <v>25</v>
      </c>
      <c r="D713" s="7" t="s">
        <v>705</v>
      </c>
      <c r="E713" s="7"/>
      <c r="F713" s="7"/>
      <c r="G713" s="8">
        <v>1</v>
      </c>
      <c r="H713" s="7"/>
      <c r="I713" s="7"/>
      <c r="J713" s="7"/>
      <c r="K713" s="14"/>
      <c r="L713" s="25"/>
      <c r="M713" s="6" t="s">
        <v>708</v>
      </c>
      <c r="N713" s="13">
        <v>12933526.140000001</v>
      </c>
      <c r="O713" s="11">
        <v>1</v>
      </c>
      <c r="P713" s="12"/>
      <c r="Q713" s="12"/>
    </row>
    <row r="714" spans="1:17" ht="20.100000000000001" customHeight="1">
      <c r="A714" s="4">
        <v>711</v>
      </c>
      <c r="B714" s="7" t="s">
        <v>701</v>
      </c>
      <c r="C714" s="6" t="s">
        <v>25</v>
      </c>
      <c r="D714" s="7" t="s">
        <v>705</v>
      </c>
      <c r="E714" s="7"/>
      <c r="F714" s="7"/>
      <c r="G714" s="8">
        <v>1</v>
      </c>
      <c r="H714" s="7"/>
      <c r="I714" s="7"/>
      <c r="J714" s="7"/>
      <c r="K714" s="14"/>
      <c r="L714" s="25"/>
      <c r="M714" s="6" t="s">
        <v>32</v>
      </c>
      <c r="N714" s="13">
        <v>6576461.6100000003</v>
      </c>
      <c r="O714" s="11">
        <v>1</v>
      </c>
      <c r="P714" s="12"/>
      <c r="Q714" s="12"/>
    </row>
    <row r="715" spans="1:17" ht="20.100000000000001" customHeight="1">
      <c r="A715" s="4">
        <v>712</v>
      </c>
      <c r="B715" s="7" t="s">
        <v>701</v>
      </c>
      <c r="C715" s="6" t="s">
        <v>25</v>
      </c>
      <c r="D715" s="7" t="s">
        <v>705</v>
      </c>
      <c r="E715" s="7"/>
      <c r="F715" s="7"/>
      <c r="G715" s="8">
        <v>1</v>
      </c>
      <c r="H715" s="7"/>
      <c r="I715" s="7"/>
      <c r="J715" s="7"/>
      <c r="K715" s="14"/>
      <c r="L715" s="25"/>
      <c r="M715" s="6" t="s">
        <v>50</v>
      </c>
      <c r="N715" s="13">
        <v>279502.62</v>
      </c>
      <c r="O715" s="11">
        <v>1</v>
      </c>
      <c r="P715" s="12"/>
      <c r="Q715" s="12"/>
    </row>
    <row r="716" spans="1:17" ht="20.100000000000001" customHeight="1">
      <c r="A716" s="4">
        <v>713</v>
      </c>
      <c r="B716" s="7" t="s">
        <v>701</v>
      </c>
      <c r="C716" s="6" t="s">
        <v>25</v>
      </c>
      <c r="D716" s="7" t="s">
        <v>705</v>
      </c>
      <c r="E716" s="7"/>
      <c r="F716" s="7"/>
      <c r="G716" s="7"/>
      <c r="H716" s="7"/>
      <c r="I716" s="7"/>
      <c r="J716" s="7"/>
      <c r="K716" s="8">
        <v>1</v>
      </c>
      <c r="L716" s="25"/>
      <c r="M716" s="6" t="s">
        <v>709</v>
      </c>
      <c r="N716" s="13">
        <v>30000</v>
      </c>
      <c r="O716" s="11">
        <v>1</v>
      </c>
      <c r="P716" s="12"/>
      <c r="Q716" s="12"/>
    </row>
    <row r="717" spans="1:17" ht="20.100000000000001" customHeight="1">
      <c r="A717" s="4">
        <v>714</v>
      </c>
      <c r="B717" s="7" t="s">
        <v>701</v>
      </c>
      <c r="C717" s="6" t="s">
        <v>25</v>
      </c>
      <c r="D717" s="7" t="s">
        <v>705</v>
      </c>
      <c r="E717" s="7"/>
      <c r="F717" s="7"/>
      <c r="G717" s="7"/>
      <c r="H717" s="7"/>
      <c r="I717" s="7"/>
      <c r="J717" s="7"/>
      <c r="K717" s="8">
        <v>1</v>
      </c>
      <c r="L717" s="25"/>
      <c r="M717" s="6" t="s">
        <v>710</v>
      </c>
      <c r="N717" s="13">
        <v>1514421.29</v>
      </c>
      <c r="O717" s="11">
        <v>1</v>
      </c>
      <c r="P717" s="12"/>
      <c r="Q717" s="12"/>
    </row>
    <row r="718" spans="1:17" ht="20.100000000000001" customHeight="1">
      <c r="A718" s="4">
        <v>715</v>
      </c>
      <c r="B718" s="7" t="s">
        <v>701</v>
      </c>
      <c r="C718" s="6" t="s">
        <v>25</v>
      </c>
      <c r="D718" s="7" t="s">
        <v>705</v>
      </c>
      <c r="E718" s="7"/>
      <c r="F718" s="7"/>
      <c r="G718" s="7"/>
      <c r="H718" s="7"/>
      <c r="I718" s="7"/>
      <c r="J718" s="7"/>
      <c r="K718" s="8">
        <v>1</v>
      </c>
      <c r="L718" s="25"/>
      <c r="M718" s="6" t="s">
        <v>711</v>
      </c>
      <c r="N718" s="13">
        <v>3421542.81</v>
      </c>
      <c r="O718" s="11">
        <v>1</v>
      </c>
      <c r="P718" s="12"/>
      <c r="Q718" s="12"/>
    </row>
    <row r="719" spans="1:17" ht="20.100000000000001" customHeight="1">
      <c r="A719" s="4">
        <v>716</v>
      </c>
      <c r="B719" s="7" t="s">
        <v>701</v>
      </c>
      <c r="C719" s="6" t="s">
        <v>25</v>
      </c>
      <c r="D719" s="7" t="s">
        <v>705</v>
      </c>
      <c r="E719" s="7"/>
      <c r="F719" s="7"/>
      <c r="G719" s="7"/>
      <c r="H719" s="7"/>
      <c r="I719" s="7"/>
      <c r="J719" s="7"/>
      <c r="K719" s="8">
        <v>1</v>
      </c>
      <c r="L719" s="25"/>
      <c r="M719" s="6" t="s">
        <v>712</v>
      </c>
      <c r="N719" s="13">
        <v>13560.42</v>
      </c>
      <c r="O719" s="11">
        <v>1</v>
      </c>
      <c r="P719" s="12"/>
      <c r="Q719" s="12"/>
    </row>
    <row r="720" spans="1:17" ht="20.100000000000001" customHeight="1">
      <c r="A720" s="4">
        <v>717</v>
      </c>
      <c r="B720" s="7" t="s">
        <v>701</v>
      </c>
      <c r="C720" s="6" t="s">
        <v>25</v>
      </c>
      <c r="D720" s="7" t="s">
        <v>705</v>
      </c>
      <c r="E720" s="7"/>
      <c r="F720" s="7"/>
      <c r="G720" s="7"/>
      <c r="H720" s="7"/>
      <c r="I720" s="7"/>
      <c r="J720" s="7"/>
      <c r="K720" s="8">
        <v>1</v>
      </c>
      <c r="L720" s="25"/>
      <c r="M720" s="6" t="s">
        <v>713</v>
      </c>
      <c r="N720" s="13">
        <v>10443.31</v>
      </c>
      <c r="O720" s="11">
        <v>1</v>
      </c>
      <c r="P720" s="12"/>
      <c r="Q720" s="12"/>
    </row>
    <row r="721" spans="1:17" ht="20.100000000000001" customHeight="1">
      <c r="A721" s="4">
        <v>718</v>
      </c>
      <c r="B721" s="7" t="s">
        <v>701</v>
      </c>
      <c r="C721" s="6" t="s">
        <v>25</v>
      </c>
      <c r="D721" s="7" t="s">
        <v>705</v>
      </c>
      <c r="E721" s="7"/>
      <c r="F721" s="7"/>
      <c r="G721" s="7"/>
      <c r="H721" s="7"/>
      <c r="I721" s="7"/>
      <c r="J721" s="7"/>
      <c r="K721" s="8">
        <v>1</v>
      </c>
      <c r="L721" s="25"/>
      <c r="M721" s="6" t="s">
        <v>714</v>
      </c>
      <c r="N721" s="13">
        <v>20928.46</v>
      </c>
      <c r="O721" s="11">
        <v>1</v>
      </c>
      <c r="P721" s="12"/>
      <c r="Q721" s="12"/>
    </row>
    <row r="722" spans="1:17" ht="20.100000000000001" customHeight="1">
      <c r="A722" s="4">
        <v>719</v>
      </c>
      <c r="B722" s="7" t="s">
        <v>701</v>
      </c>
      <c r="C722" s="6" t="s">
        <v>25</v>
      </c>
      <c r="D722" s="7" t="s">
        <v>705</v>
      </c>
      <c r="E722" s="7"/>
      <c r="F722" s="7"/>
      <c r="G722" s="7"/>
      <c r="H722" s="7"/>
      <c r="I722" s="8">
        <v>1</v>
      </c>
      <c r="J722" s="7"/>
      <c r="K722" s="17"/>
      <c r="L722" s="25"/>
      <c r="M722" s="6" t="s">
        <v>35</v>
      </c>
      <c r="N722" s="13">
        <v>16000</v>
      </c>
      <c r="O722" s="11">
        <v>1</v>
      </c>
      <c r="P722" s="12"/>
      <c r="Q722" s="12"/>
    </row>
    <row r="723" spans="1:17" ht="20.100000000000001" customHeight="1">
      <c r="A723" s="4">
        <v>720</v>
      </c>
      <c r="B723" s="7" t="s">
        <v>701</v>
      </c>
      <c r="C723" s="6" t="s">
        <v>25</v>
      </c>
      <c r="D723" s="7" t="s">
        <v>36</v>
      </c>
      <c r="E723" s="7"/>
      <c r="F723" s="8">
        <v>884</v>
      </c>
      <c r="G723" s="7"/>
      <c r="H723" s="7"/>
      <c r="I723" s="7"/>
      <c r="J723" s="7"/>
      <c r="K723" s="8"/>
      <c r="L723" s="25"/>
      <c r="M723" s="6" t="s">
        <v>715</v>
      </c>
      <c r="N723" s="13">
        <v>446</v>
      </c>
      <c r="O723" s="11">
        <v>884</v>
      </c>
      <c r="P723" s="12"/>
      <c r="Q723" s="12"/>
    </row>
    <row r="724" spans="1:17" ht="20.100000000000001" customHeight="1">
      <c r="A724" s="4">
        <v>721</v>
      </c>
      <c r="B724" s="7" t="s">
        <v>701</v>
      </c>
      <c r="C724" s="6" t="s">
        <v>25</v>
      </c>
      <c r="D724" s="7" t="s">
        <v>618</v>
      </c>
      <c r="E724" s="7"/>
      <c r="F724" s="7"/>
      <c r="G724" s="7"/>
      <c r="H724" s="7"/>
      <c r="I724" s="7"/>
      <c r="J724" s="7"/>
      <c r="K724" s="8">
        <v>1</v>
      </c>
      <c r="L724" s="25"/>
      <c r="M724" s="6" t="s">
        <v>716</v>
      </c>
      <c r="N724" s="13"/>
      <c r="O724" s="11">
        <v>1</v>
      </c>
      <c r="P724" s="12"/>
      <c r="Q724" s="12"/>
    </row>
    <row r="725" spans="1:17" ht="20.100000000000001" customHeight="1">
      <c r="A725" s="4">
        <v>722</v>
      </c>
      <c r="B725" s="7" t="s">
        <v>701</v>
      </c>
      <c r="C725" s="6" t="s">
        <v>25</v>
      </c>
      <c r="D725" s="7" t="s">
        <v>38</v>
      </c>
      <c r="E725" s="7"/>
      <c r="F725" s="7"/>
      <c r="G725" s="7"/>
      <c r="H725" s="7"/>
      <c r="I725" s="7"/>
      <c r="J725" s="7"/>
      <c r="K725" s="8">
        <v>1</v>
      </c>
      <c r="L725" s="22">
        <v>46029</v>
      </c>
      <c r="M725" s="6" t="s">
        <v>717</v>
      </c>
      <c r="N725" s="13">
        <v>51000</v>
      </c>
      <c r="O725" s="11">
        <v>1</v>
      </c>
      <c r="P725" s="12"/>
      <c r="Q725" s="12"/>
    </row>
    <row r="726" spans="1:17" ht="20.100000000000001" customHeight="1">
      <c r="A726" s="4">
        <v>723</v>
      </c>
      <c r="B726" s="7" t="s">
        <v>701</v>
      </c>
      <c r="C726" s="6" t="s">
        <v>25</v>
      </c>
      <c r="D726" s="7" t="s">
        <v>38</v>
      </c>
      <c r="E726" s="7"/>
      <c r="F726" s="7"/>
      <c r="G726" s="7"/>
      <c r="H726" s="7"/>
      <c r="I726" s="7"/>
      <c r="J726" s="7"/>
      <c r="K726" s="8">
        <v>1</v>
      </c>
      <c r="L726" s="22">
        <v>46333</v>
      </c>
      <c r="M726" s="6" t="s">
        <v>717</v>
      </c>
      <c r="N726" s="13">
        <v>860000</v>
      </c>
      <c r="O726" s="11">
        <v>1</v>
      </c>
      <c r="P726" s="12"/>
      <c r="Q726" s="12"/>
    </row>
    <row r="727" spans="1:17" ht="20.100000000000001" customHeight="1">
      <c r="A727" s="4">
        <v>724</v>
      </c>
      <c r="B727" s="7" t="s">
        <v>701</v>
      </c>
      <c r="C727" s="6" t="s">
        <v>25</v>
      </c>
      <c r="D727" s="7" t="s">
        <v>38</v>
      </c>
      <c r="E727" s="7"/>
      <c r="F727" s="7"/>
      <c r="G727" s="7"/>
      <c r="H727" s="7"/>
      <c r="I727" s="7"/>
      <c r="J727" s="7"/>
      <c r="K727" s="8">
        <v>1</v>
      </c>
      <c r="L727" s="25" t="s">
        <v>150</v>
      </c>
      <c r="M727" s="6" t="s">
        <v>718</v>
      </c>
      <c r="N727" s="13">
        <v>600</v>
      </c>
      <c r="O727" s="11">
        <v>1</v>
      </c>
      <c r="P727" s="12"/>
      <c r="Q727" s="12"/>
    </row>
    <row r="728" spans="1:17" ht="20.100000000000001" customHeight="1">
      <c r="A728" s="4">
        <v>725</v>
      </c>
      <c r="B728" s="7" t="s">
        <v>701</v>
      </c>
      <c r="C728" s="6" t="s">
        <v>25</v>
      </c>
      <c r="D728" s="7" t="s">
        <v>38</v>
      </c>
      <c r="E728" s="7"/>
      <c r="F728" s="7"/>
      <c r="G728" s="7"/>
      <c r="H728" s="7"/>
      <c r="I728" s="7"/>
      <c r="J728" s="7"/>
      <c r="K728" s="8">
        <v>1</v>
      </c>
      <c r="L728" s="25" t="s">
        <v>150</v>
      </c>
      <c r="M728" s="6" t="s">
        <v>718</v>
      </c>
      <c r="N728" s="13">
        <v>2500</v>
      </c>
      <c r="O728" s="11">
        <v>1</v>
      </c>
      <c r="P728" s="12"/>
      <c r="Q728" s="12"/>
    </row>
    <row r="729" spans="1:17" ht="20.100000000000001" customHeight="1">
      <c r="A729" s="4">
        <v>726</v>
      </c>
      <c r="B729" s="7" t="s">
        <v>701</v>
      </c>
      <c r="C729" s="6" t="s">
        <v>25</v>
      </c>
      <c r="D729" s="7" t="s">
        <v>38</v>
      </c>
      <c r="E729" s="7"/>
      <c r="F729" s="7"/>
      <c r="G729" s="7"/>
      <c r="H729" s="7"/>
      <c r="I729" s="7"/>
      <c r="J729" s="7"/>
      <c r="K729" s="8">
        <v>1</v>
      </c>
      <c r="L729" s="25" t="s">
        <v>223</v>
      </c>
      <c r="M729" s="6" t="s">
        <v>717</v>
      </c>
      <c r="N729" s="13">
        <v>401</v>
      </c>
      <c r="O729" s="11">
        <v>1</v>
      </c>
      <c r="P729" s="12"/>
      <c r="Q729" s="12"/>
    </row>
    <row r="730" spans="1:17" ht="20.100000000000001" customHeight="1">
      <c r="A730" s="4">
        <v>727</v>
      </c>
      <c r="B730" s="7" t="s">
        <v>701</v>
      </c>
      <c r="C730" s="6" t="s">
        <v>25</v>
      </c>
      <c r="D730" s="7" t="s">
        <v>38</v>
      </c>
      <c r="E730" s="7"/>
      <c r="F730" s="7"/>
      <c r="G730" s="7"/>
      <c r="H730" s="7"/>
      <c r="I730" s="7"/>
      <c r="J730" s="7"/>
      <c r="K730" s="8">
        <v>1</v>
      </c>
      <c r="L730" s="25" t="s">
        <v>98</v>
      </c>
      <c r="M730" s="6" t="s">
        <v>717</v>
      </c>
      <c r="N730" s="13">
        <v>580000</v>
      </c>
      <c r="O730" s="11">
        <v>1</v>
      </c>
      <c r="P730" s="12"/>
      <c r="Q730" s="12"/>
    </row>
    <row r="731" spans="1:17" ht="20.100000000000001" customHeight="1">
      <c r="A731" s="4">
        <v>728</v>
      </c>
      <c r="B731" s="7" t="s">
        <v>719</v>
      </c>
      <c r="C731" s="6" t="s">
        <v>25</v>
      </c>
      <c r="D731" s="7" t="s">
        <v>720</v>
      </c>
      <c r="E731" s="7"/>
      <c r="F731" s="7"/>
      <c r="G731" s="7"/>
      <c r="H731" s="7"/>
      <c r="I731" s="7"/>
      <c r="J731" s="7"/>
      <c r="K731" s="8">
        <v>1</v>
      </c>
      <c r="L731" s="25"/>
      <c r="M731" s="6" t="s">
        <v>721</v>
      </c>
      <c r="N731" s="13">
        <v>15000</v>
      </c>
      <c r="O731" s="11">
        <v>1</v>
      </c>
      <c r="P731" s="12"/>
      <c r="Q731" s="12"/>
    </row>
    <row r="732" spans="1:17" ht="20.100000000000001" customHeight="1">
      <c r="A732" s="4">
        <v>729</v>
      </c>
      <c r="B732" s="7" t="s">
        <v>719</v>
      </c>
      <c r="C732" s="6" t="s">
        <v>25</v>
      </c>
      <c r="D732" s="7" t="s">
        <v>722</v>
      </c>
      <c r="E732" s="7"/>
      <c r="F732" s="7"/>
      <c r="G732" s="7"/>
      <c r="H732" s="7"/>
      <c r="I732" s="7"/>
      <c r="J732" s="7"/>
      <c r="K732" s="8">
        <v>1</v>
      </c>
      <c r="L732" s="25"/>
      <c r="M732" s="6" t="s">
        <v>723</v>
      </c>
      <c r="N732" s="13">
        <v>-108567.17</v>
      </c>
      <c r="O732" s="11">
        <v>1</v>
      </c>
      <c r="P732" s="12"/>
      <c r="Q732" s="12"/>
    </row>
    <row r="733" spans="1:17" ht="20.100000000000001" customHeight="1">
      <c r="A733" s="4">
        <v>730</v>
      </c>
      <c r="B733" s="7" t="s">
        <v>719</v>
      </c>
      <c r="C733" s="6" t="s">
        <v>25</v>
      </c>
      <c r="D733" s="7" t="s">
        <v>724</v>
      </c>
      <c r="E733" s="7"/>
      <c r="F733" s="7"/>
      <c r="G733" s="8">
        <v>1</v>
      </c>
      <c r="H733" s="7"/>
      <c r="I733" s="7"/>
      <c r="J733" s="7"/>
      <c r="K733" s="14"/>
      <c r="L733" s="25"/>
      <c r="M733" s="6" t="s">
        <v>49</v>
      </c>
      <c r="N733" s="13">
        <v>-278494158.5</v>
      </c>
      <c r="O733" s="11">
        <v>1</v>
      </c>
      <c r="P733" s="12"/>
      <c r="Q733" s="12"/>
    </row>
    <row r="734" spans="1:17" ht="20.100000000000001" customHeight="1">
      <c r="A734" s="4">
        <v>731</v>
      </c>
      <c r="B734" s="7" t="s">
        <v>719</v>
      </c>
      <c r="C734" s="6" t="s">
        <v>25</v>
      </c>
      <c r="D734" s="7" t="s">
        <v>724</v>
      </c>
      <c r="E734" s="7"/>
      <c r="F734" s="7"/>
      <c r="G734" s="8">
        <v>1</v>
      </c>
      <c r="H734" s="7"/>
      <c r="I734" s="7"/>
      <c r="J734" s="7"/>
      <c r="K734" s="14"/>
      <c r="L734" s="25"/>
      <c r="M734" s="6" t="s">
        <v>32</v>
      </c>
      <c r="N734" s="13">
        <v>1871428.95</v>
      </c>
      <c r="O734" s="11">
        <v>1</v>
      </c>
      <c r="P734" s="12"/>
      <c r="Q734" s="12"/>
    </row>
    <row r="735" spans="1:17" ht="20.100000000000001" customHeight="1">
      <c r="A735" s="4">
        <v>732</v>
      </c>
      <c r="B735" s="7" t="s">
        <v>719</v>
      </c>
      <c r="C735" s="6" t="s">
        <v>25</v>
      </c>
      <c r="D735" s="7" t="s">
        <v>724</v>
      </c>
      <c r="E735" s="7"/>
      <c r="F735" s="7"/>
      <c r="G735" s="7"/>
      <c r="H735" s="7"/>
      <c r="I735" s="7"/>
      <c r="J735" s="7"/>
      <c r="K735" s="8">
        <v>1</v>
      </c>
      <c r="L735" s="25"/>
      <c r="M735" s="6" t="s">
        <v>725</v>
      </c>
      <c r="N735" s="13">
        <v>3735.86</v>
      </c>
      <c r="O735" s="11">
        <v>1</v>
      </c>
      <c r="P735" s="12"/>
      <c r="Q735" s="12"/>
    </row>
    <row r="736" spans="1:17" ht="20.100000000000001" customHeight="1">
      <c r="A736" s="4">
        <v>733</v>
      </c>
      <c r="B736" s="7" t="s">
        <v>719</v>
      </c>
      <c r="C736" s="6" t="s">
        <v>25</v>
      </c>
      <c r="D736" s="7" t="s">
        <v>724</v>
      </c>
      <c r="E736" s="7"/>
      <c r="F736" s="7"/>
      <c r="G736" s="8">
        <v>1</v>
      </c>
      <c r="H736" s="7"/>
      <c r="I736" s="7"/>
      <c r="J736" s="7"/>
      <c r="K736" s="14"/>
      <c r="L736" s="25"/>
      <c r="M736" s="6" t="s">
        <v>50</v>
      </c>
      <c r="N736" s="13">
        <v>-132495.98000000001</v>
      </c>
      <c r="O736" s="11">
        <v>1</v>
      </c>
      <c r="P736" s="12"/>
      <c r="Q736" s="12"/>
    </row>
    <row r="737" spans="1:17" ht="20.100000000000001" customHeight="1">
      <c r="A737" s="4">
        <v>734</v>
      </c>
      <c r="B737" s="7" t="s">
        <v>719</v>
      </c>
      <c r="C737" s="6" t="s">
        <v>25</v>
      </c>
      <c r="D737" s="7" t="s">
        <v>724</v>
      </c>
      <c r="E737" s="7"/>
      <c r="F737" s="7"/>
      <c r="G737" s="7"/>
      <c r="H737" s="7"/>
      <c r="I737" s="7"/>
      <c r="J737" s="7"/>
      <c r="K737" s="8">
        <v>1</v>
      </c>
      <c r="L737" s="25"/>
      <c r="M737" s="6" t="s">
        <v>726</v>
      </c>
      <c r="N737" s="13">
        <v>3450</v>
      </c>
      <c r="O737" s="11">
        <v>1</v>
      </c>
      <c r="P737" s="12">
        <v>1</v>
      </c>
      <c r="Q737" s="12"/>
    </row>
    <row r="738" spans="1:17" ht="20.100000000000001" customHeight="1">
      <c r="A738" s="4">
        <v>735</v>
      </c>
      <c r="B738" s="7" t="s">
        <v>719</v>
      </c>
      <c r="C738" s="6" t="s">
        <v>25</v>
      </c>
      <c r="D738" s="7" t="s">
        <v>68</v>
      </c>
      <c r="E738" s="7"/>
      <c r="F738" s="7"/>
      <c r="G738" s="7"/>
      <c r="H738" s="7"/>
      <c r="I738" s="7"/>
      <c r="J738" s="7"/>
      <c r="K738" s="8">
        <v>1</v>
      </c>
      <c r="L738" s="25"/>
      <c r="M738" s="6" t="s">
        <v>727</v>
      </c>
      <c r="N738" s="13">
        <v>48992.98</v>
      </c>
      <c r="O738" s="11">
        <v>1</v>
      </c>
      <c r="P738" s="12"/>
      <c r="Q738" s="12"/>
    </row>
    <row r="739" spans="1:17" ht="20.100000000000001" customHeight="1">
      <c r="A739" s="4">
        <v>736</v>
      </c>
      <c r="B739" s="7" t="s">
        <v>728</v>
      </c>
      <c r="C739" s="6" t="s">
        <v>25</v>
      </c>
      <c r="D739" s="7" t="s">
        <v>729</v>
      </c>
      <c r="E739" s="7"/>
      <c r="F739" s="7"/>
      <c r="G739" s="8">
        <v>1</v>
      </c>
      <c r="H739" s="7"/>
      <c r="I739" s="7"/>
      <c r="J739" s="7"/>
      <c r="K739" s="14"/>
      <c r="L739" s="25"/>
      <c r="M739" s="6" t="s">
        <v>49</v>
      </c>
      <c r="N739" s="13">
        <v>51831053.549999997</v>
      </c>
      <c r="O739" s="11">
        <v>1</v>
      </c>
      <c r="P739" s="12"/>
      <c r="Q739" s="12"/>
    </row>
    <row r="740" spans="1:17" ht="20.100000000000001" customHeight="1">
      <c r="A740" s="4">
        <v>737</v>
      </c>
      <c r="B740" s="7" t="s">
        <v>728</v>
      </c>
      <c r="C740" s="6" t="s">
        <v>25</v>
      </c>
      <c r="D740" s="7" t="s">
        <v>729</v>
      </c>
      <c r="E740" s="7"/>
      <c r="F740" s="7"/>
      <c r="G740" s="8">
        <v>1</v>
      </c>
      <c r="H740" s="7"/>
      <c r="I740" s="7"/>
      <c r="J740" s="7"/>
      <c r="K740" s="14"/>
      <c r="L740" s="25"/>
      <c r="M740" s="6" t="s">
        <v>32</v>
      </c>
      <c r="N740" s="13">
        <v>15.43</v>
      </c>
      <c r="O740" s="11">
        <v>1</v>
      </c>
      <c r="P740" s="12"/>
      <c r="Q740" s="12"/>
    </row>
    <row r="741" spans="1:17" ht="20.100000000000001" customHeight="1">
      <c r="A741" s="4">
        <v>738</v>
      </c>
      <c r="B741" s="7" t="s">
        <v>728</v>
      </c>
      <c r="C741" s="6" t="s">
        <v>25</v>
      </c>
      <c r="D741" s="7" t="s">
        <v>68</v>
      </c>
      <c r="E741" s="7"/>
      <c r="F741" s="7"/>
      <c r="G741" s="8">
        <v>1</v>
      </c>
      <c r="H741" s="7"/>
      <c r="I741" s="7"/>
      <c r="J741" s="7"/>
      <c r="K741" s="14"/>
      <c r="L741" s="25"/>
      <c r="M741" s="6" t="s">
        <v>207</v>
      </c>
      <c r="N741" s="13">
        <v>-1437406.4</v>
      </c>
      <c r="O741" s="11">
        <v>1</v>
      </c>
      <c r="P741" s="12"/>
      <c r="Q741" s="12"/>
    </row>
    <row r="742" spans="1:17" ht="20.100000000000001" customHeight="1">
      <c r="A742" s="4">
        <v>739</v>
      </c>
      <c r="B742" s="7" t="s">
        <v>728</v>
      </c>
      <c r="C742" s="6" t="s">
        <v>25</v>
      </c>
      <c r="D742" s="7" t="s">
        <v>730</v>
      </c>
      <c r="E742" s="7"/>
      <c r="F742" s="7"/>
      <c r="G742" s="7"/>
      <c r="H742" s="7"/>
      <c r="I742" s="7"/>
      <c r="J742" s="7"/>
      <c r="K742" s="8">
        <v>1</v>
      </c>
      <c r="L742" s="25"/>
      <c r="M742" s="6" t="s">
        <v>731</v>
      </c>
      <c r="N742" s="13">
        <v>550</v>
      </c>
      <c r="O742" s="11">
        <v>1</v>
      </c>
      <c r="P742" s="12"/>
      <c r="Q742" s="12"/>
    </row>
    <row r="743" spans="1:17" ht="20.100000000000001" customHeight="1">
      <c r="A743" s="4">
        <v>740</v>
      </c>
      <c r="B743" s="7" t="s">
        <v>728</v>
      </c>
      <c r="C743" s="6" t="s">
        <v>25</v>
      </c>
      <c r="D743" s="7" t="s">
        <v>730</v>
      </c>
      <c r="E743" s="7"/>
      <c r="F743" s="7"/>
      <c r="G743" s="7"/>
      <c r="H743" s="7"/>
      <c r="I743" s="8">
        <v>1579</v>
      </c>
      <c r="J743" s="7"/>
      <c r="K743" s="17"/>
      <c r="L743" s="25"/>
      <c r="M743" s="6" t="s">
        <v>35</v>
      </c>
      <c r="N743" s="13"/>
      <c r="O743" s="11">
        <v>1579</v>
      </c>
      <c r="P743" s="12">
        <v>5</v>
      </c>
      <c r="Q743" s="12"/>
    </row>
    <row r="744" spans="1:17" ht="20.100000000000001" customHeight="1">
      <c r="A744" s="4">
        <v>741</v>
      </c>
      <c r="B744" s="7" t="s">
        <v>728</v>
      </c>
      <c r="C744" s="6" t="s">
        <v>25</v>
      </c>
      <c r="D744" s="7" t="s">
        <v>732</v>
      </c>
      <c r="E744" s="7"/>
      <c r="F744" s="8">
        <v>206</v>
      </c>
      <c r="G744" s="7"/>
      <c r="H744" s="7"/>
      <c r="I744" s="7"/>
      <c r="J744" s="7"/>
      <c r="K744" s="14"/>
      <c r="L744" s="25"/>
      <c r="M744" s="6" t="s">
        <v>733</v>
      </c>
      <c r="N744" s="13">
        <v>10300</v>
      </c>
      <c r="O744" s="11">
        <v>206</v>
      </c>
      <c r="P744" s="12">
        <v>1</v>
      </c>
      <c r="Q744" s="12"/>
    </row>
    <row r="745" spans="1:17" ht="20.100000000000001" customHeight="1">
      <c r="A745" s="4">
        <v>742</v>
      </c>
      <c r="B745" s="7" t="s">
        <v>728</v>
      </c>
      <c r="C745" s="6" t="s">
        <v>25</v>
      </c>
      <c r="D745" s="7" t="s">
        <v>724</v>
      </c>
      <c r="E745" s="7"/>
      <c r="F745" s="7"/>
      <c r="G745" s="7"/>
      <c r="H745" s="7"/>
      <c r="I745" s="7"/>
      <c r="J745" s="7"/>
      <c r="K745" s="8">
        <v>1</v>
      </c>
      <c r="L745" s="25"/>
      <c r="M745" s="6" t="s">
        <v>734</v>
      </c>
      <c r="N745" s="13">
        <v>2000000</v>
      </c>
      <c r="O745" s="11">
        <v>1</v>
      </c>
      <c r="P745" s="12">
        <v>1</v>
      </c>
      <c r="Q745" s="12"/>
    </row>
    <row r="746" spans="1:17" ht="20.100000000000001" customHeight="1">
      <c r="A746" s="4">
        <v>743</v>
      </c>
      <c r="B746" s="7" t="s">
        <v>728</v>
      </c>
      <c r="C746" s="6" t="s">
        <v>25</v>
      </c>
      <c r="D746" s="7" t="s">
        <v>724</v>
      </c>
      <c r="E746" s="7"/>
      <c r="F746" s="7"/>
      <c r="G746" s="7"/>
      <c r="H746" s="7"/>
      <c r="I746" s="7"/>
      <c r="J746" s="7"/>
      <c r="K746" s="8">
        <v>1</v>
      </c>
      <c r="L746" s="25"/>
      <c r="M746" s="6" t="s">
        <v>735</v>
      </c>
      <c r="N746" s="13">
        <v>150</v>
      </c>
      <c r="O746" s="11">
        <v>1</v>
      </c>
      <c r="P746" s="12"/>
      <c r="Q746" s="12"/>
    </row>
    <row r="747" spans="1:17" ht="20.100000000000001" customHeight="1">
      <c r="A747" s="4">
        <v>744</v>
      </c>
      <c r="B747" s="7" t="s">
        <v>728</v>
      </c>
      <c r="C747" s="6" t="s">
        <v>25</v>
      </c>
      <c r="D747" s="7" t="s">
        <v>68</v>
      </c>
      <c r="E747" s="7"/>
      <c r="F747" s="7"/>
      <c r="G747" s="7"/>
      <c r="H747" s="7"/>
      <c r="I747" s="7"/>
      <c r="J747" s="7"/>
      <c r="K747" s="8">
        <v>1</v>
      </c>
      <c r="L747" s="25"/>
      <c r="M747" s="6" t="s">
        <v>736</v>
      </c>
      <c r="N747" s="13">
        <v>2783104.35</v>
      </c>
      <c r="O747" s="11">
        <v>1</v>
      </c>
      <c r="P747" s="12"/>
      <c r="Q747" s="12"/>
    </row>
    <row r="748" spans="1:17" ht="20.100000000000001" customHeight="1">
      <c r="A748" s="4">
        <v>745</v>
      </c>
      <c r="B748" s="7" t="s">
        <v>737</v>
      </c>
      <c r="C748" s="6" t="s">
        <v>25</v>
      </c>
      <c r="D748" s="7" t="s">
        <v>26</v>
      </c>
      <c r="E748" s="7"/>
      <c r="F748" s="7"/>
      <c r="G748" s="7"/>
      <c r="H748" s="7"/>
      <c r="I748" s="7"/>
      <c r="J748" s="7"/>
      <c r="K748" s="8">
        <v>2</v>
      </c>
      <c r="L748" s="25"/>
      <c r="M748" s="6" t="s">
        <v>738</v>
      </c>
      <c r="N748" s="60">
        <v>57000</v>
      </c>
      <c r="O748" s="11">
        <v>2</v>
      </c>
      <c r="P748" s="12"/>
      <c r="Q748" s="12"/>
    </row>
    <row r="749" spans="1:17" ht="20.100000000000001" customHeight="1">
      <c r="A749" s="4">
        <v>746</v>
      </c>
      <c r="B749" s="7" t="s">
        <v>737</v>
      </c>
      <c r="C749" s="6" t="s">
        <v>25</v>
      </c>
      <c r="D749" s="7" t="s">
        <v>739</v>
      </c>
      <c r="E749" s="7"/>
      <c r="F749" s="7"/>
      <c r="G749" s="8">
        <v>1</v>
      </c>
      <c r="H749" s="7"/>
      <c r="I749" s="7"/>
      <c r="J749" s="7"/>
      <c r="K749" s="14"/>
      <c r="L749" s="25"/>
      <c r="M749" s="6" t="s">
        <v>32</v>
      </c>
      <c r="N749" s="13">
        <v>0.47</v>
      </c>
      <c r="O749" s="11">
        <v>1</v>
      </c>
      <c r="P749" s="12"/>
      <c r="Q749" s="12"/>
    </row>
    <row r="750" spans="1:17" ht="20.100000000000001" customHeight="1">
      <c r="A750" s="4">
        <v>747</v>
      </c>
      <c r="B750" s="7" t="s">
        <v>737</v>
      </c>
      <c r="C750" s="6" t="s">
        <v>25</v>
      </c>
      <c r="D750" s="7" t="s">
        <v>739</v>
      </c>
      <c r="E750" s="7"/>
      <c r="F750" s="7"/>
      <c r="G750" s="8">
        <v>1</v>
      </c>
      <c r="H750" s="7"/>
      <c r="I750" s="7"/>
      <c r="J750" s="7"/>
      <c r="K750" s="14"/>
      <c r="L750" s="25"/>
      <c r="M750" s="6" t="s">
        <v>49</v>
      </c>
      <c r="N750" s="13">
        <v>94593552.659999996</v>
      </c>
      <c r="O750" s="11">
        <v>1</v>
      </c>
      <c r="P750" s="12"/>
      <c r="Q750" s="12"/>
    </row>
    <row r="751" spans="1:17" ht="20.100000000000001" customHeight="1">
      <c r="A751" s="4">
        <v>748</v>
      </c>
      <c r="B751" s="7" t="s">
        <v>737</v>
      </c>
      <c r="C751" s="6" t="s">
        <v>25</v>
      </c>
      <c r="D751" s="7" t="s">
        <v>739</v>
      </c>
      <c r="E751" s="7"/>
      <c r="F751" s="7"/>
      <c r="G751" s="8">
        <v>1</v>
      </c>
      <c r="H751" s="7"/>
      <c r="I751" s="7"/>
      <c r="J751" s="7"/>
      <c r="K751" s="14"/>
      <c r="L751" s="25"/>
      <c r="M751" s="6" t="s">
        <v>740</v>
      </c>
      <c r="N751" s="13">
        <v>22.95</v>
      </c>
      <c r="O751" s="11">
        <v>1</v>
      </c>
      <c r="P751" s="12"/>
      <c r="Q751" s="12"/>
    </row>
    <row r="752" spans="1:17" ht="20.100000000000001" customHeight="1">
      <c r="A752" s="4">
        <v>749</v>
      </c>
      <c r="B752" s="7" t="s">
        <v>737</v>
      </c>
      <c r="C752" s="65" t="s">
        <v>25</v>
      </c>
      <c r="D752" s="7" t="s">
        <v>36</v>
      </c>
      <c r="E752" s="7"/>
      <c r="F752" s="8">
        <v>579</v>
      </c>
      <c r="G752" s="7"/>
      <c r="H752" s="7"/>
      <c r="I752" s="7"/>
      <c r="J752" s="7"/>
      <c r="K752" s="14"/>
      <c r="L752" s="25" t="s">
        <v>741</v>
      </c>
      <c r="M752" s="6" t="s">
        <v>742</v>
      </c>
      <c r="N752" s="13"/>
      <c r="O752" s="11">
        <v>579</v>
      </c>
      <c r="P752" s="12"/>
      <c r="Q752" s="12"/>
    </row>
    <row r="753" spans="1:18" ht="20.100000000000001" customHeight="1">
      <c r="A753" s="4">
        <v>750</v>
      </c>
      <c r="B753" s="7" t="s">
        <v>737</v>
      </c>
      <c r="C753" s="65" t="s">
        <v>25</v>
      </c>
      <c r="D753" s="7" t="s">
        <v>743</v>
      </c>
      <c r="E753" s="7"/>
      <c r="F753" s="7"/>
      <c r="G753" s="7"/>
      <c r="H753" s="7"/>
      <c r="I753" s="7"/>
      <c r="J753" s="7"/>
      <c r="K753" s="8">
        <v>1</v>
      </c>
      <c r="L753" s="25" t="s">
        <v>744</v>
      </c>
      <c r="M753" s="6" t="s">
        <v>745</v>
      </c>
      <c r="N753" s="60">
        <v>3000</v>
      </c>
      <c r="O753" s="11">
        <v>1</v>
      </c>
      <c r="P753" s="12"/>
      <c r="Q753" s="12"/>
    </row>
    <row r="754" spans="1:18" ht="20.100000000000001" customHeight="1">
      <c r="A754" s="4">
        <v>751</v>
      </c>
      <c r="B754" s="7" t="s">
        <v>737</v>
      </c>
      <c r="C754" s="65" t="s">
        <v>25</v>
      </c>
      <c r="D754" s="7" t="s">
        <v>743</v>
      </c>
      <c r="E754" s="7"/>
      <c r="F754" s="7"/>
      <c r="G754" s="7"/>
      <c r="H754" s="7"/>
      <c r="I754" s="7"/>
      <c r="J754" s="7"/>
      <c r="K754" s="8">
        <v>1</v>
      </c>
      <c r="L754" s="25" t="s">
        <v>746</v>
      </c>
      <c r="M754" s="6" t="s">
        <v>745</v>
      </c>
      <c r="N754" s="60">
        <v>3000</v>
      </c>
      <c r="O754" s="11">
        <v>1</v>
      </c>
      <c r="P754" s="12"/>
      <c r="Q754" s="12"/>
    </row>
    <row r="755" spans="1:18" ht="20.100000000000001" customHeight="1">
      <c r="A755" s="4">
        <v>752</v>
      </c>
      <c r="B755" s="7" t="s">
        <v>737</v>
      </c>
      <c r="C755" s="65" t="s">
        <v>25</v>
      </c>
      <c r="D755" s="7" t="s">
        <v>743</v>
      </c>
      <c r="E755" s="7"/>
      <c r="F755" s="7"/>
      <c r="G755" s="7"/>
      <c r="H755" s="7"/>
      <c r="I755" s="7"/>
      <c r="J755" s="7"/>
      <c r="K755" s="8">
        <v>1</v>
      </c>
      <c r="L755" s="25" t="s">
        <v>747</v>
      </c>
      <c r="M755" s="6" t="s">
        <v>748</v>
      </c>
      <c r="N755" s="60">
        <v>10200</v>
      </c>
      <c r="O755" s="11">
        <v>1</v>
      </c>
      <c r="P755" s="12"/>
      <c r="Q755" s="12"/>
    </row>
    <row r="756" spans="1:18" ht="20.100000000000001" customHeight="1">
      <c r="A756" s="4">
        <v>753</v>
      </c>
      <c r="B756" s="7" t="s">
        <v>737</v>
      </c>
      <c r="C756" s="65" t="s">
        <v>25</v>
      </c>
      <c r="D756" s="7" t="s">
        <v>743</v>
      </c>
      <c r="E756" s="7"/>
      <c r="F756" s="7"/>
      <c r="G756" s="7"/>
      <c r="H756" s="7"/>
      <c r="I756" s="7"/>
      <c r="J756" s="7"/>
      <c r="K756" s="8">
        <v>1</v>
      </c>
      <c r="L756" s="25" t="s">
        <v>747</v>
      </c>
      <c r="M756" s="6" t="s">
        <v>749</v>
      </c>
      <c r="N756" s="60">
        <v>6000</v>
      </c>
      <c r="O756" s="11">
        <v>1</v>
      </c>
      <c r="P756" s="12"/>
      <c r="Q756" s="12"/>
    </row>
    <row r="757" spans="1:18" ht="20.100000000000001" customHeight="1">
      <c r="A757" s="4">
        <v>754</v>
      </c>
      <c r="B757" s="7" t="s">
        <v>737</v>
      </c>
      <c r="C757" s="65" t="s">
        <v>25</v>
      </c>
      <c r="D757" s="7" t="s">
        <v>743</v>
      </c>
      <c r="E757" s="7"/>
      <c r="F757" s="7"/>
      <c r="G757" s="7"/>
      <c r="H757" s="7"/>
      <c r="I757" s="7"/>
      <c r="J757" s="7"/>
      <c r="K757" s="8">
        <v>1</v>
      </c>
      <c r="L757" s="25" t="s">
        <v>750</v>
      </c>
      <c r="M757" s="6" t="s">
        <v>748</v>
      </c>
      <c r="N757" s="60">
        <v>42500</v>
      </c>
      <c r="O757" s="11">
        <v>1</v>
      </c>
      <c r="P757" s="12"/>
      <c r="Q757" s="12"/>
    </row>
    <row r="758" spans="1:18" ht="20.100000000000001" customHeight="1">
      <c r="A758" s="66">
        <v>755</v>
      </c>
      <c r="B758" s="7" t="s">
        <v>737</v>
      </c>
      <c r="C758" s="67" t="s">
        <v>25</v>
      </c>
      <c r="D758" s="7" t="s">
        <v>743</v>
      </c>
      <c r="E758" s="7"/>
      <c r="F758" s="7"/>
      <c r="G758" s="7"/>
      <c r="H758" s="7"/>
      <c r="I758" s="7"/>
      <c r="J758" s="7"/>
      <c r="K758" s="8">
        <v>1</v>
      </c>
      <c r="L758" s="25" t="s">
        <v>586</v>
      </c>
      <c r="M758" s="6" t="s">
        <v>751</v>
      </c>
      <c r="N758" s="41">
        <v>15000</v>
      </c>
      <c r="O758" s="35">
        <v>1</v>
      </c>
      <c r="P758" s="36"/>
      <c r="Q758" s="36"/>
      <c r="R758" s="37"/>
    </row>
    <row r="759" spans="1:18" ht="20.100000000000001" customHeight="1">
      <c r="A759" s="66">
        <v>756</v>
      </c>
      <c r="B759" s="7" t="s">
        <v>737</v>
      </c>
      <c r="C759" s="67" t="s">
        <v>25</v>
      </c>
      <c r="D759" s="7" t="s">
        <v>743</v>
      </c>
      <c r="E759" s="7"/>
      <c r="F759" s="7"/>
      <c r="G759" s="7"/>
      <c r="H759" s="7"/>
      <c r="I759" s="7"/>
      <c r="J759" s="7"/>
      <c r="K759" s="8">
        <v>1</v>
      </c>
      <c r="L759" s="25" t="s">
        <v>752</v>
      </c>
      <c r="M759" s="6" t="s">
        <v>745</v>
      </c>
      <c r="N759" s="41">
        <v>4669</v>
      </c>
      <c r="O759" s="35">
        <v>1</v>
      </c>
      <c r="P759" s="36"/>
      <c r="Q759" s="36"/>
      <c r="R759" s="37"/>
    </row>
    <row r="760" spans="1:18" ht="20.100000000000001" customHeight="1">
      <c r="A760" s="68"/>
      <c r="B760" s="3461" t="s">
        <v>753</v>
      </c>
      <c r="C760" s="3462"/>
      <c r="D760" s="69"/>
      <c r="E760" s="3399">
        <f t="shared" ref="E760:Q760" si="2">SUM(E6:E759)</f>
        <v>0</v>
      </c>
      <c r="F760" s="3399">
        <f t="shared" si="2"/>
        <v>25057</v>
      </c>
      <c r="G760" s="3399">
        <f t="shared" si="2"/>
        <v>135</v>
      </c>
      <c r="H760" s="3399">
        <f t="shared" si="2"/>
        <v>3973</v>
      </c>
      <c r="I760" s="3399">
        <f t="shared" si="2"/>
        <v>87889</v>
      </c>
      <c r="J760" s="3399">
        <f t="shared" si="2"/>
        <v>49</v>
      </c>
      <c r="K760" s="3399">
        <f t="shared" si="2"/>
        <v>625</v>
      </c>
      <c r="L760" s="3399">
        <f t="shared" si="2"/>
        <v>5847748</v>
      </c>
      <c r="M760" s="3399">
        <f t="shared" si="2"/>
        <v>0</v>
      </c>
      <c r="N760" s="3399">
        <f t="shared" si="2"/>
        <v>1484967980.57195</v>
      </c>
      <c r="O760" s="3399">
        <f t="shared" si="2"/>
        <v>117728</v>
      </c>
      <c r="P760" s="3399">
        <f t="shared" si="2"/>
        <v>524</v>
      </c>
      <c r="Q760" s="3399">
        <f t="shared" si="2"/>
        <v>0</v>
      </c>
      <c r="R760" s="72"/>
    </row>
    <row r="761" spans="1:18" ht="20.100000000000001" customHeight="1">
      <c r="A761" s="3449" t="s">
        <v>3</v>
      </c>
      <c r="B761" s="3451" t="s">
        <v>4</v>
      </c>
      <c r="C761" s="3451" t="s">
        <v>5</v>
      </c>
      <c r="D761" s="3451" t="s">
        <v>6</v>
      </c>
      <c r="E761" s="3452" t="s">
        <v>7</v>
      </c>
      <c r="F761" s="3453"/>
      <c r="G761" s="3458" t="s">
        <v>8</v>
      </c>
      <c r="H761" s="3458" t="s">
        <v>9</v>
      </c>
      <c r="I761" s="3458" t="s">
        <v>10</v>
      </c>
      <c r="J761" s="3458" t="s">
        <v>11</v>
      </c>
      <c r="K761" s="3449" t="s">
        <v>12</v>
      </c>
      <c r="L761" s="3449" t="s">
        <v>13</v>
      </c>
      <c r="M761" s="3449" t="s">
        <v>14</v>
      </c>
      <c r="N761" s="3454" t="s">
        <v>15</v>
      </c>
      <c r="O761" s="3460" t="s">
        <v>16</v>
      </c>
      <c r="P761" s="3460"/>
      <c r="Q761" s="3460"/>
    </row>
    <row r="762" spans="1:18" ht="20.100000000000001" customHeight="1">
      <c r="A762" s="3450"/>
      <c r="B762" s="3449"/>
      <c r="C762" s="3449"/>
      <c r="D762" s="3449" t="s">
        <v>6</v>
      </c>
      <c r="E762" s="2" t="s">
        <v>17</v>
      </c>
      <c r="F762" s="2" t="s">
        <v>18</v>
      </c>
      <c r="G762" s="3459"/>
      <c r="H762" s="3459"/>
      <c r="I762" s="3459"/>
      <c r="J762" s="3459"/>
      <c r="K762" s="3450" t="s">
        <v>19</v>
      </c>
      <c r="L762" s="3450"/>
      <c r="M762" s="3450" t="s">
        <v>20</v>
      </c>
      <c r="N762" s="3455"/>
      <c r="O762" s="3" t="s">
        <v>21</v>
      </c>
      <c r="P762" s="2" t="s">
        <v>22</v>
      </c>
      <c r="Q762" s="2" t="s">
        <v>23</v>
      </c>
    </row>
    <row r="763" spans="1:18" ht="20.100000000000001" customHeight="1">
      <c r="E763" s="71">
        <f>E760</f>
        <v>0</v>
      </c>
      <c r="F763" s="71">
        <f t="shared" ref="F763:K763" si="3">F760</f>
        <v>25057</v>
      </c>
      <c r="G763" s="71">
        <f t="shared" si="3"/>
        <v>135</v>
      </c>
      <c r="H763" s="71">
        <f t="shared" si="3"/>
        <v>3973</v>
      </c>
      <c r="I763" s="71">
        <f t="shared" si="3"/>
        <v>87889</v>
      </c>
      <c r="J763" s="71">
        <f t="shared" si="3"/>
        <v>49</v>
      </c>
      <c r="K763" s="71">
        <f t="shared" si="3"/>
        <v>625</v>
      </c>
      <c r="L763" s="73"/>
    </row>
    <row r="764" spans="1:18" ht="20.100000000000001" customHeight="1">
      <c r="L764" s="73"/>
    </row>
    <row r="765" spans="1:18" ht="20.100000000000001" customHeight="1">
      <c r="L765" s="73"/>
      <c r="M765" s="74"/>
      <c r="N765" s="75"/>
      <c r="O765" s="76" t="s">
        <v>22</v>
      </c>
      <c r="P765" s="77" t="s">
        <v>754</v>
      </c>
      <c r="Q765" s="78" t="s">
        <v>755</v>
      </c>
    </row>
    <row r="766" spans="1:18" ht="20.100000000000001" customHeight="1">
      <c r="L766" s="73"/>
      <c r="M766" s="3463" t="s">
        <v>7</v>
      </c>
      <c r="N766" s="79" t="s">
        <v>17</v>
      </c>
      <c r="O766" s="80"/>
      <c r="P766" s="80">
        <f>E763</f>
        <v>0</v>
      </c>
      <c r="Q766" s="80">
        <f>P766-O766</f>
        <v>0</v>
      </c>
    </row>
    <row r="767" spans="1:18" ht="20.100000000000001" customHeight="1">
      <c r="L767" s="73"/>
      <c r="M767" s="3464"/>
      <c r="N767" s="81" t="s">
        <v>18</v>
      </c>
      <c r="O767" s="82">
        <f>P752+P744+P723+P696+P684+P676+P664+P634+P614+P594+P578+P558+P548+P529+P517+P506+P495+P478+P453+P442+P410+P395+P383+P338+P329+P306+P295+P269+P251+P225+P209+P191+P171+P164+P151+P132+P87+P73+P51+P36+P22+P11</f>
        <v>6</v>
      </c>
      <c r="P767" s="80">
        <f>F763</f>
        <v>25057</v>
      </c>
      <c r="Q767" s="80">
        <f t="shared" ref="Q767:Q772" si="4">P767-O767</f>
        <v>25051</v>
      </c>
    </row>
    <row r="768" spans="1:18" ht="20.100000000000001" customHeight="1">
      <c r="L768" s="73"/>
      <c r="M768" s="83" t="s">
        <v>756</v>
      </c>
      <c r="N768" s="79"/>
      <c r="O768" s="82">
        <f>P751+P750+P749+P741+P740+P739+P736+P734+P733+P715+P714+P713+P712+P711+P694+P693+P692+P679+P670+P669+P668+P667+P661+P628+P627+P626+P612+P611+P610+P609+P608+P603+P588+P587+P586+P576+P575+P574+P573+P572+P556+P555+P554+P553+P552+P545+P543+P527+P526+P525+P508+P504+P503+P502+P501+P489+P488+P487+P476+P469+P447+P437+P436+P435+P434+P406+P405+P404+P377+P376+P375+P374+P335+P334+P333+P332+P331+P326+P325+P324+P302+P301+P300+P262+P250+P249+P222+P221+P220+P219+P218+P217+P205+P204+P203+P182+P181+P180+P179+P169+P168+P167+P161+P160+P146+P145+P144+P143+P142+P128+P127+P126+P117+P115+P114+P90+P89+P84+P83+P82+P81+P69+P48+P47+P46+P45+P44+P32+P31+P19+P18+P17+P8+P7</f>
        <v>4</v>
      </c>
      <c r="P768" s="80">
        <f>G763</f>
        <v>135</v>
      </c>
      <c r="Q768" s="80">
        <f t="shared" si="4"/>
        <v>131</v>
      </c>
    </row>
    <row r="769" spans="12:17" ht="20.100000000000001" customHeight="1">
      <c r="L769" s="73"/>
      <c r="M769" s="83" t="s">
        <v>9</v>
      </c>
      <c r="N769" s="84"/>
      <c r="O769" s="82">
        <f>P662+P438+P408+P381+P304+P207+P189+P149+P133+P119+P85+P49+P34+P9</f>
        <v>183</v>
      </c>
      <c r="P769" s="80">
        <f>H763</f>
        <v>3973</v>
      </c>
      <c r="Q769" s="80">
        <f t="shared" si="4"/>
        <v>3790</v>
      </c>
    </row>
    <row r="770" spans="12:17" ht="20.100000000000001" customHeight="1">
      <c r="L770" s="73"/>
      <c r="M770" s="85" t="s">
        <v>757</v>
      </c>
      <c r="N770" s="84"/>
      <c r="O770" s="82">
        <f>P743+P722+P695+P683+P675+P663+P613+P593+P577+P557+P546+P528+P514+P505+P493+P477+P470+P450+P439+P409+P382+P336+P305+P294+P268+P252+P224+P208+P190+P170+P162+P150+P134+P118+P86+P70+P50+P35+P21+P10</f>
        <v>90</v>
      </c>
      <c r="P770" s="80">
        <f>I763</f>
        <v>87889</v>
      </c>
      <c r="Q770" s="80">
        <f t="shared" si="4"/>
        <v>87799</v>
      </c>
    </row>
    <row r="771" spans="12:17" ht="20.100000000000001" customHeight="1">
      <c r="L771" s="73"/>
      <c r="M771" s="86" t="s">
        <v>758</v>
      </c>
      <c r="N771" s="84"/>
      <c r="O771" s="82">
        <f>P606+P510+P486+P178+P159+P141+P125</f>
        <v>0</v>
      </c>
      <c r="P771" s="80">
        <f>J763</f>
        <v>49</v>
      </c>
      <c r="Q771" s="80">
        <f t="shared" si="4"/>
        <v>49</v>
      </c>
    </row>
    <row r="772" spans="12:17" ht="20.100000000000001" customHeight="1">
      <c r="L772" s="73"/>
      <c r="M772" s="87" t="s">
        <v>759</v>
      </c>
      <c r="N772" s="84"/>
      <c r="O772" s="82">
        <f>P759+P758+P757+P756+P755+P754+P753+P748+P747+P746+P745+P742+P738+P737+P735+P732+P731+P730+P729+P728+P727+P726+P725+P724+P721+P720+P719+P718+P717+P716+P710+P709+P708+P707+P706+P705+P704+P703+P702+P701+P700+P699+P698+P697+P691+P690+P689+P688+P687+P686+P685+P682+P681+P680+P678+P677+P674+P673+P672+P671+P666+P665+P660+P659+P658+P657+P656+P655+P654+P653+P652+P651+P650+P649+P648+P647+P646+P645+P644+P643+P642+P641+P640+P639+P638+P637+P636+P635+P633+P632+P631+P630+P629+P625+P624+P623+P622+P621+P620+P619+P618+P617+P616+P615+P607+P605+P604+P602+P601+P600+P599+P598+P597+P596+P595+P592+P591+P590+P589+P585+P584+P583+P582+P581+P580+P579+P571+P570+P569+P568+P567+P566+P565+P564+P563+P562+P561+P560+P559+P551+P550+P549+P547+P544+P542+P541+P540+P539+P538+P537+P536+P535+P534+P533+P532+P531+P530+P524+P523+P522+P521+P520+P519+P518+P516+P515+P513+P512+P511+P509+P507+P500+P499+P498+P497+P496+P494+P492+P491+P490+P485+P484+P483+P482+P481+P480+P479+P475+P474+P473+P472+P471+P468+P467+P466+P465+P464+P463+P462+P461+P460+P459+P458+P457+P456+P455+P454+P452+P451+P449+P448+P446+P445+P444+P443+P441+P440+P433+P432+P431+P430+P429+P428+P427+P426+P425+P424+P423+P422+P421+P420+P419+P418+P417+P416+P415+P414+P413+P412+P411+P407+P403+P402+P401+P400+P399+P398+P397+P396+P394+P393+P392+P391+P390+P389+P388+P387+P386+P385+P384+P380+P379+P378+P373+P372+P371+P370+P369+P368+P367+P366+P365+P364+P363+P362+P361+P360+P359+P358+P357+P356+P355+P354+P353+P352+P351+P350+P349+P348+P347+P346+P345+P344+P343+P342+P341+P340+P339+P337+P330+P328+P327+P323+P322+P321+P320+P319+P318+P317+P316+P315+P314+P313+P312+P311+P310+P309+P308+P307+P303+P299+P298+P297+P296+P293+P292+P291+P290+P289+P288+P287+P286+P285+P284+P283+P282+P281+P280+P279+P278+P277+P276+P275+P274+P273+P272+P271+P270+P267+P266+P265+P264+P263+P261+P260+P259+P258+P257+P256+P255+P254+P253+P248+P247+P246+P245+P244+P243+P242+P241+P240+P239+P238+P237+P236+P235+P234+P233+P232+P231+P230+P229+P228+P227+P226+P223+P216+P215+P214+P213+P212+P211+P210+P206+P202+P201+P200+P199+P198+P197+P196+P195+P194+P193+P192+P188+P187+P186+P185+P184+P183+P177+P176+P175+P174+P173+P172+P166+P165+P163+P158+P157+P156+P155+P154+P153+P152+P148+P147+P140+P139+P138+P137+P136+P135+P131+P130+P129+P124+P123+P122+P121+P116+P113+P112+P111+P110+P109+P108+P107+P106+P105+P104+P103+P102+P101+P100+P99+P98+P97+P96+P95+P94+P93+P92+P91+P88+P80+P79+P78+P77+P76+P75+P74+P72+P71+P68+P67+P66+P65+P64+P63+P62+P61+P60+P59+P58+P57+P56+P55+P54+P53+P52+P43+P42+P41+P40+P39+P38+P37+P33+P30+P29+P28+P27+P26+P25+P24+P23+P20+P16+P15+P14+P13+P12+P6</f>
        <v>241</v>
      </c>
      <c r="P772" s="80">
        <f>K763</f>
        <v>625</v>
      </c>
      <c r="Q772" s="80">
        <f t="shared" si="4"/>
        <v>384</v>
      </c>
    </row>
    <row r="773" spans="12:17" ht="20.100000000000001" customHeight="1">
      <c r="L773" s="73"/>
      <c r="M773" s="88" t="s">
        <v>760</v>
      </c>
      <c r="N773" s="89"/>
      <c r="O773" s="90">
        <f>SUM(O767:O772)</f>
        <v>524</v>
      </c>
      <c r="P773" s="91">
        <f>SUM(P767:P772)</f>
        <v>117728</v>
      </c>
      <c r="Q773" s="91">
        <f>SUM(Q767:Q772)</f>
        <v>117204</v>
      </c>
    </row>
    <row r="774" spans="12:17" ht="20.100000000000001" customHeight="1">
      <c r="L774" s="73"/>
    </row>
  </sheetData>
  <mergeCells count="33">
    <mergeCell ref="M766:M767"/>
    <mergeCell ref="J761:J762"/>
    <mergeCell ref="K761:K762"/>
    <mergeCell ref="L761:L762"/>
    <mergeCell ref="M761:M762"/>
    <mergeCell ref="N761:N762"/>
    <mergeCell ref="O761:Q761"/>
    <mergeCell ref="O4:Q4"/>
    <mergeCell ref="B760:C760"/>
    <mergeCell ref="A761:A762"/>
    <mergeCell ref="B761:B762"/>
    <mergeCell ref="C761:C762"/>
    <mergeCell ref="D761:D762"/>
    <mergeCell ref="E761:F761"/>
    <mergeCell ref="G761:G762"/>
    <mergeCell ref="H761:H762"/>
    <mergeCell ref="I761:I762"/>
    <mergeCell ref="I4:I5"/>
    <mergeCell ref="J4:J5"/>
    <mergeCell ref="K4:K5"/>
    <mergeCell ref="L4:L5"/>
    <mergeCell ref="M4:M5"/>
    <mergeCell ref="N4:N5"/>
    <mergeCell ref="B1:N1"/>
    <mergeCell ref="B2:N2"/>
    <mergeCell ref="B3:N3"/>
    <mergeCell ref="G4:G5"/>
    <mergeCell ref="H4:H5"/>
    <mergeCell ref="A4:A5"/>
    <mergeCell ref="B4:B5"/>
    <mergeCell ref="C4:C5"/>
    <mergeCell ref="D4:D5"/>
    <mergeCell ref="E4:F4"/>
  </mergeCells>
  <conditionalFormatting sqref="L182:M185 L186 D183:J188 D191:E191 G191:J191 D182:F182 H182:J182 D190:H190 D189:G189 I189:J189 J190">
    <cfRule type="colorScale" priority="1">
      <colorScale>
        <cfvo type="min"/>
        <cfvo type="percentile" val="50"/>
        <cfvo type="max"/>
        <color rgb="FF63BE7B"/>
        <color rgb="FFFFEB84"/>
        <color rgb="FFF8696B"/>
      </colorScale>
    </cfRule>
  </conditionalFormatting>
  <conditionalFormatting sqref="L451:M452 D450:H450 M449:M450 J450">
    <cfRule type="colorScale" priority="2">
      <colorScale>
        <cfvo type="min"/>
        <cfvo type="percentile" val="50"/>
        <cfvo type="max"/>
        <color rgb="FF63BE7B"/>
        <color rgb="FFFFEB84"/>
        <color rgb="FFF8696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0"/>
  <sheetViews>
    <sheetView topLeftCell="A370" workbookViewId="0">
      <selection activeCell="I381" sqref="I381:M389"/>
    </sheetView>
  </sheetViews>
  <sheetFormatPr defaultRowHeight="15"/>
  <sheetData>
    <row r="1" spans="1:17" ht="20.100000000000001" customHeight="1">
      <c r="A1" s="3465" t="s">
        <v>0</v>
      </c>
      <c r="B1" s="3465"/>
      <c r="C1" s="3465"/>
      <c r="D1" s="3465"/>
      <c r="E1" s="3465"/>
      <c r="F1" s="3465"/>
      <c r="G1" s="3465"/>
      <c r="H1" s="3465"/>
      <c r="I1" s="3465"/>
      <c r="J1" s="3465"/>
      <c r="K1" s="3465"/>
      <c r="L1" s="3465"/>
      <c r="M1" s="3465"/>
      <c r="N1" s="3465"/>
      <c r="O1" s="3465"/>
      <c r="P1" s="3465"/>
      <c r="Q1" s="3465"/>
    </row>
    <row r="2" spans="1:17" ht="20.100000000000001" customHeight="1">
      <c r="A2" s="3466" t="s">
        <v>769</v>
      </c>
      <c r="B2" s="3466"/>
      <c r="C2" s="3466"/>
      <c r="D2" s="3466"/>
      <c r="E2" s="3466"/>
      <c r="F2" s="3466"/>
      <c r="G2" s="3466"/>
      <c r="H2" s="3466"/>
      <c r="I2" s="3466"/>
      <c r="J2" s="3466"/>
      <c r="K2" s="3466"/>
      <c r="L2" s="3466"/>
      <c r="M2" s="3466"/>
      <c r="N2" s="3466"/>
      <c r="O2" s="3466"/>
      <c r="P2" s="3466"/>
      <c r="Q2" s="3466"/>
    </row>
    <row r="3" spans="1:17" ht="20.100000000000001" customHeight="1">
      <c r="A3" s="3466" t="s">
        <v>770</v>
      </c>
      <c r="B3" s="3466"/>
      <c r="C3" s="3466"/>
      <c r="D3" s="3466"/>
      <c r="E3" s="3466"/>
      <c r="F3" s="3466"/>
      <c r="G3" s="3466"/>
      <c r="H3" s="3466"/>
      <c r="I3" s="3466"/>
      <c r="J3" s="3466"/>
      <c r="K3" s="3466"/>
      <c r="L3" s="3466"/>
      <c r="M3" s="3466"/>
      <c r="N3" s="3466"/>
      <c r="O3" s="3466"/>
      <c r="P3" s="3466"/>
      <c r="Q3" s="3466"/>
    </row>
    <row r="4" spans="1:17" ht="20.100000000000001" customHeight="1">
      <c r="A4" s="3466" t="s">
        <v>771</v>
      </c>
      <c r="B4" s="3466"/>
      <c r="C4" s="3466"/>
      <c r="D4" s="3466"/>
      <c r="E4" s="3466"/>
      <c r="F4" s="3466"/>
      <c r="G4" s="3466"/>
      <c r="H4" s="3466"/>
      <c r="I4" s="3466"/>
      <c r="J4" s="3466"/>
      <c r="K4" s="3466"/>
      <c r="L4" s="3466"/>
      <c r="M4" s="3466"/>
      <c r="N4" s="3466"/>
      <c r="O4" s="3466"/>
      <c r="P4" s="3466"/>
      <c r="Q4" s="3466"/>
    </row>
    <row r="5" spans="1:17" ht="20.100000000000001" customHeight="1">
      <c r="A5" s="3467" t="s">
        <v>764</v>
      </c>
      <c r="B5" s="3467" t="s">
        <v>772</v>
      </c>
      <c r="C5" s="3467" t="s">
        <v>773</v>
      </c>
      <c r="D5" s="3467" t="s">
        <v>6</v>
      </c>
      <c r="E5" s="3467" t="s">
        <v>774</v>
      </c>
      <c r="F5" s="93" t="s">
        <v>14</v>
      </c>
      <c r="G5" s="3468" t="s">
        <v>775</v>
      </c>
      <c r="H5" s="3469"/>
      <c r="I5" s="94">
        <v>0</v>
      </c>
      <c r="J5" s="94">
        <v>0</v>
      </c>
      <c r="K5" s="94">
        <v>0</v>
      </c>
      <c r="L5" s="94">
        <v>0</v>
      </c>
      <c r="M5" s="95" t="s">
        <v>776</v>
      </c>
      <c r="N5" s="96" t="s">
        <v>777</v>
      </c>
      <c r="O5" s="97" t="s">
        <v>778</v>
      </c>
      <c r="P5" s="98">
        <v>0</v>
      </c>
      <c r="Q5" s="98"/>
    </row>
    <row r="6" spans="1:17" ht="20.100000000000001" customHeight="1">
      <c r="A6" s="3467"/>
      <c r="B6" s="3467"/>
      <c r="C6" s="3467"/>
      <c r="D6" s="3467"/>
      <c r="E6" s="3467"/>
      <c r="F6" s="93" t="s">
        <v>20</v>
      </c>
      <c r="G6" s="99" t="s">
        <v>779</v>
      </c>
      <c r="H6" s="99" t="s">
        <v>780</v>
      </c>
      <c r="I6" s="94" t="s">
        <v>781</v>
      </c>
      <c r="J6" s="94" t="s">
        <v>782</v>
      </c>
      <c r="K6" s="94" t="s">
        <v>10</v>
      </c>
      <c r="L6" s="94" t="s">
        <v>783</v>
      </c>
      <c r="M6" s="95">
        <v>0</v>
      </c>
      <c r="N6" s="96">
        <v>0</v>
      </c>
      <c r="O6" s="97" t="s">
        <v>21</v>
      </c>
      <c r="P6" s="98" t="s">
        <v>22</v>
      </c>
      <c r="Q6" s="96"/>
    </row>
    <row r="7" spans="1:17" ht="20.100000000000001" customHeight="1">
      <c r="A7" s="3095">
        <v>1</v>
      </c>
      <c r="B7" s="3096" t="s">
        <v>784</v>
      </c>
      <c r="C7" s="3096" t="s">
        <v>785</v>
      </c>
      <c r="D7" s="3097" t="s">
        <v>786</v>
      </c>
      <c r="E7" s="3098" t="s">
        <v>100</v>
      </c>
      <c r="F7" s="3099" t="s">
        <v>787</v>
      </c>
      <c r="G7" s="3100">
        <v>0</v>
      </c>
      <c r="H7" s="3101">
        <v>0</v>
      </c>
      <c r="I7" s="3102">
        <v>0</v>
      </c>
      <c r="J7" s="3102">
        <v>0</v>
      </c>
      <c r="K7" s="3102">
        <v>0</v>
      </c>
      <c r="L7" s="3102">
        <v>0</v>
      </c>
      <c r="M7" s="3103">
        <v>1</v>
      </c>
      <c r="N7" s="3104">
        <v>15598.34</v>
      </c>
      <c r="O7" s="3105">
        <f>G7+H7+I7+J7+K7+L7+M7-P7</f>
        <v>1</v>
      </c>
      <c r="P7" s="3106">
        <v>0</v>
      </c>
      <c r="Q7" s="3107"/>
    </row>
    <row r="8" spans="1:17" ht="20.100000000000001" customHeight="1">
      <c r="A8" s="3095">
        <v>2</v>
      </c>
      <c r="B8" s="3096" t="s">
        <v>784</v>
      </c>
      <c r="C8" s="3096" t="s">
        <v>785</v>
      </c>
      <c r="D8" s="3097" t="s">
        <v>103</v>
      </c>
      <c r="E8" s="3098" t="s">
        <v>788</v>
      </c>
      <c r="F8" s="3108" t="s">
        <v>3112</v>
      </c>
      <c r="G8" s="3100">
        <v>0</v>
      </c>
      <c r="H8" s="3101">
        <v>0</v>
      </c>
      <c r="I8" s="3102">
        <v>0</v>
      </c>
      <c r="J8" s="3102">
        <v>0</v>
      </c>
      <c r="K8" s="3102">
        <v>0</v>
      </c>
      <c r="L8" s="3103">
        <v>51</v>
      </c>
      <c r="M8" s="3102">
        <v>0</v>
      </c>
      <c r="N8" s="3109">
        <v>0</v>
      </c>
      <c r="O8" s="3105">
        <f t="shared" ref="O8:O71" si="0">G8+H8+I8+J8+K8+L8+M8-P8</f>
        <v>51</v>
      </c>
      <c r="P8" s="3106">
        <v>0</v>
      </c>
      <c r="Q8" s="3107"/>
    </row>
    <row r="9" spans="1:17" ht="20.100000000000001" customHeight="1">
      <c r="A9" s="3095">
        <v>3</v>
      </c>
      <c r="B9" s="3096" t="s">
        <v>784</v>
      </c>
      <c r="C9" s="3096" t="s">
        <v>785</v>
      </c>
      <c r="D9" s="3097" t="s">
        <v>29</v>
      </c>
      <c r="E9" s="3098" t="s">
        <v>789</v>
      </c>
      <c r="F9" s="3099" t="s">
        <v>49</v>
      </c>
      <c r="G9" s="3105">
        <v>0</v>
      </c>
      <c r="H9" s="3101">
        <v>0</v>
      </c>
      <c r="I9" s="3110">
        <v>1</v>
      </c>
      <c r="J9" s="3102">
        <v>0</v>
      </c>
      <c r="K9" s="3102">
        <v>0</v>
      </c>
      <c r="L9" s="3102">
        <v>0</v>
      </c>
      <c r="M9" s="3102">
        <v>0</v>
      </c>
      <c r="N9" s="3111">
        <v>-77522180.510000005</v>
      </c>
      <c r="O9" s="3105">
        <f t="shared" si="0"/>
        <v>1</v>
      </c>
      <c r="P9" s="3106">
        <v>0</v>
      </c>
      <c r="Q9" s="3107"/>
    </row>
    <row r="10" spans="1:17" ht="20.100000000000001" customHeight="1">
      <c r="A10" s="3095">
        <v>4</v>
      </c>
      <c r="B10" s="3096" t="s">
        <v>784</v>
      </c>
      <c r="C10" s="3096" t="s">
        <v>785</v>
      </c>
      <c r="D10" s="3097" t="s">
        <v>29</v>
      </c>
      <c r="E10" s="3098" t="s">
        <v>789</v>
      </c>
      <c r="F10" s="3099" t="s">
        <v>32</v>
      </c>
      <c r="G10" s="3105">
        <v>0</v>
      </c>
      <c r="H10" s="3101">
        <v>0</v>
      </c>
      <c r="I10" s="3110">
        <v>1</v>
      </c>
      <c r="J10" s="3102">
        <v>0</v>
      </c>
      <c r="K10" s="3102">
        <v>0</v>
      </c>
      <c r="L10" s="3102">
        <v>0</v>
      </c>
      <c r="M10" s="3102">
        <v>0</v>
      </c>
      <c r="N10" s="3111">
        <v>113922.37</v>
      </c>
      <c r="O10" s="3105">
        <f t="shared" si="0"/>
        <v>1</v>
      </c>
      <c r="P10" s="3106">
        <v>0</v>
      </c>
      <c r="Q10" s="3107"/>
    </row>
    <row r="11" spans="1:17" ht="20.100000000000001" customHeight="1">
      <c r="A11" s="3095">
        <v>5</v>
      </c>
      <c r="B11" s="3096" t="s">
        <v>784</v>
      </c>
      <c r="C11" s="3096" t="s">
        <v>785</v>
      </c>
      <c r="D11" s="3097" t="s">
        <v>29</v>
      </c>
      <c r="E11" s="3112" t="s">
        <v>515</v>
      </c>
      <c r="F11" s="3113" t="s">
        <v>167</v>
      </c>
      <c r="G11" s="3100">
        <v>0</v>
      </c>
      <c r="H11" s="3101">
        <v>0</v>
      </c>
      <c r="I11" s="3102">
        <v>0</v>
      </c>
      <c r="J11" s="3102">
        <v>0</v>
      </c>
      <c r="K11" s="3102">
        <v>0</v>
      </c>
      <c r="L11" s="3102">
        <v>0</v>
      </c>
      <c r="M11" s="3103">
        <v>3</v>
      </c>
      <c r="N11" s="3109">
        <v>194773.41</v>
      </c>
      <c r="O11" s="3105">
        <f t="shared" si="0"/>
        <v>3</v>
      </c>
      <c r="P11" s="3106">
        <v>0</v>
      </c>
      <c r="Q11" s="3107"/>
    </row>
    <row r="12" spans="1:17" ht="20.100000000000001" customHeight="1">
      <c r="A12" s="3095">
        <v>6</v>
      </c>
      <c r="B12" s="3096" t="s">
        <v>784</v>
      </c>
      <c r="C12" s="3096" t="s">
        <v>785</v>
      </c>
      <c r="D12" s="3097" t="s">
        <v>68</v>
      </c>
      <c r="E12" s="3112" t="s">
        <v>790</v>
      </c>
      <c r="F12" s="3114" t="s">
        <v>791</v>
      </c>
      <c r="G12" s="3115">
        <v>0</v>
      </c>
      <c r="H12" s="3101">
        <v>0</v>
      </c>
      <c r="I12" s="3102">
        <v>0</v>
      </c>
      <c r="J12" s="3102">
        <v>0</v>
      </c>
      <c r="K12" s="3102">
        <v>0</v>
      </c>
      <c r="L12" s="3110">
        <v>0</v>
      </c>
      <c r="M12" s="3103">
        <v>5</v>
      </c>
      <c r="N12" s="3116">
        <v>1601059.53</v>
      </c>
      <c r="O12" s="3105">
        <f t="shared" si="0"/>
        <v>5</v>
      </c>
      <c r="P12" s="3106">
        <v>0</v>
      </c>
      <c r="Q12" s="3107"/>
    </row>
    <row r="13" spans="1:17" ht="20.100000000000001" customHeight="1">
      <c r="A13" s="3095">
        <v>7</v>
      </c>
      <c r="B13" s="3096" t="s">
        <v>784</v>
      </c>
      <c r="C13" s="3096" t="s">
        <v>785</v>
      </c>
      <c r="D13" s="3097" t="s">
        <v>434</v>
      </c>
      <c r="E13" s="3112" t="s">
        <v>790</v>
      </c>
      <c r="F13" s="3113" t="s">
        <v>34</v>
      </c>
      <c r="G13" s="3100">
        <v>0</v>
      </c>
      <c r="H13" s="3101">
        <v>0</v>
      </c>
      <c r="I13" s="3102">
        <v>0</v>
      </c>
      <c r="J13" s="3103">
        <v>124</v>
      </c>
      <c r="K13" s="3102">
        <v>0</v>
      </c>
      <c r="L13" s="3102">
        <v>0</v>
      </c>
      <c r="M13" s="3102">
        <v>0</v>
      </c>
      <c r="N13" s="3117">
        <v>0</v>
      </c>
      <c r="O13" s="3105">
        <f t="shared" si="0"/>
        <v>124</v>
      </c>
      <c r="P13" s="3106">
        <v>0</v>
      </c>
      <c r="Q13" s="3107"/>
    </row>
    <row r="14" spans="1:17" ht="20.100000000000001" customHeight="1">
      <c r="A14" s="3095">
        <v>8</v>
      </c>
      <c r="B14" s="3096" t="s">
        <v>784</v>
      </c>
      <c r="C14" s="3096" t="s">
        <v>785</v>
      </c>
      <c r="D14" s="3097" t="s">
        <v>434</v>
      </c>
      <c r="E14" s="3098" t="s">
        <v>100</v>
      </c>
      <c r="F14" s="3113" t="s">
        <v>35</v>
      </c>
      <c r="G14" s="3100">
        <v>0</v>
      </c>
      <c r="H14" s="3101">
        <v>0</v>
      </c>
      <c r="I14" s="3102">
        <v>0</v>
      </c>
      <c r="J14" s="3102">
        <v>0</v>
      </c>
      <c r="K14" s="3103">
        <v>503</v>
      </c>
      <c r="L14" s="3102">
        <v>0</v>
      </c>
      <c r="M14" s="3102">
        <v>0</v>
      </c>
      <c r="N14" s="3118">
        <v>3190418.66</v>
      </c>
      <c r="O14" s="3105">
        <f t="shared" si="0"/>
        <v>500</v>
      </c>
      <c r="P14" s="3119">
        <v>3</v>
      </c>
      <c r="Q14" s="3107"/>
    </row>
    <row r="15" spans="1:17" ht="20.100000000000001" customHeight="1">
      <c r="A15" s="3095">
        <v>9</v>
      </c>
      <c r="B15" s="3096" t="s">
        <v>784</v>
      </c>
      <c r="C15" s="3096" t="s">
        <v>785</v>
      </c>
      <c r="D15" s="3097" t="s">
        <v>195</v>
      </c>
      <c r="E15" s="3098" t="s">
        <v>100</v>
      </c>
      <c r="F15" s="3113" t="s">
        <v>792</v>
      </c>
      <c r="G15" s="3100">
        <v>0</v>
      </c>
      <c r="H15" s="3101">
        <v>0</v>
      </c>
      <c r="I15" s="3102">
        <v>0</v>
      </c>
      <c r="J15" s="3102">
        <v>0</v>
      </c>
      <c r="K15" s="3102">
        <v>0</v>
      </c>
      <c r="L15" s="3102">
        <v>0</v>
      </c>
      <c r="M15" s="3103">
        <v>4</v>
      </c>
      <c r="N15" s="3117">
        <v>0</v>
      </c>
      <c r="O15" s="3105">
        <f t="shared" si="0"/>
        <v>0</v>
      </c>
      <c r="P15" s="3119">
        <v>4</v>
      </c>
      <c r="Q15" s="3107"/>
    </row>
    <row r="16" spans="1:17" ht="20.100000000000001" customHeight="1">
      <c r="A16" s="3095">
        <v>10</v>
      </c>
      <c r="B16" s="3096" t="s">
        <v>784</v>
      </c>
      <c r="C16" s="3096" t="s">
        <v>785</v>
      </c>
      <c r="D16" s="3097" t="s">
        <v>195</v>
      </c>
      <c r="E16" s="3098" t="s">
        <v>790</v>
      </c>
      <c r="F16" s="3113" t="s">
        <v>196</v>
      </c>
      <c r="G16" s="3100">
        <v>0</v>
      </c>
      <c r="H16" s="3101">
        <v>0</v>
      </c>
      <c r="I16" s="3102">
        <v>0</v>
      </c>
      <c r="J16" s="3102">
        <v>0</v>
      </c>
      <c r="K16" s="3102">
        <v>0</v>
      </c>
      <c r="L16" s="3102">
        <v>0</v>
      </c>
      <c r="M16" s="3103">
        <v>4</v>
      </c>
      <c r="N16" s="3117">
        <v>0</v>
      </c>
      <c r="O16" s="3105">
        <f t="shared" si="0"/>
        <v>0</v>
      </c>
      <c r="P16" s="3119">
        <v>4</v>
      </c>
      <c r="Q16" s="3107"/>
    </row>
    <row r="17" spans="1:17" ht="20.100000000000001" customHeight="1">
      <c r="A17" s="3095">
        <v>11</v>
      </c>
      <c r="B17" s="3096" t="s">
        <v>784</v>
      </c>
      <c r="C17" s="3096" t="s">
        <v>785</v>
      </c>
      <c r="D17" s="3097" t="s">
        <v>36</v>
      </c>
      <c r="E17" s="3098" t="s">
        <v>790</v>
      </c>
      <c r="F17" s="3113" t="s">
        <v>52</v>
      </c>
      <c r="G17" s="3100">
        <v>0</v>
      </c>
      <c r="H17" s="3110">
        <v>321</v>
      </c>
      <c r="I17" s="3102">
        <v>0</v>
      </c>
      <c r="J17" s="3102">
        <v>0</v>
      </c>
      <c r="K17" s="3102">
        <v>0</v>
      </c>
      <c r="L17" s="3102">
        <v>0</v>
      </c>
      <c r="M17" s="3102">
        <v>0</v>
      </c>
      <c r="N17" s="3117">
        <v>0</v>
      </c>
      <c r="O17" s="3105">
        <f t="shared" si="0"/>
        <v>321</v>
      </c>
      <c r="P17" s="3106">
        <v>0</v>
      </c>
      <c r="Q17" s="3107"/>
    </row>
    <row r="18" spans="1:17" ht="20.100000000000001" customHeight="1">
      <c r="A18" s="3095">
        <v>12</v>
      </c>
      <c r="B18" s="3096" t="s">
        <v>784</v>
      </c>
      <c r="C18" s="3096" t="s">
        <v>785</v>
      </c>
      <c r="D18" s="3097" t="s">
        <v>36</v>
      </c>
      <c r="E18" s="3098" t="s">
        <v>790</v>
      </c>
      <c r="F18" s="3114" t="s">
        <v>793</v>
      </c>
      <c r="G18" s="3110">
        <f>321-105</f>
        <v>216</v>
      </c>
      <c r="H18" s="3101">
        <v>0</v>
      </c>
      <c r="I18" s="3102">
        <v>0</v>
      </c>
      <c r="J18" s="3102">
        <v>0</v>
      </c>
      <c r="K18" s="3102">
        <v>0</v>
      </c>
      <c r="L18" s="3102">
        <v>0</v>
      </c>
      <c r="M18" s="3102">
        <v>0</v>
      </c>
      <c r="N18" s="3117">
        <v>0</v>
      </c>
      <c r="O18" s="3105">
        <f t="shared" si="0"/>
        <v>216</v>
      </c>
      <c r="P18" s="3106">
        <v>0</v>
      </c>
      <c r="Q18" s="3107"/>
    </row>
    <row r="19" spans="1:17" ht="20.100000000000001" customHeight="1">
      <c r="A19" s="3095">
        <v>13</v>
      </c>
      <c r="B19" s="3096" t="s">
        <v>784</v>
      </c>
      <c r="C19" s="3096" t="s">
        <v>785</v>
      </c>
      <c r="D19" s="3120" t="s">
        <v>442</v>
      </c>
      <c r="E19" s="3121" t="s">
        <v>790</v>
      </c>
      <c r="F19" s="3114" t="s">
        <v>794</v>
      </c>
      <c r="G19" s="3101">
        <v>0</v>
      </c>
      <c r="H19" s="3101">
        <v>0</v>
      </c>
      <c r="I19" s="3102">
        <v>0</v>
      </c>
      <c r="J19" s="3102">
        <v>0</v>
      </c>
      <c r="K19" s="3102">
        <v>0</v>
      </c>
      <c r="L19" s="3122">
        <v>0</v>
      </c>
      <c r="M19" s="3110">
        <v>1</v>
      </c>
      <c r="N19" s="3109">
        <v>40000</v>
      </c>
      <c r="O19" s="3105">
        <f t="shared" si="0"/>
        <v>0</v>
      </c>
      <c r="P19" s="3119">
        <v>1</v>
      </c>
      <c r="Q19" s="3107"/>
    </row>
    <row r="20" spans="1:17" ht="20.100000000000001" customHeight="1">
      <c r="A20" s="3095">
        <v>14</v>
      </c>
      <c r="B20" s="3096" t="s">
        <v>784</v>
      </c>
      <c r="C20" s="3096" t="s">
        <v>785</v>
      </c>
      <c r="D20" s="3120" t="s">
        <v>442</v>
      </c>
      <c r="E20" s="3121" t="s">
        <v>790</v>
      </c>
      <c r="F20" s="3114" t="s">
        <v>795</v>
      </c>
      <c r="G20" s="3101">
        <v>0</v>
      </c>
      <c r="H20" s="3101">
        <v>0</v>
      </c>
      <c r="I20" s="3102">
        <v>0</v>
      </c>
      <c r="J20" s="3102">
        <v>0</v>
      </c>
      <c r="K20" s="3102">
        <v>0</v>
      </c>
      <c r="L20" s="3122">
        <v>0</v>
      </c>
      <c r="M20" s="3110">
        <v>5</v>
      </c>
      <c r="N20" s="3109">
        <v>16580000</v>
      </c>
      <c r="O20" s="3105">
        <f t="shared" si="0"/>
        <v>0</v>
      </c>
      <c r="P20" s="3119">
        <v>5</v>
      </c>
      <c r="Q20" s="3107"/>
    </row>
    <row r="21" spans="1:17" ht="20.100000000000001" customHeight="1">
      <c r="A21" s="3095">
        <v>15</v>
      </c>
      <c r="B21" s="3096" t="s">
        <v>784</v>
      </c>
      <c r="C21" s="3096" t="s">
        <v>785</v>
      </c>
      <c r="D21" s="3120" t="s">
        <v>442</v>
      </c>
      <c r="E21" s="3121" t="s">
        <v>790</v>
      </c>
      <c r="F21" s="3114" t="s">
        <v>796</v>
      </c>
      <c r="G21" s="3101">
        <v>0</v>
      </c>
      <c r="H21" s="3101">
        <v>0</v>
      </c>
      <c r="I21" s="3102">
        <v>0</v>
      </c>
      <c r="J21" s="3102">
        <v>0</v>
      </c>
      <c r="K21" s="3102">
        <v>0</v>
      </c>
      <c r="L21" s="3122">
        <v>0</v>
      </c>
      <c r="M21" s="3110">
        <v>7</v>
      </c>
      <c r="N21" s="3109">
        <v>4385300</v>
      </c>
      <c r="O21" s="3105">
        <f t="shared" si="0"/>
        <v>0</v>
      </c>
      <c r="P21" s="3119">
        <v>7</v>
      </c>
      <c r="Q21" s="3107"/>
    </row>
    <row r="22" spans="1:17" ht="20.100000000000001" customHeight="1">
      <c r="A22" s="3095">
        <v>16</v>
      </c>
      <c r="B22" s="3096" t="s">
        <v>784</v>
      </c>
      <c r="C22" s="3096" t="s">
        <v>785</v>
      </c>
      <c r="D22" s="3097" t="s">
        <v>105</v>
      </c>
      <c r="E22" s="3098" t="s">
        <v>797</v>
      </c>
      <c r="F22" s="3123" t="s">
        <v>675</v>
      </c>
      <c r="G22" s="3124">
        <v>0</v>
      </c>
      <c r="H22" s="3124">
        <v>0</v>
      </c>
      <c r="I22" s="3124">
        <v>1</v>
      </c>
      <c r="J22" s="3124">
        <v>0</v>
      </c>
      <c r="K22" s="3125">
        <v>0</v>
      </c>
      <c r="L22" s="3126">
        <v>0</v>
      </c>
      <c r="M22" s="3126">
        <v>0</v>
      </c>
      <c r="N22" s="3127">
        <v>3128.32</v>
      </c>
      <c r="O22" s="3105">
        <f t="shared" si="0"/>
        <v>1</v>
      </c>
      <c r="P22" s="3106">
        <v>0</v>
      </c>
      <c r="Q22" s="3107"/>
    </row>
    <row r="23" spans="1:17" ht="20.100000000000001" customHeight="1">
      <c r="A23" s="3095">
        <v>17</v>
      </c>
      <c r="B23" s="3096" t="s">
        <v>798</v>
      </c>
      <c r="C23" s="3096" t="s">
        <v>785</v>
      </c>
      <c r="D23" s="3097" t="s">
        <v>786</v>
      </c>
      <c r="E23" s="3098" t="s">
        <v>799</v>
      </c>
      <c r="F23" s="3128" t="s">
        <v>118</v>
      </c>
      <c r="G23" s="3100">
        <v>0</v>
      </c>
      <c r="H23" s="3101">
        <v>0</v>
      </c>
      <c r="I23" s="3102">
        <v>0</v>
      </c>
      <c r="J23" s="3102">
        <v>0</v>
      </c>
      <c r="K23" s="3102">
        <v>0</v>
      </c>
      <c r="L23" s="3102">
        <v>0</v>
      </c>
      <c r="M23" s="3103">
        <v>1</v>
      </c>
      <c r="N23" s="3104">
        <v>23500</v>
      </c>
      <c r="O23" s="3105">
        <f t="shared" si="0"/>
        <v>1</v>
      </c>
      <c r="P23" s="3106">
        <v>0</v>
      </c>
      <c r="Q23" s="3107"/>
    </row>
    <row r="24" spans="1:17" ht="20.100000000000001" customHeight="1">
      <c r="A24" s="3095">
        <v>18</v>
      </c>
      <c r="B24" s="3096" t="s">
        <v>798</v>
      </c>
      <c r="C24" s="3096" t="s">
        <v>785</v>
      </c>
      <c r="D24" s="3097" t="s">
        <v>29</v>
      </c>
      <c r="E24" s="3098" t="s">
        <v>799</v>
      </c>
      <c r="F24" s="3099" t="s">
        <v>800</v>
      </c>
      <c r="G24" s="3124">
        <v>0</v>
      </c>
      <c r="H24" s="3124">
        <v>0</v>
      </c>
      <c r="I24" s="3124">
        <v>1</v>
      </c>
      <c r="J24" s="3124">
        <v>0</v>
      </c>
      <c r="K24" s="3125">
        <v>0</v>
      </c>
      <c r="L24" s="3126">
        <v>0</v>
      </c>
      <c r="M24" s="3126">
        <v>0</v>
      </c>
      <c r="N24" s="3129">
        <v>930401</v>
      </c>
      <c r="O24" s="3105">
        <f t="shared" si="0"/>
        <v>1</v>
      </c>
      <c r="P24" s="3106">
        <v>0</v>
      </c>
      <c r="Q24" s="3107"/>
    </row>
    <row r="25" spans="1:17" ht="20.100000000000001" customHeight="1">
      <c r="A25" s="3095">
        <v>19</v>
      </c>
      <c r="B25" s="3096" t="s">
        <v>798</v>
      </c>
      <c r="C25" s="3096" t="s">
        <v>785</v>
      </c>
      <c r="D25" s="3097" t="s">
        <v>29</v>
      </c>
      <c r="E25" s="3098" t="s">
        <v>799</v>
      </c>
      <c r="F25" s="3099" t="s">
        <v>49</v>
      </c>
      <c r="G25" s="3105">
        <v>0</v>
      </c>
      <c r="H25" s="3101">
        <v>0</v>
      </c>
      <c r="I25" s="3110">
        <v>1</v>
      </c>
      <c r="J25" s="3102">
        <v>0</v>
      </c>
      <c r="K25" s="3102">
        <v>0</v>
      </c>
      <c r="L25" s="3102">
        <v>0</v>
      </c>
      <c r="M25" s="3102">
        <v>0</v>
      </c>
      <c r="N25" s="3130">
        <v>5516790.1299999999</v>
      </c>
      <c r="O25" s="3105">
        <f t="shared" si="0"/>
        <v>1</v>
      </c>
      <c r="P25" s="3106">
        <v>0</v>
      </c>
      <c r="Q25" s="3107"/>
    </row>
    <row r="26" spans="1:17" ht="20.100000000000001" customHeight="1">
      <c r="A26" s="3095">
        <v>20</v>
      </c>
      <c r="B26" s="3096" t="s">
        <v>798</v>
      </c>
      <c r="C26" s="3096" t="s">
        <v>785</v>
      </c>
      <c r="D26" s="3097" t="s">
        <v>29</v>
      </c>
      <c r="E26" s="3112" t="s">
        <v>799</v>
      </c>
      <c r="F26" s="3131" t="s">
        <v>801</v>
      </c>
      <c r="G26" s="3100">
        <v>0</v>
      </c>
      <c r="H26" s="3101">
        <v>0</v>
      </c>
      <c r="I26" s="3102">
        <v>0</v>
      </c>
      <c r="J26" s="3102">
        <v>0</v>
      </c>
      <c r="K26" s="3102">
        <v>0</v>
      </c>
      <c r="L26" s="3102">
        <v>0</v>
      </c>
      <c r="M26" s="3103">
        <v>1</v>
      </c>
      <c r="N26" s="3132">
        <v>758257.7</v>
      </c>
      <c r="O26" s="3105">
        <f t="shared" si="0"/>
        <v>1</v>
      </c>
      <c r="P26" s="3106">
        <v>0</v>
      </c>
      <c r="Q26" s="3107"/>
    </row>
    <row r="27" spans="1:17" ht="20.100000000000001" customHeight="1">
      <c r="A27" s="3095">
        <v>21</v>
      </c>
      <c r="B27" s="3096" t="s">
        <v>798</v>
      </c>
      <c r="C27" s="3096" t="s">
        <v>785</v>
      </c>
      <c r="D27" s="3097" t="s">
        <v>434</v>
      </c>
      <c r="E27" s="3098" t="s">
        <v>799</v>
      </c>
      <c r="F27" s="3113" t="s">
        <v>35</v>
      </c>
      <c r="G27" s="3100">
        <v>0</v>
      </c>
      <c r="H27" s="3101">
        <v>0</v>
      </c>
      <c r="I27" s="3102">
        <v>0</v>
      </c>
      <c r="J27" s="3102">
        <v>0</v>
      </c>
      <c r="K27" s="3103">
        <v>750</v>
      </c>
      <c r="L27" s="3102">
        <v>0</v>
      </c>
      <c r="M27" s="3102">
        <v>0</v>
      </c>
      <c r="N27" s="3118">
        <v>14333701</v>
      </c>
      <c r="O27" s="3105">
        <f t="shared" si="0"/>
        <v>748</v>
      </c>
      <c r="P27" s="3119">
        <v>2</v>
      </c>
      <c r="Q27" s="3107"/>
    </row>
    <row r="28" spans="1:17" ht="20.100000000000001" customHeight="1">
      <c r="A28" s="3095">
        <v>22</v>
      </c>
      <c r="B28" s="3096" t="s">
        <v>802</v>
      </c>
      <c r="C28" s="3096" t="s">
        <v>785</v>
      </c>
      <c r="D28" s="3097" t="s">
        <v>29</v>
      </c>
      <c r="E28" s="3133">
        <v>44206</v>
      </c>
      <c r="F28" s="3099" t="s">
        <v>49</v>
      </c>
      <c r="G28" s="3105">
        <v>0</v>
      </c>
      <c r="H28" s="3101">
        <v>0</v>
      </c>
      <c r="I28" s="3110">
        <v>1</v>
      </c>
      <c r="J28" s="3102">
        <v>0</v>
      </c>
      <c r="K28" s="3102">
        <v>0</v>
      </c>
      <c r="L28" s="3102">
        <v>0</v>
      </c>
      <c r="M28" s="3102">
        <v>0</v>
      </c>
      <c r="N28" s="3134">
        <v>47868363.200000003</v>
      </c>
      <c r="O28" s="3105">
        <f t="shared" si="0"/>
        <v>1</v>
      </c>
      <c r="P28" s="3106">
        <v>0</v>
      </c>
      <c r="Q28" s="3107"/>
    </row>
    <row r="29" spans="1:17" ht="20.100000000000001" customHeight="1">
      <c r="A29" s="3095">
        <v>23</v>
      </c>
      <c r="B29" s="3096" t="s">
        <v>802</v>
      </c>
      <c r="C29" s="3096" t="s">
        <v>785</v>
      </c>
      <c r="D29" s="3097" t="s">
        <v>29</v>
      </c>
      <c r="E29" s="3133" t="s">
        <v>741</v>
      </c>
      <c r="F29" s="3099" t="s">
        <v>207</v>
      </c>
      <c r="G29" s="3101">
        <v>0</v>
      </c>
      <c r="H29" s="3101">
        <v>0</v>
      </c>
      <c r="I29" s="3110">
        <v>1</v>
      </c>
      <c r="J29" s="3102">
        <v>0</v>
      </c>
      <c r="K29" s="3102">
        <v>0</v>
      </c>
      <c r="L29" s="3102">
        <v>0</v>
      </c>
      <c r="M29" s="3102">
        <v>0</v>
      </c>
      <c r="N29" s="3135">
        <v>75908.56</v>
      </c>
      <c r="O29" s="3105">
        <f t="shared" si="0"/>
        <v>1</v>
      </c>
      <c r="P29" s="3106">
        <v>0</v>
      </c>
      <c r="Q29" s="3107"/>
    </row>
    <row r="30" spans="1:17" ht="20.100000000000001" customHeight="1">
      <c r="A30" s="3095">
        <v>24</v>
      </c>
      <c r="B30" s="3096" t="s">
        <v>802</v>
      </c>
      <c r="C30" s="3096" t="s">
        <v>785</v>
      </c>
      <c r="D30" s="3097" t="s">
        <v>36</v>
      </c>
      <c r="E30" s="3136" t="s">
        <v>741</v>
      </c>
      <c r="F30" s="3113" t="s">
        <v>35</v>
      </c>
      <c r="G30" s="3100">
        <v>0</v>
      </c>
      <c r="H30" s="3101"/>
      <c r="I30" s="3102">
        <v>0</v>
      </c>
      <c r="J30" s="3102">
        <v>0</v>
      </c>
      <c r="K30" s="3103">
        <v>307</v>
      </c>
      <c r="L30" s="3102">
        <v>0</v>
      </c>
      <c r="M30" s="3102">
        <v>0</v>
      </c>
      <c r="N30" s="3118">
        <v>112833</v>
      </c>
      <c r="O30" s="3105">
        <f t="shared" si="0"/>
        <v>307</v>
      </c>
      <c r="P30" s="3106">
        <v>0</v>
      </c>
      <c r="Q30" s="3107"/>
    </row>
    <row r="31" spans="1:17" ht="20.100000000000001" customHeight="1">
      <c r="A31" s="3095">
        <v>25</v>
      </c>
      <c r="B31" s="3096" t="s">
        <v>802</v>
      </c>
      <c r="C31" s="3096" t="s">
        <v>785</v>
      </c>
      <c r="D31" s="3097" t="s">
        <v>36</v>
      </c>
      <c r="E31" s="3133">
        <v>45664</v>
      </c>
      <c r="F31" s="3113" t="s">
        <v>52</v>
      </c>
      <c r="G31" s="3100">
        <v>0</v>
      </c>
      <c r="H31" s="3110">
        <v>897</v>
      </c>
      <c r="I31" s="3102">
        <v>0</v>
      </c>
      <c r="J31" s="3102">
        <v>0</v>
      </c>
      <c r="K31" s="3102">
        <v>0</v>
      </c>
      <c r="L31" s="3102">
        <v>0</v>
      </c>
      <c r="M31" s="3102">
        <v>0</v>
      </c>
      <c r="N31" s="3117">
        <v>0</v>
      </c>
      <c r="O31" s="3105">
        <f t="shared" si="0"/>
        <v>897</v>
      </c>
      <c r="P31" s="3106">
        <v>0</v>
      </c>
      <c r="Q31" s="3107"/>
    </row>
    <row r="32" spans="1:17" ht="20.100000000000001" customHeight="1">
      <c r="A32" s="3095">
        <v>26</v>
      </c>
      <c r="B32" s="3096" t="s">
        <v>802</v>
      </c>
      <c r="C32" s="3096" t="s">
        <v>785</v>
      </c>
      <c r="D32" s="3097" t="s">
        <v>36</v>
      </c>
      <c r="E32" s="3133">
        <v>45664</v>
      </c>
      <c r="F32" s="3137" t="s">
        <v>803</v>
      </c>
      <c r="G32" s="3110">
        <v>619</v>
      </c>
      <c r="H32" s="3101">
        <v>0</v>
      </c>
      <c r="I32" s="3102">
        <v>0</v>
      </c>
      <c r="J32" s="3102">
        <v>0</v>
      </c>
      <c r="K32" s="3102">
        <v>0</v>
      </c>
      <c r="L32" s="3102">
        <v>0</v>
      </c>
      <c r="M32" s="3102">
        <v>0</v>
      </c>
      <c r="N32" s="3117">
        <v>0</v>
      </c>
      <c r="O32" s="3105">
        <f t="shared" si="0"/>
        <v>619</v>
      </c>
      <c r="P32" s="3106">
        <v>0</v>
      </c>
      <c r="Q32" s="3107"/>
    </row>
    <row r="33" spans="1:17" ht="20.100000000000001" customHeight="1">
      <c r="A33" s="3095">
        <v>27</v>
      </c>
      <c r="B33" s="3096" t="s">
        <v>804</v>
      </c>
      <c r="C33" s="3096" t="s">
        <v>805</v>
      </c>
      <c r="D33" s="3097" t="s">
        <v>26</v>
      </c>
      <c r="E33" s="3138">
        <v>45863</v>
      </c>
      <c r="F33" s="3113" t="s">
        <v>48</v>
      </c>
      <c r="G33" s="3100">
        <v>0</v>
      </c>
      <c r="H33" s="3101">
        <v>0</v>
      </c>
      <c r="I33" s="3102">
        <v>0</v>
      </c>
      <c r="J33" s="3102">
        <v>0</v>
      </c>
      <c r="K33" s="3102">
        <v>0</v>
      </c>
      <c r="L33" s="3102">
        <v>0</v>
      </c>
      <c r="M33" s="3103">
        <v>1</v>
      </c>
      <c r="N33" s="3109">
        <v>81.08</v>
      </c>
      <c r="O33" s="3105">
        <f t="shared" si="0"/>
        <v>1</v>
      </c>
      <c r="P33" s="3106">
        <v>0</v>
      </c>
      <c r="Q33" s="3107"/>
    </row>
    <row r="34" spans="1:17" ht="20.100000000000001" customHeight="1">
      <c r="A34" s="3095">
        <v>28</v>
      </c>
      <c r="B34" s="3096" t="s">
        <v>804</v>
      </c>
      <c r="C34" s="3096" t="s">
        <v>805</v>
      </c>
      <c r="D34" s="3097" t="s">
        <v>786</v>
      </c>
      <c r="E34" s="3138">
        <v>46081</v>
      </c>
      <c r="F34" s="3128" t="s">
        <v>118</v>
      </c>
      <c r="G34" s="3100">
        <v>0</v>
      </c>
      <c r="H34" s="3101">
        <v>0</v>
      </c>
      <c r="I34" s="3102">
        <v>0</v>
      </c>
      <c r="J34" s="3102">
        <v>0</v>
      </c>
      <c r="K34" s="3102">
        <v>0</v>
      </c>
      <c r="L34" s="3102">
        <v>0</v>
      </c>
      <c r="M34" s="3103">
        <v>1</v>
      </c>
      <c r="N34" s="3104">
        <v>35138.94</v>
      </c>
      <c r="O34" s="3105">
        <f t="shared" si="0"/>
        <v>1</v>
      </c>
      <c r="P34" s="3106">
        <v>0</v>
      </c>
      <c r="Q34" s="3107"/>
    </row>
    <row r="35" spans="1:17" ht="20.100000000000001" customHeight="1">
      <c r="A35" s="3095">
        <v>29</v>
      </c>
      <c r="B35" s="3096" t="s">
        <v>804</v>
      </c>
      <c r="C35" s="3096" t="s">
        <v>805</v>
      </c>
      <c r="D35" s="3097" t="s">
        <v>29</v>
      </c>
      <c r="E35" s="3138">
        <v>45863</v>
      </c>
      <c r="F35" s="3099" t="s">
        <v>49</v>
      </c>
      <c r="G35" s="3105">
        <v>0</v>
      </c>
      <c r="H35" s="3101">
        <v>0</v>
      </c>
      <c r="I35" s="3110">
        <v>1</v>
      </c>
      <c r="J35" s="3102">
        <v>0</v>
      </c>
      <c r="K35" s="3102">
        <v>0</v>
      </c>
      <c r="L35" s="3102">
        <v>0</v>
      </c>
      <c r="M35" s="3102">
        <v>0</v>
      </c>
      <c r="N35" s="3134">
        <v>23705127.390000001</v>
      </c>
      <c r="O35" s="3105">
        <f t="shared" si="0"/>
        <v>1</v>
      </c>
      <c r="P35" s="3106">
        <v>0</v>
      </c>
      <c r="Q35" s="3107"/>
    </row>
    <row r="36" spans="1:17" ht="20.100000000000001" customHeight="1">
      <c r="A36" s="3095">
        <v>30</v>
      </c>
      <c r="B36" s="3096" t="s">
        <v>804</v>
      </c>
      <c r="C36" s="3096" t="s">
        <v>805</v>
      </c>
      <c r="D36" s="3097" t="s">
        <v>29</v>
      </c>
      <c r="E36" s="3138">
        <v>45863</v>
      </c>
      <c r="F36" s="3099" t="s">
        <v>32</v>
      </c>
      <c r="G36" s="3105">
        <v>0</v>
      </c>
      <c r="H36" s="3101">
        <v>0</v>
      </c>
      <c r="I36" s="3110">
        <v>1</v>
      </c>
      <c r="J36" s="3102">
        <v>0</v>
      </c>
      <c r="K36" s="3102">
        <v>0</v>
      </c>
      <c r="L36" s="3102">
        <v>0</v>
      </c>
      <c r="M36" s="3102">
        <v>0</v>
      </c>
      <c r="N36" s="3104">
        <v>225315.21</v>
      </c>
      <c r="O36" s="3105">
        <f t="shared" si="0"/>
        <v>1</v>
      </c>
      <c r="P36" s="3106">
        <v>0</v>
      </c>
      <c r="Q36" s="3107"/>
    </row>
    <row r="37" spans="1:17" ht="20.100000000000001" customHeight="1">
      <c r="A37" s="3095">
        <v>31</v>
      </c>
      <c r="B37" s="3096" t="s">
        <v>804</v>
      </c>
      <c r="C37" s="3096" t="s">
        <v>805</v>
      </c>
      <c r="D37" s="3097" t="s">
        <v>29</v>
      </c>
      <c r="E37" s="3112"/>
      <c r="F37" s="3131" t="s">
        <v>806</v>
      </c>
      <c r="G37" s="3139">
        <v>0</v>
      </c>
      <c r="H37" s="3139">
        <v>0</v>
      </c>
      <c r="I37" s="3139">
        <v>0</v>
      </c>
      <c r="J37" s="3139">
        <v>0</v>
      </c>
      <c r="K37" s="3125">
        <v>0</v>
      </c>
      <c r="L37" s="3126">
        <v>0</v>
      </c>
      <c r="M37" s="3126">
        <v>1</v>
      </c>
      <c r="N37" s="3140">
        <v>350</v>
      </c>
      <c r="O37" s="3105">
        <f t="shared" si="0"/>
        <v>0</v>
      </c>
      <c r="P37" s="3119">
        <v>1</v>
      </c>
      <c r="Q37" s="3107"/>
    </row>
    <row r="38" spans="1:17" ht="20.100000000000001" customHeight="1">
      <c r="A38" s="3095">
        <v>32</v>
      </c>
      <c r="B38" s="3096" t="s">
        <v>804</v>
      </c>
      <c r="C38" s="3096" t="s">
        <v>805</v>
      </c>
      <c r="D38" s="3097" t="s">
        <v>29</v>
      </c>
      <c r="E38" s="3141">
        <v>45863</v>
      </c>
      <c r="F38" s="3131" t="s">
        <v>807</v>
      </c>
      <c r="G38" s="3100">
        <v>0</v>
      </c>
      <c r="H38" s="3101">
        <v>0</v>
      </c>
      <c r="I38" s="3102">
        <v>0</v>
      </c>
      <c r="J38" s="3102">
        <v>0</v>
      </c>
      <c r="K38" s="3102">
        <v>0</v>
      </c>
      <c r="L38" s="3102">
        <v>0</v>
      </c>
      <c r="M38" s="3103">
        <v>1</v>
      </c>
      <c r="N38" s="3109">
        <v>184</v>
      </c>
      <c r="O38" s="3105">
        <f t="shared" si="0"/>
        <v>1</v>
      </c>
      <c r="P38" s="3106">
        <v>0</v>
      </c>
      <c r="Q38" s="3107"/>
    </row>
    <row r="39" spans="1:17" ht="20.100000000000001" customHeight="1">
      <c r="A39" s="3095">
        <v>33</v>
      </c>
      <c r="B39" s="3096" t="s">
        <v>804</v>
      </c>
      <c r="C39" s="3096" t="s">
        <v>805</v>
      </c>
      <c r="D39" s="3097" t="s">
        <v>29</v>
      </c>
      <c r="E39" s="3141">
        <v>45863</v>
      </c>
      <c r="F39" s="3131" t="s">
        <v>808</v>
      </c>
      <c r="G39" s="3100">
        <v>0</v>
      </c>
      <c r="H39" s="3101">
        <v>0</v>
      </c>
      <c r="I39" s="3102">
        <v>0</v>
      </c>
      <c r="J39" s="3102">
        <v>0</v>
      </c>
      <c r="K39" s="3102">
        <v>0</v>
      </c>
      <c r="L39" s="3102">
        <v>0</v>
      </c>
      <c r="M39" s="3103">
        <v>1</v>
      </c>
      <c r="N39" s="3116">
        <v>3146426.17</v>
      </c>
      <c r="O39" s="3105">
        <f t="shared" si="0"/>
        <v>1</v>
      </c>
      <c r="P39" s="3106">
        <v>0</v>
      </c>
      <c r="Q39" s="3107"/>
    </row>
    <row r="40" spans="1:17" ht="20.100000000000001" customHeight="1">
      <c r="A40" s="3095">
        <v>34</v>
      </c>
      <c r="B40" s="3096" t="s">
        <v>804</v>
      </c>
      <c r="C40" s="3096" t="s">
        <v>805</v>
      </c>
      <c r="D40" s="3097" t="s">
        <v>434</v>
      </c>
      <c r="E40" s="3098"/>
      <c r="F40" s="3113" t="s">
        <v>35</v>
      </c>
      <c r="G40" s="3100">
        <v>0</v>
      </c>
      <c r="H40" s="3101">
        <v>0</v>
      </c>
      <c r="I40" s="3102">
        <v>0</v>
      </c>
      <c r="J40" s="3102">
        <v>0</v>
      </c>
      <c r="K40" s="3103">
        <v>259</v>
      </c>
      <c r="L40" s="3102">
        <v>0</v>
      </c>
      <c r="M40" s="3102">
        <v>0</v>
      </c>
      <c r="N40" s="3118">
        <v>2597508.0499999998</v>
      </c>
      <c r="O40" s="3105">
        <f t="shared" si="0"/>
        <v>258</v>
      </c>
      <c r="P40" s="3119">
        <v>1</v>
      </c>
      <c r="Q40" s="3107"/>
    </row>
    <row r="41" spans="1:17" ht="20.100000000000001" customHeight="1">
      <c r="A41" s="3095">
        <v>35</v>
      </c>
      <c r="B41" s="3096" t="s">
        <v>804</v>
      </c>
      <c r="C41" s="3096" t="s">
        <v>805</v>
      </c>
      <c r="D41" s="3097" t="s">
        <v>36</v>
      </c>
      <c r="E41" s="3142" t="s">
        <v>809</v>
      </c>
      <c r="F41" s="3113" t="s">
        <v>52</v>
      </c>
      <c r="G41" s="3100">
        <v>0</v>
      </c>
      <c r="H41" s="3110">
        <v>227</v>
      </c>
      <c r="I41" s="3102">
        <v>0</v>
      </c>
      <c r="J41" s="3102">
        <v>0</v>
      </c>
      <c r="K41" s="3102">
        <v>0</v>
      </c>
      <c r="L41" s="3102">
        <v>0</v>
      </c>
      <c r="M41" s="3102">
        <v>0</v>
      </c>
      <c r="N41" s="3117">
        <v>0</v>
      </c>
      <c r="O41" s="3105">
        <f t="shared" si="0"/>
        <v>227</v>
      </c>
      <c r="P41" s="3106">
        <v>0</v>
      </c>
      <c r="Q41" s="3107"/>
    </row>
    <row r="42" spans="1:17" ht="20.100000000000001" customHeight="1">
      <c r="A42" s="3095">
        <v>36</v>
      </c>
      <c r="B42" s="3096" t="s">
        <v>804</v>
      </c>
      <c r="C42" s="3096" t="s">
        <v>805</v>
      </c>
      <c r="D42" s="3097" t="s">
        <v>36</v>
      </c>
      <c r="E42" s="3098"/>
      <c r="F42" s="3137" t="s">
        <v>810</v>
      </c>
      <c r="G42" s="3110">
        <v>206</v>
      </c>
      <c r="H42" s="3101">
        <v>0</v>
      </c>
      <c r="I42" s="3102">
        <v>0</v>
      </c>
      <c r="J42" s="3102">
        <v>0</v>
      </c>
      <c r="K42" s="3102">
        <v>0</v>
      </c>
      <c r="L42" s="3102">
        <v>0</v>
      </c>
      <c r="M42" s="3102">
        <v>0</v>
      </c>
      <c r="N42" s="3117">
        <v>0</v>
      </c>
      <c r="O42" s="3105">
        <f t="shared" si="0"/>
        <v>206</v>
      </c>
      <c r="P42" s="3106">
        <v>0</v>
      </c>
      <c r="Q42" s="3107"/>
    </row>
    <row r="43" spans="1:17" ht="20.100000000000001" customHeight="1">
      <c r="A43" s="3095">
        <v>37</v>
      </c>
      <c r="B43" s="3096" t="s">
        <v>811</v>
      </c>
      <c r="C43" s="3096" t="s">
        <v>805</v>
      </c>
      <c r="D43" s="3097" t="s">
        <v>29</v>
      </c>
      <c r="E43" s="3098" t="s">
        <v>788</v>
      </c>
      <c r="F43" s="3099" t="s">
        <v>49</v>
      </c>
      <c r="G43" s="3105">
        <v>0</v>
      </c>
      <c r="H43" s="3101">
        <v>0</v>
      </c>
      <c r="I43" s="3110">
        <v>1</v>
      </c>
      <c r="J43" s="3102">
        <v>0</v>
      </c>
      <c r="K43" s="3102">
        <v>0</v>
      </c>
      <c r="L43" s="3102">
        <v>0</v>
      </c>
      <c r="M43" s="3102">
        <v>0</v>
      </c>
      <c r="N43" s="3143">
        <v>35818220.93</v>
      </c>
      <c r="O43" s="3105">
        <f t="shared" si="0"/>
        <v>1</v>
      </c>
      <c r="P43" s="3106">
        <v>0</v>
      </c>
      <c r="Q43" s="3107"/>
    </row>
    <row r="44" spans="1:17" ht="20.100000000000001" customHeight="1">
      <c r="A44" s="3095">
        <v>38</v>
      </c>
      <c r="B44" s="3096" t="s">
        <v>811</v>
      </c>
      <c r="C44" s="3096" t="s">
        <v>805</v>
      </c>
      <c r="D44" s="3097" t="s">
        <v>29</v>
      </c>
      <c r="E44" s="3098" t="s">
        <v>788</v>
      </c>
      <c r="F44" s="3099" t="s">
        <v>32</v>
      </c>
      <c r="G44" s="3105">
        <v>0</v>
      </c>
      <c r="H44" s="3101">
        <v>0</v>
      </c>
      <c r="I44" s="3110">
        <v>1</v>
      </c>
      <c r="J44" s="3102">
        <v>0</v>
      </c>
      <c r="K44" s="3102">
        <v>0</v>
      </c>
      <c r="L44" s="3102">
        <v>0</v>
      </c>
      <c r="M44" s="3102">
        <v>0</v>
      </c>
      <c r="N44" s="3104">
        <v>34.08</v>
      </c>
      <c r="O44" s="3105">
        <f t="shared" si="0"/>
        <v>1</v>
      </c>
      <c r="P44" s="3106">
        <v>0</v>
      </c>
      <c r="Q44" s="3107"/>
    </row>
    <row r="45" spans="1:17" ht="20.100000000000001" customHeight="1">
      <c r="A45" s="3095">
        <v>39</v>
      </c>
      <c r="B45" s="3096" t="s">
        <v>811</v>
      </c>
      <c r="C45" s="3096" t="s">
        <v>805</v>
      </c>
      <c r="D45" s="3097" t="s">
        <v>29</v>
      </c>
      <c r="E45" s="3098" t="s">
        <v>788</v>
      </c>
      <c r="F45" s="3099" t="s">
        <v>50</v>
      </c>
      <c r="G45" s="3101">
        <v>0</v>
      </c>
      <c r="H45" s="3101">
        <v>0</v>
      </c>
      <c r="I45" s="3110">
        <v>1</v>
      </c>
      <c r="J45" s="3102">
        <v>0</v>
      </c>
      <c r="K45" s="3102">
        <v>0</v>
      </c>
      <c r="L45" s="3102">
        <v>0</v>
      </c>
      <c r="M45" s="3102">
        <v>0</v>
      </c>
      <c r="N45" s="3144">
        <v>62.01</v>
      </c>
      <c r="O45" s="3105">
        <f t="shared" si="0"/>
        <v>1</v>
      </c>
      <c r="P45" s="3106">
        <v>0</v>
      </c>
      <c r="Q45" s="3107"/>
    </row>
    <row r="46" spans="1:17" ht="20.100000000000001" customHeight="1">
      <c r="A46" s="3095">
        <v>40</v>
      </c>
      <c r="B46" s="3096" t="s">
        <v>811</v>
      </c>
      <c r="C46" s="3096" t="s">
        <v>805</v>
      </c>
      <c r="D46" s="3097" t="s">
        <v>29</v>
      </c>
      <c r="E46" s="3112" t="s">
        <v>100</v>
      </c>
      <c r="F46" s="3131" t="s">
        <v>167</v>
      </c>
      <c r="G46" s="3100">
        <v>0</v>
      </c>
      <c r="H46" s="3101">
        <v>0</v>
      </c>
      <c r="I46" s="3102">
        <v>0</v>
      </c>
      <c r="J46" s="3102">
        <v>0</v>
      </c>
      <c r="K46" s="3102">
        <v>0</v>
      </c>
      <c r="L46" s="3102">
        <v>0</v>
      </c>
      <c r="M46" s="3103">
        <v>1</v>
      </c>
      <c r="N46" s="3145">
        <v>1850</v>
      </c>
      <c r="O46" s="3105">
        <f t="shared" si="0"/>
        <v>1</v>
      </c>
      <c r="P46" s="3106">
        <v>0</v>
      </c>
      <c r="Q46" s="3107"/>
    </row>
    <row r="47" spans="1:17" ht="20.100000000000001" customHeight="1">
      <c r="A47" s="3095">
        <v>41</v>
      </c>
      <c r="B47" s="3096" t="s">
        <v>811</v>
      </c>
      <c r="C47" s="3096" t="s">
        <v>805</v>
      </c>
      <c r="D47" s="3097" t="s">
        <v>29</v>
      </c>
      <c r="E47" s="3112" t="s">
        <v>100</v>
      </c>
      <c r="F47" s="3131" t="s">
        <v>51</v>
      </c>
      <c r="G47" s="3100">
        <v>0</v>
      </c>
      <c r="H47" s="3101">
        <v>0</v>
      </c>
      <c r="I47" s="3102">
        <v>0</v>
      </c>
      <c r="J47" s="3102">
        <v>0</v>
      </c>
      <c r="K47" s="3102">
        <v>0</v>
      </c>
      <c r="L47" s="3102">
        <v>0</v>
      </c>
      <c r="M47" s="3103">
        <v>1</v>
      </c>
      <c r="N47" s="3116">
        <v>383901.2</v>
      </c>
      <c r="O47" s="3105">
        <f t="shared" si="0"/>
        <v>1</v>
      </c>
      <c r="P47" s="3106">
        <v>0</v>
      </c>
      <c r="Q47" s="3107"/>
    </row>
    <row r="48" spans="1:17" ht="20.100000000000001" customHeight="1">
      <c r="A48" s="3095">
        <v>42</v>
      </c>
      <c r="B48" s="3096" t="s">
        <v>811</v>
      </c>
      <c r="C48" s="3096" t="s">
        <v>805</v>
      </c>
      <c r="D48" s="3097" t="s">
        <v>434</v>
      </c>
      <c r="E48" s="3112" t="s">
        <v>100</v>
      </c>
      <c r="F48" s="3113" t="s">
        <v>35</v>
      </c>
      <c r="G48" s="3100">
        <v>0</v>
      </c>
      <c r="H48" s="3101">
        <v>0</v>
      </c>
      <c r="I48" s="3102">
        <v>0</v>
      </c>
      <c r="J48" s="3102">
        <v>0</v>
      </c>
      <c r="K48" s="3110">
        <v>3257</v>
      </c>
      <c r="L48" s="3103">
        <v>0</v>
      </c>
      <c r="M48" s="3102">
        <v>0</v>
      </c>
      <c r="N48" s="3146">
        <v>7535721.1200000001</v>
      </c>
      <c r="O48" s="3105">
        <f t="shared" si="0"/>
        <v>3257</v>
      </c>
      <c r="P48" s="3106">
        <v>0</v>
      </c>
      <c r="Q48" s="3107"/>
    </row>
    <row r="49" spans="1:17" ht="20.100000000000001" customHeight="1">
      <c r="A49" s="3095">
        <v>43</v>
      </c>
      <c r="B49" s="3096" t="s">
        <v>812</v>
      </c>
      <c r="C49" s="3096" t="s">
        <v>805</v>
      </c>
      <c r="D49" s="3097" t="s">
        <v>26</v>
      </c>
      <c r="E49" s="3098" t="s">
        <v>515</v>
      </c>
      <c r="F49" s="3113" t="s">
        <v>48</v>
      </c>
      <c r="G49" s="3100">
        <v>0</v>
      </c>
      <c r="H49" s="3101">
        <v>0</v>
      </c>
      <c r="I49" s="3102">
        <v>0</v>
      </c>
      <c r="J49" s="3102">
        <v>0</v>
      </c>
      <c r="K49" s="3102">
        <v>0</v>
      </c>
      <c r="L49" s="3102">
        <v>0</v>
      </c>
      <c r="M49" s="3103">
        <v>5</v>
      </c>
      <c r="N49" s="3109">
        <v>488795.69</v>
      </c>
      <c r="O49" s="3105">
        <f t="shared" si="0"/>
        <v>5</v>
      </c>
      <c r="P49" s="3106">
        <v>0</v>
      </c>
      <c r="Q49" s="3107"/>
    </row>
    <row r="50" spans="1:17" ht="20.100000000000001" customHeight="1">
      <c r="A50" s="3095">
        <v>44</v>
      </c>
      <c r="B50" s="3096" t="s">
        <v>812</v>
      </c>
      <c r="C50" s="3096" t="s">
        <v>805</v>
      </c>
      <c r="D50" s="3097" t="s">
        <v>103</v>
      </c>
      <c r="E50" s="3098" t="s">
        <v>515</v>
      </c>
      <c r="F50" s="3147" t="s">
        <v>3112</v>
      </c>
      <c r="G50" s="3100">
        <v>0</v>
      </c>
      <c r="H50" s="3101">
        <v>0</v>
      </c>
      <c r="I50" s="3102">
        <v>0</v>
      </c>
      <c r="J50" s="3102">
        <v>0</v>
      </c>
      <c r="K50" s="3102">
        <v>0</v>
      </c>
      <c r="L50" s="3103">
        <v>205</v>
      </c>
      <c r="M50" s="3102">
        <v>0</v>
      </c>
      <c r="N50" s="3109">
        <v>7143.5</v>
      </c>
      <c r="O50" s="3105">
        <f t="shared" si="0"/>
        <v>205</v>
      </c>
      <c r="P50" s="3106">
        <v>0</v>
      </c>
      <c r="Q50" s="3107"/>
    </row>
    <row r="51" spans="1:17" ht="20.100000000000001" customHeight="1">
      <c r="A51" s="3095">
        <v>45</v>
      </c>
      <c r="B51" s="3096" t="s">
        <v>812</v>
      </c>
      <c r="C51" s="3096" t="s">
        <v>805</v>
      </c>
      <c r="D51" s="3097" t="s">
        <v>29</v>
      </c>
      <c r="E51" s="3098" t="s">
        <v>515</v>
      </c>
      <c r="F51" s="3099" t="s">
        <v>49</v>
      </c>
      <c r="G51" s="3105">
        <v>0</v>
      </c>
      <c r="H51" s="3101">
        <v>0</v>
      </c>
      <c r="I51" s="3110">
        <v>1</v>
      </c>
      <c r="J51" s="3102">
        <v>0</v>
      </c>
      <c r="K51" s="3102">
        <v>0</v>
      </c>
      <c r="L51" s="3102">
        <v>0</v>
      </c>
      <c r="M51" s="3102">
        <v>0</v>
      </c>
      <c r="N51" s="3104">
        <v>-523050828.89999998</v>
      </c>
      <c r="O51" s="3105">
        <f t="shared" si="0"/>
        <v>1</v>
      </c>
      <c r="P51" s="3106">
        <v>0</v>
      </c>
      <c r="Q51" s="3107"/>
    </row>
    <row r="52" spans="1:17" ht="20.100000000000001" customHeight="1">
      <c r="A52" s="3095">
        <v>46</v>
      </c>
      <c r="B52" s="3096" t="s">
        <v>812</v>
      </c>
      <c r="C52" s="3096" t="s">
        <v>805</v>
      </c>
      <c r="D52" s="3097" t="s">
        <v>29</v>
      </c>
      <c r="E52" s="3098" t="s">
        <v>515</v>
      </c>
      <c r="F52" s="3099" t="s">
        <v>32</v>
      </c>
      <c r="G52" s="3105">
        <v>0</v>
      </c>
      <c r="H52" s="3101">
        <v>0</v>
      </c>
      <c r="I52" s="3110">
        <v>1</v>
      </c>
      <c r="J52" s="3102">
        <v>0</v>
      </c>
      <c r="K52" s="3102">
        <v>0</v>
      </c>
      <c r="L52" s="3102">
        <v>0</v>
      </c>
      <c r="M52" s="3102">
        <v>0</v>
      </c>
      <c r="N52" s="3104">
        <v>-48553.62</v>
      </c>
      <c r="O52" s="3105">
        <f t="shared" si="0"/>
        <v>1</v>
      </c>
      <c r="P52" s="3106">
        <v>0</v>
      </c>
      <c r="Q52" s="3107"/>
    </row>
    <row r="53" spans="1:17" ht="20.100000000000001" customHeight="1">
      <c r="A53" s="3095">
        <v>47</v>
      </c>
      <c r="B53" s="3096" t="s">
        <v>812</v>
      </c>
      <c r="C53" s="3096" t="s">
        <v>805</v>
      </c>
      <c r="D53" s="3097" t="s">
        <v>29</v>
      </c>
      <c r="E53" s="3148" t="s">
        <v>515</v>
      </c>
      <c r="F53" s="3099" t="s">
        <v>207</v>
      </c>
      <c r="G53" s="3101">
        <v>0</v>
      </c>
      <c r="H53" s="3101">
        <v>0</v>
      </c>
      <c r="I53" s="3110">
        <v>1</v>
      </c>
      <c r="J53" s="3102">
        <v>0</v>
      </c>
      <c r="K53" s="3102">
        <v>0</v>
      </c>
      <c r="L53" s="3102">
        <v>0</v>
      </c>
      <c r="M53" s="3102">
        <v>0</v>
      </c>
      <c r="N53" s="3135">
        <v>-548277.13</v>
      </c>
      <c r="O53" s="3105">
        <f t="shared" si="0"/>
        <v>1</v>
      </c>
      <c r="P53" s="3106">
        <v>0</v>
      </c>
      <c r="Q53" s="3107"/>
    </row>
    <row r="54" spans="1:17" ht="20.100000000000001" customHeight="1">
      <c r="A54" s="3095">
        <v>48</v>
      </c>
      <c r="B54" s="3096" t="s">
        <v>812</v>
      </c>
      <c r="C54" s="3096" t="s">
        <v>805</v>
      </c>
      <c r="D54" s="3097" t="s">
        <v>29</v>
      </c>
      <c r="E54" s="3112" t="s">
        <v>515</v>
      </c>
      <c r="F54" s="3131" t="s">
        <v>167</v>
      </c>
      <c r="G54" s="3100">
        <v>0</v>
      </c>
      <c r="H54" s="3101">
        <v>0</v>
      </c>
      <c r="I54" s="3102">
        <v>0</v>
      </c>
      <c r="J54" s="3102">
        <v>0</v>
      </c>
      <c r="K54" s="3102">
        <v>0</v>
      </c>
      <c r="L54" s="3102">
        <v>0</v>
      </c>
      <c r="M54" s="3103">
        <v>1</v>
      </c>
      <c r="N54" s="3109">
        <v>14000</v>
      </c>
      <c r="O54" s="3105">
        <f t="shared" si="0"/>
        <v>1</v>
      </c>
      <c r="P54" s="3106">
        <v>0</v>
      </c>
      <c r="Q54" s="3107"/>
    </row>
    <row r="55" spans="1:17" ht="20.100000000000001" customHeight="1">
      <c r="A55" s="3095">
        <v>49</v>
      </c>
      <c r="B55" s="3096" t="s">
        <v>812</v>
      </c>
      <c r="C55" s="3096" t="s">
        <v>805</v>
      </c>
      <c r="D55" s="3097" t="s">
        <v>29</v>
      </c>
      <c r="E55" s="3112" t="s">
        <v>515</v>
      </c>
      <c r="F55" s="3131" t="s">
        <v>813</v>
      </c>
      <c r="G55" s="3100">
        <v>0</v>
      </c>
      <c r="H55" s="3101">
        <v>0</v>
      </c>
      <c r="I55" s="3102">
        <v>0</v>
      </c>
      <c r="J55" s="3102">
        <v>0</v>
      </c>
      <c r="K55" s="3102">
        <v>0</v>
      </c>
      <c r="L55" s="3102">
        <v>0</v>
      </c>
      <c r="M55" s="3103">
        <v>2</v>
      </c>
      <c r="N55" s="3116">
        <v>2539.06</v>
      </c>
      <c r="O55" s="3105">
        <f t="shared" si="0"/>
        <v>2</v>
      </c>
      <c r="P55" s="3106">
        <v>0</v>
      </c>
      <c r="Q55" s="3107"/>
    </row>
    <row r="56" spans="1:17" ht="20.100000000000001" customHeight="1">
      <c r="A56" s="3095">
        <v>50</v>
      </c>
      <c r="B56" s="3096" t="s">
        <v>812</v>
      </c>
      <c r="C56" s="3096" t="s">
        <v>805</v>
      </c>
      <c r="D56" s="3097" t="s">
        <v>434</v>
      </c>
      <c r="E56" s="3112" t="s">
        <v>515</v>
      </c>
      <c r="F56" s="3113" t="s">
        <v>34</v>
      </c>
      <c r="G56" s="3100">
        <v>0</v>
      </c>
      <c r="H56" s="3101">
        <v>0</v>
      </c>
      <c r="I56" s="3102">
        <v>0</v>
      </c>
      <c r="J56" s="3103">
        <v>212</v>
      </c>
      <c r="K56" s="3102">
        <v>0</v>
      </c>
      <c r="L56" s="3102">
        <v>0</v>
      </c>
      <c r="M56" s="3102">
        <v>0</v>
      </c>
      <c r="N56" s="3117">
        <v>0</v>
      </c>
      <c r="O56" s="3105">
        <f t="shared" si="0"/>
        <v>212</v>
      </c>
      <c r="P56" s="3106">
        <v>0</v>
      </c>
      <c r="Q56" s="3107"/>
    </row>
    <row r="57" spans="1:17" ht="20.100000000000001" customHeight="1">
      <c r="A57" s="3095">
        <v>51</v>
      </c>
      <c r="B57" s="3096" t="s">
        <v>812</v>
      </c>
      <c r="C57" s="3096" t="s">
        <v>805</v>
      </c>
      <c r="D57" s="3097" t="s">
        <v>434</v>
      </c>
      <c r="E57" s="3141">
        <v>46203</v>
      </c>
      <c r="F57" s="3113" t="s">
        <v>35</v>
      </c>
      <c r="G57" s="3100">
        <v>0</v>
      </c>
      <c r="H57" s="3101">
        <v>0</v>
      </c>
      <c r="I57" s="3102">
        <v>0</v>
      </c>
      <c r="J57" s="3102">
        <v>0</v>
      </c>
      <c r="K57" s="3103">
        <v>1255</v>
      </c>
      <c r="L57" s="3102">
        <v>0</v>
      </c>
      <c r="M57" s="3102">
        <v>0</v>
      </c>
      <c r="N57" s="3118">
        <v>5172772.67</v>
      </c>
      <c r="O57" s="3105">
        <f t="shared" si="0"/>
        <v>1255</v>
      </c>
      <c r="P57" s="3106">
        <v>0</v>
      </c>
      <c r="Q57" s="3107"/>
    </row>
    <row r="58" spans="1:17" ht="20.100000000000001" customHeight="1">
      <c r="A58" s="3095">
        <v>52</v>
      </c>
      <c r="B58" s="3096" t="s">
        <v>812</v>
      </c>
      <c r="C58" s="3096" t="s">
        <v>805</v>
      </c>
      <c r="D58" s="3097" t="s">
        <v>36</v>
      </c>
      <c r="E58" s="3098" t="s">
        <v>515</v>
      </c>
      <c r="F58" s="3113" t="s">
        <v>52</v>
      </c>
      <c r="G58" s="3100">
        <v>0</v>
      </c>
      <c r="H58" s="3110">
        <v>299</v>
      </c>
      <c r="I58" s="3102">
        <v>0</v>
      </c>
      <c r="J58" s="3102">
        <v>0</v>
      </c>
      <c r="K58" s="3102">
        <v>0</v>
      </c>
      <c r="L58" s="3102">
        <v>0</v>
      </c>
      <c r="M58" s="3102">
        <v>0</v>
      </c>
      <c r="N58" s="3117">
        <v>0</v>
      </c>
      <c r="O58" s="3105">
        <f t="shared" si="0"/>
        <v>299</v>
      </c>
      <c r="P58" s="3106">
        <v>0</v>
      </c>
      <c r="Q58" s="3107"/>
    </row>
    <row r="59" spans="1:17" ht="20.100000000000001" customHeight="1">
      <c r="A59" s="3095">
        <v>53</v>
      </c>
      <c r="B59" s="3096" t="s">
        <v>812</v>
      </c>
      <c r="C59" s="3096" t="s">
        <v>805</v>
      </c>
      <c r="D59" s="3097" t="s">
        <v>36</v>
      </c>
      <c r="E59" s="3098" t="s">
        <v>515</v>
      </c>
      <c r="F59" s="3137" t="s">
        <v>814</v>
      </c>
      <c r="G59" s="3110">
        <v>21</v>
      </c>
      <c r="H59" s="3101">
        <v>0</v>
      </c>
      <c r="I59" s="3102">
        <v>0</v>
      </c>
      <c r="J59" s="3102">
        <v>0</v>
      </c>
      <c r="K59" s="3102">
        <v>0</v>
      </c>
      <c r="L59" s="3102">
        <v>0</v>
      </c>
      <c r="M59" s="3102">
        <v>0</v>
      </c>
      <c r="N59" s="3117"/>
      <c r="O59" s="3105">
        <f t="shared" si="0"/>
        <v>21</v>
      </c>
      <c r="P59" s="3106">
        <v>0</v>
      </c>
      <c r="Q59" s="3107"/>
    </row>
    <row r="60" spans="1:17" ht="20.100000000000001" customHeight="1">
      <c r="A60" s="3095">
        <v>54</v>
      </c>
      <c r="B60" s="3096" t="s">
        <v>815</v>
      </c>
      <c r="C60" s="3096" t="s">
        <v>805</v>
      </c>
      <c r="D60" s="3097" t="s">
        <v>29</v>
      </c>
      <c r="E60" s="3098" t="s">
        <v>816</v>
      </c>
      <c r="F60" s="3099" t="s">
        <v>119</v>
      </c>
      <c r="G60" s="3105">
        <v>0</v>
      </c>
      <c r="H60" s="3101">
        <v>0</v>
      </c>
      <c r="I60" s="3149">
        <v>1</v>
      </c>
      <c r="J60" s="3102">
        <v>0</v>
      </c>
      <c r="K60" s="3102">
        <v>0</v>
      </c>
      <c r="L60" s="3102">
        <v>0</v>
      </c>
      <c r="M60" s="3102">
        <v>0</v>
      </c>
      <c r="N60" s="3104">
        <v>1521977.95</v>
      </c>
      <c r="O60" s="3105">
        <f t="shared" si="0"/>
        <v>1</v>
      </c>
      <c r="P60" s="3106">
        <v>0</v>
      </c>
      <c r="Q60" s="3107"/>
    </row>
    <row r="61" spans="1:17" ht="20.100000000000001" customHeight="1">
      <c r="A61" s="3095">
        <v>55</v>
      </c>
      <c r="B61" s="3096" t="s">
        <v>815</v>
      </c>
      <c r="C61" s="3096" t="s">
        <v>805</v>
      </c>
      <c r="D61" s="3097" t="s">
        <v>29</v>
      </c>
      <c r="E61" s="3098" t="s">
        <v>817</v>
      </c>
      <c r="F61" s="3099" t="s">
        <v>49</v>
      </c>
      <c r="G61" s="3105">
        <v>0</v>
      </c>
      <c r="H61" s="3101">
        <v>0</v>
      </c>
      <c r="I61" s="3122">
        <v>1</v>
      </c>
      <c r="J61" s="3102">
        <v>0</v>
      </c>
      <c r="K61" s="3102">
        <v>0</v>
      </c>
      <c r="L61" s="3102">
        <v>0</v>
      </c>
      <c r="M61" s="3102">
        <v>0</v>
      </c>
      <c r="N61" s="3104">
        <v>10853531.73</v>
      </c>
      <c r="O61" s="3105">
        <f t="shared" si="0"/>
        <v>1</v>
      </c>
      <c r="P61" s="3106">
        <v>0</v>
      </c>
      <c r="Q61" s="3107"/>
    </row>
    <row r="62" spans="1:17" ht="20.100000000000001" customHeight="1">
      <c r="A62" s="3095">
        <v>56</v>
      </c>
      <c r="B62" s="3096" t="s">
        <v>815</v>
      </c>
      <c r="C62" s="3096" t="s">
        <v>805</v>
      </c>
      <c r="D62" s="3097" t="s">
        <v>29</v>
      </c>
      <c r="E62" s="3098" t="s">
        <v>818</v>
      </c>
      <c r="F62" s="3099" t="s">
        <v>819</v>
      </c>
      <c r="G62" s="3105">
        <v>0</v>
      </c>
      <c r="H62" s="3101">
        <v>0</v>
      </c>
      <c r="I62" s="3122">
        <v>1</v>
      </c>
      <c r="J62" s="3102">
        <v>0</v>
      </c>
      <c r="K62" s="3102">
        <v>0</v>
      </c>
      <c r="L62" s="3102">
        <v>0</v>
      </c>
      <c r="M62" s="3102">
        <v>0</v>
      </c>
      <c r="N62" s="3150">
        <v>53099.08</v>
      </c>
      <c r="O62" s="3105">
        <f t="shared" si="0"/>
        <v>0</v>
      </c>
      <c r="P62" s="3119">
        <v>1</v>
      </c>
      <c r="Q62" s="3107"/>
    </row>
    <row r="63" spans="1:17" ht="20.100000000000001" customHeight="1">
      <c r="A63" s="3095">
        <v>57</v>
      </c>
      <c r="B63" s="3096" t="s">
        <v>815</v>
      </c>
      <c r="C63" s="3096" t="s">
        <v>805</v>
      </c>
      <c r="D63" s="3097" t="s">
        <v>434</v>
      </c>
      <c r="E63" s="3098" t="s">
        <v>818</v>
      </c>
      <c r="F63" s="3113" t="s">
        <v>35</v>
      </c>
      <c r="G63" s="3100">
        <v>0</v>
      </c>
      <c r="H63" s="3101">
        <v>0</v>
      </c>
      <c r="I63" s="3102">
        <v>0</v>
      </c>
      <c r="J63" s="3102">
        <v>0</v>
      </c>
      <c r="K63" s="3103">
        <v>33</v>
      </c>
      <c r="L63" s="3102">
        <v>0</v>
      </c>
      <c r="M63" s="3102">
        <v>0</v>
      </c>
      <c r="N63" s="3118">
        <v>461110.98</v>
      </c>
      <c r="O63" s="3105">
        <f t="shared" si="0"/>
        <v>33</v>
      </c>
      <c r="P63" s="3106">
        <v>0</v>
      </c>
      <c r="Q63" s="3107"/>
    </row>
    <row r="64" spans="1:17" ht="20.100000000000001" customHeight="1">
      <c r="A64" s="3095">
        <v>58</v>
      </c>
      <c r="B64" s="3096" t="s">
        <v>815</v>
      </c>
      <c r="C64" s="3096" t="s">
        <v>805</v>
      </c>
      <c r="D64" s="3097" t="s">
        <v>36</v>
      </c>
      <c r="E64" s="3098" t="s">
        <v>818</v>
      </c>
      <c r="F64" s="3113" t="s">
        <v>52</v>
      </c>
      <c r="G64" s="3100">
        <v>0</v>
      </c>
      <c r="H64" s="3122">
        <v>359</v>
      </c>
      <c r="I64" s="3102">
        <v>0</v>
      </c>
      <c r="J64" s="3102">
        <v>0</v>
      </c>
      <c r="K64" s="3102">
        <v>0</v>
      </c>
      <c r="L64" s="3102">
        <v>0</v>
      </c>
      <c r="M64" s="3102">
        <v>0</v>
      </c>
      <c r="N64" s="3117">
        <v>0</v>
      </c>
      <c r="O64" s="3105">
        <f t="shared" si="0"/>
        <v>359</v>
      </c>
      <c r="P64" s="3106">
        <v>0</v>
      </c>
      <c r="Q64" s="3107"/>
    </row>
    <row r="65" spans="1:17" ht="20.100000000000001" customHeight="1">
      <c r="A65" s="3095">
        <v>59</v>
      </c>
      <c r="B65" s="3096" t="s">
        <v>820</v>
      </c>
      <c r="C65" s="3096" t="s">
        <v>805</v>
      </c>
      <c r="D65" s="3120" t="s">
        <v>26</v>
      </c>
      <c r="E65" s="3098" t="s">
        <v>821</v>
      </c>
      <c r="F65" s="3151" t="s">
        <v>48</v>
      </c>
      <c r="G65" s="3100">
        <v>0</v>
      </c>
      <c r="H65" s="3101">
        <v>0</v>
      </c>
      <c r="I65" s="3101">
        <v>0</v>
      </c>
      <c r="J65" s="3101">
        <v>0</v>
      </c>
      <c r="K65" s="3101">
        <v>0</v>
      </c>
      <c r="L65" s="3101">
        <v>0</v>
      </c>
      <c r="M65" s="3152">
        <v>1</v>
      </c>
      <c r="N65" s="3109">
        <v>29041.43</v>
      </c>
      <c r="O65" s="3105">
        <f t="shared" si="0"/>
        <v>1</v>
      </c>
      <c r="P65" s="3106">
        <v>0</v>
      </c>
      <c r="Q65" s="3107"/>
    </row>
    <row r="66" spans="1:17" ht="20.100000000000001" customHeight="1">
      <c r="A66" s="3095">
        <v>60</v>
      </c>
      <c r="B66" s="3096" t="s">
        <v>820</v>
      </c>
      <c r="C66" s="3096" t="s">
        <v>805</v>
      </c>
      <c r="D66" s="3097" t="s">
        <v>29</v>
      </c>
      <c r="E66" s="3098" t="s">
        <v>822</v>
      </c>
      <c r="F66" s="3153" t="s">
        <v>823</v>
      </c>
      <c r="G66" s="3105">
        <v>0</v>
      </c>
      <c r="H66" s="3101">
        <v>0</v>
      </c>
      <c r="I66" s="3154"/>
      <c r="J66" s="3101">
        <v>0</v>
      </c>
      <c r="K66" s="3101">
        <v>0</v>
      </c>
      <c r="L66" s="3101">
        <v>0</v>
      </c>
      <c r="M66" s="3101">
        <v>1</v>
      </c>
      <c r="N66" s="3104">
        <v>910</v>
      </c>
      <c r="O66" s="3105">
        <f t="shared" si="0"/>
        <v>0</v>
      </c>
      <c r="P66" s="3119">
        <v>1</v>
      </c>
      <c r="Q66" s="3107"/>
    </row>
    <row r="67" spans="1:17" ht="20.100000000000001" customHeight="1">
      <c r="A67" s="3095">
        <v>61</v>
      </c>
      <c r="B67" s="3096" t="s">
        <v>820</v>
      </c>
      <c r="C67" s="3096" t="s">
        <v>805</v>
      </c>
      <c r="D67" s="3097" t="s">
        <v>29</v>
      </c>
      <c r="E67" s="3098" t="s">
        <v>824</v>
      </c>
      <c r="F67" s="3155" t="s">
        <v>32</v>
      </c>
      <c r="G67" s="3105">
        <v>0</v>
      </c>
      <c r="H67" s="3101">
        <v>0</v>
      </c>
      <c r="I67" s="3154">
        <v>1</v>
      </c>
      <c r="J67" s="3101">
        <v>0</v>
      </c>
      <c r="K67" s="3101">
        <v>0</v>
      </c>
      <c r="L67" s="3101">
        <v>0</v>
      </c>
      <c r="M67" s="3101">
        <v>0</v>
      </c>
      <c r="N67" s="3104">
        <v>1741.43</v>
      </c>
      <c r="O67" s="3105">
        <f t="shared" si="0"/>
        <v>1</v>
      </c>
      <c r="P67" s="3106">
        <v>0</v>
      </c>
      <c r="Q67" s="3107"/>
    </row>
    <row r="68" spans="1:17" ht="20.100000000000001" customHeight="1">
      <c r="A68" s="3095">
        <v>62</v>
      </c>
      <c r="B68" s="3096" t="s">
        <v>820</v>
      </c>
      <c r="C68" s="3096" t="s">
        <v>805</v>
      </c>
      <c r="D68" s="3097" t="s">
        <v>29</v>
      </c>
      <c r="E68" s="3098" t="s">
        <v>825</v>
      </c>
      <c r="F68" s="3155" t="s">
        <v>50</v>
      </c>
      <c r="G68" s="3105">
        <v>0</v>
      </c>
      <c r="H68" s="3101">
        <v>0</v>
      </c>
      <c r="I68" s="3154">
        <v>1</v>
      </c>
      <c r="J68" s="3101">
        <v>0</v>
      </c>
      <c r="K68" s="3101">
        <v>0</v>
      </c>
      <c r="L68" s="3101">
        <v>0</v>
      </c>
      <c r="M68" s="3101">
        <v>0</v>
      </c>
      <c r="N68" s="3135">
        <v>6.68</v>
      </c>
      <c r="O68" s="3105">
        <f t="shared" si="0"/>
        <v>1</v>
      </c>
      <c r="P68" s="3106">
        <v>0</v>
      </c>
      <c r="Q68" s="3107"/>
    </row>
    <row r="69" spans="1:17" ht="20.100000000000001" customHeight="1">
      <c r="A69" s="3095">
        <v>63</v>
      </c>
      <c r="B69" s="3096" t="s">
        <v>820</v>
      </c>
      <c r="C69" s="3096" t="s">
        <v>805</v>
      </c>
      <c r="D69" s="3097" t="s">
        <v>434</v>
      </c>
      <c r="E69" s="3112"/>
      <c r="F69" s="3151" t="s">
        <v>34</v>
      </c>
      <c r="G69" s="3100">
        <v>0</v>
      </c>
      <c r="H69" s="3101">
        <v>0</v>
      </c>
      <c r="I69" s="3101">
        <v>0</v>
      </c>
      <c r="J69" s="3156">
        <v>555</v>
      </c>
      <c r="K69" s="3101">
        <v>0</v>
      </c>
      <c r="L69" s="3101">
        <v>0</v>
      </c>
      <c r="M69" s="3101">
        <v>0</v>
      </c>
      <c r="N69" s="3157">
        <v>0</v>
      </c>
      <c r="O69" s="3105">
        <f t="shared" si="0"/>
        <v>555</v>
      </c>
      <c r="P69" s="3106">
        <v>0</v>
      </c>
      <c r="Q69" s="3107"/>
    </row>
    <row r="70" spans="1:17" ht="20.100000000000001" customHeight="1">
      <c r="A70" s="3095">
        <v>64</v>
      </c>
      <c r="B70" s="3096" t="s">
        <v>820</v>
      </c>
      <c r="C70" s="3096" t="s">
        <v>805</v>
      </c>
      <c r="D70" s="3120" t="s">
        <v>365</v>
      </c>
      <c r="E70" s="3098"/>
      <c r="F70" s="3158" t="s">
        <v>104</v>
      </c>
      <c r="G70" s="3105">
        <v>0</v>
      </c>
      <c r="H70" s="3101">
        <v>0</v>
      </c>
      <c r="I70" s="3101">
        <v>0</v>
      </c>
      <c r="J70" s="3101">
        <v>0</v>
      </c>
      <c r="K70" s="3159">
        <v>0</v>
      </c>
      <c r="L70" s="3159">
        <v>0</v>
      </c>
      <c r="M70" s="3160">
        <v>1</v>
      </c>
      <c r="N70" s="3161">
        <v>0</v>
      </c>
      <c r="O70" s="3105">
        <f t="shared" si="0"/>
        <v>1</v>
      </c>
      <c r="P70" s="3106">
        <v>0</v>
      </c>
      <c r="Q70" s="3107"/>
    </row>
    <row r="71" spans="1:17" ht="20.100000000000001" customHeight="1">
      <c r="A71" s="3095">
        <v>65</v>
      </c>
      <c r="B71" s="3096" t="s">
        <v>820</v>
      </c>
      <c r="C71" s="3096" t="s">
        <v>805</v>
      </c>
      <c r="D71" s="3097" t="s">
        <v>36</v>
      </c>
      <c r="E71" s="3098"/>
      <c r="F71" s="3162" t="s">
        <v>826</v>
      </c>
      <c r="G71" s="3105">
        <v>0</v>
      </c>
      <c r="H71" s="3101">
        <v>2720</v>
      </c>
      <c r="I71" s="3101">
        <v>0</v>
      </c>
      <c r="J71" s="3101">
        <v>0</v>
      </c>
      <c r="K71" s="3159">
        <v>0</v>
      </c>
      <c r="L71" s="3159">
        <v>0</v>
      </c>
      <c r="M71" s="3160">
        <v>0</v>
      </c>
      <c r="N71" s="3161">
        <v>0</v>
      </c>
      <c r="O71" s="3105">
        <f t="shared" si="0"/>
        <v>2720</v>
      </c>
      <c r="P71" s="3106">
        <v>0</v>
      </c>
      <c r="Q71" s="3107"/>
    </row>
    <row r="72" spans="1:17" ht="20.100000000000001" customHeight="1">
      <c r="A72" s="3095">
        <v>66</v>
      </c>
      <c r="B72" s="3096" t="s">
        <v>820</v>
      </c>
      <c r="C72" s="3096" t="s">
        <v>805</v>
      </c>
      <c r="D72" s="3097" t="s">
        <v>36</v>
      </c>
      <c r="E72" s="3098"/>
      <c r="F72" s="3113" t="s">
        <v>52</v>
      </c>
      <c r="G72" s="3126">
        <f>H71-1351</f>
        <v>1369</v>
      </c>
      <c r="H72" s="3101">
        <v>0</v>
      </c>
      <c r="I72" s="3101">
        <v>0</v>
      </c>
      <c r="J72" s="3101">
        <v>0</v>
      </c>
      <c r="K72" s="3101">
        <v>0</v>
      </c>
      <c r="L72" s="3101">
        <v>0</v>
      </c>
      <c r="M72" s="3101">
        <v>0</v>
      </c>
      <c r="N72" s="3157">
        <v>0</v>
      </c>
      <c r="O72" s="3105">
        <f t="shared" ref="O72:O135" si="1">G72+H72+I72+J72+K72+L72+M72-P72</f>
        <v>1369</v>
      </c>
      <c r="P72" s="3106">
        <v>0</v>
      </c>
      <c r="Q72" s="3107"/>
    </row>
    <row r="73" spans="1:17" ht="20.100000000000001" customHeight="1">
      <c r="A73" s="3095">
        <v>67</v>
      </c>
      <c r="B73" s="3112" t="s">
        <v>827</v>
      </c>
      <c r="C73" s="3112" t="s">
        <v>805</v>
      </c>
      <c r="D73" s="3097" t="s">
        <v>26</v>
      </c>
      <c r="E73" s="3098" t="s">
        <v>788</v>
      </c>
      <c r="F73" s="3131" t="s">
        <v>48</v>
      </c>
      <c r="G73" s="3100">
        <v>0</v>
      </c>
      <c r="H73" s="3101">
        <v>0</v>
      </c>
      <c r="I73" s="3102">
        <v>0</v>
      </c>
      <c r="J73" s="3102">
        <v>0</v>
      </c>
      <c r="K73" s="3102">
        <v>0</v>
      </c>
      <c r="L73" s="3102">
        <v>0</v>
      </c>
      <c r="M73" s="3103">
        <v>1</v>
      </c>
      <c r="N73" s="3109">
        <v>331950</v>
      </c>
      <c r="O73" s="3105">
        <f t="shared" si="1"/>
        <v>1</v>
      </c>
      <c r="P73" s="3106">
        <v>0</v>
      </c>
      <c r="Q73" s="3107"/>
    </row>
    <row r="74" spans="1:17" ht="20.100000000000001" customHeight="1">
      <c r="A74" s="3095">
        <v>68</v>
      </c>
      <c r="B74" s="3112" t="s">
        <v>827</v>
      </c>
      <c r="C74" s="3112" t="s">
        <v>805</v>
      </c>
      <c r="D74" s="3097" t="s">
        <v>786</v>
      </c>
      <c r="E74" s="3098" t="s">
        <v>100</v>
      </c>
      <c r="F74" s="3128" t="s">
        <v>118</v>
      </c>
      <c r="G74" s="3100">
        <v>0</v>
      </c>
      <c r="H74" s="3101">
        <v>0</v>
      </c>
      <c r="I74" s="3102">
        <v>0</v>
      </c>
      <c r="J74" s="3102">
        <v>0</v>
      </c>
      <c r="K74" s="3102">
        <v>0</v>
      </c>
      <c r="L74" s="3102">
        <v>0</v>
      </c>
      <c r="M74" s="3103">
        <v>1</v>
      </c>
      <c r="N74" s="3104">
        <v>350750</v>
      </c>
      <c r="O74" s="3105">
        <f t="shared" si="1"/>
        <v>1</v>
      </c>
      <c r="P74" s="3106">
        <v>0</v>
      </c>
      <c r="Q74" s="3107"/>
    </row>
    <row r="75" spans="1:17" ht="20.100000000000001" customHeight="1">
      <c r="A75" s="3095">
        <v>69</v>
      </c>
      <c r="B75" s="3112" t="s">
        <v>827</v>
      </c>
      <c r="C75" s="3112" t="s">
        <v>805</v>
      </c>
      <c r="D75" s="3097" t="s">
        <v>103</v>
      </c>
      <c r="E75" s="3098" t="s">
        <v>788</v>
      </c>
      <c r="F75" s="3147" t="s">
        <v>3112</v>
      </c>
      <c r="G75" s="3100">
        <v>0</v>
      </c>
      <c r="H75" s="3101">
        <v>0</v>
      </c>
      <c r="I75" s="3102">
        <v>0</v>
      </c>
      <c r="J75" s="3102">
        <v>0</v>
      </c>
      <c r="K75" s="3102">
        <v>0</v>
      </c>
      <c r="L75" s="3103">
        <v>563</v>
      </c>
      <c r="M75" s="3102">
        <v>0</v>
      </c>
      <c r="N75" s="3109">
        <v>33386.5</v>
      </c>
      <c r="O75" s="3105">
        <f t="shared" si="1"/>
        <v>563</v>
      </c>
      <c r="P75" s="3106">
        <v>0</v>
      </c>
      <c r="Q75" s="3107"/>
    </row>
    <row r="76" spans="1:17" ht="20.100000000000001" customHeight="1">
      <c r="A76" s="3095">
        <v>70</v>
      </c>
      <c r="B76" s="3112" t="s">
        <v>827</v>
      </c>
      <c r="C76" s="3112" t="s">
        <v>805</v>
      </c>
      <c r="D76" s="3097" t="s">
        <v>29</v>
      </c>
      <c r="E76" s="3098" t="s">
        <v>788</v>
      </c>
      <c r="F76" s="3099" t="s">
        <v>49</v>
      </c>
      <c r="G76" s="3105">
        <v>0</v>
      </c>
      <c r="H76" s="3101">
        <v>0</v>
      </c>
      <c r="I76" s="3110">
        <v>1</v>
      </c>
      <c r="J76" s="3102">
        <v>0</v>
      </c>
      <c r="K76" s="3102">
        <v>0</v>
      </c>
      <c r="L76" s="3102">
        <v>0</v>
      </c>
      <c r="M76" s="3102">
        <v>0</v>
      </c>
      <c r="N76" s="3104">
        <v>174047082.09999999</v>
      </c>
      <c r="O76" s="3105">
        <f t="shared" si="1"/>
        <v>1</v>
      </c>
      <c r="P76" s="3106">
        <v>0</v>
      </c>
      <c r="Q76" s="3107"/>
    </row>
    <row r="77" spans="1:17" ht="20.100000000000001" customHeight="1">
      <c r="A77" s="3095">
        <v>71</v>
      </c>
      <c r="B77" s="3112" t="s">
        <v>827</v>
      </c>
      <c r="C77" s="3112" t="s">
        <v>805</v>
      </c>
      <c r="D77" s="3097" t="s">
        <v>29</v>
      </c>
      <c r="E77" s="3098" t="s">
        <v>788</v>
      </c>
      <c r="F77" s="3099" t="s">
        <v>32</v>
      </c>
      <c r="G77" s="3105">
        <v>0</v>
      </c>
      <c r="H77" s="3101">
        <v>0</v>
      </c>
      <c r="I77" s="3110">
        <v>1</v>
      </c>
      <c r="J77" s="3102">
        <v>0</v>
      </c>
      <c r="K77" s="3102">
        <v>0</v>
      </c>
      <c r="L77" s="3102">
        <v>0</v>
      </c>
      <c r="M77" s="3102">
        <v>0</v>
      </c>
      <c r="N77" s="3104">
        <v>151117.63</v>
      </c>
      <c r="O77" s="3105">
        <f t="shared" si="1"/>
        <v>1</v>
      </c>
      <c r="P77" s="3106">
        <v>0</v>
      </c>
      <c r="Q77" s="3107"/>
    </row>
    <row r="78" spans="1:17" ht="20.100000000000001" customHeight="1">
      <c r="A78" s="3095">
        <v>72</v>
      </c>
      <c r="B78" s="3112" t="s">
        <v>827</v>
      </c>
      <c r="C78" s="3112" t="s">
        <v>805</v>
      </c>
      <c r="D78" s="3097" t="s">
        <v>29</v>
      </c>
      <c r="E78" s="3098" t="s">
        <v>788</v>
      </c>
      <c r="F78" s="3099" t="s">
        <v>50</v>
      </c>
      <c r="G78" s="3101">
        <v>0</v>
      </c>
      <c r="H78" s="3101">
        <v>0</v>
      </c>
      <c r="I78" s="3110">
        <v>5</v>
      </c>
      <c r="J78" s="3102">
        <v>0</v>
      </c>
      <c r="K78" s="3102">
        <v>0</v>
      </c>
      <c r="L78" s="3102">
        <v>0</v>
      </c>
      <c r="M78" s="3102">
        <v>0</v>
      </c>
      <c r="N78" s="3135">
        <v>5</v>
      </c>
      <c r="O78" s="3105">
        <f t="shared" si="1"/>
        <v>5</v>
      </c>
      <c r="P78" s="3106">
        <v>0</v>
      </c>
      <c r="Q78" s="3107"/>
    </row>
    <row r="79" spans="1:17" ht="20.100000000000001" customHeight="1">
      <c r="A79" s="3095">
        <v>73</v>
      </c>
      <c r="B79" s="3112" t="s">
        <v>827</v>
      </c>
      <c r="C79" s="3112" t="s">
        <v>805</v>
      </c>
      <c r="D79" s="3097" t="s">
        <v>29</v>
      </c>
      <c r="E79" s="3098"/>
      <c r="F79" s="3099" t="s">
        <v>828</v>
      </c>
      <c r="G79" s="3101">
        <v>0</v>
      </c>
      <c r="H79" s="3101">
        <v>0</v>
      </c>
      <c r="I79" s="3110">
        <v>1</v>
      </c>
      <c r="J79" s="3102">
        <v>0</v>
      </c>
      <c r="K79" s="3102">
        <v>0</v>
      </c>
      <c r="L79" s="3102">
        <v>0</v>
      </c>
      <c r="M79" s="3102">
        <v>0</v>
      </c>
      <c r="N79" s="3135">
        <v>25</v>
      </c>
      <c r="O79" s="3105">
        <f t="shared" si="1"/>
        <v>1</v>
      </c>
      <c r="P79" s="3106">
        <v>0</v>
      </c>
      <c r="Q79" s="3107"/>
    </row>
    <row r="80" spans="1:17" ht="20.100000000000001" customHeight="1">
      <c r="A80" s="3095">
        <v>74</v>
      </c>
      <c r="B80" s="3112" t="s">
        <v>827</v>
      </c>
      <c r="C80" s="3112" t="s">
        <v>805</v>
      </c>
      <c r="D80" s="3097" t="s">
        <v>29</v>
      </c>
      <c r="E80" s="3112" t="s">
        <v>788</v>
      </c>
      <c r="F80" s="3131" t="s">
        <v>167</v>
      </c>
      <c r="G80" s="3100">
        <v>0</v>
      </c>
      <c r="H80" s="3101">
        <v>0</v>
      </c>
      <c r="I80" s="3102">
        <v>0</v>
      </c>
      <c r="J80" s="3102">
        <v>0</v>
      </c>
      <c r="K80" s="3102">
        <v>0</v>
      </c>
      <c r="L80" s="3102">
        <v>0</v>
      </c>
      <c r="M80" s="3103">
        <v>5</v>
      </c>
      <c r="N80" s="3109">
        <v>595690.16</v>
      </c>
      <c r="O80" s="3105">
        <f t="shared" si="1"/>
        <v>5</v>
      </c>
      <c r="P80" s="3106">
        <v>0</v>
      </c>
      <c r="Q80" s="3107"/>
    </row>
    <row r="81" spans="1:17" ht="20.100000000000001" customHeight="1">
      <c r="A81" s="3095">
        <v>75</v>
      </c>
      <c r="B81" s="3112" t="s">
        <v>827</v>
      </c>
      <c r="C81" s="3112" t="s">
        <v>805</v>
      </c>
      <c r="D81" s="3097" t="s">
        <v>434</v>
      </c>
      <c r="E81" s="3098" t="s">
        <v>100</v>
      </c>
      <c r="F81" s="3131" t="s">
        <v>35</v>
      </c>
      <c r="G81" s="3100">
        <v>0</v>
      </c>
      <c r="H81" s="3101">
        <v>0</v>
      </c>
      <c r="I81" s="3102">
        <v>0</v>
      </c>
      <c r="J81" s="3102">
        <v>0</v>
      </c>
      <c r="K81" s="3103">
        <v>2552</v>
      </c>
      <c r="L81" s="3102">
        <v>0</v>
      </c>
      <c r="M81" s="3102">
        <v>0</v>
      </c>
      <c r="N81" s="3118">
        <v>59856698.579999998</v>
      </c>
      <c r="O81" s="3105">
        <f t="shared" si="1"/>
        <v>2552</v>
      </c>
      <c r="P81" s="3106">
        <v>0</v>
      </c>
      <c r="Q81" s="3107"/>
    </row>
    <row r="82" spans="1:17" ht="20.100000000000001" customHeight="1">
      <c r="A82" s="3095">
        <v>76</v>
      </c>
      <c r="B82" s="3112" t="s">
        <v>827</v>
      </c>
      <c r="C82" s="3112" t="s">
        <v>805</v>
      </c>
      <c r="D82" s="3097" t="s">
        <v>36</v>
      </c>
      <c r="E82" s="3098" t="s">
        <v>788</v>
      </c>
      <c r="F82" s="3131" t="s">
        <v>52</v>
      </c>
      <c r="G82" s="3100">
        <v>0</v>
      </c>
      <c r="H82" s="3110">
        <v>256</v>
      </c>
      <c r="I82" s="3102">
        <v>0</v>
      </c>
      <c r="J82" s="3102">
        <v>0</v>
      </c>
      <c r="K82" s="3102">
        <v>0</v>
      </c>
      <c r="L82" s="3102">
        <v>0</v>
      </c>
      <c r="M82" s="3102">
        <v>0</v>
      </c>
      <c r="N82" s="3117">
        <v>0</v>
      </c>
      <c r="O82" s="3105">
        <f t="shared" si="1"/>
        <v>256</v>
      </c>
      <c r="P82" s="3106">
        <v>0</v>
      </c>
      <c r="Q82" s="3107"/>
    </row>
    <row r="83" spans="1:17" ht="20.100000000000001" customHeight="1">
      <c r="A83" s="3095">
        <v>77</v>
      </c>
      <c r="B83" s="3112" t="s">
        <v>827</v>
      </c>
      <c r="C83" s="3112" t="s">
        <v>805</v>
      </c>
      <c r="D83" s="3097" t="s">
        <v>36</v>
      </c>
      <c r="E83" s="3098"/>
      <c r="F83" s="3137" t="s">
        <v>829</v>
      </c>
      <c r="G83" s="3100">
        <f>H82-117</f>
        <v>139</v>
      </c>
      <c r="H83" s="3110">
        <v>0</v>
      </c>
      <c r="I83" s="3102">
        <v>0</v>
      </c>
      <c r="J83" s="3102">
        <v>0</v>
      </c>
      <c r="K83" s="3102">
        <v>0</v>
      </c>
      <c r="L83" s="3102">
        <v>0</v>
      </c>
      <c r="M83" s="3102">
        <v>0</v>
      </c>
      <c r="N83" s="3117">
        <v>0</v>
      </c>
      <c r="O83" s="3105">
        <f t="shared" si="1"/>
        <v>139</v>
      </c>
      <c r="P83" s="3106">
        <v>0</v>
      </c>
      <c r="Q83" s="3107"/>
    </row>
    <row r="84" spans="1:17" ht="20.100000000000001" customHeight="1">
      <c r="A84" s="3095">
        <v>78</v>
      </c>
      <c r="B84" s="3112" t="s">
        <v>827</v>
      </c>
      <c r="C84" s="3112" t="s">
        <v>805</v>
      </c>
      <c r="D84" s="3097" t="s">
        <v>29</v>
      </c>
      <c r="E84" s="3098" t="s">
        <v>100</v>
      </c>
      <c r="F84" s="3123" t="s">
        <v>830</v>
      </c>
      <c r="G84" s="3124">
        <v>0</v>
      </c>
      <c r="H84" s="3124">
        <v>0</v>
      </c>
      <c r="I84" s="3124">
        <v>4</v>
      </c>
      <c r="J84" s="3124">
        <v>0</v>
      </c>
      <c r="K84" s="3125">
        <v>0</v>
      </c>
      <c r="L84" s="3126">
        <v>0</v>
      </c>
      <c r="M84" s="3126">
        <v>0</v>
      </c>
      <c r="N84" s="3129">
        <v>40151.279999999999</v>
      </c>
      <c r="O84" s="3105">
        <f t="shared" si="1"/>
        <v>4</v>
      </c>
      <c r="P84" s="3106">
        <v>0</v>
      </c>
      <c r="Q84" s="3107"/>
    </row>
    <row r="85" spans="1:17" ht="20.100000000000001" customHeight="1">
      <c r="A85" s="3095">
        <v>79</v>
      </c>
      <c r="B85" s="3112" t="s">
        <v>827</v>
      </c>
      <c r="C85" s="3112" t="s">
        <v>805</v>
      </c>
      <c r="D85" s="3097" t="s">
        <v>29</v>
      </c>
      <c r="E85" s="3098" t="s">
        <v>76</v>
      </c>
      <c r="F85" s="3123" t="s">
        <v>831</v>
      </c>
      <c r="G85" s="3124">
        <v>0</v>
      </c>
      <c r="H85" s="3124">
        <v>0</v>
      </c>
      <c r="I85" s="3124"/>
      <c r="J85" s="3124">
        <v>0</v>
      </c>
      <c r="K85" s="3125">
        <v>0</v>
      </c>
      <c r="L85" s="3126">
        <v>1</v>
      </c>
      <c r="M85" s="3126">
        <v>0</v>
      </c>
      <c r="N85" s="3129">
        <v>382.15</v>
      </c>
      <c r="O85" s="3105">
        <f t="shared" si="1"/>
        <v>1</v>
      </c>
      <c r="P85" s="3106">
        <v>0</v>
      </c>
      <c r="Q85" s="3107"/>
    </row>
    <row r="86" spans="1:17" ht="20.100000000000001" customHeight="1">
      <c r="A86" s="3095">
        <v>80</v>
      </c>
      <c r="B86" s="3112" t="s">
        <v>832</v>
      </c>
      <c r="C86" s="3112" t="s">
        <v>805</v>
      </c>
      <c r="D86" s="3163" t="s">
        <v>26</v>
      </c>
      <c r="E86" s="3164" t="s">
        <v>833</v>
      </c>
      <c r="F86" s="3131" t="s">
        <v>48</v>
      </c>
      <c r="G86" s="3165">
        <v>0</v>
      </c>
      <c r="H86" s="3166">
        <v>0</v>
      </c>
      <c r="I86" s="3167">
        <v>0</v>
      </c>
      <c r="J86" s="3167">
        <v>0</v>
      </c>
      <c r="K86" s="3167">
        <v>0</v>
      </c>
      <c r="L86" s="3167">
        <v>0</v>
      </c>
      <c r="M86" s="3168">
        <v>1</v>
      </c>
      <c r="N86" s="3169">
        <v>5589</v>
      </c>
      <c r="O86" s="3105">
        <f t="shared" si="1"/>
        <v>1</v>
      </c>
      <c r="P86" s="3106">
        <v>0</v>
      </c>
      <c r="Q86" s="3170"/>
    </row>
    <row r="87" spans="1:17" ht="20.100000000000001" customHeight="1">
      <c r="A87" s="3095">
        <v>81</v>
      </c>
      <c r="B87" s="3112" t="s">
        <v>832</v>
      </c>
      <c r="C87" s="3112" t="s">
        <v>805</v>
      </c>
      <c r="D87" s="3163" t="s">
        <v>786</v>
      </c>
      <c r="E87" s="3164" t="s">
        <v>834</v>
      </c>
      <c r="F87" s="3131" t="s">
        <v>835</v>
      </c>
      <c r="G87" s="3171">
        <v>0</v>
      </c>
      <c r="H87" s="3166">
        <v>0</v>
      </c>
      <c r="I87" s="3167">
        <v>0</v>
      </c>
      <c r="J87" s="3167">
        <v>0</v>
      </c>
      <c r="K87" s="3167">
        <v>0</v>
      </c>
      <c r="L87" s="3172">
        <v>0</v>
      </c>
      <c r="M87" s="3168">
        <v>1</v>
      </c>
      <c r="N87" s="3173">
        <v>4700</v>
      </c>
      <c r="O87" s="3105">
        <f t="shared" si="1"/>
        <v>1</v>
      </c>
      <c r="P87" s="3106">
        <v>0</v>
      </c>
      <c r="Q87" s="3107"/>
    </row>
    <row r="88" spans="1:17" ht="20.100000000000001" customHeight="1">
      <c r="A88" s="3095">
        <v>82</v>
      </c>
      <c r="B88" s="3112" t="s">
        <v>832</v>
      </c>
      <c r="C88" s="3112" t="s">
        <v>805</v>
      </c>
      <c r="D88" s="3097" t="s">
        <v>103</v>
      </c>
      <c r="E88" s="3164" t="s">
        <v>836</v>
      </c>
      <c r="F88" s="3147" t="s">
        <v>3112</v>
      </c>
      <c r="G88" s="3165">
        <v>0</v>
      </c>
      <c r="H88" s="3166">
        <v>0</v>
      </c>
      <c r="I88" s="3167">
        <v>0</v>
      </c>
      <c r="J88" s="3167">
        <v>0</v>
      </c>
      <c r="K88" s="3167">
        <v>0</v>
      </c>
      <c r="L88" s="3168">
        <v>3</v>
      </c>
      <c r="M88" s="3167">
        <v>0</v>
      </c>
      <c r="N88" s="3173">
        <v>174.18</v>
      </c>
      <c r="O88" s="3105">
        <f t="shared" si="1"/>
        <v>3</v>
      </c>
      <c r="P88" s="3106">
        <v>0</v>
      </c>
      <c r="Q88" s="3107"/>
    </row>
    <row r="89" spans="1:17" ht="20.100000000000001" customHeight="1">
      <c r="A89" s="3095">
        <v>83</v>
      </c>
      <c r="B89" s="3112" t="s">
        <v>832</v>
      </c>
      <c r="C89" s="3112" t="s">
        <v>805</v>
      </c>
      <c r="D89" s="3097" t="s">
        <v>29</v>
      </c>
      <c r="E89" s="3164" t="s">
        <v>837</v>
      </c>
      <c r="F89" s="3099" t="s">
        <v>119</v>
      </c>
      <c r="G89" s="3174">
        <v>0</v>
      </c>
      <c r="H89" s="3166">
        <v>0</v>
      </c>
      <c r="I89" s="3172">
        <v>1</v>
      </c>
      <c r="J89" s="3167">
        <v>0</v>
      </c>
      <c r="K89" s="3167">
        <v>0</v>
      </c>
      <c r="L89" s="3167">
        <v>0</v>
      </c>
      <c r="M89" s="3167">
        <v>0</v>
      </c>
      <c r="N89" s="3175">
        <v>-2345362.85</v>
      </c>
      <c r="O89" s="3105">
        <f t="shared" si="1"/>
        <v>1</v>
      </c>
      <c r="P89" s="3106">
        <v>0</v>
      </c>
      <c r="Q89" s="3107"/>
    </row>
    <row r="90" spans="1:17" ht="20.100000000000001" customHeight="1">
      <c r="A90" s="3095">
        <v>84</v>
      </c>
      <c r="B90" s="3112" t="s">
        <v>832</v>
      </c>
      <c r="C90" s="3112" t="s">
        <v>805</v>
      </c>
      <c r="D90" s="3097" t="s">
        <v>29</v>
      </c>
      <c r="E90" s="3164" t="s">
        <v>836</v>
      </c>
      <c r="F90" s="3099" t="s">
        <v>49</v>
      </c>
      <c r="G90" s="3174">
        <v>0</v>
      </c>
      <c r="H90" s="3166">
        <v>0</v>
      </c>
      <c r="I90" s="3172">
        <v>1</v>
      </c>
      <c r="J90" s="3167">
        <v>0</v>
      </c>
      <c r="K90" s="3167">
        <v>0</v>
      </c>
      <c r="L90" s="3167">
        <v>0</v>
      </c>
      <c r="M90" s="3167">
        <v>0</v>
      </c>
      <c r="N90" s="3175">
        <v>-6105012.8300000001</v>
      </c>
      <c r="O90" s="3105">
        <f t="shared" si="1"/>
        <v>1</v>
      </c>
      <c r="P90" s="3106">
        <v>0</v>
      </c>
      <c r="Q90" s="3107"/>
    </row>
    <row r="91" spans="1:17" ht="20.100000000000001" customHeight="1">
      <c r="A91" s="3095">
        <v>85</v>
      </c>
      <c r="B91" s="3112" t="s">
        <v>832</v>
      </c>
      <c r="C91" s="3112" t="s">
        <v>805</v>
      </c>
      <c r="D91" s="3097" t="s">
        <v>29</v>
      </c>
      <c r="E91" s="3164" t="s">
        <v>836</v>
      </c>
      <c r="F91" s="3099" t="s">
        <v>31</v>
      </c>
      <c r="G91" s="3174">
        <v>0</v>
      </c>
      <c r="H91" s="3166">
        <v>0</v>
      </c>
      <c r="I91" s="3172">
        <v>1</v>
      </c>
      <c r="J91" s="3167">
        <v>0</v>
      </c>
      <c r="K91" s="3167">
        <v>0</v>
      </c>
      <c r="L91" s="3167">
        <v>0</v>
      </c>
      <c r="M91" s="3167">
        <v>0</v>
      </c>
      <c r="N91" s="3175">
        <v>-5455.02</v>
      </c>
      <c r="O91" s="3105">
        <f t="shared" si="1"/>
        <v>1</v>
      </c>
      <c r="P91" s="3106">
        <v>0</v>
      </c>
      <c r="Q91" s="3107"/>
    </row>
    <row r="92" spans="1:17" ht="20.100000000000001" customHeight="1">
      <c r="A92" s="3095">
        <v>86</v>
      </c>
      <c r="B92" s="3112" t="s">
        <v>832</v>
      </c>
      <c r="C92" s="3112" t="s">
        <v>805</v>
      </c>
      <c r="D92" s="3097" t="s">
        <v>29</v>
      </c>
      <c r="E92" s="3164" t="s">
        <v>836</v>
      </c>
      <c r="F92" s="3099" t="s">
        <v>32</v>
      </c>
      <c r="G92" s="3174">
        <v>0</v>
      </c>
      <c r="H92" s="3166">
        <v>0</v>
      </c>
      <c r="I92" s="3172">
        <v>1</v>
      </c>
      <c r="J92" s="3167">
        <v>0</v>
      </c>
      <c r="K92" s="3167">
        <v>0</v>
      </c>
      <c r="L92" s="3167">
        <v>0</v>
      </c>
      <c r="M92" s="3167">
        <v>0</v>
      </c>
      <c r="N92" s="3175">
        <v>-2021.68</v>
      </c>
      <c r="O92" s="3105">
        <f t="shared" si="1"/>
        <v>1</v>
      </c>
      <c r="P92" s="3106">
        <v>0</v>
      </c>
      <c r="Q92" s="3107"/>
    </row>
    <row r="93" spans="1:17" ht="20.100000000000001" customHeight="1">
      <c r="A93" s="3095">
        <v>87</v>
      </c>
      <c r="B93" s="3112" t="s">
        <v>832</v>
      </c>
      <c r="C93" s="3112" t="s">
        <v>805</v>
      </c>
      <c r="D93" s="3163" t="s">
        <v>434</v>
      </c>
      <c r="E93" s="3164"/>
      <c r="F93" s="3128" t="s">
        <v>838</v>
      </c>
      <c r="G93" s="3174">
        <v>0</v>
      </c>
      <c r="H93" s="3166">
        <v>0</v>
      </c>
      <c r="I93" s="3172">
        <v>0</v>
      </c>
      <c r="J93" s="3167">
        <v>0</v>
      </c>
      <c r="K93" s="3167">
        <v>0</v>
      </c>
      <c r="L93" s="3167">
        <v>0</v>
      </c>
      <c r="M93" s="3167">
        <v>0</v>
      </c>
      <c r="N93" s="3175">
        <v>0</v>
      </c>
      <c r="O93" s="3105">
        <f t="shared" si="1"/>
        <v>0</v>
      </c>
      <c r="P93" s="3106">
        <v>0</v>
      </c>
      <c r="Q93" s="3107"/>
    </row>
    <row r="94" spans="1:17" ht="20.100000000000001" customHeight="1">
      <c r="A94" s="3095">
        <v>88</v>
      </c>
      <c r="B94" s="3112" t="s">
        <v>832</v>
      </c>
      <c r="C94" s="3112" t="s">
        <v>805</v>
      </c>
      <c r="D94" s="3097" t="s">
        <v>36</v>
      </c>
      <c r="E94" s="3164" t="s">
        <v>839</v>
      </c>
      <c r="F94" s="3131" t="s">
        <v>52</v>
      </c>
      <c r="G94" s="3165">
        <v>0</v>
      </c>
      <c r="H94" s="3172">
        <v>223</v>
      </c>
      <c r="I94" s="3167">
        <v>0</v>
      </c>
      <c r="J94" s="3167">
        <v>0</v>
      </c>
      <c r="K94" s="3167">
        <v>0</v>
      </c>
      <c r="L94" s="3167">
        <v>0</v>
      </c>
      <c r="M94" s="3167">
        <v>0</v>
      </c>
      <c r="N94" s="3176">
        <v>0</v>
      </c>
      <c r="O94" s="3105">
        <f t="shared" si="1"/>
        <v>223</v>
      </c>
      <c r="P94" s="3106">
        <v>0</v>
      </c>
      <c r="Q94" s="3107"/>
    </row>
    <row r="95" spans="1:17" ht="20.100000000000001" customHeight="1">
      <c r="A95" s="3095">
        <v>89</v>
      </c>
      <c r="B95" s="3112" t="s">
        <v>832</v>
      </c>
      <c r="C95" s="3112" t="s">
        <v>805</v>
      </c>
      <c r="D95" s="3097" t="s">
        <v>36</v>
      </c>
      <c r="E95" s="3164" t="s">
        <v>839</v>
      </c>
      <c r="F95" s="3137" t="s">
        <v>840</v>
      </c>
      <c r="G95" s="3172">
        <v>12</v>
      </c>
      <c r="H95" s="3166">
        <v>0</v>
      </c>
      <c r="I95" s="3167">
        <v>0</v>
      </c>
      <c r="J95" s="3167">
        <v>0</v>
      </c>
      <c r="K95" s="3167">
        <v>0</v>
      </c>
      <c r="L95" s="3167">
        <v>0</v>
      </c>
      <c r="M95" s="3167">
        <v>0</v>
      </c>
      <c r="N95" s="3176">
        <v>0</v>
      </c>
      <c r="O95" s="3105">
        <f t="shared" si="1"/>
        <v>12</v>
      </c>
      <c r="P95" s="3106">
        <v>0</v>
      </c>
      <c r="Q95" s="3107"/>
    </row>
    <row r="96" spans="1:17" ht="20.100000000000001" customHeight="1">
      <c r="A96" s="3095">
        <v>90</v>
      </c>
      <c r="B96" s="3112" t="s">
        <v>841</v>
      </c>
      <c r="C96" s="3112" t="s">
        <v>805</v>
      </c>
      <c r="D96" s="3177" t="s">
        <v>786</v>
      </c>
      <c r="E96" s="3098" t="s">
        <v>100</v>
      </c>
      <c r="F96" s="3131" t="s">
        <v>118</v>
      </c>
      <c r="G96" s="3100">
        <v>0</v>
      </c>
      <c r="H96" s="3101">
        <v>0</v>
      </c>
      <c r="I96" s="3102">
        <v>0</v>
      </c>
      <c r="J96" s="3102">
        <v>0</v>
      </c>
      <c r="K96" s="3102">
        <v>0</v>
      </c>
      <c r="L96" s="3102">
        <v>0</v>
      </c>
      <c r="M96" s="3178">
        <v>1</v>
      </c>
      <c r="N96" s="3179">
        <v>4921.3599999999997</v>
      </c>
      <c r="O96" s="3105">
        <f t="shared" si="1"/>
        <v>1</v>
      </c>
      <c r="P96" s="3106">
        <v>0</v>
      </c>
      <c r="Q96" s="3107"/>
    </row>
    <row r="97" spans="1:17" ht="20.100000000000001" customHeight="1">
      <c r="A97" s="3095">
        <v>91</v>
      </c>
      <c r="B97" s="3112" t="s">
        <v>841</v>
      </c>
      <c r="C97" s="3112" t="s">
        <v>805</v>
      </c>
      <c r="D97" s="3097" t="s">
        <v>29</v>
      </c>
      <c r="E97" s="3098" t="s">
        <v>100</v>
      </c>
      <c r="F97" s="3099" t="s">
        <v>49</v>
      </c>
      <c r="G97" s="3105">
        <v>0</v>
      </c>
      <c r="H97" s="3101">
        <v>0</v>
      </c>
      <c r="I97" s="3180">
        <v>1</v>
      </c>
      <c r="J97" s="3181">
        <v>0</v>
      </c>
      <c r="K97" s="3102">
        <v>0</v>
      </c>
      <c r="L97" s="3102">
        <v>0</v>
      </c>
      <c r="M97" s="3102">
        <v>0</v>
      </c>
      <c r="N97" s="3179">
        <v>61584248.420000002</v>
      </c>
      <c r="O97" s="3105">
        <f t="shared" si="1"/>
        <v>1</v>
      </c>
      <c r="P97" s="3106">
        <v>0</v>
      </c>
      <c r="Q97" s="3107"/>
    </row>
    <row r="98" spans="1:17" ht="20.100000000000001" customHeight="1">
      <c r="A98" s="3095">
        <v>92</v>
      </c>
      <c r="B98" s="3112" t="s">
        <v>841</v>
      </c>
      <c r="C98" s="3112" t="s">
        <v>805</v>
      </c>
      <c r="D98" s="3097" t="s">
        <v>29</v>
      </c>
      <c r="E98" s="3098" t="s">
        <v>100</v>
      </c>
      <c r="F98" s="3099" t="s">
        <v>842</v>
      </c>
      <c r="G98" s="3105">
        <v>0</v>
      </c>
      <c r="H98" s="3101">
        <v>0</v>
      </c>
      <c r="I98" s="3180">
        <v>1</v>
      </c>
      <c r="J98" s="3181">
        <v>0</v>
      </c>
      <c r="K98" s="3102">
        <v>0</v>
      </c>
      <c r="L98" s="3102">
        <v>0</v>
      </c>
      <c r="M98" s="3102">
        <v>0</v>
      </c>
      <c r="N98" s="3179">
        <v>40.5</v>
      </c>
      <c r="O98" s="3105">
        <f t="shared" si="1"/>
        <v>1</v>
      </c>
      <c r="P98" s="3106">
        <v>0</v>
      </c>
      <c r="Q98" s="3107"/>
    </row>
    <row r="99" spans="1:17" ht="20.100000000000001" customHeight="1">
      <c r="A99" s="3095">
        <v>93</v>
      </c>
      <c r="B99" s="3112" t="s">
        <v>841</v>
      </c>
      <c r="C99" s="3112" t="s">
        <v>805</v>
      </c>
      <c r="D99" s="3097" t="s">
        <v>29</v>
      </c>
      <c r="E99" s="3098" t="s">
        <v>100</v>
      </c>
      <c r="F99" s="3099" t="s">
        <v>32</v>
      </c>
      <c r="G99" s="3105">
        <v>0</v>
      </c>
      <c r="H99" s="3101">
        <v>0</v>
      </c>
      <c r="I99" s="3180">
        <v>1</v>
      </c>
      <c r="J99" s="3181">
        <v>0</v>
      </c>
      <c r="K99" s="3102">
        <v>0</v>
      </c>
      <c r="L99" s="3102">
        <v>0</v>
      </c>
      <c r="M99" s="3102">
        <v>0</v>
      </c>
      <c r="N99" s="3179">
        <v>0.06</v>
      </c>
      <c r="O99" s="3105">
        <f t="shared" si="1"/>
        <v>1</v>
      </c>
      <c r="P99" s="3106">
        <v>0</v>
      </c>
      <c r="Q99" s="3107"/>
    </row>
    <row r="100" spans="1:17" ht="20.100000000000001" customHeight="1">
      <c r="A100" s="3095">
        <v>94</v>
      </c>
      <c r="B100" s="3112" t="s">
        <v>841</v>
      </c>
      <c r="C100" s="3112" t="s">
        <v>805</v>
      </c>
      <c r="D100" s="3097" t="s">
        <v>434</v>
      </c>
      <c r="E100" s="3098" t="s">
        <v>100</v>
      </c>
      <c r="F100" s="3113" t="s">
        <v>34</v>
      </c>
      <c r="G100" s="3100">
        <v>0</v>
      </c>
      <c r="H100" s="3101">
        <v>0</v>
      </c>
      <c r="I100" s="3102">
        <v>0</v>
      </c>
      <c r="J100" s="3178">
        <v>37</v>
      </c>
      <c r="K100" s="3181">
        <v>0</v>
      </c>
      <c r="L100" s="3181">
        <v>0</v>
      </c>
      <c r="M100" s="3181">
        <v>0</v>
      </c>
      <c r="N100" s="3182">
        <v>1850</v>
      </c>
      <c r="O100" s="3105">
        <f t="shared" si="1"/>
        <v>37</v>
      </c>
      <c r="P100" s="3106">
        <v>0</v>
      </c>
      <c r="Q100" s="3107"/>
    </row>
    <row r="101" spans="1:17" ht="20.100000000000001" customHeight="1">
      <c r="A101" s="3095">
        <v>95</v>
      </c>
      <c r="B101" s="3112" t="s">
        <v>841</v>
      </c>
      <c r="C101" s="3112" t="s">
        <v>805</v>
      </c>
      <c r="D101" s="3097" t="s">
        <v>434</v>
      </c>
      <c r="E101" s="3098" t="s">
        <v>100</v>
      </c>
      <c r="F101" s="3113" t="s">
        <v>35</v>
      </c>
      <c r="G101" s="3100">
        <v>0</v>
      </c>
      <c r="H101" s="3101">
        <v>0</v>
      </c>
      <c r="I101" s="3102">
        <v>0</v>
      </c>
      <c r="J101" s="3181">
        <v>0</v>
      </c>
      <c r="K101" s="3178">
        <v>41</v>
      </c>
      <c r="L101" s="3181">
        <v>0</v>
      </c>
      <c r="M101" s="3181">
        <v>0</v>
      </c>
      <c r="N101" s="3183">
        <v>730077.64</v>
      </c>
      <c r="O101" s="3105">
        <f t="shared" si="1"/>
        <v>40</v>
      </c>
      <c r="P101" s="3119">
        <v>1</v>
      </c>
      <c r="Q101" s="3107"/>
    </row>
    <row r="102" spans="1:17" ht="20.100000000000001" customHeight="1">
      <c r="A102" s="3095">
        <v>96</v>
      </c>
      <c r="B102" s="3112" t="s">
        <v>841</v>
      </c>
      <c r="C102" s="3112" t="s">
        <v>805</v>
      </c>
      <c r="D102" s="3097" t="s">
        <v>36</v>
      </c>
      <c r="E102" s="3098" t="s">
        <v>100</v>
      </c>
      <c r="F102" s="3099" t="s">
        <v>52</v>
      </c>
      <c r="G102" s="3100">
        <v>0</v>
      </c>
      <c r="H102" s="3180">
        <v>391</v>
      </c>
      <c r="I102" s="3181">
        <v>0</v>
      </c>
      <c r="J102" s="3181">
        <v>0</v>
      </c>
      <c r="K102" s="3181">
        <v>0</v>
      </c>
      <c r="L102" s="3181">
        <v>0</v>
      </c>
      <c r="M102" s="3181">
        <v>0</v>
      </c>
      <c r="N102" s="3182">
        <v>0</v>
      </c>
      <c r="O102" s="3105">
        <f t="shared" si="1"/>
        <v>391</v>
      </c>
      <c r="P102" s="3106">
        <v>0</v>
      </c>
      <c r="Q102" s="3107"/>
    </row>
    <row r="103" spans="1:17" ht="20.100000000000001" customHeight="1">
      <c r="A103" s="3095">
        <v>97</v>
      </c>
      <c r="B103" s="3112" t="s">
        <v>843</v>
      </c>
      <c r="C103" s="3112" t="s">
        <v>805</v>
      </c>
      <c r="D103" s="3097" t="s">
        <v>786</v>
      </c>
      <c r="E103" s="3098"/>
      <c r="F103" s="3099" t="s">
        <v>118</v>
      </c>
      <c r="G103" s="3100">
        <v>0</v>
      </c>
      <c r="H103" s="3101">
        <v>0</v>
      </c>
      <c r="I103" s="3102">
        <v>0</v>
      </c>
      <c r="J103" s="3102">
        <v>0</v>
      </c>
      <c r="K103" s="3102">
        <v>0</v>
      </c>
      <c r="L103" s="3102">
        <v>0</v>
      </c>
      <c r="M103" s="3102">
        <v>1</v>
      </c>
      <c r="N103" s="3184">
        <v>24355.47</v>
      </c>
      <c r="O103" s="3105">
        <f t="shared" si="1"/>
        <v>1</v>
      </c>
      <c r="P103" s="3106">
        <v>0</v>
      </c>
      <c r="Q103" s="3107"/>
    </row>
    <row r="104" spans="1:17" ht="20.100000000000001" customHeight="1">
      <c r="A104" s="3095">
        <v>98</v>
      </c>
      <c r="B104" s="3112" t="s">
        <v>843</v>
      </c>
      <c r="C104" s="3112" t="s">
        <v>805</v>
      </c>
      <c r="D104" s="3097" t="s">
        <v>29</v>
      </c>
      <c r="E104" s="3098"/>
      <c r="F104" s="3099" t="s">
        <v>49</v>
      </c>
      <c r="G104" s="3105">
        <v>0</v>
      </c>
      <c r="H104" s="3101">
        <v>0</v>
      </c>
      <c r="I104" s="3110">
        <v>1</v>
      </c>
      <c r="J104" s="3102">
        <v>0</v>
      </c>
      <c r="K104" s="3102">
        <v>0</v>
      </c>
      <c r="L104" s="3102">
        <v>0</v>
      </c>
      <c r="M104" s="3102">
        <v>0</v>
      </c>
      <c r="N104" s="3104">
        <v>56266497.460000001</v>
      </c>
      <c r="O104" s="3105">
        <f t="shared" si="1"/>
        <v>1</v>
      </c>
      <c r="P104" s="3106">
        <v>0</v>
      </c>
      <c r="Q104" s="3107"/>
    </row>
    <row r="105" spans="1:17" ht="20.100000000000001" customHeight="1">
      <c r="A105" s="3095">
        <v>99</v>
      </c>
      <c r="B105" s="3112" t="s">
        <v>843</v>
      </c>
      <c r="C105" s="3112" t="s">
        <v>805</v>
      </c>
      <c r="D105" s="3097" t="s">
        <v>29</v>
      </c>
      <c r="E105" s="3098"/>
      <c r="F105" s="3099" t="s">
        <v>32</v>
      </c>
      <c r="G105" s="3105">
        <v>0</v>
      </c>
      <c r="H105" s="3101">
        <v>0</v>
      </c>
      <c r="I105" s="3110">
        <v>1</v>
      </c>
      <c r="J105" s="3102">
        <v>0</v>
      </c>
      <c r="K105" s="3102">
        <v>0</v>
      </c>
      <c r="L105" s="3102">
        <v>0</v>
      </c>
      <c r="M105" s="3102">
        <v>0</v>
      </c>
      <c r="N105" s="3104">
        <v>20.5</v>
      </c>
      <c r="O105" s="3105">
        <f t="shared" si="1"/>
        <v>1</v>
      </c>
      <c r="P105" s="3106">
        <v>0</v>
      </c>
      <c r="Q105" s="3107"/>
    </row>
    <row r="106" spans="1:17" ht="20.100000000000001" customHeight="1">
      <c r="A106" s="3095">
        <v>100</v>
      </c>
      <c r="B106" s="3112" t="s">
        <v>843</v>
      </c>
      <c r="C106" s="3112" t="s">
        <v>805</v>
      </c>
      <c r="D106" s="3097" t="s">
        <v>29</v>
      </c>
      <c r="E106" s="3098"/>
      <c r="F106" s="3099" t="s">
        <v>844</v>
      </c>
      <c r="G106" s="3105">
        <v>0</v>
      </c>
      <c r="H106" s="3101">
        <v>0</v>
      </c>
      <c r="I106" s="3110">
        <v>1</v>
      </c>
      <c r="J106" s="3102">
        <v>0</v>
      </c>
      <c r="K106" s="3102">
        <v>0</v>
      </c>
      <c r="L106" s="3102">
        <v>0</v>
      </c>
      <c r="M106" s="3102">
        <v>0</v>
      </c>
      <c r="N106" s="3104">
        <v>115</v>
      </c>
      <c r="O106" s="3105">
        <f t="shared" si="1"/>
        <v>1</v>
      </c>
      <c r="P106" s="3106">
        <v>0</v>
      </c>
      <c r="Q106" s="3107"/>
    </row>
    <row r="107" spans="1:17" ht="20.100000000000001" customHeight="1">
      <c r="A107" s="3095">
        <v>101</v>
      </c>
      <c r="B107" s="3112" t="s">
        <v>843</v>
      </c>
      <c r="C107" s="3112" t="s">
        <v>805</v>
      </c>
      <c r="D107" s="3097" t="s">
        <v>29</v>
      </c>
      <c r="E107" s="3112"/>
      <c r="F107" s="3113" t="s">
        <v>845</v>
      </c>
      <c r="G107" s="3100">
        <v>0</v>
      </c>
      <c r="H107" s="3101">
        <v>0</v>
      </c>
      <c r="I107" s="3102">
        <v>0</v>
      </c>
      <c r="J107" s="3102">
        <v>0</v>
      </c>
      <c r="K107" s="3102">
        <v>0</v>
      </c>
      <c r="L107" s="3102">
        <v>0</v>
      </c>
      <c r="M107" s="3103">
        <v>1</v>
      </c>
      <c r="N107" s="3117">
        <v>13049.46</v>
      </c>
      <c r="O107" s="3105">
        <f t="shared" si="1"/>
        <v>1</v>
      </c>
      <c r="P107" s="3106">
        <v>0</v>
      </c>
      <c r="Q107" s="3107"/>
    </row>
    <row r="108" spans="1:17" ht="20.100000000000001" customHeight="1">
      <c r="A108" s="3095">
        <v>102</v>
      </c>
      <c r="B108" s="3112" t="s">
        <v>843</v>
      </c>
      <c r="C108" s="3112" t="s">
        <v>805</v>
      </c>
      <c r="D108" s="3097" t="s">
        <v>434</v>
      </c>
      <c r="E108" s="3098"/>
      <c r="F108" s="3113" t="s">
        <v>35</v>
      </c>
      <c r="G108" s="3100">
        <v>0</v>
      </c>
      <c r="H108" s="3101">
        <v>0</v>
      </c>
      <c r="I108" s="3102">
        <v>0</v>
      </c>
      <c r="J108" s="3102">
        <v>0</v>
      </c>
      <c r="K108" s="3103">
        <v>18</v>
      </c>
      <c r="L108" s="3102">
        <v>0</v>
      </c>
      <c r="M108" s="3102">
        <v>0</v>
      </c>
      <c r="N108" s="3118">
        <v>556236.35</v>
      </c>
      <c r="O108" s="3105">
        <f t="shared" si="1"/>
        <v>15</v>
      </c>
      <c r="P108" s="3119">
        <v>3</v>
      </c>
      <c r="Q108" s="3107"/>
    </row>
    <row r="109" spans="1:17" ht="20.100000000000001" customHeight="1">
      <c r="A109" s="3095">
        <v>103</v>
      </c>
      <c r="B109" s="3112" t="s">
        <v>843</v>
      </c>
      <c r="C109" s="3112" t="s">
        <v>805</v>
      </c>
      <c r="D109" s="3097" t="s">
        <v>36</v>
      </c>
      <c r="E109" s="3098"/>
      <c r="F109" s="3113" t="s">
        <v>52</v>
      </c>
      <c r="G109" s="3100">
        <v>0</v>
      </c>
      <c r="H109" s="3110">
        <v>70</v>
      </c>
      <c r="I109" s="3102">
        <v>0</v>
      </c>
      <c r="J109" s="3102">
        <v>0</v>
      </c>
      <c r="K109" s="3102">
        <v>0</v>
      </c>
      <c r="L109" s="3102">
        <v>0</v>
      </c>
      <c r="M109" s="3102">
        <v>0</v>
      </c>
      <c r="N109" s="3117">
        <v>0</v>
      </c>
      <c r="O109" s="3105">
        <f t="shared" si="1"/>
        <v>70</v>
      </c>
      <c r="P109" s="3106">
        <v>0</v>
      </c>
      <c r="Q109" s="3107"/>
    </row>
    <row r="110" spans="1:17" ht="20.100000000000001" customHeight="1">
      <c r="A110" s="3095">
        <v>104</v>
      </c>
      <c r="B110" s="3096" t="s">
        <v>846</v>
      </c>
      <c r="C110" s="3112" t="s">
        <v>805</v>
      </c>
      <c r="D110" s="3097" t="s">
        <v>786</v>
      </c>
      <c r="E110" s="3098" t="s">
        <v>847</v>
      </c>
      <c r="F110" s="3128" t="s">
        <v>848</v>
      </c>
      <c r="G110" s="3100">
        <v>0</v>
      </c>
      <c r="H110" s="3101">
        <v>0</v>
      </c>
      <c r="I110" s="3102">
        <v>0</v>
      </c>
      <c r="J110" s="3102">
        <v>0</v>
      </c>
      <c r="K110" s="3102">
        <v>0</v>
      </c>
      <c r="L110" s="3102">
        <v>0</v>
      </c>
      <c r="M110" s="3103">
        <v>1</v>
      </c>
      <c r="N110" s="3104">
        <v>47000</v>
      </c>
      <c r="O110" s="3105">
        <f t="shared" si="1"/>
        <v>1</v>
      </c>
      <c r="P110" s="3106">
        <v>0</v>
      </c>
      <c r="Q110" s="3107"/>
    </row>
    <row r="111" spans="1:17" ht="20.100000000000001" customHeight="1">
      <c r="A111" s="3095">
        <v>105</v>
      </c>
      <c r="B111" s="3096" t="s">
        <v>846</v>
      </c>
      <c r="C111" s="3112" t="s">
        <v>805</v>
      </c>
      <c r="D111" s="3097" t="s">
        <v>29</v>
      </c>
      <c r="E111" s="3098" t="s">
        <v>847</v>
      </c>
      <c r="F111" s="3099" t="s">
        <v>49</v>
      </c>
      <c r="G111" s="3105">
        <v>0</v>
      </c>
      <c r="H111" s="3101">
        <v>0</v>
      </c>
      <c r="I111" s="3110">
        <v>1</v>
      </c>
      <c r="J111" s="3102">
        <v>0</v>
      </c>
      <c r="K111" s="3102">
        <v>0</v>
      </c>
      <c r="L111" s="3102">
        <v>0</v>
      </c>
      <c r="M111" s="3102">
        <v>0</v>
      </c>
      <c r="N111" s="3104">
        <v>46382122.450000003</v>
      </c>
      <c r="O111" s="3105">
        <f t="shared" si="1"/>
        <v>1</v>
      </c>
      <c r="P111" s="3106">
        <v>0</v>
      </c>
      <c r="Q111" s="3107"/>
    </row>
    <row r="112" spans="1:17" ht="20.100000000000001" customHeight="1">
      <c r="A112" s="3095">
        <v>106</v>
      </c>
      <c r="B112" s="3096" t="s">
        <v>846</v>
      </c>
      <c r="C112" s="3112" t="s">
        <v>805</v>
      </c>
      <c r="D112" s="3097" t="s">
        <v>29</v>
      </c>
      <c r="E112" s="3098" t="s">
        <v>847</v>
      </c>
      <c r="F112" s="3099" t="s">
        <v>31</v>
      </c>
      <c r="G112" s="3105">
        <v>0</v>
      </c>
      <c r="H112" s="3101">
        <v>0</v>
      </c>
      <c r="I112" s="3110">
        <v>1</v>
      </c>
      <c r="J112" s="3102">
        <v>0</v>
      </c>
      <c r="K112" s="3102">
        <v>0</v>
      </c>
      <c r="L112" s="3102">
        <v>0</v>
      </c>
      <c r="M112" s="3102">
        <v>0</v>
      </c>
      <c r="N112" s="3104">
        <v>0</v>
      </c>
      <c r="O112" s="3105">
        <f t="shared" si="1"/>
        <v>1</v>
      </c>
      <c r="P112" s="3106">
        <v>0</v>
      </c>
      <c r="Q112" s="3107"/>
    </row>
    <row r="113" spans="1:17" ht="20.100000000000001" customHeight="1">
      <c r="A113" s="3095">
        <v>107</v>
      </c>
      <c r="B113" s="3096" t="s">
        <v>846</v>
      </c>
      <c r="C113" s="3112" t="s">
        <v>805</v>
      </c>
      <c r="D113" s="3097" t="s">
        <v>29</v>
      </c>
      <c r="E113" s="3098" t="s">
        <v>847</v>
      </c>
      <c r="F113" s="3099" t="s">
        <v>32</v>
      </c>
      <c r="G113" s="3105">
        <v>0</v>
      </c>
      <c r="H113" s="3101">
        <v>0</v>
      </c>
      <c r="I113" s="3110">
        <v>1</v>
      </c>
      <c r="J113" s="3102">
        <v>0</v>
      </c>
      <c r="K113" s="3102">
        <v>0</v>
      </c>
      <c r="L113" s="3102">
        <v>0</v>
      </c>
      <c r="M113" s="3102">
        <v>0</v>
      </c>
      <c r="N113" s="3104">
        <v>40.47</v>
      </c>
      <c r="O113" s="3105">
        <f t="shared" si="1"/>
        <v>1</v>
      </c>
      <c r="P113" s="3106">
        <v>0</v>
      </c>
      <c r="Q113" s="3107"/>
    </row>
    <row r="114" spans="1:17" ht="20.100000000000001" customHeight="1">
      <c r="A114" s="3095">
        <v>108</v>
      </c>
      <c r="B114" s="3096" t="s">
        <v>846</v>
      </c>
      <c r="C114" s="3112" t="s">
        <v>805</v>
      </c>
      <c r="D114" s="3097" t="s">
        <v>29</v>
      </c>
      <c r="E114" s="3098" t="s">
        <v>849</v>
      </c>
      <c r="F114" s="3099" t="s">
        <v>50</v>
      </c>
      <c r="G114" s="3101">
        <v>0</v>
      </c>
      <c r="H114" s="3101">
        <v>0</v>
      </c>
      <c r="I114" s="3110">
        <v>1</v>
      </c>
      <c r="J114" s="3102">
        <v>0</v>
      </c>
      <c r="K114" s="3102">
        <v>0</v>
      </c>
      <c r="L114" s="3102">
        <v>0</v>
      </c>
      <c r="M114" s="3102">
        <v>0</v>
      </c>
      <c r="N114" s="3135">
        <v>1000</v>
      </c>
      <c r="O114" s="3105">
        <f t="shared" si="1"/>
        <v>1</v>
      </c>
      <c r="P114" s="3106">
        <v>0</v>
      </c>
      <c r="Q114" s="3107"/>
    </row>
    <row r="115" spans="1:17" ht="20.100000000000001" customHeight="1">
      <c r="A115" s="3095">
        <v>109</v>
      </c>
      <c r="B115" s="3096" t="s">
        <v>846</v>
      </c>
      <c r="C115" s="3112" t="s">
        <v>805</v>
      </c>
      <c r="D115" s="3097" t="s">
        <v>29</v>
      </c>
      <c r="E115" s="3112" t="s">
        <v>515</v>
      </c>
      <c r="F115" s="3131" t="s">
        <v>850</v>
      </c>
      <c r="G115" s="3100">
        <v>0</v>
      </c>
      <c r="H115" s="3101">
        <v>0</v>
      </c>
      <c r="I115" s="3102">
        <v>0</v>
      </c>
      <c r="J115" s="3102">
        <v>0</v>
      </c>
      <c r="K115" s="3102">
        <v>0</v>
      </c>
      <c r="L115" s="3102">
        <v>0</v>
      </c>
      <c r="M115" s="3103">
        <v>1</v>
      </c>
      <c r="N115" s="3109">
        <v>8600</v>
      </c>
      <c r="O115" s="3105">
        <f t="shared" si="1"/>
        <v>1</v>
      </c>
      <c r="P115" s="3106">
        <v>0</v>
      </c>
      <c r="Q115" s="3107"/>
    </row>
    <row r="116" spans="1:17" ht="20.100000000000001" customHeight="1">
      <c r="A116" s="3095">
        <v>110</v>
      </c>
      <c r="B116" s="3096" t="s">
        <v>846</v>
      </c>
      <c r="C116" s="3112" t="s">
        <v>805</v>
      </c>
      <c r="D116" s="3097" t="s">
        <v>434</v>
      </c>
      <c r="E116" s="3112" t="s">
        <v>849</v>
      </c>
      <c r="F116" s="3113" t="s">
        <v>34</v>
      </c>
      <c r="G116" s="3100">
        <v>0</v>
      </c>
      <c r="H116" s="3101">
        <v>0</v>
      </c>
      <c r="I116" s="3102">
        <v>0</v>
      </c>
      <c r="J116" s="3103">
        <v>110</v>
      </c>
      <c r="K116" s="3102">
        <v>0</v>
      </c>
      <c r="L116" s="3102">
        <v>0</v>
      </c>
      <c r="M116" s="3102">
        <v>0</v>
      </c>
      <c r="N116" s="3117">
        <v>0</v>
      </c>
      <c r="O116" s="3105">
        <f t="shared" si="1"/>
        <v>110</v>
      </c>
      <c r="P116" s="3106">
        <v>0</v>
      </c>
      <c r="Q116" s="3107"/>
    </row>
    <row r="117" spans="1:17" ht="20.100000000000001" customHeight="1">
      <c r="A117" s="3095">
        <v>111</v>
      </c>
      <c r="B117" s="3096" t="s">
        <v>846</v>
      </c>
      <c r="C117" s="3112" t="s">
        <v>805</v>
      </c>
      <c r="D117" s="3097" t="s">
        <v>434</v>
      </c>
      <c r="E117" s="3098" t="s">
        <v>849</v>
      </c>
      <c r="F117" s="3113" t="s">
        <v>35</v>
      </c>
      <c r="G117" s="3100">
        <v>0</v>
      </c>
      <c r="H117" s="3101">
        <v>0</v>
      </c>
      <c r="I117" s="3102">
        <v>0</v>
      </c>
      <c r="J117" s="3102">
        <v>0</v>
      </c>
      <c r="K117" s="3103">
        <v>1496</v>
      </c>
      <c r="L117" s="3102">
        <v>0</v>
      </c>
      <c r="M117" s="3102">
        <v>0</v>
      </c>
      <c r="N117" s="3118">
        <v>604072.46</v>
      </c>
      <c r="O117" s="3105">
        <f t="shared" si="1"/>
        <v>1486</v>
      </c>
      <c r="P117" s="3119">
        <v>10</v>
      </c>
      <c r="Q117" s="3107"/>
    </row>
    <row r="118" spans="1:17" ht="20.100000000000001" customHeight="1">
      <c r="A118" s="3095">
        <v>112</v>
      </c>
      <c r="B118" s="3096" t="s">
        <v>846</v>
      </c>
      <c r="C118" s="3112" t="s">
        <v>805</v>
      </c>
      <c r="D118" s="3097" t="s">
        <v>195</v>
      </c>
      <c r="E118" s="3098"/>
      <c r="F118" s="3113" t="s">
        <v>691</v>
      </c>
      <c r="G118" s="3100">
        <v>0</v>
      </c>
      <c r="H118" s="3101">
        <v>0</v>
      </c>
      <c r="I118" s="3102">
        <v>0</v>
      </c>
      <c r="J118" s="3102">
        <v>0</v>
      </c>
      <c r="K118" s="3102">
        <v>0</v>
      </c>
      <c r="L118" s="3102">
        <v>0</v>
      </c>
      <c r="M118" s="3103">
        <v>4</v>
      </c>
      <c r="N118" s="3117" t="s">
        <v>851</v>
      </c>
      <c r="O118" s="3105">
        <f t="shared" si="1"/>
        <v>0</v>
      </c>
      <c r="P118" s="3119">
        <v>4</v>
      </c>
      <c r="Q118" s="3107"/>
    </row>
    <row r="119" spans="1:17" ht="20.100000000000001" customHeight="1">
      <c r="A119" s="3095">
        <v>113</v>
      </c>
      <c r="B119" s="3096" t="s">
        <v>846</v>
      </c>
      <c r="C119" s="3112" t="s">
        <v>805</v>
      </c>
      <c r="D119" s="3097" t="s">
        <v>36</v>
      </c>
      <c r="E119" s="3098"/>
      <c r="F119" s="3113" t="s">
        <v>52</v>
      </c>
      <c r="G119" s="3100">
        <v>0</v>
      </c>
      <c r="H119" s="3110">
        <v>665</v>
      </c>
      <c r="I119" s="3102">
        <v>0</v>
      </c>
      <c r="J119" s="3102">
        <v>0</v>
      </c>
      <c r="K119" s="3102">
        <v>0</v>
      </c>
      <c r="L119" s="3102">
        <v>0</v>
      </c>
      <c r="M119" s="3102">
        <v>0</v>
      </c>
      <c r="N119" s="3117">
        <v>0</v>
      </c>
      <c r="O119" s="3105">
        <f t="shared" si="1"/>
        <v>665</v>
      </c>
      <c r="P119" s="3106">
        <v>0</v>
      </c>
      <c r="Q119" s="3107"/>
    </row>
    <row r="120" spans="1:17" ht="20.100000000000001" customHeight="1">
      <c r="A120" s="3095">
        <v>114</v>
      </c>
      <c r="B120" s="3096" t="s">
        <v>846</v>
      </c>
      <c r="C120" s="3112" t="s">
        <v>805</v>
      </c>
      <c r="D120" s="3097" t="s">
        <v>36</v>
      </c>
      <c r="E120" s="3098"/>
      <c r="F120" s="3137" t="s">
        <v>852</v>
      </c>
      <c r="G120" s="3110">
        <v>619</v>
      </c>
      <c r="H120" s="3101">
        <v>0</v>
      </c>
      <c r="I120" s="3102">
        <v>0</v>
      </c>
      <c r="J120" s="3102">
        <v>0</v>
      </c>
      <c r="K120" s="3102">
        <v>0</v>
      </c>
      <c r="L120" s="3102">
        <v>0</v>
      </c>
      <c r="M120" s="3102">
        <v>0</v>
      </c>
      <c r="N120" s="3117">
        <v>0</v>
      </c>
      <c r="O120" s="3105">
        <f t="shared" si="1"/>
        <v>619</v>
      </c>
      <c r="P120" s="3106">
        <v>0</v>
      </c>
      <c r="Q120" s="3107"/>
    </row>
    <row r="121" spans="1:17" ht="20.100000000000001" customHeight="1">
      <c r="A121" s="3095">
        <v>115</v>
      </c>
      <c r="B121" s="3096" t="s">
        <v>846</v>
      </c>
      <c r="C121" s="3112" t="s">
        <v>805</v>
      </c>
      <c r="D121" s="3120" t="s">
        <v>442</v>
      </c>
      <c r="E121" s="3185" t="s">
        <v>853</v>
      </c>
      <c r="F121" s="3137" t="s">
        <v>795</v>
      </c>
      <c r="G121" s="3101">
        <v>0</v>
      </c>
      <c r="H121" s="3101">
        <v>0</v>
      </c>
      <c r="I121" s="3102">
        <v>0</v>
      </c>
      <c r="J121" s="3102">
        <v>0</v>
      </c>
      <c r="K121" s="3102">
        <v>0</v>
      </c>
      <c r="L121" s="3122">
        <v>0</v>
      </c>
      <c r="M121" s="3110">
        <v>2</v>
      </c>
      <c r="N121" s="3109">
        <v>110000</v>
      </c>
      <c r="O121" s="3105">
        <f t="shared" si="1"/>
        <v>2</v>
      </c>
      <c r="P121" s="3106">
        <v>0</v>
      </c>
      <c r="Q121" s="3107"/>
    </row>
    <row r="122" spans="1:17" ht="20.100000000000001" customHeight="1">
      <c r="A122" s="3095">
        <v>116</v>
      </c>
      <c r="B122" s="3096" t="s">
        <v>854</v>
      </c>
      <c r="C122" s="3112" t="s">
        <v>805</v>
      </c>
      <c r="D122" s="3097" t="s">
        <v>855</v>
      </c>
      <c r="E122" s="3098" t="s">
        <v>856</v>
      </c>
      <c r="F122" s="3113" t="s">
        <v>48</v>
      </c>
      <c r="G122" s="3100">
        <v>0</v>
      </c>
      <c r="H122" s="3101">
        <v>0</v>
      </c>
      <c r="I122" s="3102">
        <v>0</v>
      </c>
      <c r="J122" s="3102">
        <v>0</v>
      </c>
      <c r="K122" s="3102">
        <v>0</v>
      </c>
      <c r="L122" s="3102">
        <v>0</v>
      </c>
      <c r="M122" s="3103">
        <v>1</v>
      </c>
      <c r="N122" s="3109">
        <v>4700</v>
      </c>
      <c r="O122" s="3105">
        <f t="shared" si="1"/>
        <v>1</v>
      </c>
      <c r="P122" s="3106">
        <v>0</v>
      </c>
      <c r="Q122" s="3107"/>
    </row>
    <row r="123" spans="1:17" ht="20.100000000000001" customHeight="1">
      <c r="A123" s="3095">
        <v>117</v>
      </c>
      <c r="B123" s="3096" t="s">
        <v>854</v>
      </c>
      <c r="C123" s="3112" t="s">
        <v>805</v>
      </c>
      <c r="D123" s="3097" t="s">
        <v>29</v>
      </c>
      <c r="E123" s="3098"/>
      <c r="F123" s="3113" t="s">
        <v>857</v>
      </c>
      <c r="G123" s="3100">
        <v>0</v>
      </c>
      <c r="H123" s="3101">
        <v>0</v>
      </c>
      <c r="I123" s="3102">
        <v>1</v>
      </c>
      <c r="J123" s="3102">
        <v>0</v>
      </c>
      <c r="K123" s="3102">
        <v>0</v>
      </c>
      <c r="L123" s="3102">
        <v>0</v>
      </c>
      <c r="M123" s="3103">
        <v>0</v>
      </c>
      <c r="N123" s="3109">
        <v>916140.88</v>
      </c>
      <c r="O123" s="3105">
        <f t="shared" si="1"/>
        <v>1</v>
      </c>
      <c r="P123" s="3106">
        <v>0</v>
      </c>
      <c r="Q123" s="3107"/>
    </row>
    <row r="124" spans="1:17" ht="20.100000000000001" customHeight="1">
      <c r="A124" s="3095">
        <v>118</v>
      </c>
      <c r="B124" s="3096" t="s">
        <v>854</v>
      </c>
      <c r="C124" s="3112" t="s">
        <v>805</v>
      </c>
      <c r="D124" s="3097" t="s">
        <v>29</v>
      </c>
      <c r="E124" s="3138">
        <v>44206</v>
      </c>
      <c r="F124" s="3099" t="s">
        <v>32</v>
      </c>
      <c r="G124" s="3105">
        <v>0</v>
      </c>
      <c r="H124" s="3101">
        <v>0</v>
      </c>
      <c r="I124" s="3186">
        <v>1</v>
      </c>
      <c r="J124" s="3102">
        <v>0</v>
      </c>
      <c r="K124" s="3102">
        <v>0</v>
      </c>
      <c r="L124" s="3102">
        <v>0</v>
      </c>
      <c r="M124" s="3102">
        <v>0</v>
      </c>
      <c r="N124" s="3104">
        <v>544.61</v>
      </c>
      <c r="O124" s="3105">
        <f t="shared" si="1"/>
        <v>1</v>
      </c>
      <c r="P124" s="3106">
        <v>0</v>
      </c>
      <c r="Q124" s="3107"/>
    </row>
    <row r="125" spans="1:17" ht="20.100000000000001" customHeight="1">
      <c r="A125" s="3095">
        <v>119</v>
      </c>
      <c r="B125" s="3096" t="s">
        <v>854</v>
      </c>
      <c r="C125" s="3112" t="s">
        <v>805</v>
      </c>
      <c r="D125" s="3097" t="s">
        <v>434</v>
      </c>
      <c r="E125" s="3098" t="s">
        <v>100</v>
      </c>
      <c r="F125" s="3113" t="s">
        <v>35</v>
      </c>
      <c r="G125" s="3100">
        <v>0</v>
      </c>
      <c r="H125" s="3101">
        <v>0</v>
      </c>
      <c r="I125" s="3102">
        <v>0</v>
      </c>
      <c r="J125" s="3102">
        <v>0</v>
      </c>
      <c r="K125" s="3103">
        <v>214</v>
      </c>
      <c r="L125" s="3102">
        <v>0</v>
      </c>
      <c r="M125" s="3102">
        <v>0</v>
      </c>
      <c r="N125" s="3118">
        <v>15350</v>
      </c>
      <c r="O125" s="3105">
        <f t="shared" si="1"/>
        <v>214</v>
      </c>
      <c r="P125" s="3106">
        <v>0</v>
      </c>
      <c r="Q125" s="3107"/>
    </row>
    <row r="126" spans="1:17" ht="20.100000000000001" customHeight="1">
      <c r="A126" s="3095">
        <v>120</v>
      </c>
      <c r="B126" s="3096" t="s">
        <v>854</v>
      </c>
      <c r="C126" s="3112" t="s">
        <v>805</v>
      </c>
      <c r="D126" s="3097" t="s">
        <v>36</v>
      </c>
      <c r="E126" s="3098" t="s">
        <v>100</v>
      </c>
      <c r="F126" s="3113" t="s">
        <v>52</v>
      </c>
      <c r="G126" s="3100">
        <v>0</v>
      </c>
      <c r="H126" s="3110">
        <v>611</v>
      </c>
      <c r="I126" s="3102">
        <v>0</v>
      </c>
      <c r="J126" s="3102">
        <v>0</v>
      </c>
      <c r="K126" s="3102">
        <v>0</v>
      </c>
      <c r="L126" s="3102">
        <v>0</v>
      </c>
      <c r="M126" s="3102">
        <v>0</v>
      </c>
      <c r="N126" s="3117">
        <v>0</v>
      </c>
      <c r="O126" s="3105">
        <f t="shared" si="1"/>
        <v>611</v>
      </c>
      <c r="P126" s="3106">
        <v>0</v>
      </c>
      <c r="Q126" s="3107"/>
    </row>
    <row r="127" spans="1:17" ht="20.100000000000001" customHeight="1">
      <c r="A127" s="3095">
        <v>121</v>
      </c>
      <c r="B127" s="3096" t="s">
        <v>854</v>
      </c>
      <c r="C127" s="3112" t="s">
        <v>805</v>
      </c>
      <c r="D127" s="3097" t="s">
        <v>36</v>
      </c>
      <c r="E127" s="3098" t="s">
        <v>100</v>
      </c>
      <c r="F127" s="3137" t="s">
        <v>858</v>
      </c>
      <c r="G127" s="3110">
        <v>23</v>
      </c>
      <c r="H127" s="3101">
        <v>0</v>
      </c>
      <c r="I127" s="3102">
        <v>0</v>
      </c>
      <c r="J127" s="3102">
        <v>0</v>
      </c>
      <c r="K127" s="3102">
        <v>0</v>
      </c>
      <c r="L127" s="3102">
        <v>0</v>
      </c>
      <c r="M127" s="3102">
        <v>0</v>
      </c>
      <c r="N127" s="3117">
        <v>0</v>
      </c>
      <c r="O127" s="3105">
        <f t="shared" si="1"/>
        <v>23</v>
      </c>
      <c r="P127" s="3106">
        <v>0</v>
      </c>
      <c r="Q127" s="3107"/>
    </row>
    <row r="128" spans="1:17" ht="20.100000000000001" customHeight="1">
      <c r="A128" s="3095">
        <v>122</v>
      </c>
      <c r="B128" s="3096" t="s">
        <v>859</v>
      </c>
      <c r="C128" s="3112" t="s">
        <v>805</v>
      </c>
      <c r="D128" s="3097" t="s">
        <v>29</v>
      </c>
      <c r="E128" s="3148" t="s">
        <v>76</v>
      </c>
      <c r="F128" s="3099" t="s">
        <v>49</v>
      </c>
      <c r="G128" s="3187">
        <v>0</v>
      </c>
      <c r="H128" s="3188">
        <v>0</v>
      </c>
      <c r="I128" s="3189">
        <v>1</v>
      </c>
      <c r="J128" s="3190">
        <v>0</v>
      </c>
      <c r="K128" s="3190">
        <v>0</v>
      </c>
      <c r="L128" s="3190">
        <v>0</v>
      </c>
      <c r="M128" s="3190">
        <v>0</v>
      </c>
      <c r="N128" s="3191">
        <v>528126.46</v>
      </c>
      <c r="O128" s="3105">
        <f t="shared" si="1"/>
        <v>1</v>
      </c>
      <c r="P128" s="3106">
        <v>0</v>
      </c>
      <c r="Q128" s="3192"/>
    </row>
    <row r="129" spans="1:17" ht="20.100000000000001" customHeight="1">
      <c r="A129" s="3095">
        <v>123</v>
      </c>
      <c r="B129" s="3096" t="s">
        <v>859</v>
      </c>
      <c r="C129" s="3112" t="s">
        <v>805</v>
      </c>
      <c r="D129" s="3097" t="s">
        <v>29</v>
      </c>
      <c r="E129" s="3148" t="s">
        <v>76</v>
      </c>
      <c r="F129" s="3099" t="s">
        <v>32</v>
      </c>
      <c r="G129" s="3187">
        <v>0</v>
      </c>
      <c r="H129" s="3188">
        <v>0</v>
      </c>
      <c r="I129" s="3189">
        <v>1</v>
      </c>
      <c r="J129" s="3190">
        <v>0</v>
      </c>
      <c r="K129" s="3190">
        <v>0</v>
      </c>
      <c r="L129" s="3193">
        <v>0</v>
      </c>
      <c r="M129" s="3190">
        <v>0</v>
      </c>
      <c r="N129" s="3194">
        <v>-0.26</v>
      </c>
      <c r="O129" s="3105">
        <f t="shared" si="1"/>
        <v>1</v>
      </c>
      <c r="P129" s="3106">
        <v>0</v>
      </c>
      <c r="Q129" s="3192"/>
    </row>
    <row r="130" spans="1:17" ht="20.100000000000001" customHeight="1">
      <c r="A130" s="3095">
        <v>124</v>
      </c>
      <c r="B130" s="3096" t="s">
        <v>859</v>
      </c>
      <c r="C130" s="3112" t="s">
        <v>805</v>
      </c>
      <c r="D130" s="3097" t="s">
        <v>29</v>
      </c>
      <c r="E130" s="3148"/>
      <c r="F130" s="3099" t="s">
        <v>860</v>
      </c>
      <c r="G130" s="3187">
        <v>0</v>
      </c>
      <c r="H130" s="3188">
        <v>0</v>
      </c>
      <c r="I130" s="3189">
        <v>1</v>
      </c>
      <c r="J130" s="3190">
        <v>0</v>
      </c>
      <c r="K130" s="3190">
        <v>0</v>
      </c>
      <c r="L130" s="3193">
        <v>0</v>
      </c>
      <c r="M130" s="3190">
        <v>0</v>
      </c>
      <c r="N130" s="3194">
        <v>0</v>
      </c>
      <c r="O130" s="3105">
        <f t="shared" si="1"/>
        <v>1</v>
      </c>
      <c r="P130" s="3106">
        <v>0</v>
      </c>
      <c r="Q130" s="3192"/>
    </row>
    <row r="131" spans="1:17" ht="20.100000000000001" customHeight="1">
      <c r="A131" s="3095">
        <v>125</v>
      </c>
      <c r="B131" s="3096" t="s">
        <v>859</v>
      </c>
      <c r="C131" s="3112" t="s">
        <v>805</v>
      </c>
      <c r="D131" s="3097" t="s">
        <v>29</v>
      </c>
      <c r="E131" s="3148" t="s">
        <v>76</v>
      </c>
      <c r="F131" s="3099" t="s">
        <v>50</v>
      </c>
      <c r="G131" s="3188">
        <v>0</v>
      </c>
      <c r="H131" s="3188">
        <v>0</v>
      </c>
      <c r="I131" s="3189">
        <v>1</v>
      </c>
      <c r="J131" s="3190">
        <v>0</v>
      </c>
      <c r="K131" s="3190">
        <v>0</v>
      </c>
      <c r="L131" s="3193">
        <v>0</v>
      </c>
      <c r="M131" s="3190">
        <v>0</v>
      </c>
      <c r="N131" s="3194">
        <v>-67.33</v>
      </c>
      <c r="O131" s="3105">
        <f t="shared" si="1"/>
        <v>1</v>
      </c>
      <c r="P131" s="3106">
        <v>0</v>
      </c>
      <c r="Q131" s="3192"/>
    </row>
    <row r="132" spans="1:17" ht="20.100000000000001" customHeight="1">
      <c r="A132" s="3095">
        <v>126</v>
      </c>
      <c r="B132" s="3096" t="s">
        <v>859</v>
      </c>
      <c r="C132" s="3112" t="s">
        <v>805</v>
      </c>
      <c r="D132" s="3097" t="s">
        <v>29</v>
      </c>
      <c r="E132" s="3112" t="s">
        <v>76</v>
      </c>
      <c r="F132" s="3113" t="s">
        <v>861</v>
      </c>
      <c r="G132" s="3100">
        <v>0</v>
      </c>
      <c r="H132" s="3101">
        <v>0</v>
      </c>
      <c r="I132" s="3102">
        <v>0</v>
      </c>
      <c r="J132" s="3102">
        <v>0</v>
      </c>
      <c r="K132" s="3102">
        <v>0</v>
      </c>
      <c r="L132" s="3102">
        <v>0</v>
      </c>
      <c r="M132" s="3103">
        <v>1</v>
      </c>
      <c r="N132" s="3127">
        <v>31310.46</v>
      </c>
      <c r="O132" s="3105">
        <f t="shared" si="1"/>
        <v>1</v>
      </c>
      <c r="P132" s="3106">
        <v>0</v>
      </c>
      <c r="Q132" s="3107"/>
    </row>
    <row r="133" spans="1:17" ht="20.100000000000001" customHeight="1">
      <c r="A133" s="3095">
        <v>127</v>
      </c>
      <c r="B133" s="3096" t="s">
        <v>859</v>
      </c>
      <c r="C133" s="3112" t="s">
        <v>805</v>
      </c>
      <c r="D133" s="3097" t="s">
        <v>434</v>
      </c>
      <c r="E133" s="3112"/>
      <c r="F133" s="3131" t="s">
        <v>838</v>
      </c>
      <c r="G133" s="3100">
        <v>0</v>
      </c>
      <c r="H133" s="3101">
        <v>0</v>
      </c>
      <c r="I133" s="3102">
        <v>0</v>
      </c>
      <c r="J133" s="3102">
        <v>0</v>
      </c>
      <c r="K133" s="3102">
        <v>0</v>
      </c>
      <c r="L133" s="3102">
        <v>0</v>
      </c>
      <c r="M133" s="3103">
        <v>0</v>
      </c>
      <c r="N133" s="3127">
        <v>0</v>
      </c>
      <c r="O133" s="3105">
        <f t="shared" si="1"/>
        <v>0</v>
      </c>
      <c r="P133" s="3106">
        <v>0</v>
      </c>
      <c r="Q133" s="3107"/>
    </row>
    <row r="134" spans="1:17" ht="20.100000000000001" customHeight="1">
      <c r="A134" s="3095">
        <v>128</v>
      </c>
      <c r="B134" s="3096" t="s">
        <v>859</v>
      </c>
      <c r="C134" s="3112" t="s">
        <v>805</v>
      </c>
      <c r="D134" s="3097" t="s">
        <v>36</v>
      </c>
      <c r="E134" s="3098"/>
      <c r="F134" s="3113" t="s">
        <v>52</v>
      </c>
      <c r="G134" s="3100">
        <v>0</v>
      </c>
      <c r="H134" s="3110">
        <v>344</v>
      </c>
      <c r="I134" s="3102">
        <v>0</v>
      </c>
      <c r="J134" s="3102">
        <v>0</v>
      </c>
      <c r="K134" s="3102">
        <v>0</v>
      </c>
      <c r="L134" s="3102">
        <v>0</v>
      </c>
      <c r="M134" s="3102">
        <v>0</v>
      </c>
      <c r="N134" s="3117">
        <v>0</v>
      </c>
      <c r="O134" s="3105">
        <f t="shared" si="1"/>
        <v>344</v>
      </c>
      <c r="P134" s="3106">
        <v>0</v>
      </c>
      <c r="Q134" s="3107"/>
    </row>
    <row r="135" spans="1:17" ht="20.100000000000001" customHeight="1">
      <c r="A135" s="3095">
        <v>129</v>
      </c>
      <c r="B135" s="3096" t="s">
        <v>862</v>
      </c>
      <c r="C135" s="3112" t="s">
        <v>805</v>
      </c>
      <c r="D135" s="3097" t="s">
        <v>29</v>
      </c>
      <c r="E135" s="3195" t="s">
        <v>863</v>
      </c>
      <c r="F135" s="3196" t="s">
        <v>49</v>
      </c>
      <c r="G135" s="3197">
        <v>0</v>
      </c>
      <c r="H135" s="3198">
        <v>0</v>
      </c>
      <c r="I135" s="3199">
        <v>1</v>
      </c>
      <c r="J135" s="3198">
        <v>0</v>
      </c>
      <c r="K135" s="3198">
        <v>0</v>
      </c>
      <c r="L135" s="3198">
        <v>0</v>
      </c>
      <c r="M135" s="3198">
        <v>0</v>
      </c>
      <c r="N135" s="3200">
        <v>-8911765.0600000005</v>
      </c>
      <c r="O135" s="3105">
        <f t="shared" si="1"/>
        <v>1</v>
      </c>
      <c r="P135" s="3106">
        <v>0</v>
      </c>
      <c r="Q135" s="3201"/>
    </row>
    <row r="136" spans="1:17" ht="20.100000000000001" customHeight="1">
      <c r="A136" s="3095">
        <v>130</v>
      </c>
      <c r="B136" s="3096" t="s">
        <v>862</v>
      </c>
      <c r="C136" s="3112" t="s">
        <v>805</v>
      </c>
      <c r="D136" s="3097" t="s">
        <v>29</v>
      </c>
      <c r="E136" s="3202" t="s">
        <v>863</v>
      </c>
      <c r="F136" s="3203" t="s">
        <v>32</v>
      </c>
      <c r="G136" s="3204">
        <v>0</v>
      </c>
      <c r="H136" s="3205">
        <v>0</v>
      </c>
      <c r="I136" s="3206">
        <v>1</v>
      </c>
      <c r="J136" s="3205">
        <v>0</v>
      </c>
      <c r="K136" s="3205">
        <v>0</v>
      </c>
      <c r="L136" s="3205">
        <v>0</v>
      </c>
      <c r="M136" s="3205">
        <v>0</v>
      </c>
      <c r="N136" s="3207">
        <v>436.72</v>
      </c>
      <c r="O136" s="3105">
        <f t="shared" ref="O136:O199" si="2">G136+H136+I136+J136+K136+L136+M136-P136</f>
        <v>1</v>
      </c>
      <c r="P136" s="3106">
        <v>0</v>
      </c>
      <c r="Q136" s="3208"/>
    </row>
    <row r="137" spans="1:17" ht="20.100000000000001" customHeight="1">
      <c r="A137" s="3095">
        <v>131</v>
      </c>
      <c r="B137" s="3096" t="s">
        <v>862</v>
      </c>
      <c r="C137" s="3112" t="s">
        <v>805</v>
      </c>
      <c r="D137" s="3097" t="s">
        <v>29</v>
      </c>
      <c r="E137" s="3195" t="s">
        <v>863</v>
      </c>
      <c r="F137" s="3196" t="s">
        <v>50</v>
      </c>
      <c r="G137" s="3198">
        <v>0</v>
      </c>
      <c r="H137" s="3198">
        <v>0</v>
      </c>
      <c r="I137" s="3199">
        <v>1</v>
      </c>
      <c r="J137" s="3198">
        <v>0</v>
      </c>
      <c r="K137" s="3198">
        <v>0</v>
      </c>
      <c r="L137" s="3198">
        <v>0</v>
      </c>
      <c r="M137" s="3198">
        <v>0</v>
      </c>
      <c r="N137" s="3209">
        <v>10.28</v>
      </c>
      <c r="O137" s="3105">
        <f t="shared" si="2"/>
        <v>1</v>
      </c>
      <c r="P137" s="3106">
        <v>0</v>
      </c>
      <c r="Q137" s="3201"/>
    </row>
    <row r="138" spans="1:17" ht="20.100000000000001" customHeight="1">
      <c r="A138" s="3095">
        <v>132</v>
      </c>
      <c r="B138" s="3096" t="s">
        <v>862</v>
      </c>
      <c r="C138" s="3112" t="s">
        <v>805</v>
      </c>
      <c r="D138" s="3097" t="s">
        <v>434</v>
      </c>
      <c r="E138" s="3210" t="s">
        <v>863</v>
      </c>
      <c r="F138" s="3211" t="s">
        <v>34</v>
      </c>
      <c r="G138" s="3212">
        <v>0</v>
      </c>
      <c r="H138" s="3198">
        <v>0</v>
      </c>
      <c r="I138" s="3198">
        <v>0</v>
      </c>
      <c r="J138" s="3213">
        <v>305</v>
      </c>
      <c r="K138" s="3198">
        <v>0</v>
      </c>
      <c r="L138" s="3198">
        <v>0</v>
      </c>
      <c r="M138" s="3198">
        <v>0</v>
      </c>
      <c r="N138" s="3201">
        <v>15250</v>
      </c>
      <c r="O138" s="3105">
        <f t="shared" si="2"/>
        <v>305</v>
      </c>
      <c r="P138" s="3106">
        <v>0</v>
      </c>
      <c r="Q138" s="3201"/>
    </row>
    <row r="139" spans="1:17" ht="20.100000000000001" customHeight="1">
      <c r="A139" s="3095">
        <v>133</v>
      </c>
      <c r="B139" s="3096" t="s">
        <v>862</v>
      </c>
      <c r="C139" s="3112" t="s">
        <v>805</v>
      </c>
      <c r="D139" s="3097" t="s">
        <v>434</v>
      </c>
      <c r="E139" s="3195" t="s">
        <v>863</v>
      </c>
      <c r="F139" s="3211" t="s">
        <v>35</v>
      </c>
      <c r="G139" s="3212">
        <v>0</v>
      </c>
      <c r="H139" s="3198">
        <v>0</v>
      </c>
      <c r="I139" s="3198">
        <v>0</v>
      </c>
      <c r="J139" s="3198">
        <v>0</v>
      </c>
      <c r="K139" s="3213">
        <v>425</v>
      </c>
      <c r="L139" s="3198">
        <v>0</v>
      </c>
      <c r="M139" s="3198">
        <v>0</v>
      </c>
      <c r="N139" s="3201">
        <v>2115990.86</v>
      </c>
      <c r="O139" s="3105">
        <f t="shared" si="2"/>
        <v>425</v>
      </c>
      <c r="P139" s="3106">
        <v>0</v>
      </c>
      <c r="Q139" s="3201"/>
    </row>
    <row r="140" spans="1:17" ht="20.100000000000001" customHeight="1">
      <c r="A140" s="3095">
        <v>134</v>
      </c>
      <c r="B140" s="3096" t="s">
        <v>862</v>
      </c>
      <c r="C140" s="3112" t="s">
        <v>805</v>
      </c>
      <c r="D140" s="3214" t="s">
        <v>365</v>
      </c>
      <c r="E140" s="3195" t="s">
        <v>863</v>
      </c>
      <c r="F140" s="3215" t="s">
        <v>104</v>
      </c>
      <c r="G140" s="3198">
        <v>0</v>
      </c>
      <c r="H140" s="3198">
        <v>0</v>
      </c>
      <c r="I140" s="3198">
        <v>0</v>
      </c>
      <c r="J140" s="3198">
        <v>0</v>
      </c>
      <c r="K140" s="3216">
        <v>0</v>
      </c>
      <c r="L140" s="3216">
        <v>0</v>
      </c>
      <c r="M140" s="3217">
        <v>1</v>
      </c>
      <c r="N140" s="3218">
        <v>0</v>
      </c>
      <c r="O140" s="3105">
        <f t="shared" si="2"/>
        <v>0</v>
      </c>
      <c r="P140" s="3119">
        <v>1</v>
      </c>
      <c r="Q140" s="3201"/>
    </row>
    <row r="141" spans="1:17" ht="20.100000000000001" customHeight="1">
      <c r="A141" s="3095">
        <v>135</v>
      </c>
      <c r="B141" s="3096" t="s">
        <v>862</v>
      </c>
      <c r="C141" s="3112" t="s">
        <v>805</v>
      </c>
      <c r="D141" s="3097" t="s">
        <v>36</v>
      </c>
      <c r="E141" s="3195" t="s">
        <v>863</v>
      </c>
      <c r="F141" s="3211" t="s">
        <v>52</v>
      </c>
      <c r="G141" s="3212">
        <v>0</v>
      </c>
      <c r="H141" s="3199">
        <v>106</v>
      </c>
      <c r="I141" s="3198">
        <v>0</v>
      </c>
      <c r="J141" s="3198">
        <v>0</v>
      </c>
      <c r="K141" s="3198">
        <v>0</v>
      </c>
      <c r="L141" s="3198">
        <v>0</v>
      </c>
      <c r="M141" s="3198">
        <v>0</v>
      </c>
      <c r="N141" s="3201">
        <v>0</v>
      </c>
      <c r="O141" s="3105">
        <f t="shared" si="2"/>
        <v>106</v>
      </c>
      <c r="P141" s="3106">
        <v>0</v>
      </c>
      <c r="Q141" s="3201"/>
    </row>
    <row r="142" spans="1:17" ht="20.100000000000001" customHeight="1">
      <c r="A142" s="3095">
        <v>136</v>
      </c>
      <c r="B142" s="3096" t="s">
        <v>862</v>
      </c>
      <c r="C142" s="3112" t="s">
        <v>805</v>
      </c>
      <c r="D142" s="3097" t="s">
        <v>36</v>
      </c>
      <c r="E142" s="3195" t="s">
        <v>863</v>
      </c>
      <c r="F142" s="3219" t="s">
        <v>864</v>
      </c>
      <c r="G142" s="3199">
        <v>77</v>
      </c>
      <c r="H142" s="3198">
        <v>0</v>
      </c>
      <c r="I142" s="3198">
        <v>0</v>
      </c>
      <c r="J142" s="3198">
        <v>0</v>
      </c>
      <c r="K142" s="3198">
        <v>0</v>
      </c>
      <c r="L142" s="3198">
        <v>0</v>
      </c>
      <c r="M142" s="3198">
        <v>0</v>
      </c>
      <c r="N142" s="3201">
        <v>0</v>
      </c>
      <c r="O142" s="3105">
        <f t="shared" si="2"/>
        <v>77</v>
      </c>
      <c r="P142" s="3106">
        <v>0</v>
      </c>
      <c r="Q142" s="3201"/>
    </row>
    <row r="143" spans="1:17" ht="20.100000000000001" customHeight="1">
      <c r="A143" s="3095">
        <v>137</v>
      </c>
      <c r="B143" s="3096" t="s">
        <v>862</v>
      </c>
      <c r="C143" s="3112" t="s">
        <v>805</v>
      </c>
      <c r="D143" s="3220" t="s">
        <v>105</v>
      </c>
      <c r="E143" s="3202"/>
      <c r="F143" s="3221" t="s">
        <v>865</v>
      </c>
      <c r="G143" s="3222">
        <v>0</v>
      </c>
      <c r="H143" s="3222">
        <v>0</v>
      </c>
      <c r="I143" s="3222">
        <v>0</v>
      </c>
      <c r="J143" s="3222">
        <v>0</v>
      </c>
      <c r="K143" s="3223">
        <v>0</v>
      </c>
      <c r="L143" s="3217">
        <v>0</v>
      </c>
      <c r="M143" s="3217">
        <v>1</v>
      </c>
      <c r="N143" s="3224">
        <v>-561996</v>
      </c>
      <c r="O143" s="3105">
        <f t="shared" si="2"/>
        <v>0</v>
      </c>
      <c r="P143" s="3119">
        <v>1</v>
      </c>
      <c r="Q143" s="3201"/>
    </row>
    <row r="144" spans="1:17" ht="20.100000000000001" customHeight="1">
      <c r="A144" s="3095">
        <v>138</v>
      </c>
      <c r="B144" s="3096" t="s">
        <v>866</v>
      </c>
      <c r="C144" s="3112" t="s">
        <v>805</v>
      </c>
      <c r="D144" s="3097" t="s">
        <v>786</v>
      </c>
      <c r="E144" s="3098" t="s">
        <v>867</v>
      </c>
      <c r="F144" s="3128" t="s">
        <v>868</v>
      </c>
      <c r="G144" s="3100">
        <v>0</v>
      </c>
      <c r="H144" s="3101">
        <v>0</v>
      </c>
      <c r="I144" s="3102">
        <v>0</v>
      </c>
      <c r="J144" s="3102">
        <v>0</v>
      </c>
      <c r="K144" s="3102">
        <v>0</v>
      </c>
      <c r="L144" s="3102">
        <v>0</v>
      </c>
      <c r="M144" s="3103">
        <v>1</v>
      </c>
      <c r="N144" s="3104">
        <v>18748.32</v>
      </c>
      <c r="O144" s="3105">
        <f t="shared" si="2"/>
        <v>1</v>
      </c>
      <c r="P144" s="3106">
        <v>0</v>
      </c>
      <c r="Q144" s="3107"/>
    </row>
    <row r="145" spans="1:17" ht="20.100000000000001" customHeight="1">
      <c r="A145" s="3095">
        <v>139</v>
      </c>
      <c r="B145" s="3096" t="s">
        <v>866</v>
      </c>
      <c r="C145" s="3112" t="s">
        <v>805</v>
      </c>
      <c r="D145" s="3097" t="s">
        <v>29</v>
      </c>
      <c r="E145" s="3098" t="s">
        <v>869</v>
      </c>
      <c r="F145" s="3099" t="s">
        <v>49</v>
      </c>
      <c r="G145" s="3105">
        <v>0</v>
      </c>
      <c r="H145" s="3101">
        <v>0</v>
      </c>
      <c r="I145" s="3122">
        <v>1</v>
      </c>
      <c r="J145" s="3102">
        <v>0</v>
      </c>
      <c r="K145" s="3102">
        <v>0</v>
      </c>
      <c r="L145" s="3102">
        <v>0</v>
      </c>
      <c r="M145" s="3102">
        <v>0</v>
      </c>
      <c r="N145" s="3127">
        <v>-27543741.629999999</v>
      </c>
      <c r="O145" s="3105">
        <f t="shared" si="2"/>
        <v>1</v>
      </c>
      <c r="P145" s="3106">
        <v>0</v>
      </c>
      <c r="Q145" s="3107"/>
    </row>
    <row r="146" spans="1:17" ht="20.100000000000001" customHeight="1">
      <c r="A146" s="3095">
        <v>140</v>
      </c>
      <c r="B146" s="3096" t="s">
        <v>866</v>
      </c>
      <c r="C146" s="3112" t="s">
        <v>805</v>
      </c>
      <c r="D146" s="3097" t="s">
        <v>29</v>
      </c>
      <c r="E146" s="3098" t="s">
        <v>867</v>
      </c>
      <c r="F146" s="3099" t="s">
        <v>32</v>
      </c>
      <c r="G146" s="3105">
        <v>0</v>
      </c>
      <c r="H146" s="3101">
        <v>0</v>
      </c>
      <c r="I146" s="3122">
        <v>1</v>
      </c>
      <c r="J146" s="3102">
        <v>0</v>
      </c>
      <c r="K146" s="3102">
        <v>0</v>
      </c>
      <c r="L146" s="3102">
        <v>0</v>
      </c>
      <c r="M146" s="3102">
        <v>0</v>
      </c>
      <c r="N146" s="3104">
        <v>25.28</v>
      </c>
      <c r="O146" s="3105">
        <f t="shared" si="2"/>
        <v>1</v>
      </c>
      <c r="P146" s="3106">
        <v>0</v>
      </c>
      <c r="Q146" s="3107"/>
    </row>
    <row r="147" spans="1:17" ht="20.100000000000001" customHeight="1">
      <c r="A147" s="3095">
        <v>141</v>
      </c>
      <c r="B147" s="3096" t="s">
        <v>866</v>
      </c>
      <c r="C147" s="3112" t="s">
        <v>805</v>
      </c>
      <c r="D147" s="3097" t="s">
        <v>29</v>
      </c>
      <c r="E147" s="3098" t="s">
        <v>867</v>
      </c>
      <c r="F147" s="3099" t="s">
        <v>50</v>
      </c>
      <c r="G147" s="3101">
        <v>0</v>
      </c>
      <c r="H147" s="3101">
        <v>0</v>
      </c>
      <c r="I147" s="3122">
        <v>1</v>
      </c>
      <c r="J147" s="3102">
        <v>0</v>
      </c>
      <c r="K147" s="3102">
        <v>0</v>
      </c>
      <c r="L147" s="3102">
        <v>0</v>
      </c>
      <c r="M147" s="3102">
        <v>0</v>
      </c>
      <c r="N147" s="3150">
        <v>0.75</v>
      </c>
      <c r="O147" s="3105">
        <f t="shared" si="2"/>
        <v>1</v>
      </c>
      <c r="P147" s="3106">
        <v>0</v>
      </c>
      <c r="Q147" s="3107"/>
    </row>
    <row r="148" spans="1:17" ht="20.100000000000001" customHeight="1">
      <c r="A148" s="3095">
        <v>142</v>
      </c>
      <c r="B148" s="3096" t="s">
        <v>866</v>
      </c>
      <c r="C148" s="3112" t="s">
        <v>805</v>
      </c>
      <c r="D148" s="3097" t="s">
        <v>434</v>
      </c>
      <c r="E148" s="3225" t="s">
        <v>100</v>
      </c>
      <c r="F148" s="3113" t="s">
        <v>34</v>
      </c>
      <c r="G148" s="3100">
        <v>0</v>
      </c>
      <c r="H148" s="3101">
        <v>0</v>
      </c>
      <c r="I148" s="3102">
        <v>0</v>
      </c>
      <c r="J148" s="3103">
        <v>160</v>
      </c>
      <c r="K148" s="3102">
        <v>0</v>
      </c>
      <c r="L148" s="3102">
        <v>0</v>
      </c>
      <c r="M148" s="3102">
        <v>0</v>
      </c>
      <c r="N148" s="3117">
        <v>0</v>
      </c>
      <c r="O148" s="3105">
        <f t="shared" si="2"/>
        <v>160</v>
      </c>
      <c r="P148" s="3106">
        <v>0</v>
      </c>
      <c r="Q148" s="3107"/>
    </row>
    <row r="149" spans="1:17" ht="20.100000000000001" customHeight="1">
      <c r="A149" s="3095">
        <v>143</v>
      </c>
      <c r="B149" s="3096" t="s">
        <v>866</v>
      </c>
      <c r="C149" s="3112" t="s">
        <v>805</v>
      </c>
      <c r="D149" s="3097" t="s">
        <v>434</v>
      </c>
      <c r="E149" s="3098" t="s">
        <v>100</v>
      </c>
      <c r="F149" s="3113" t="s">
        <v>35</v>
      </c>
      <c r="G149" s="3100">
        <v>0</v>
      </c>
      <c r="H149" s="3101">
        <v>0</v>
      </c>
      <c r="I149" s="3102">
        <v>0</v>
      </c>
      <c r="J149" s="3102">
        <v>0</v>
      </c>
      <c r="K149" s="3103">
        <v>186</v>
      </c>
      <c r="L149" s="3102">
        <v>0</v>
      </c>
      <c r="M149" s="3102">
        <v>0</v>
      </c>
      <c r="N149" s="3118">
        <v>94264.68</v>
      </c>
      <c r="O149" s="3105">
        <f t="shared" si="2"/>
        <v>186</v>
      </c>
      <c r="P149" s="3106">
        <v>0</v>
      </c>
      <c r="Q149" s="3107"/>
    </row>
    <row r="150" spans="1:17" ht="20.100000000000001" customHeight="1">
      <c r="A150" s="3095">
        <v>144</v>
      </c>
      <c r="B150" s="3096" t="s">
        <v>870</v>
      </c>
      <c r="C150" s="3112" t="s">
        <v>805</v>
      </c>
      <c r="D150" s="3097" t="s">
        <v>26</v>
      </c>
      <c r="E150" s="3226">
        <v>46265</v>
      </c>
      <c r="F150" s="3113" t="s">
        <v>48</v>
      </c>
      <c r="G150" s="3100">
        <v>0</v>
      </c>
      <c r="H150" s="3101">
        <v>0</v>
      </c>
      <c r="I150" s="3102">
        <v>0</v>
      </c>
      <c r="J150" s="3102">
        <v>0</v>
      </c>
      <c r="K150" s="3102">
        <v>0</v>
      </c>
      <c r="L150" s="3102">
        <v>0</v>
      </c>
      <c r="M150" s="3103">
        <v>1</v>
      </c>
      <c r="N150" s="3227">
        <v>204205.21</v>
      </c>
      <c r="O150" s="3105">
        <f t="shared" si="2"/>
        <v>1</v>
      </c>
      <c r="P150" s="3106">
        <v>0</v>
      </c>
      <c r="Q150" s="3107"/>
    </row>
    <row r="151" spans="1:17" ht="20.100000000000001" customHeight="1">
      <c r="A151" s="3095">
        <v>145</v>
      </c>
      <c r="B151" s="3096" t="s">
        <v>870</v>
      </c>
      <c r="C151" s="3112" t="s">
        <v>805</v>
      </c>
      <c r="D151" s="3097" t="s">
        <v>786</v>
      </c>
      <c r="E151" s="3226">
        <v>46265</v>
      </c>
      <c r="F151" s="3128" t="s">
        <v>118</v>
      </c>
      <c r="G151" s="3100">
        <v>0</v>
      </c>
      <c r="H151" s="3101">
        <v>0</v>
      </c>
      <c r="I151" s="3102">
        <v>0</v>
      </c>
      <c r="J151" s="3102">
        <v>0</v>
      </c>
      <c r="K151" s="3102">
        <v>0</v>
      </c>
      <c r="L151" s="3102">
        <v>0</v>
      </c>
      <c r="M151" s="3103">
        <v>1</v>
      </c>
      <c r="N151" s="3104">
        <v>253794.79</v>
      </c>
      <c r="O151" s="3105">
        <f t="shared" si="2"/>
        <v>1</v>
      </c>
      <c r="P151" s="3106">
        <v>0</v>
      </c>
      <c r="Q151" s="3107"/>
    </row>
    <row r="152" spans="1:17" ht="20.100000000000001" customHeight="1">
      <c r="A152" s="3095">
        <v>146</v>
      </c>
      <c r="B152" s="3096" t="s">
        <v>870</v>
      </c>
      <c r="C152" s="3112" t="s">
        <v>805</v>
      </c>
      <c r="D152" s="3097" t="s">
        <v>29</v>
      </c>
      <c r="E152" s="3226">
        <v>46142</v>
      </c>
      <c r="F152" s="3099" t="s">
        <v>49</v>
      </c>
      <c r="G152" s="3105">
        <v>0</v>
      </c>
      <c r="H152" s="3101">
        <v>0</v>
      </c>
      <c r="I152" s="3110">
        <v>1</v>
      </c>
      <c r="J152" s="3102">
        <v>0</v>
      </c>
      <c r="K152" s="3102">
        <v>0</v>
      </c>
      <c r="L152" s="3102">
        <v>0</v>
      </c>
      <c r="M152" s="3102">
        <v>0</v>
      </c>
      <c r="N152" s="3104">
        <v>-33890515.969999999</v>
      </c>
      <c r="O152" s="3105">
        <f t="shared" si="2"/>
        <v>1</v>
      </c>
      <c r="P152" s="3106">
        <v>0</v>
      </c>
      <c r="Q152" s="3107"/>
    </row>
    <row r="153" spans="1:17" ht="20.100000000000001" customHeight="1">
      <c r="A153" s="3095">
        <v>147</v>
      </c>
      <c r="B153" s="3096" t="s">
        <v>870</v>
      </c>
      <c r="C153" s="3112" t="s">
        <v>805</v>
      </c>
      <c r="D153" s="3097" t="s">
        <v>29</v>
      </c>
      <c r="E153" s="3226">
        <v>46142</v>
      </c>
      <c r="F153" s="3099" t="s">
        <v>32</v>
      </c>
      <c r="G153" s="3105">
        <v>0</v>
      </c>
      <c r="H153" s="3101">
        <v>0</v>
      </c>
      <c r="I153" s="3110">
        <v>1</v>
      </c>
      <c r="J153" s="3102">
        <v>0</v>
      </c>
      <c r="K153" s="3102">
        <v>0</v>
      </c>
      <c r="L153" s="3102">
        <v>0</v>
      </c>
      <c r="M153" s="3102">
        <v>0</v>
      </c>
      <c r="N153" s="3228">
        <v>794.66</v>
      </c>
      <c r="O153" s="3105">
        <f t="shared" si="2"/>
        <v>1</v>
      </c>
      <c r="P153" s="3106">
        <v>0</v>
      </c>
      <c r="Q153" s="3107"/>
    </row>
    <row r="154" spans="1:17" ht="20.100000000000001" customHeight="1">
      <c r="A154" s="3095">
        <v>148</v>
      </c>
      <c r="B154" s="3096" t="s">
        <v>870</v>
      </c>
      <c r="C154" s="3112" t="s">
        <v>805</v>
      </c>
      <c r="D154" s="3097" t="s">
        <v>29</v>
      </c>
      <c r="E154" s="3226">
        <v>46218</v>
      </c>
      <c r="F154" s="3099" t="s">
        <v>50</v>
      </c>
      <c r="G154" s="3101">
        <v>0</v>
      </c>
      <c r="H154" s="3101">
        <v>0</v>
      </c>
      <c r="I154" s="3110">
        <v>1</v>
      </c>
      <c r="J154" s="3102">
        <v>0</v>
      </c>
      <c r="K154" s="3102">
        <v>0</v>
      </c>
      <c r="L154" s="3102">
        <v>0</v>
      </c>
      <c r="M154" s="3102">
        <v>0</v>
      </c>
      <c r="N154" s="3228">
        <v>27.75</v>
      </c>
      <c r="O154" s="3105">
        <f t="shared" si="2"/>
        <v>1</v>
      </c>
      <c r="P154" s="3106">
        <v>0</v>
      </c>
      <c r="Q154" s="3107"/>
    </row>
    <row r="155" spans="1:17" ht="20.100000000000001" customHeight="1">
      <c r="A155" s="3095">
        <v>149</v>
      </c>
      <c r="B155" s="3096" t="s">
        <v>870</v>
      </c>
      <c r="C155" s="3112" t="s">
        <v>805</v>
      </c>
      <c r="D155" s="3097" t="s">
        <v>29</v>
      </c>
      <c r="E155" s="3141">
        <v>46191</v>
      </c>
      <c r="F155" s="3131" t="s">
        <v>871</v>
      </c>
      <c r="G155" s="3100">
        <v>0</v>
      </c>
      <c r="H155" s="3101">
        <v>0</v>
      </c>
      <c r="I155" s="3102">
        <v>0</v>
      </c>
      <c r="J155" s="3102">
        <v>0</v>
      </c>
      <c r="K155" s="3102">
        <v>0</v>
      </c>
      <c r="L155" s="3102">
        <v>0</v>
      </c>
      <c r="M155" s="3103">
        <v>1</v>
      </c>
      <c r="N155" s="3109">
        <v>150331.79999999999</v>
      </c>
      <c r="O155" s="3105">
        <f t="shared" si="2"/>
        <v>1</v>
      </c>
      <c r="P155" s="3106">
        <v>0</v>
      </c>
      <c r="Q155" s="3107"/>
    </row>
    <row r="156" spans="1:17" ht="20.100000000000001" customHeight="1">
      <c r="A156" s="3095">
        <v>150</v>
      </c>
      <c r="B156" s="3096" t="s">
        <v>870</v>
      </c>
      <c r="C156" s="3112" t="s">
        <v>805</v>
      </c>
      <c r="D156" s="3097" t="s">
        <v>29</v>
      </c>
      <c r="E156" s="3141">
        <v>46129</v>
      </c>
      <c r="F156" s="3131" t="s">
        <v>872</v>
      </c>
      <c r="G156" s="3100">
        <v>0</v>
      </c>
      <c r="H156" s="3101">
        <v>0</v>
      </c>
      <c r="I156" s="3102">
        <v>0</v>
      </c>
      <c r="J156" s="3102">
        <v>0</v>
      </c>
      <c r="K156" s="3102">
        <v>0</v>
      </c>
      <c r="L156" s="3102">
        <v>0</v>
      </c>
      <c r="M156" s="3103">
        <v>1</v>
      </c>
      <c r="N156" s="3116">
        <v>31900</v>
      </c>
      <c r="O156" s="3105">
        <f t="shared" si="2"/>
        <v>1</v>
      </c>
      <c r="P156" s="3106">
        <v>0</v>
      </c>
      <c r="Q156" s="3107"/>
    </row>
    <row r="157" spans="1:17" ht="20.100000000000001" customHeight="1">
      <c r="A157" s="3095">
        <v>151</v>
      </c>
      <c r="B157" s="3096" t="s">
        <v>870</v>
      </c>
      <c r="C157" s="3112" t="s">
        <v>805</v>
      </c>
      <c r="D157" s="3097" t="s">
        <v>68</v>
      </c>
      <c r="E157" s="3141">
        <v>46235</v>
      </c>
      <c r="F157" s="3137" t="s">
        <v>791</v>
      </c>
      <c r="G157" s="3115">
        <v>0</v>
      </c>
      <c r="H157" s="3101">
        <v>0</v>
      </c>
      <c r="I157" s="3102">
        <v>0</v>
      </c>
      <c r="J157" s="3102">
        <v>0</v>
      </c>
      <c r="K157" s="3102">
        <v>0</v>
      </c>
      <c r="L157" s="3110">
        <v>0</v>
      </c>
      <c r="M157" s="3103">
        <v>1</v>
      </c>
      <c r="N157" s="3116">
        <v>1184635.3700000001</v>
      </c>
      <c r="O157" s="3105">
        <f t="shared" si="2"/>
        <v>1</v>
      </c>
      <c r="P157" s="3106">
        <v>0</v>
      </c>
      <c r="Q157" s="3107"/>
    </row>
    <row r="158" spans="1:17" ht="20.100000000000001" customHeight="1">
      <c r="A158" s="3095">
        <v>152</v>
      </c>
      <c r="B158" s="3096" t="s">
        <v>870</v>
      </c>
      <c r="C158" s="3112" t="s">
        <v>805</v>
      </c>
      <c r="D158" s="3097" t="s">
        <v>434</v>
      </c>
      <c r="E158" s="3141">
        <v>46235</v>
      </c>
      <c r="F158" s="3113" t="s">
        <v>34</v>
      </c>
      <c r="G158" s="3100">
        <v>0</v>
      </c>
      <c r="H158" s="3101">
        <v>0</v>
      </c>
      <c r="I158" s="3102">
        <v>0</v>
      </c>
      <c r="J158" s="3103">
        <v>605</v>
      </c>
      <c r="K158" s="3102">
        <v>0</v>
      </c>
      <c r="L158" s="3102">
        <v>0</v>
      </c>
      <c r="M158" s="3102">
        <v>0</v>
      </c>
      <c r="N158" s="3117">
        <v>0</v>
      </c>
      <c r="O158" s="3105">
        <f t="shared" si="2"/>
        <v>605</v>
      </c>
      <c r="P158" s="3106">
        <v>0</v>
      </c>
      <c r="Q158" s="3107"/>
    </row>
    <row r="159" spans="1:17" ht="20.100000000000001" customHeight="1">
      <c r="A159" s="3095">
        <v>153</v>
      </c>
      <c r="B159" s="3096" t="s">
        <v>870</v>
      </c>
      <c r="C159" s="3112" t="s">
        <v>805</v>
      </c>
      <c r="D159" s="3097" t="s">
        <v>434</v>
      </c>
      <c r="E159" s="3141">
        <v>46235</v>
      </c>
      <c r="F159" s="3113" t="s">
        <v>35</v>
      </c>
      <c r="G159" s="3100">
        <v>0</v>
      </c>
      <c r="H159" s="3101">
        <v>0</v>
      </c>
      <c r="I159" s="3102">
        <v>0</v>
      </c>
      <c r="J159" s="3102">
        <v>0</v>
      </c>
      <c r="K159" s="3103">
        <v>1145</v>
      </c>
      <c r="L159" s="3102">
        <v>0</v>
      </c>
      <c r="M159" s="3102">
        <v>0</v>
      </c>
      <c r="N159" s="3118">
        <v>1391825.4600000028</v>
      </c>
      <c r="O159" s="3105">
        <f t="shared" si="2"/>
        <v>1145</v>
      </c>
      <c r="P159" s="3106">
        <v>0</v>
      </c>
      <c r="Q159" s="3107"/>
    </row>
    <row r="160" spans="1:17" ht="20.100000000000001" customHeight="1">
      <c r="A160" s="3095">
        <v>154</v>
      </c>
      <c r="B160" s="3096" t="s">
        <v>870</v>
      </c>
      <c r="C160" s="3112" t="s">
        <v>805</v>
      </c>
      <c r="D160" s="3097" t="s">
        <v>36</v>
      </c>
      <c r="E160" s="3226">
        <v>46233</v>
      </c>
      <c r="F160" s="3113" t="s">
        <v>52</v>
      </c>
      <c r="G160" s="3100">
        <v>0</v>
      </c>
      <c r="H160" s="3110">
        <v>745</v>
      </c>
      <c r="I160" s="3102">
        <v>0</v>
      </c>
      <c r="J160" s="3102">
        <v>0</v>
      </c>
      <c r="K160" s="3102">
        <v>0</v>
      </c>
      <c r="L160" s="3102">
        <v>0</v>
      </c>
      <c r="M160" s="3102">
        <v>0</v>
      </c>
      <c r="N160" s="3117">
        <v>0</v>
      </c>
      <c r="O160" s="3105">
        <f t="shared" si="2"/>
        <v>744</v>
      </c>
      <c r="P160" s="3119">
        <v>1</v>
      </c>
      <c r="Q160" s="3107"/>
    </row>
    <row r="161" spans="1:17" ht="20.100000000000001" customHeight="1">
      <c r="A161" s="3095">
        <v>155</v>
      </c>
      <c r="B161" s="3096" t="s">
        <v>873</v>
      </c>
      <c r="C161" s="3112" t="s">
        <v>805</v>
      </c>
      <c r="D161" s="3097" t="s">
        <v>786</v>
      </c>
      <c r="E161" s="3098" t="s">
        <v>515</v>
      </c>
      <c r="F161" s="3128" t="s">
        <v>874</v>
      </c>
      <c r="G161" s="3100">
        <v>0</v>
      </c>
      <c r="H161" s="3101">
        <v>0</v>
      </c>
      <c r="I161" s="3102">
        <v>0</v>
      </c>
      <c r="J161" s="3102">
        <v>0</v>
      </c>
      <c r="K161" s="3102">
        <v>0</v>
      </c>
      <c r="L161" s="3102">
        <v>0</v>
      </c>
      <c r="M161" s="3103">
        <v>1</v>
      </c>
      <c r="N161" s="3104">
        <v>299399.5</v>
      </c>
      <c r="O161" s="3105">
        <f t="shared" si="2"/>
        <v>1</v>
      </c>
      <c r="P161" s="3106">
        <v>0</v>
      </c>
      <c r="Q161" s="3107"/>
    </row>
    <row r="162" spans="1:17" ht="20.100000000000001" customHeight="1">
      <c r="A162" s="3095">
        <v>156</v>
      </c>
      <c r="B162" s="3096" t="s">
        <v>873</v>
      </c>
      <c r="C162" s="3112" t="s">
        <v>805</v>
      </c>
      <c r="D162" s="3097" t="s">
        <v>29</v>
      </c>
      <c r="E162" s="3098"/>
      <c r="F162" s="3099" t="s">
        <v>49</v>
      </c>
      <c r="G162" s="3105">
        <v>0</v>
      </c>
      <c r="H162" s="3101">
        <v>0</v>
      </c>
      <c r="I162" s="3110">
        <v>1</v>
      </c>
      <c r="J162" s="3102">
        <v>0</v>
      </c>
      <c r="K162" s="3102">
        <v>0</v>
      </c>
      <c r="L162" s="3102">
        <v>0</v>
      </c>
      <c r="M162" s="3102">
        <v>0</v>
      </c>
      <c r="N162" s="3104">
        <v>131064748</v>
      </c>
      <c r="O162" s="3105">
        <f t="shared" si="2"/>
        <v>1</v>
      </c>
      <c r="P162" s="3106">
        <v>0</v>
      </c>
      <c r="Q162" s="3107"/>
    </row>
    <row r="163" spans="1:17" ht="20.100000000000001" customHeight="1">
      <c r="A163" s="3095">
        <v>157</v>
      </c>
      <c r="B163" s="3096" t="s">
        <v>873</v>
      </c>
      <c r="C163" s="3112" t="s">
        <v>805</v>
      </c>
      <c r="D163" s="3097" t="s">
        <v>29</v>
      </c>
      <c r="E163" s="3138">
        <v>44470</v>
      </c>
      <c r="F163" s="3099" t="s">
        <v>32</v>
      </c>
      <c r="G163" s="3105">
        <v>0</v>
      </c>
      <c r="H163" s="3101">
        <v>0</v>
      </c>
      <c r="I163" s="3110">
        <v>1</v>
      </c>
      <c r="J163" s="3102">
        <v>0</v>
      </c>
      <c r="K163" s="3102">
        <v>0</v>
      </c>
      <c r="L163" s="3102">
        <v>0</v>
      </c>
      <c r="M163" s="3102">
        <v>0</v>
      </c>
      <c r="N163" s="3104">
        <v>24106.37</v>
      </c>
      <c r="O163" s="3105">
        <f t="shared" si="2"/>
        <v>1</v>
      </c>
      <c r="P163" s="3106">
        <v>0</v>
      </c>
      <c r="Q163" s="3107"/>
    </row>
    <row r="164" spans="1:17" ht="20.100000000000001" customHeight="1">
      <c r="A164" s="3095">
        <v>158</v>
      </c>
      <c r="B164" s="3096" t="s">
        <v>873</v>
      </c>
      <c r="C164" s="3112" t="s">
        <v>805</v>
      </c>
      <c r="D164" s="3097" t="s">
        <v>29</v>
      </c>
      <c r="E164" s="3098"/>
      <c r="F164" s="3099" t="s">
        <v>207</v>
      </c>
      <c r="G164" s="3101">
        <v>0</v>
      </c>
      <c r="H164" s="3101">
        <v>0</v>
      </c>
      <c r="I164" s="3110">
        <v>1</v>
      </c>
      <c r="J164" s="3102">
        <v>0</v>
      </c>
      <c r="K164" s="3102">
        <v>0</v>
      </c>
      <c r="L164" s="3102">
        <v>0</v>
      </c>
      <c r="M164" s="3102">
        <v>0</v>
      </c>
      <c r="N164" s="3104">
        <v>-121435.49</v>
      </c>
      <c r="O164" s="3105">
        <f t="shared" si="2"/>
        <v>1</v>
      </c>
      <c r="P164" s="3106">
        <v>0</v>
      </c>
      <c r="Q164" s="3107"/>
    </row>
    <row r="165" spans="1:17" ht="20.100000000000001" customHeight="1">
      <c r="A165" s="3095">
        <v>159</v>
      </c>
      <c r="B165" s="3096" t="s">
        <v>873</v>
      </c>
      <c r="C165" s="3112" t="s">
        <v>805</v>
      </c>
      <c r="D165" s="3097" t="s">
        <v>29</v>
      </c>
      <c r="E165" s="3140"/>
      <c r="F165" s="3099" t="s">
        <v>50</v>
      </c>
      <c r="G165" s="3101">
        <v>0</v>
      </c>
      <c r="H165" s="3101">
        <v>0</v>
      </c>
      <c r="I165" s="3110">
        <v>1</v>
      </c>
      <c r="J165" s="3102">
        <v>0</v>
      </c>
      <c r="K165" s="3102">
        <v>0</v>
      </c>
      <c r="L165" s="3102">
        <v>0</v>
      </c>
      <c r="M165" s="3102">
        <v>0</v>
      </c>
      <c r="N165" s="3135">
        <v>2</v>
      </c>
      <c r="O165" s="3105">
        <f t="shared" si="2"/>
        <v>1</v>
      </c>
      <c r="P165" s="3106">
        <v>0</v>
      </c>
      <c r="Q165" s="3107"/>
    </row>
    <row r="166" spans="1:17" ht="20.100000000000001" customHeight="1">
      <c r="A166" s="3095">
        <v>160</v>
      </c>
      <c r="B166" s="3096" t="s">
        <v>873</v>
      </c>
      <c r="C166" s="3112" t="s">
        <v>805</v>
      </c>
      <c r="D166" s="3097" t="s">
        <v>29</v>
      </c>
      <c r="E166" s="3141">
        <v>46197</v>
      </c>
      <c r="F166" s="3099" t="s">
        <v>875</v>
      </c>
      <c r="G166" s="3101">
        <v>0</v>
      </c>
      <c r="H166" s="3101">
        <v>0</v>
      </c>
      <c r="I166" s="3110">
        <v>1</v>
      </c>
      <c r="J166" s="3102">
        <v>0</v>
      </c>
      <c r="K166" s="3102">
        <v>0</v>
      </c>
      <c r="L166" s="3102">
        <v>0</v>
      </c>
      <c r="M166" s="3102">
        <v>0</v>
      </c>
      <c r="N166" s="3135">
        <v>19.32</v>
      </c>
      <c r="O166" s="3105">
        <f t="shared" si="2"/>
        <v>1</v>
      </c>
      <c r="P166" s="3106">
        <v>0</v>
      </c>
      <c r="Q166" s="3107"/>
    </row>
    <row r="167" spans="1:17" ht="20.100000000000001" customHeight="1">
      <c r="A167" s="3095">
        <v>161</v>
      </c>
      <c r="B167" s="3096" t="s">
        <v>873</v>
      </c>
      <c r="C167" s="3112" t="s">
        <v>805</v>
      </c>
      <c r="D167" s="3097" t="s">
        <v>29</v>
      </c>
      <c r="E167" s="3141" t="s">
        <v>876</v>
      </c>
      <c r="F167" s="3099" t="s">
        <v>877</v>
      </c>
      <c r="G167" s="3101">
        <v>0</v>
      </c>
      <c r="H167" s="3101">
        <v>0</v>
      </c>
      <c r="I167" s="3110">
        <v>1</v>
      </c>
      <c r="J167" s="3102">
        <v>0</v>
      </c>
      <c r="K167" s="3102">
        <v>0</v>
      </c>
      <c r="L167" s="3102">
        <v>0</v>
      </c>
      <c r="M167" s="3102">
        <v>0</v>
      </c>
      <c r="N167" s="3135">
        <v>15</v>
      </c>
      <c r="O167" s="3105">
        <f t="shared" si="2"/>
        <v>1</v>
      </c>
      <c r="P167" s="3106">
        <v>0</v>
      </c>
      <c r="Q167" s="3107"/>
    </row>
    <row r="168" spans="1:17" ht="20.100000000000001" customHeight="1">
      <c r="A168" s="3095">
        <v>162</v>
      </c>
      <c r="B168" s="3096" t="s">
        <v>873</v>
      </c>
      <c r="C168" s="3112" t="s">
        <v>805</v>
      </c>
      <c r="D168" s="3097" t="s">
        <v>29</v>
      </c>
      <c r="E168" s="3112"/>
      <c r="F168" s="3131" t="s">
        <v>878</v>
      </c>
      <c r="G168" s="3100">
        <v>0</v>
      </c>
      <c r="H168" s="3101">
        <v>0</v>
      </c>
      <c r="I168" s="3102">
        <v>0</v>
      </c>
      <c r="J168" s="3102">
        <v>0</v>
      </c>
      <c r="K168" s="3102">
        <v>0</v>
      </c>
      <c r="L168" s="3102">
        <v>0</v>
      </c>
      <c r="M168" s="3103">
        <v>1</v>
      </c>
      <c r="N168" s="3104">
        <v>-1699430.03</v>
      </c>
      <c r="O168" s="3105">
        <f t="shared" si="2"/>
        <v>1</v>
      </c>
      <c r="P168" s="3106">
        <v>0</v>
      </c>
      <c r="Q168" s="3107"/>
    </row>
    <row r="169" spans="1:17" ht="20.100000000000001" customHeight="1">
      <c r="A169" s="3095">
        <v>164</v>
      </c>
      <c r="B169" s="3096" t="s">
        <v>873</v>
      </c>
      <c r="C169" s="3112" t="s">
        <v>805</v>
      </c>
      <c r="D169" s="3097" t="s">
        <v>68</v>
      </c>
      <c r="E169" s="3112"/>
      <c r="F169" s="3137" t="s">
        <v>879</v>
      </c>
      <c r="G169" s="3115">
        <v>0</v>
      </c>
      <c r="H169" s="3101">
        <v>0</v>
      </c>
      <c r="I169" s="3102">
        <v>0</v>
      </c>
      <c r="J169" s="3102">
        <v>0</v>
      </c>
      <c r="K169" s="3102">
        <v>0</v>
      </c>
      <c r="L169" s="3110">
        <v>0</v>
      </c>
      <c r="M169" s="3103">
        <v>3</v>
      </c>
      <c r="N169" s="3116">
        <v>54329.69</v>
      </c>
      <c r="O169" s="3105">
        <f t="shared" si="2"/>
        <v>3</v>
      </c>
      <c r="P169" s="3106">
        <v>0</v>
      </c>
      <c r="Q169" s="3107"/>
    </row>
    <row r="170" spans="1:17" ht="20.100000000000001" customHeight="1">
      <c r="A170" s="3095">
        <v>165</v>
      </c>
      <c r="B170" s="3096" t="s">
        <v>873</v>
      </c>
      <c r="C170" s="3112" t="s">
        <v>805</v>
      </c>
      <c r="D170" s="3097" t="s">
        <v>434</v>
      </c>
      <c r="E170" s="3098" t="s">
        <v>816</v>
      </c>
      <c r="F170" s="3113" t="s">
        <v>35</v>
      </c>
      <c r="G170" s="3100">
        <v>0</v>
      </c>
      <c r="H170" s="3101">
        <v>0</v>
      </c>
      <c r="I170" s="3102">
        <v>0</v>
      </c>
      <c r="J170" s="3102">
        <v>0</v>
      </c>
      <c r="K170" s="3103">
        <v>204</v>
      </c>
      <c r="L170" s="3102">
        <v>0</v>
      </c>
      <c r="M170" s="3102">
        <v>0</v>
      </c>
      <c r="N170" s="3229">
        <v>5989144.8399999999</v>
      </c>
      <c r="O170" s="3105">
        <f t="shared" si="2"/>
        <v>176</v>
      </c>
      <c r="P170" s="3119">
        <v>28</v>
      </c>
      <c r="Q170" s="3107"/>
    </row>
    <row r="171" spans="1:17" ht="20.100000000000001" customHeight="1">
      <c r="A171" s="3095">
        <v>166</v>
      </c>
      <c r="B171" s="3096" t="s">
        <v>873</v>
      </c>
      <c r="C171" s="3112" t="s">
        <v>805</v>
      </c>
      <c r="D171" s="3097" t="s">
        <v>36</v>
      </c>
      <c r="E171" s="3098" t="s">
        <v>515</v>
      </c>
      <c r="F171" s="3113" t="s">
        <v>52</v>
      </c>
      <c r="G171" s="3100">
        <v>0</v>
      </c>
      <c r="H171" s="3110">
        <v>853</v>
      </c>
      <c r="I171" s="3102">
        <v>0</v>
      </c>
      <c r="J171" s="3102">
        <v>0</v>
      </c>
      <c r="K171" s="3102">
        <v>0</v>
      </c>
      <c r="L171" s="3102">
        <v>0</v>
      </c>
      <c r="M171" s="3102">
        <v>0</v>
      </c>
      <c r="N171" s="3117">
        <v>0</v>
      </c>
      <c r="O171" s="3105">
        <f t="shared" si="2"/>
        <v>853</v>
      </c>
      <c r="P171" s="3106">
        <v>0</v>
      </c>
      <c r="Q171" s="3107"/>
    </row>
    <row r="172" spans="1:17" ht="20.100000000000001" customHeight="1">
      <c r="A172" s="3095">
        <v>167</v>
      </c>
      <c r="B172" s="3096" t="s">
        <v>873</v>
      </c>
      <c r="C172" s="3112" t="s">
        <v>805</v>
      </c>
      <c r="D172" s="3097" t="s">
        <v>36</v>
      </c>
      <c r="E172" s="3098" t="s">
        <v>515</v>
      </c>
      <c r="F172" s="3137" t="s">
        <v>880</v>
      </c>
      <c r="G172" s="3110">
        <f>853-434</f>
        <v>419</v>
      </c>
      <c r="H172" s="3101">
        <v>0</v>
      </c>
      <c r="I172" s="3102">
        <v>0</v>
      </c>
      <c r="J172" s="3102">
        <v>0</v>
      </c>
      <c r="K172" s="3102">
        <v>0</v>
      </c>
      <c r="L172" s="3102">
        <v>0</v>
      </c>
      <c r="M172" s="3102">
        <v>0</v>
      </c>
      <c r="N172" s="3117">
        <v>0</v>
      </c>
      <c r="O172" s="3105">
        <f t="shared" si="2"/>
        <v>419</v>
      </c>
      <c r="P172" s="3106">
        <v>0</v>
      </c>
      <c r="Q172" s="3107"/>
    </row>
    <row r="173" spans="1:17" ht="20.100000000000001" customHeight="1">
      <c r="A173" s="3095">
        <v>168</v>
      </c>
      <c r="B173" s="3230" t="s">
        <v>881</v>
      </c>
      <c r="C173" s="3112" t="s">
        <v>805</v>
      </c>
      <c r="D173" s="3230" t="s">
        <v>786</v>
      </c>
      <c r="E173" s="3231" t="s">
        <v>100</v>
      </c>
      <c r="F173" s="3131" t="s">
        <v>48</v>
      </c>
      <c r="G173" s="3126">
        <v>0</v>
      </c>
      <c r="H173" s="3126">
        <v>0</v>
      </c>
      <c r="I173" s="3126">
        <v>0</v>
      </c>
      <c r="J173" s="3126">
        <v>0</v>
      </c>
      <c r="K173" s="3126">
        <v>0</v>
      </c>
      <c r="L173" s="3126">
        <v>0</v>
      </c>
      <c r="M173" s="3126">
        <v>1</v>
      </c>
      <c r="N173" s="3140">
        <v>100</v>
      </c>
      <c r="O173" s="3105">
        <f t="shared" si="2"/>
        <v>0</v>
      </c>
      <c r="P173" s="3119">
        <v>1</v>
      </c>
      <c r="Q173" s="3107"/>
    </row>
    <row r="174" spans="1:17" ht="20.100000000000001" customHeight="1">
      <c r="A174" s="3095">
        <v>169</v>
      </c>
      <c r="B174" s="3230" t="s">
        <v>881</v>
      </c>
      <c r="C174" s="3112" t="s">
        <v>805</v>
      </c>
      <c r="D174" s="3097" t="s">
        <v>786</v>
      </c>
      <c r="E174" s="3231" t="s">
        <v>100</v>
      </c>
      <c r="F174" s="3128" t="s">
        <v>118</v>
      </c>
      <c r="G174" s="3126">
        <v>0</v>
      </c>
      <c r="H174" s="3126">
        <v>0</v>
      </c>
      <c r="I174" s="3126">
        <v>0</v>
      </c>
      <c r="J174" s="3126">
        <v>0</v>
      </c>
      <c r="K174" s="3126">
        <v>0</v>
      </c>
      <c r="L174" s="3126">
        <v>0</v>
      </c>
      <c r="M174" s="3126">
        <v>1</v>
      </c>
      <c r="N174" s="3129">
        <v>8094.49</v>
      </c>
      <c r="O174" s="3105">
        <f t="shared" si="2"/>
        <v>1</v>
      </c>
      <c r="P174" s="3106">
        <v>0</v>
      </c>
      <c r="Q174" s="3107"/>
    </row>
    <row r="175" spans="1:17" ht="20.100000000000001" customHeight="1">
      <c r="A175" s="3095">
        <v>170</v>
      </c>
      <c r="B175" s="3230" t="s">
        <v>881</v>
      </c>
      <c r="C175" s="3112" t="s">
        <v>805</v>
      </c>
      <c r="D175" s="3097" t="s">
        <v>195</v>
      </c>
      <c r="E175" s="3231" t="s">
        <v>882</v>
      </c>
      <c r="F175" s="3128" t="s">
        <v>883</v>
      </c>
      <c r="G175" s="3126">
        <v>0</v>
      </c>
      <c r="H175" s="3126">
        <v>0</v>
      </c>
      <c r="I175" s="3126">
        <v>0</v>
      </c>
      <c r="J175" s="3126">
        <v>0</v>
      </c>
      <c r="K175" s="3126">
        <v>0</v>
      </c>
      <c r="L175" s="3126">
        <v>0</v>
      </c>
      <c r="M175" s="3126">
        <v>2</v>
      </c>
      <c r="N175" s="3232">
        <v>1531559.2</v>
      </c>
      <c r="O175" s="3105">
        <f t="shared" si="2"/>
        <v>2</v>
      </c>
      <c r="P175" s="3106">
        <v>0</v>
      </c>
      <c r="Q175" s="3107"/>
    </row>
    <row r="176" spans="1:17" ht="20.100000000000001" customHeight="1">
      <c r="A176" s="3095">
        <v>171</v>
      </c>
      <c r="B176" s="3230" t="s">
        <v>881</v>
      </c>
      <c r="C176" s="3112" t="s">
        <v>805</v>
      </c>
      <c r="D176" s="3097" t="s">
        <v>29</v>
      </c>
      <c r="E176" s="3231" t="s">
        <v>882</v>
      </c>
      <c r="F176" s="3099" t="s">
        <v>50</v>
      </c>
      <c r="G176" s="3126">
        <v>0</v>
      </c>
      <c r="H176" s="3126">
        <v>0</v>
      </c>
      <c r="I176" s="3126">
        <v>1</v>
      </c>
      <c r="J176" s="3126">
        <v>0</v>
      </c>
      <c r="K176" s="3126">
        <v>0</v>
      </c>
      <c r="L176" s="3126">
        <v>0</v>
      </c>
      <c r="M176" s="3126">
        <v>0</v>
      </c>
      <c r="N176" s="3233">
        <v>30.25</v>
      </c>
      <c r="O176" s="3105">
        <f t="shared" si="2"/>
        <v>1</v>
      </c>
      <c r="P176" s="3106">
        <v>0</v>
      </c>
      <c r="Q176" s="3107"/>
    </row>
    <row r="177" spans="1:17" ht="20.100000000000001" customHeight="1">
      <c r="A177" s="3095">
        <v>172</v>
      </c>
      <c r="B177" s="3230" t="s">
        <v>881</v>
      </c>
      <c r="C177" s="3112" t="s">
        <v>805</v>
      </c>
      <c r="D177" s="3097" t="s">
        <v>29</v>
      </c>
      <c r="E177" s="3112" t="s">
        <v>882</v>
      </c>
      <c r="F177" s="3131" t="s">
        <v>884</v>
      </c>
      <c r="G177" s="3126">
        <v>0</v>
      </c>
      <c r="H177" s="3126">
        <v>0</v>
      </c>
      <c r="I177" s="3126">
        <v>0</v>
      </c>
      <c r="J177" s="3126">
        <v>0</v>
      </c>
      <c r="K177" s="3126">
        <v>0</v>
      </c>
      <c r="L177" s="3126">
        <v>0</v>
      </c>
      <c r="M177" s="3126">
        <v>4</v>
      </c>
      <c r="N177" s="3129">
        <v>47584.34</v>
      </c>
      <c r="O177" s="3105">
        <f t="shared" si="2"/>
        <v>3</v>
      </c>
      <c r="P177" s="3119">
        <v>1</v>
      </c>
      <c r="Q177" s="3107"/>
    </row>
    <row r="178" spans="1:17" ht="20.100000000000001" customHeight="1">
      <c r="A178" s="3095">
        <v>173</v>
      </c>
      <c r="B178" s="3230" t="s">
        <v>881</v>
      </c>
      <c r="C178" s="3112" t="s">
        <v>805</v>
      </c>
      <c r="D178" s="3097" t="s">
        <v>434</v>
      </c>
      <c r="E178" s="3234" t="s">
        <v>98</v>
      </c>
      <c r="F178" s="3131" t="s">
        <v>34</v>
      </c>
      <c r="G178" s="3126">
        <v>0</v>
      </c>
      <c r="H178" s="3126">
        <v>0</v>
      </c>
      <c r="I178" s="3126">
        <v>0</v>
      </c>
      <c r="J178" s="3126">
        <v>600</v>
      </c>
      <c r="K178" s="3126">
        <v>0</v>
      </c>
      <c r="L178" s="3126">
        <v>0</v>
      </c>
      <c r="M178" s="3126">
        <v>0</v>
      </c>
      <c r="N178" s="3140">
        <v>0</v>
      </c>
      <c r="O178" s="3105">
        <f t="shared" si="2"/>
        <v>600</v>
      </c>
      <c r="P178" s="3106">
        <v>0</v>
      </c>
      <c r="Q178" s="3107"/>
    </row>
    <row r="179" spans="1:17" ht="20.100000000000001" customHeight="1">
      <c r="A179" s="3095">
        <v>174</v>
      </c>
      <c r="B179" s="3230" t="s">
        <v>881</v>
      </c>
      <c r="C179" s="3112" t="s">
        <v>805</v>
      </c>
      <c r="D179" s="3097" t="s">
        <v>36</v>
      </c>
      <c r="E179" s="3098" t="s">
        <v>76</v>
      </c>
      <c r="F179" s="3131" t="s">
        <v>52</v>
      </c>
      <c r="G179" s="3126">
        <v>0</v>
      </c>
      <c r="H179" s="3126">
        <v>602</v>
      </c>
      <c r="I179" s="3126">
        <v>0</v>
      </c>
      <c r="J179" s="3126">
        <v>0</v>
      </c>
      <c r="K179" s="3126">
        <v>0</v>
      </c>
      <c r="L179" s="3126">
        <v>0</v>
      </c>
      <c r="M179" s="3126">
        <v>0</v>
      </c>
      <c r="N179" s="3140">
        <v>0</v>
      </c>
      <c r="O179" s="3105">
        <f t="shared" si="2"/>
        <v>602</v>
      </c>
      <c r="P179" s="3106">
        <v>0</v>
      </c>
      <c r="Q179" s="3107"/>
    </row>
    <row r="180" spans="1:17" ht="20.100000000000001" customHeight="1">
      <c r="A180" s="3095">
        <v>175</v>
      </c>
      <c r="B180" s="3230" t="s">
        <v>881</v>
      </c>
      <c r="C180" s="3112" t="s">
        <v>805</v>
      </c>
      <c r="D180" s="3120" t="s">
        <v>442</v>
      </c>
      <c r="E180" s="3235" t="s">
        <v>885</v>
      </c>
      <c r="F180" s="3236" t="s">
        <v>795</v>
      </c>
      <c r="G180" s="3237">
        <v>0</v>
      </c>
      <c r="H180" s="3237">
        <v>0</v>
      </c>
      <c r="I180" s="3237">
        <v>0</v>
      </c>
      <c r="J180" s="3237">
        <v>0</v>
      </c>
      <c r="K180" s="3237">
        <v>0</v>
      </c>
      <c r="L180" s="3237">
        <v>0</v>
      </c>
      <c r="M180" s="3238">
        <v>2</v>
      </c>
      <c r="N180" s="3239">
        <v>498330.43</v>
      </c>
      <c r="O180" s="3105">
        <f t="shared" si="2"/>
        <v>0</v>
      </c>
      <c r="P180" s="3119">
        <v>2</v>
      </c>
      <c r="Q180" s="3239"/>
    </row>
    <row r="181" spans="1:17" ht="20.100000000000001" customHeight="1">
      <c r="A181" s="3095">
        <v>177</v>
      </c>
      <c r="B181" s="3230" t="s">
        <v>881</v>
      </c>
      <c r="C181" s="3112" t="s">
        <v>805</v>
      </c>
      <c r="D181" s="3120" t="s">
        <v>442</v>
      </c>
      <c r="E181" s="3121" t="s">
        <v>100</v>
      </c>
      <c r="F181" s="3137" t="s">
        <v>796</v>
      </c>
      <c r="G181" s="3126">
        <v>0</v>
      </c>
      <c r="H181" s="3126">
        <v>0</v>
      </c>
      <c r="I181" s="3126">
        <v>0</v>
      </c>
      <c r="J181" s="3126">
        <v>0</v>
      </c>
      <c r="K181" s="3126">
        <v>0</v>
      </c>
      <c r="L181" s="3126">
        <v>0</v>
      </c>
      <c r="M181" s="3126">
        <v>2</v>
      </c>
      <c r="N181" s="3240">
        <v>4500000</v>
      </c>
      <c r="O181" s="3105">
        <f t="shared" si="2"/>
        <v>0</v>
      </c>
      <c r="P181" s="3119">
        <v>2</v>
      </c>
      <c r="Q181" s="3107"/>
    </row>
    <row r="182" spans="1:17" ht="20.100000000000001" customHeight="1">
      <c r="A182" s="3095">
        <v>178</v>
      </c>
      <c r="B182" s="3230" t="s">
        <v>881</v>
      </c>
      <c r="C182" s="3112" t="s">
        <v>805</v>
      </c>
      <c r="D182" s="3097" t="s">
        <v>29</v>
      </c>
      <c r="E182" s="3231" t="s">
        <v>882</v>
      </c>
      <c r="F182" s="3241" t="s">
        <v>886</v>
      </c>
      <c r="G182" s="3126">
        <v>0</v>
      </c>
      <c r="H182" s="3126">
        <v>0</v>
      </c>
      <c r="I182" s="3126">
        <v>1</v>
      </c>
      <c r="J182" s="3126">
        <v>0</v>
      </c>
      <c r="K182" s="3126">
        <v>0</v>
      </c>
      <c r="L182" s="3126">
        <v>0</v>
      </c>
      <c r="M182" s="3126">
        <v>0</v>
      </c>
      <c r="N182" s="3140">
        <v>32.25</v>
      </c>
      <c r="O182" s="3105">
        <f t="shared" si="2"/>
        <v>1</v>
      </c>
      <c r="P182" s="3106">
        <v>0</v>
      </c>
      <c r="Q182" s="3107"/>
    </row>
    <row r="183" spans="1:17" ht="20.100000000000001" customHeight="1">
      <c r="A183" s="3095">
        <v>179</v>
      </c>
      <c r="B183" s="3230" t="s">
        <v>887</v>
      </c>
      <c r="C183" s="3112" t="s">
        <v>805</v>
      </c>
      <c r="D183" s="3097" t="s">
        <v>26</v>
      </c>
      <c r="E183" s="3098" t="s">
        <v>76</v>
      </c>
      <c r="F183" s="3113" t="s">
        <v>48</v>
      </c>
      <c r="G183" s="3100">
        <v>0</v>
      </c>
      <c r="H183" s="3101">
        <v>0</v>
      </c>
      <c r="I183" s="3102">
        <v>0</v>
      </c>
      <c r="J183" s="3102">
        <v>0</v>
      </c>
      <c r="K183" s="3102">
        <v>0</v>
      </c>
      <c r="L183" s="3102">
        <v>0</v>
      </c>
      <c r="M183" s="3103">
        <v>5</v>
      </c>
      <c r="N183" s="3109">
        <v>186046.98</v>
      </c>
      <c r="O183" s="3105">
        <f t="shared" si="2"/>
        <v>1</v>
      </c>
      <c r="P183" s="3119">
        <v>4</v>
      </c>
      <c r="Q183" s="3107"/>
    </row>
    <row r="184" spans="1:17" ht="20.100000000000001" customHeight="1">
      <c r="A184" s="3095">
        <v>180</v>
      </c>
      <c r="B184" s="3230" t="s">
        <v>887</v>
      </c>
      <c r="C184" s="3112" t="s">
        <v>805</v>
      </c>
      <c r="D184" s="3097" t="s">
        <v>786</v>
      </c>
      <c r="E184" s="3098" t="s">
        <v>888</v>
      </c>
      <c r="F184" s="3113" t="s">
        <v>889</v>
      </c>
      <c r="G184" s="3242">
        <v>0</v>
      </c>
      <c r="H184" s="3101">
        <v>0</v>
      </c>
      <c r="I184" s="3243">
        <v>0</v>
      </c>
      <c r="J184" s="3102">
        <v>0</v>
      </c>
      <c r="K184" s="3102">
        <v>0</v>
      </c>
      <c r="L184" s="3110">
        <v>0</v>
      </c>
      <c r="M184" s="3103">
        <v>1</v>
      </c>
      <c r="N184" s="3109">
        <v>55650</v>
      </c>
      <c r="O184" s="3105">
        <f t="shared" si="2"/>
        <v>1</v>
      </c>
      <c r="P184" s="3106">
        <v>0</v>
      </c>
      <c r="Q184" s="3107"/>
    </row>
    <row r="185" spans="1:17" ht="20.100000000000001" customHeight="1">
      <c r="A185" s="3095">
        <v>181</v>
      </c>
      <c r="B185" s="3230" t="s">
        <v>887</v>
      </c>
      <c r="C185" s="3112" t="s">
        <v>805</v>
      </c>
      <c r="D185" s="3097" t="s">
        <v>786</v>
      </c>
      <c r="E185" s="3098" t="s">
        <v>76</v>
      </c>
      <c r="F185" s="3128" t="s">
        <v>118</v>
      </c>
      <c r="G185" s="3100">
        <v>0</v>
      </c>
      <c r="H185" s="3101">
        <v>0</v>
      </c>
      <c r="I185" s="3102">
        <v>0</v>
      </c>
      <c r="J185" s="3102">
        <v>0</v>
      </c>
      <c r="K185" s="3102">
        <v>0</v>
      </c>
      <c r="L185" s="3102">
        <v>0</v>
      </c>
      <c r="M185" s="3103">
        <v>1</v>
      </c>
      <c r="N185" s="3104">
        <v>184146.98</v>
      </c>
      <c r="O185" s="3105">
        <f t="shared" si="2"/>
        <v>1</v>
      </c>
      <c r="P185" s="3106">
        <v>0</v>
      </c>
      <c r="Q185" s="3107"/>
    </row>
    <row r="186" spans="1:17" ht="20.100000000000001" customHeight="1">
      <c r="A186" s="3095">
        <v>182</v>
      </c>
      <c r="B186" s="3230" t="s">
        <v>887</v>
      </c>
      <c r="C186" s="3112" t="s">
        <v>805</v>
      </c>
      <c r="D186" s="3097" t="s">
        <v>29</v>
      </c>
      <c r="E186" s="3098" t="s">
        <v>847</v>
      </c>
      <c r="F186" s="3099" t="s">
        <v>49</v>
      </c>
      <c r="G186" s="3105">
        <v>0</v>
      </c>
      <c r="H186" s="3101">
        <v>0</v>
      </c>
      <c r="I186" s="3110">
        <v>1</v>
      </c>
      <c r="J186" s="3102">
        <v>0</v>
      </c>
      <c r="K186" s="3102">
        <v>0</v>
      </c>
      <c r="L186" s="3102">
        <v>0</v>
      </c>
      <c r="M186" s="3102">
        <v>0</v>
      </c>
      <c r="N186" s="3104">
        <v>164699414.30000001</v>
      </c>
      <c r="O186" s="3105">
        <f t="shared" si="2"/>
        <v>1</v>
      </c>
      <c r="P186" s="3106">
        <v>0</v>
      </c>
      <c r="Q186" s="3107"/>
    </row>
    <row r="187" spans="1:17" ht="20.100000000000001" customHeight="1">
      <c r="A187" s="3095">
        <v>183</v>
      </c>
      <c r="B187" s="3230" t="s">
        <v>887</v>
      </c>
      <c r="C187" s="3112" t="s">
        <v>805</v>
      </c>
      <c r="D187" s="3097" t="s">
        <v>29</v>
      </c>
      <c r="E187" s="3098" t="s">
        <v>847</v>
      </c>
      <c r="F187" s="3099" t="s">
        <v>31</v>
      </c>
      <c r="G187" s="3105">
        <v>0</v>
      </c>
      <c r="H187" s="3101">
        <v>0</v>
      </c>
      <c r="I187" s="3110">
        <v>1</v>
      </c>
      <c r="J187" s="3102">
        <v>0</v>
      </c>
      <c r="K187" s="3102">
        <v>0</v>
      </c>
      <c r="L187" s="3102">
        <v>0</v>
      </c>
      <c r="M187" s="3102">
        <v>0</v>
      </c>
      <c r="N187" s="3104">
        <v>570.76</v>
      </c>
      <c r="O187" s="3105">
        <f t="shared" si="2"/>
        <v>1</v>
      </c>
      <c r="P187" s="3106">
        <v>0</v>
      </c>
      <c r="Q187" s="3107"/>
    </row>
    <row r="188" spans="1:17" ht="20.100000000000001" customHeight="1">
      <c r="A188" s="3095">
        <v>184</v>
      </c>
      <c r="B188" s="3230" t="s">
        <v>887</v>
      </c>
      <c r="C188" s="3112" t="s">
        <v>805</v>
      </c>
      <c r="D188" s="3097" t="s">
        <v>29</v>
      </c>
      <c r="E188" s="3098" t="s">
        <v>847</v>
      </c>
      <c r="F188" s="3099" t="s">
        <v>32</v>
      </c>
      <c r="G188" s="3105">
        <v>0</v>
      </c>
      <c r="H188" s="3101">
        <v>0</v>
      </c>
      <c r="I188" s="3110">
        <v>1</v>
      </c>
      <c r="J188" s="3102">
        <v>0</v>
      </c>
      <c r="K188" s="3102">
        <v>0</v>
      </c>
      <c r="L188" s="3102">
        <v>0</v>
      </c>
      <c r="M188" s="3102">
        <v>0</v>
      </c>
      <c r="N188" s="3104">
        <v>18209.8</v>
      </c>
      <c r="O188" s="3105">
        <f t="shared" si="2"/>
        <v>1</v>
      </c>
      <c r="P188" s="3106">
        <v>0</v>
      </c>
      <c r="Q188" s="3107"/>
    </row>
    <row r="189" spans="1:17" ht="20.100000000000001" customHeight="1">
      <c r="A189" s="3095">
        <v>185</v>
      </c>
      <c r="B189" s="3230" t="s">
        <v>887</v>
      </c>
      <c r="C189" s="3112" t="s">
        <v>805</v>
      </c>
      <c r="D189" s="3097" t="s">
        <v>29</v>
      </c>
      <c r="E189" s="3098" t="s">
        <v>890</v>
      </c>
      <c r="F189" s="3099" t="s">
        <v>891</v>
      </c>
      <c r="G189" s="3101">
        <v>0</v>
      </c>
      <c r="H189" s="3101">
        <v>0</v>
      </c>
      <c r="I189" s="3110">
        <v>1</v>
      </c>
      <c r="J189" s="3102">
        <v>0</v>
      </c>
      <c r="K189" s="3102">
        <v>0</v>
      </c>
      <c r="L189" s="3102">
        <v>0</v>
      </c>
      <c r="M189" s="3102">
        <v>0</v>
      </c>
      <c r="N189" s="3135">
        <v>153029.53</v>
      </c>
      <c r="O189" s="3105">
        <f t="shared" si="2"/>
        <v>1</v>
      </c>
      <c r="P189" s="3106">
        <v>0</v>
      </c>
      <c r="Q189" s="3107"/>
    </row>
    <row r="190" spans="1:17" ht="20.100000000000001" customHeight="1">
      <c r="A190" s="3095">
        <v>186</v>
      </c>
      <c r="B190" s="3230" t="s">
        <v>887</v>
      </c>
      <c r="C190" s="3112" t="s">
        <v>805</v>
      </c>
      <c r="D190" s="3097" t="s">
        <v>29</v>
      </c>
      <c r="E190" s="3098" t="s">
        <v>888</v>
      </c>
      <c r="F190" s="3113" t="s">
        <v>167</v>
      </c>
      <c r="G190" s="3100">
        <v>0</v>
      </c>
      <c r="H190" s="3101">
        <v>0</v>
      </c>
      <c r="I190" s="3102">
        <v>0</v>
      </c>
      <c r="J190" s="3102">
        <v>0</v>
      </c>
      <c r="K190" s="3102">
        <v>0</v>
      </c>
      <c r="L190" s="3102">
        <v>0</v>
      </c>
      <c r="M190" s="3103">
        <v>1</v>
      </c>
      <c r="N190" s="3109">
        <v>7233.91</v>
      </c>
      <c r="O190" s="3105">
        <f t="shared" si="2"/>
        <v>1</v>
      </c>
      <c r="P190" s="3106">
        <v>0</v>
      </c>
      <c r="Q190" s="3107"/>
    </row>
    <row r="191" spans="1:17" ht="20.100000000000001" customHeight="1">
      <c r="A191" s="3095">
        <v>187</v>
      </c>
      <c r="B191" s="3230" t="s">
        <v>887</v>
      </c>
      <c r="C191" s="3112" t="s">
        <v>805</v>
      </c>
      <c r="D191" s="3097" t="s">
        <v>68</v>
      </c>
      <c r="E191" s="3098" t="s">
        <v>888</v>
      </c>
      <c r="F191" s="3114" t="s">
        <v>791</v>
      </c>
      <c r="G191" s="3115">
        <v>0</v>
      </c>
      <c r="H191" s="3101">
        <v>0</v>
      </c>
      <c r="I191" s="3102">
        <v>0</v>
      </c>
      <c r="J191" s="3102">
        <v>0</v>
      </c>
      <c r="K191" s="3102">
        <v>0</v>
      </c>
      <c r="L191" s="3110">
        <v>0</v>
      </c>
      <c r="M191" s="3103">
        <v>1</v>
      </c>
      <c r="N191" s="3107">
        <v>4596418.75</v>
      </c>
      <c r="O191" s="3105">
        <f t="shared" si="2"/>
        <v>1</v>
      </c>
      <c r="P191" s="3106">
        <v>0</v>
      </c>
      <c r="Q191" s="3107"/>
    </row>
    <row r="192" spans="1:17" ht="20.100000000000001" customHeight="1">
      <c r="A192" s="3095">
        <v>188</v>
      </c>
      <c r="B192" s="3230" t="s">
        <v>887</v>
      </c>
      <c r="C192" s="3112" t="s">
        <v>805</v>
      </c>
      <c r="D192" s="3097" t="s">
        <v>434</v>
      </c>
      <c r="E192" s="3098" t="s">
        <v>888</v>
      </c>
      <c r="F192" s="3113" t="s">
        <v>34</v>
      </c>
      <c r="G192" s="3100">
        <v>0</v>
      </c>
      <c r="H192" s="3101">
        <v>0</v>
      </c>
      <c r="I192" s="3102">
        <v>0</v>
      </c>
      <c r="J192" s="3103">
        <v>1516</v>
      </c>
      <c r="K192" s="3102">
        <v>0</v>
      </c>
      <c r="L192" s="3102">
        <v>0</v>
      </c>
      <c r="M192" s="3102">
        <v>0</v>
      </c>
      <c r="N192" s="3117">
        <v>0</v>
      </c>
      <c r="O192" s="3105">
        <f t="shared" si="2"/>
        <v>1516</v>
      </c>
      <c r="P192" s="3106">
        <v>0</v>
      </c>
      <c r="Q192" s="3107"/>
    </row>
    <row r="193" spans="1:17" ht="20.100000000000001" customHeight="1">
      <c r="A193" s="3095">
        <v>189</v>
      </c>
      <c r="B193" s="3230" t="s">
        <v>887</v>
      </c>
      <c r="C193" s="3112" t="s">
        <v>805</v>
      </c>
      <c r="D193" s="3097" t="s">
        <v>434</v>
      </c>
      <c r="E193" s="3098" t="s">
        <v>888</v>
      </c>
      <c r="F193" s="3113" t="s">
        <v>35</v>
      </c>
      <c r="G193" s="3100">
        <v>0</v>
      </c>
      <c r="H193" s="3101">
        <v>0</v>
      </c>
      <c r="I193" s="3102">
        <v>0</v>
      </c>
      <c r="J193" s="3102">
        <v>0</v>
      </c>
      <c r="K193" s="3103">
        <v>274</v>
      </c>
      <c r="L193" s="3102">
        <v>0</v>
      </c>
      <c r="M193" s="3102">
        <v>0</v>
      </c>
      <c r="N193" s="3107">
        <v>5879607.4100000001</v>
      </c>
      <c r="O193" s="3105">
        <f t="shared" si="2"/>
        <v>274</v>
      </c>
      <c r="P193" s="3106">
        <v>0</v>
      </c>
      <c r="Q193" s="3107"/>
    </row>
    <row r="194" spans="1:17" ht="20.100000000000001" customHeight="1">
      <c r="A194" s="3095">
        <v>190</v>
      </c>
      <c r="B194" s="3230" t="s">
        <v>892</v>
      </c>
      <c r="C194" s="3112" t="s">
        <v>805</v>
      </c>
      <c r="D194" s="3097" t="s">
        <v>29</v>
      </c>
      <c r="E194" s="3098"/>
      <c r="F194" s="3099" t="s">
        <v>49</v>
      </c>
      <c r="G194" s="3105">
        <v>0</v>
      </c>
      <c r="H194" s="3101">
        <v>0</v>
      </c>
      <c r="I194" s="3110">
        <v>1</v>
      </c>
      <c r="J194" s="3102">
        <v>0</v>
      </c>
      <c r="K194" s="3102">
        <v>0</v>
      </c>
      <c r="L194" s="3102">
        <v>0</v>
      </c>
      <c r="M194" s="3102">
        <v>0</v>
      </c>
      <c r="N194" s="3104">
        <v>9706160.9700000007</v>
      </c>
      <c r="O194" s="3105">
        <f t="shared" si="2"/>
        <v>1</v>
      </c>
      <c r="P194" s="3106">
        <v>0</v>
      </c>
      <c r="Q194" s="3107"/>
    </row>
    <row r="195" spans="1:17" ht="20.100000000000001" customHeight="1">
      <c r="A195" s="3095">
        <v>191</v>
      </c>
      <c r="B195" s="3230" t="s">
        <v>892</v>
      </c>
      <c r="C195" s="3112" t="s">
        <v>805</v>
      </c>
      <c r="D195" s="3097" t="s">
        <v>29</v>
      </c>
      <c r="E195" s="3098"/>
      <c r="F195" s="3099" t="s">
        <v>32</v>
      </c>
      <c r="G195" s="3105">
        <v>0</v>
      </c>
      <c r="H195" s="3101">
        <v>0</v>
      </c>
      <c r="I195" s="3110">
        <v>1</v>
      </c>
      <c r="J195" s="3102">
        <v>0</v>
      </c>
      <c r="K195" s="3102">
        <v>0</v>
      </c>
      <c r="L195" s="3102">
        <v>0</v>
      </c>
      <c r="M195" s="3102">
        <v>0</v>
      </c>
      <c r="N195" s="3104">
        <v>30.21</v>
      </c>
      <c r="O195" s="3105">
        <f t="shared" si="2"/>
        <v>1</v>
      </c>
      <c r="P195" s="3106">
        <v>0</v>
      </c>
      <c r="Q195" s="3107"/>
    </row>
    <row r="196" spans="1:17" ht="20.100000000000001" customHeight="1">
      <c r="A196" s="3095">
        <v>192</v>
      </c>
      <c r="B196" s="3230" t="s">
        <v>892</v>
      </c>
      <c r="C196" s="3112" t="s">
        <v>805</v>
      </c>
      <c r="D196" s="3097" t="s">
        <v>29</v>
      </c>
      <c r="E196" s="3098"/>
      <c r="F196" s="3099" t="s">
        <v>50</v>
      </c>
      <c r="G196" s="3101">
        <v>0</v>
      </c>
      <c r="H196" s="3101">
        <v>0</v>
      </c>
      <c r="I196" s="3110">
        <v>1</v>
      </c>
      <c r="J196" s="3102">
        <v>0</v>
      </c>
      <c r="K196" s="3102">
        <v>0</v>
      </c>
      <c r="L196" s="3102">
        <v>0</v>
      </c>
      <c r="M196" s="3102">
        <v>0</v>
      </c>
      <c r="N196" s="3135">
        <v>100.8</v>
      </c>
      <c r="O196" s="3105">
        <f t="shared" si="2"/>
        <v>1</v>
      </c>
      <c r="P196" s="3106">
        <v>0</v>
      </c>
      <c r="Q196" s="3107"/>
    </row>
    <row r="197" spans="1:17" ht="20.100000000000001" customHeight="1">
      <c r="A197" s="3095">
        <v>193</v>
      </c>
      <c r="B197" s="3230" t="s">
        <v>892</v>
      </c>
      <c r="C197" s="3112" t="s">
        <v>805</v>
      </c>
      <c r="D197" s="3097" t="s">
        <v>29</v>
      </c>
      <c r="E197" s="3112"/>
      <c r="F197" s="3113" t="s">
        <v>893</v>
      </c>
      <c r="G197" s="3100">
        <v>0</v>
      </c>
      <c r="H197" s="3101">
        <v>0</v>
      </c>
      <c r="I197" s="3102">
        <v>0</v>
      </c>
      <c r="J197" s="3102">
        <v>0</v>
      </c>
      <c r="K197" s="3102">
        <v>0</v>
      </c>
      <c r="L197" s="3102">
        <v>0</v>
      </c>
      <c r="M197" s="3103">
        <v>1</v>
      </c>
      <c r="N197" s="3109">
        <v>38492.76</v>
      </c>
      <c r="O197" s="3105">
        <f t="shared" si="2"/>
        <v>1</v>
      </c>
      <c r="P197" s="3106">
        <v>0</v>
      </c>
      <c r="Q197" s="3107"/>
    </row>
    <row r="198" spans="1:17" ht="20.100000000000001" customHeight="1">
      <c r="A198" s="3095">
        <v>194</v>
      </c>
      <c r="B198" s="3230" t="s">
        <v>892</v>
      </c>
      <c r="C198" s="3112" t="s">
        <v>805</v>
      </c>
      <c r="D198" s="3097" t="s">
        <v>29</v>
      </c>
      <c r="E198" s="3112"/>
      <c r="F198" s="3131" t="s">
        <v>894</v>
      </c>
      <c r="G198" s="3100">
        <v>0</v>
      </c>
      <c r="H198" s="3101">
        <v>0</v>
      </c>
      <c r="I198" s="3102">
        <v>0</v>
      </c>
      <c r="J198" s="3102">
        <v>0</v>
      </c>
      <c r="K198" s="3102">
        <v>0</v>
      </c>
      <c r="L198" s="3102">
        <v>0</v>
      </c>
      <c r="M198" s="3103">
        <v>1</v>
      </c>
      <c r="N198" s="3117">
        <v>2235</v>
      </c>
      <c r="O198" s="3105">
        <f t="shared" si="2"/>
        <v>1</v>
      </c>
      <c r="P198" s="3106">
        <v>0</v>
      </c>
      <c r="Q198" s="3107"/>
    </row>
    <row r="199" spans="1:17" ht="20.100000000000001" customHeight="1">
      <c r="A199" s="3095">
        <v>195</v>
      </c>
      <c r="B199" s="3230" t="s">
        <v>892</v>
      </c>
      <c r="C199" s="3112" t="s">
        <v>805</v>
      </c>
      <c r="D199" s="3097" t="s">
        <v>29</v>
      </c>
      <c r="E199" s="3112"/>
      <c r="F199" s="3131" t="s">
        <v>895</v>
      </c>
      <c r="G199" s="3100">
        <v>0</v>
      </c>
      <c r="H199" s="3101">
        <v>0</v>
      </c>
      <c r="I199" s="3102">
        <v>0</v>
      </c>
      <c r="J199" s="3102">
        <v>0</v>
      </c>
      <c r="K199" s="3102">
        <v>0</v>
      </c>
      <c r="L199" s="3102">
        <v>0</v>
      </c>
      <c r="M199" s="3103">
        <v>1</v>
      </c>
      <c r="N199" s="3117">
        <v>70676.070000000007</v>
      </c>
      <c r="O199" s="3105">
        <f t="shared" si="2"/>
        <v>1</v>
      </c>
      <c r="P199" s="3106">
        <v>0</v>
      </c>
      <c r="Q199" s="3107"/>
    </row>
    <row r="200" spans="1:17" ht="20.100000000000001" customHeight="1">
      <c r="A200" s="3095">
        <v>196</v>
      </c>
      <c r="B200" s="3230" t="s">
        <v>892</v>
      </c>
      <c r="C200" s="3112" t="s">
        <v>805</v>
      </c>
      <c r="D200" s="3097" t="s">
        <v>434</v>
      </c>
      <c r="E200" s="3112"/>
      <c r="F200" s="3113" t="s">
        <v>34</v>
      </c>
      <c r="G200" s="3100">
        <v>0</v>
      </c>
      <c r="H200" s="3101">
        <v>0</v>
      </c>
      <c r="I200" s="3102">
        <v>0</v>
      </c>
      <c r="J200" s="3103">
        <v>568</v>
      </c>
      <c r="K200" s="3102">
        <v>0</v>
      </c>
      <c r="L200" s="3102">
        <v>0</v>
      </c>
      <c r="M200" s="3102">
        <v>0</v>
      </c>
      <c r="N200" s="3117">
        <v>0</v>
      </c>
      <c r="O200" s="3105">
        <f t="shared" ref="O200:O263" si="3">G200+H200+I200+J200+K200+L200+M200-P200</f>
        <v>543</v>
      </c>
      <c r="P200" s="3119">
        <v>25</v>
      </c>
      <c r="Q200" s="3107"/>
    </row>
    <row r="201" spans="1:17" ht="20.100000000000001" customHeight="1">
      <c r="A201" s="3095">
        <v>197</v>
      </c>
      <c r="B201" s="3230" t="s">
        <v>892</v>
      </c>
      <c r="C201" s="3112" t="s">
        <v>805</v>
      </c>
      <c r="D201" s="3097" t="s">
        <v>434</v>
      </c>
      <c r="E201" s="3098"/>
      <c r="F201" s="3113" t="s">
        <v>35</v>
      </c>
      <c r="G201" s="3100">
        <v>0</v>
      </c>
      <c r="H201" s="3101">
        <v>0</v>
      </c>
      <c r="I201" s="3102">
        <v>0</v>
      </c>
      <c r="J201" s="3102">
        <v>0</v>
      </c>
      <c r="K201" s="3103">
        <v>765</v>
      </c>
      <c r="L201" s="3102">
        <v>0</v>
      </c>
      <c r="M201" s="3102">
        <v>0</v>
      </c>
      <c r="N201" s="3118">
        <v>278180.3</v>
      </c>
      <c r="O201" s="3105">
        <f t="shared" si="3"/>
        <v>755</v>
      </c>
      <c r="P201" s="3119">
        <v>10</v>
      </c>
      <c r="Q201" s="3107"/>
    </row>
    <row r="202" spans="1:17" ht="20.100000000000001" customHeight="1">
      <c r="A202" s="3095">
        <v>198</v>
      </c>
      <c r="B202" s="3230" t="s">
        <v>892</v>
      </c>
      <c r="C202" s="3112" t="s">
        <v>805</v>
      </c>
      <c r="D202" s="3097" t="s">
        <v>195</v>
      </c>
      <c r="E202" s="3098"/>
      <c r="F202" s="3113" t="s">
        <v>792</v>
      </c>
      <c r="G202" s="3100">
        <v>0</v>
      </c>
      <c r="H202" s="3101">
        <v>0</v>
      </c>
      <c r="I202" s="3102">
        <v>0</v>
      </c>
      <c r="J202" s="3102">
        <v>0</v>
      </c>
      <c r="K202" s="3102">
        <v>0</v>
      </c>
      <c r="L202" s="3102">
        <v>0</v>
      </c>
      <c r="M202" s="3103">
        <v>3</v>
      </c>
      <c r="N202" s="3117">
        <v>0</v>
      </c>
      <c r="O202" s="3105">
        <f t="shared" si="3"/>
        <v>0</v>
      </c>
      <c r="P202" s="3119">
        <v>3</v>
      </c>
      <c r="Q202" s="3107"/>
    </row>
    <row r="203" spans="1:17" ht="20.100000000000001" customHeight="1">
      <c r="A203" s="3095">
        <v>199</v>
      </c>
      <c r="B203" s="3230" t="s">
        <v>892</v>
      </c>
      <c r="C203" s="3112" t="s">
        <v>805</v>
      </c>
      <c r="D203" s="3097" t="s">
        <v>195</v>
      </c>
      <c r="E203" s="3098"/>
      <c r="F203" s="3113" t="s">
        <v>896</v>
      </c>
      <c r="G203" s="3100">
        <v>0</v>
      </c>
      <c r="H203" s="3101">
        <v>0</v>
      </c>
      <c r="I203" s="3102">
        <v>0</v>
      </c>
      <c r="J203" s="3102">
        <v>0</v>
      </c>
      <c r="K203" s="3102">
        <v>0</v>
      </c>
      <c r="L203" s="3102">
        <v>0</v>
      </c>
      <c r="M203" s="3103">
        <v>1</v>
      </c>
      <c r="N203" s="3117">
        <v>0</v>
      </c>
      <c r="O203" s="3105">
        <f t="shared" si="3"/>
        <v>0</v>
      </c>
      <c r="P203" s="3119">
        <v>1</v>
      </c>
      <c r="Q203" s="3107"/>
    </row>
    <row r="204" spans="1:17" ht="20.100000000000001" customHeight="1">
      <c r="A204" s="3095">
        <v>200</v>
      </c>
      <c r="B204" s="3230" t="s">
        <v>892</v>
      </c>
      <c r="C204" s="3112" t="s">
        <v>805</v>
      </c>
      <c r="D204" s="3097" t="s">
        <v>36</v>
      </c>
      <c r="E204" s="3098"/>
      <c r="F204" s="3113" t="s">
        <v>52</v>
      </c>
      <c r="G204" s="3100">
        <v>0</v>
      </c>
      <c r="H204" s="3110">
        <v>1699</v>
      </c>
      <c r="I204" s="3102">
        <v>0</v>
      </c>
      <c r="J204" s="3102">
        <v>0</v>
      </c>
      <c r="K204" s="3102">
        <v>0</v>
      </c>
      <c r="L204" s="3102">
        <v>0</v>
      </c>
      <c r="M204" s="3102">
        <v>0</v>
      </c>
      <c r="N204" s="3117">
        <v>0</v>
      </c>
      <c r="O204" s="3105">
        <f t="shared" si="3"/>
        <v>1699</v>
      </c>
      <c r="P204" s="3106">
        <v>0</v>
      </c>
      <c r="Q204" s="3107"/>
    </row>
    <row r="205" spans="1:17" ht="20.100000000000001" customHeight="1">
      <c r="A205" s="3095">
        <v>201</v>
      </c>
      <c r="B205" s="3230" t="s">
        <v>892</v>
      </c>
      <c r="C205" s="3112" t="s">
        <v>805</v>
      </c>
      <c r="D205" s="3097" t="s">
        <v>36</v>
      </c>
      <c r="E205" s="3098"/>
      <c r="F205" s="3137" t="s">
        <v>897</v>
      </c>
      <c r="G205" s="3110">
        <v>173</v>
      </c>
      <c r="H205" s="3101">
        <v>0</v>
      </c>
      <c r="I205" s="3102">
        <v>0</v>
      </c>
      <c r="J205" s="3102">
        <v>0</v>
      </c>
      <c r="K205" s="3102">
        <v>0</v>
      </c>
      <c r="L205" s="3102">
        <v>0</v>
      </c>
      <c r="M205" s="3102">
        <v>0</v>
      </c>
      <c r="N205" s="3117">
        <v>0</v>
      </c>
      <c r="O205" s="3105">
        <f t="shared" si="3"/>
        <v>173</v>
      </c>
      <c r="P205" s="3106">
        <v>0</v>
      </c>
      <c r="Q205" s="3107"/>
    </row>
    <row r="206" spans="1:17" ht="20.100000000000001" customHeight="1">
      <c r="A206" s="3095">
        <v>202</v>
      </c>
      <c r="B206" s="3230" t="s">
        <v>898</v>
      </c>
      <c r="C206" s="3112" t="s">
        <v>805</v>
      </c>
      <c r="D206" s="3244" t="s">
        <v>29</v>
      </c>
      <c r="E206" s="3245"/>
      <c r="F206" s="3151" t="s">
        <v>899</v>
      </c>
      <c r="G206" s="3246"/>
      <c r="H206" s="3246"/>
      <c r="I206" s="3247">
        <v>1</v>
      </c>
      <c r="J206" s="3247"/>
      <c r="K206" s="3248"/>
      <c r="L206" s="3247"/>
      <c r="M206" s="3249"/>
      <c r="N206" s="3250">
        <v>542728399.29999995</v>
      </c>
      <c r="O206" s="3105">
        <f t="shared" si="3"/>
        <v>1</v>
      </c>
      <c r="P206" s="3106">
        <v>0</v>
      </c>
      <c r="Q206" s="3250"/>
    </row>
    <row r="207" spans="1:17" ht="20.100000000000001" customHeight="1">
      <c r="A207" s="3095">
        <v>203</v>
      </c>
      <c r="B207" s="3230" t="s">
        <v>898</v>
      </c>
      <c r="C207" s="3112" t="s">
        <v>805</v>
      </c>
      <c r="D207" s="3244" t="s">
        <v>29</v>
      </c>
      <c r="E207" s="3245"/>
      <c r="F207" s="3151" t="s">
        <v>900</v>
      </c>
      <c r="G207" s="3246"/>
      <c r="H207" s="3246"/>
      <c r="I207" s="3247">
        <v>1</v>
      </c>
      <c r="J207" s="3247"/>
      <c r="K207" s="3248"/>
      <c r="L207" s="3247"/>
      <c r="M207" s="3249"/>
      <c r="N207" s="3250">
        <v>859.19</v>
      </c>
      <c r="O207" s="3105">
        <f t="shared" si="3"/>
        <v>1</v>
      </c>
      <c r="P207" s="3106">
        <v>0</v>
      </c>
      <c r="Q207" s="3250"/>
    </row>
    <row r="208" spans="1:17" ht="20.100000000000001" customHeight="1">
      <c r="A208" s="3095">
        <v>204</v>
      </c>
      <c r="B208" s="3230" t="s">
        <v>898</v>
      </c>
      <c r="C208" s="3112" t="s">
        <v>805</v>
      </c>
      <c r="D208" s="3244" t="s">
        <v>29</v>
      </c>
      <c r="E208" s="3245"/>
      <c r="F208" s="3151" t="s">
        <v>901</v>
      </c>
      <c r="G208" s="3246"/>
      <c r="H208" s="3246"/>
      <c r="I208" s="3247">
        <v>1</v>
      </c>
      <c r="J208" s="3247"/>
      <c r="K208" s="3248"/>
      <c r="L208" s="3247"/>
      <c r="M208" s="3249"/>
      <c r="N208" s="3250">
        <v>955.59</v>
      </c>
      <c r="O208" s="3105">
        <f t="shared" si="3"/>
        <v>1</v>
      </c>
      <c r="P208" s="3106">
        <v>0</v>
      </c>
      <c r="Q208" s="3250"/>
    </row>
    <row r="209" spans="1:17" ht="20.100000000000001" customHeight="1">
      <c r="A209" s="3095">
        <v>205</v>
      </c>
      <c r="B209" s="3230" t="s">
        <v>898</v>
      </c>
      <c r="C209" s="3112" t="s">
        <v>805</v>
      </c>
      <c r="D209" s="3244" t="s">
        <v>29</v>
      </c>
      <c r="E209" s="3245"/>
      <c r="F209" s="3151" t="s">
        <v>902</v>
      </c>
      <c r="G209" s="3246"/>
      <c r="H209" s="3246"/>
      <c r="I209" s="3247">
        <v>1</v>
      </c>
      <c r="J209" s="3247"/>
      <c r="K209" s="3248"/>
      <c r="L209" s="3247"/>
      <c r="M209" s="3249"/>
      <c r="N209" s="3250">
        <v>280068.45</v>
      </c>
      <c r="O209" s="3105">
        <f t="shared" si="3"/>
        <v>1</v>
      </c>
      <c r="P209" s="3106">
        <v>0</v>
      </c>
      <c r="Q209" s="3250"/>
    </row>
    <row r="210" spans="1:17" ht="20.100000000000001" customHeight="1">
      <c r="A210" s="3095">
        <v>206</v>
      </c>
      <c r="B210" s="3230" t="s">
        <v>898</v>
      </c>
      <c r="C210" s="3112" t="s">
        <v>805</v>
      </c>
      <c r="D210" s="3244" t="s">
        <v>29</v>
      </c>
      <c r="E210" s="3245"/>
      <c r="F210" s="3151" t="s">
        <v>886</v>
      </c>
      <c r="G210" s="3246"/>
      <c r="H210" s="3246"/>
      <c r="I210" s="3247">
        <v>1</v>
      </c>
      <c r="J210" s="3247"/>
      <c r="K210" s="3248"/>
      <c r="L210" s="3247"/>
      <c r="M210" s="3249"/>
      <c r="N210" s="3250">
        <v>416260.17</v>
      </c>
      <c r="O210" s="3105">
        <f t="shared" si="3"/>
        <v>1</v>
      </c>
      <c r="P210" s="3106">
        <v>0</v>
      </c>
      <c r="Q210" s="3250"/>
    </row>
    <row r="211" spans="1:17" ht="20.100000000000001" customHeight="1">
      <c r="A211" s="3095">
        <v>207</v>
      </c>
      <c r="B211" s="3230" t="s">
        <v>898</v>
      </c>
      <c r="C211" s="3112" t="s">
        <v>805</v>
      </c>
      <c r="D211" s="3097" t="s">
        <v>29</v>
      </c>
      <c r="E211" s="3251" t="s">
        <v>903</v>
      </c>
      <c r="F211" s="3131" t="s">
        <v>167</v>
      </c>
      <c r="G211" s="3252">
        <v>0</v>
      </c>
      <c r="H211" s="3188">
        <v>0</v>
      </c>
      <c r="I211" s="3190">
        <v>0</v>
      </c>
      <c r="J211" s="3190">
        <v>0</v>
      </c>
      <c r="K211" s="3190">
        <v>0</v>
      </c>
      <c r="L211" s="3190">
        <v>0</v>
      </c>
      <c r="M211" s="3253">
        <v>1</v>
      </c>
      <c r="N211" s="3254">
        <v>28237152</v>
      </c>
      <c r="O211" s="3105">
        <f t="shared" si="3"/>
        <v>1</v>
      </c>
      <c r="P211" s="3106">
        <v>0</v>
      </c>
      <c r="Q211" s="3254"/>
    </row>
    <row r="212" spans="1:17" ht="20.100000000000001" customHeight="1">
      <c r="A212" s="3095">
        <v>208</v>
      </c>
      <c r="B212" s="3230" t="s">
        <v>898</v>
      </c>
      <c r="C212" s="3112" t="s">
        <v>805</v>
      </c>
      <c r="D212" s="3097" t="s">
        <v>29</v>
      </c>
      <c r="E212" s="3251"/>
      <c r="F212" s="3131" t="s">
        <v>904</v>
      </c>
      <c r="G212" s="3252">
        <v>0</v>
      </c>
      <c r="H212" s="3188">
        <v>0</v>
      </c>
      <c r="I212" s="3190">
        <v>0</v>
      </c>
      <c r="J212" s="3190">
        <v>0</v>
      </c>
      <c r="K212" s="3190">
        <v>0</v>
      </c>
      <c r="L212" s="3190">
        <v>0</v>
      </c>
      <c r="M212" s="3255">
        <v>1</v>
      </c>
      <c r="N212" s="3254">
        <v>145678.04</v>
      </c>
      <c r="O212" s="3105">
        <f t="shared" si="3"/>
        <v>1</v>
      </c>
      <c r="P212" s="3106">
        <v>0</v>
      </c>
      <c r="Q212" s="3254"/>
    </row>
    <row r="213" spans="1:17" ht="20.100000000000001" customHeight="1">
      <c r="A213" s="3095">
        <v>209</v>
      </c>
      <c r="B213" s="3230" t="s">
        <v>898</v>
      </c>
      <c r="C213" s="3112" t="s">
        <v>805</v>
      </c>
      <c r="D213" s="3097" t="s">
        <v>29</v>
      </c>
      <c r="E213" s="3251"/>
      <c r="F213" s="3131" t="s">
        <v>905</v>
      </c>
      <c r="G213" s="3252">
        <v>0</v>
      </c>
      <c r="H213" s="3188">
        <v>0</v>
      </c>
      <c r="I213" s="3190">
        <v>0</v>
      </c>
      <c r="J213" s="3190">
        <v>0</v>
      </c>
      <c r="K213" s="3190">
        <v>0</v>
      </c>
      <c r="L213" s="3190">
        <v>0</v>
      </c>
      <c r="M213" s="3256">
        <v>1</v>
      </c>
      <c r="N213" s="3254">
        <v>4050</v>
      </c>
      <c r="O213" s="3105">
        <f t="shared" si="3"/>
        <v>1</v>
      </c>
      <c r="P213" s="3106">
        <v>0</v>
      </c>
      <c r="Q213" s="3254"/>
    </row>
    <row r="214" spans="1:17" ht="20.100000000000001" customHeight="1">
      <c r="A214" s="3095">
        <v>210</v>
      </c>
      <c r="B214" s="3230" t="s">
        <v>898</v>
      </c>
      <c r="C214" s="3112" t="s">
        <v>805</v>
      </c>
      <c r="D214" s="3097" t="s">
        <v>29</v>
      </c>
      <c r="E214" s="3251"/>
      <c r="F214" s="3131" t="s">
        <v>906</v>
      </c>
      <c r="G214" s="3252">
        <v>0</v>
      </c>
      <c r="H214" s="3188">
        <v>0</v>
      </c>
      <c r="I214" s="3190">
        <v>0</v>
      </c>
      <c r="J214" s="3190">
        <v>0</v>
      </c>
      <c r="K214" s="3190">
        <v>0</v>
      </c>
      <c r="L214" s="3190">
        <v>0</v>
      </c>
      <c r="M214" s="3256">
        <v>1</v>
      </c>
      <c r="N214" s="3254">
        <v>326.37</v>
      </c>
      <c r="O214" s="3105">
        <f t="shared" si="3"/>
        <v>1</v>
      </c>
      <c r="P214" s="3106">
        <v>0</v>
      </c>
      <c r="Q214" s="3254"/>
    </row>
    <row r="215" spans="1:17" ht="20.100000000000001" customHeight="1">
      <c r="A215" s="3095">
        <v>211</v>
      </c>
      <c r="B215" s="3230" t="s">
        <v>898</v>
      </c>
      <c r="C215" s="3112" t="s">
        <v>805</v>
      </c>
      <c r="D215" s="3097" t="s">
        <v>434</v>
      </c>
      <c r="E215" s="3234"/>
      <c r="F215" s="3113" t="s">
        <v>34</v>
      </c>
      <c r="G215" s="3100">
        <v>0</v>
      </c>
      <c r="H215" s="3101">
        <v>0</v>
      </c>
      <c r="I215" s="3102">
        <v>0</v>
      </c>
      <c r="J215" s="3189">
        <v>47</v>
      </c>
      <c r="K215" s="3102">
        <v>0</v>
      </c>
      <c r="L215" s="3102">
        <v>0</v>
      </c>
      <c r="M215" s="3257">
        <v>0</v>
      </c>
      <c r="N215" s="3258">
        <v>0</v>
      </c>
      <c r="O215" s="3105">
        <f t="shared" si="3"/>
        <v>41</v>
      </c>
      <c r="P215" s="3119">
        <v>6</v>
      </c>
      <c r="Q215" s="3258"/>
    </row>
    <row r="216" spans="1:17" ht="20.100000000000001" customHeight="1">
      <c r="A216" s="3095">
        <v>212</v>
      </c>
      <c r="B216" s="3230" t="s">
        <v>898</v>
      </c>
      <c r="C216" s="3112" t="s">
        <v>805</v>
      </c>
      <c r="D216" s="3097" t="s">
        <v>434</v>
      </c>
      <c r="E216" s="3234"/>
      <c r="F216" s="3113" t="s">
        <v>907</v>
      </c>
      <c r="G216" s="3100">
        <v>0</v>
      </c>
      <c r="H216" s="3101">
        <v>0</v>
      </c>
      <c r="I216" s="3102">
        <v>0</v>
      </c>
      <c r="J216" s="3189">
        <v>0</v>
      </c>
      <c r="K216" s="3102">
        <v>2607</v>
      </c>
      <c r="L216" s="3102">
        <v>0</v>
      </c>
      <c r="M216" s="3257">
        <v>0</v>
      </c>
      <c r="N216" s="3258">
        <v>0</v>
      </c>
      <c r="O216" s="3105">
        <f t="shared" si="3"/>
        <v>2607</v>
      </c>
      <c r="P216" s="3106">
        <v>0</v>
      </c>
      <c r="Q216" s="3258"/>
    </row>
    <row r="217" spans="1:17" ht="20.100000000000001" customHeight="1">
      <c r="A217" s="3095">
        <v>213</v>
      </c>
      <c r="B217" s="3230" t="s">
        <v>898</v>
      </c>
      <c r="C217" s="3112" t="s">
        <v>805</v>
      </c>
      <c r="D217" s="3120" t="s">
        <v>442</v>
      </c>
      <c r="E217" s="3259" t="s">
        <v>908</v>
      </c>
      <c r="F217" s="3128" t="s">
        <v>909</v>
      </c>
      <c r="G217" s="3101">
        <v>0</v>
      </c>
      <c r="H217" s="3101">
        <v>0</v>
      </c>
      <c r="I217" s="3102">
        <v>0</v>
      </c>
      <c r="J217" s="3102">
        <v>0</v>
      </c>
      <c r="K217" s="3102">
        <v>0</v>
      </c>
      <c r="L217" s="3122">
        <v>0</v>
      </c>
      <c r="M217" s="3260">
        <v>7</v>
      </c>
      <c r="N217" s="3254">
        <v>46352712.719999999</v>
      </c>
      <c r="O217" s="3105">
        <f t="shared" si="3"/>
        <v>3</v>
      </c>
      <c r="P217" s="3119">
        <v>4</v>
      </c>
      <c r="Q217" s="3254"/>
    </row>
    <row r="218" spans="1:17" ht="20.100000000000001" customHeight="1">
      <c r="A218" s="3095">
        <v>214</v>
      </c>
      <c r="B218" s="3230" t="s">
        <v>898</v>
      </c>
      <c r="C218" s="3112" t="s">
        <v>805</v>
      </c>
      <c r="D218" s="3120" t="s">
        <v>442</v>
      </c>
      <c r="E218" s="3261" t="s">
        <v>910</v>
      </c>
      <c r="F218" s="3147" t="s">
        <v>3113</v>
      </c>
      <c r="G218" s="3101">
        <v>0</v>
      </c>
      <c r="H218" s="3101">
        <v>0</v>
      </c>
      <c r="I218" s="3102">
        <v>0</v>
      </c>
      <c r="J218" s="3102">
        <v>0</v>
      </c>
      <c r="K218" s="3102">
        <v>0</v>
      </c>
      <c r="L218" s="3122">
        <v>0</v>
      </c>
      <c r="M218" s="3260">
        <v>2</v>
      </c>
      <c r="N218" s="3262">
        <v>8000000</v>
      </c>
      <c r="O218" s="3105">
        <f t="shared" si="3"/>
        <v>2</v>
      </c>
      <c r="P218" s="3106">
        <v>0</v>
      </c>
      <c r="Q218" s="3262"/>
    </row>
    <row r="219" spans="1:17" ht="20.100000000000001" customHeight="1">
      <c r="A219" s="3095">
        <v>215</v>
      </c>
      <c r="B219" s="3230" t="s">
        <v>898</v>
      </c>
      <c r="C219" s="3112" t="s">
        <v>805</v>
      </c>
      <c r="D219" s="3120" t="s">
        <v>442</v>
      </c>
      <c r="E219" s="3263">
        <v>46302</v>
      </c>
      <c r="F219" s="3264" t="s">
        <v>911</v>
      </c>
      <c r="G219" s="3101">
        <v>0</v>
      </c>
      <c r="H219" s="3101">
        <v>0</v>
      </c>
      <c r="I219" s="3102">
        <v>0</v>
      </c>
      <c r="J219" s="3102">
        <v>0</v>
      </c>
      <c r="K219" s="3102">
        <v>0</v>
      </c>
      <c r="L219" s="3122">
        <v>0</v>
      </c>
      <c r="M219" s="3260">
        <v>1</v>
      </c>
      <c r="N219" s="3265">
        <v>59102.1</v>
      </c>
      <c r="O219" s="3105">
        <f t="shared" si="3"/>
        <v>0</v>
      </c>
      <c r="P219" s="3119">
        <v>1</v>
      </c>
      <c r="Q219" s="3265"/>
    </row>
    <row r="220" spans="1:17" ht="20.100000000000001" customHeight="1">
      <c r="A220" s="3095">
        <v>216</v>
      </c>
      <c r="B220" s="3230" t="s">
        <v>912</v>
      </c>
      <c r="C220" s="3112" t="s">
        <v>805</v>
      </c>
      <c r="D220" s="3097" t="s">
        <v>26</v>
      </c>
      <c r="E220" s="3098" t="s">
        <v>913</v>
      </c>
      <c r="F220" s="3113" t="s">
        <v>48</v>
      </c>
      <c r="G220" s="3100">
        <v>0</v>
      </c>
      <c r="H220" s="3101">
        <v>0</v>
      </c>
      <c r="I220" s="3102">
        <v>0</v>
      </c>
      <c r="J220" s="3102">
        <v>0</v>
      </c>
      <c r="K220" s="3102">
        <v>0</v>
      </c>
      <c r="L220" s="3102">
        <v>0</v>
      </c>
      <c r="M220" s="3103">
        <v>1</v>
      </c>
      <c r="N220" s="3109">
        <v>828200</v>
      </c>
      <c r="O220" s="3105">
        <f t="shared" si="3"/>
        <v>1</v>
      </c>
      <c r="P220" s="3106">
        <v>0</v>
      </c>
      <c r="Q220" s="3107"/>
    </row>
    <row r="221" spans="1:17" ht="20.100000000000001" customHeight="1">
      <c r="A221" s="3095">
        <v>217</v>
      </c>
      <c r="B221" s="3230" t="s">
        <v>912</v>
      </c>
      <c r="C221" s="3112" t="s">
        <v>805</v>
      </c>
      <c r="D221" s="3097" t="s">
        <v>103</v>
      </c>
      <c r="E221" s="3098" t="s">
        <v>913</v>
      </c>
      <c r="F221" s="3147" t="s">
        <v>3112</v>
      </c>
      <c r="G221" s="3100">
        <v>0</v>
      </c>
      <c r="H221" s="3101">
        <v>0</v>
      </c>
      <c r="I221" s="3102">
        <v>0</v>
      </c>
      <c r="J221" s="3102">
        <v>0</v>
      </c>
      <c r="K221" s="3102">
        <v>0</v>
      </c>
      <c r="L221" s="3103">
        <v>7</v>
      </c>
      <c r="M221" s="3102">
        <v>0</v>
      </c>
      <c r="N221" s="3109">
        <v>378.54</v>
      </c>
      <c r="O221" s="3105">
        <f t="shared" si="3"/>
        <v>7</v>
      </c>
      <c r="P221" s="3106">
        <v>0</v>
      </c>
      <c r="Q221" s="3107"/>
    </row>
    <row r="222" spans="1:17" ht="20.100000000000001" customHeight="1">
      <c r="A222" s="3095">
        <v>218</v>
      </c>
      <c r="B222" s="3230" t="s">
        <v>912</v>
      </c>
      <c r="C222" s="3112" t="s">
        <v>805</v>
      </c>
      <c r="D222" s="3097" t="s">
        <v>29</v>
      </c>
      <c r="E222" s="3098"/>
      <c r="F222" s="3108" t="s">
        <v>914</v>
      </c>
      <c r="G222" s="3100">
        <v>0</v>
      </c>
      <c r="H222" s="3101">
        <v>0</v>
      </c>
      <c r="I222" s="3102">
        <v>1</v>
      </c>
      <c r="J222" s="3102">
        <v>0</v>
      </c>
      <c r="K222" s="3102">
        <v>0</v>
      </c>
      <c r="L222" s="3103">
        <v>0</v>
      </c>
      <c r="M222" s="3102">
        <v>0</v>
      </c>
      <c r="N222" s="3109">
        <v>666940950.60000002</v>
      </c>
      <c r="O222" s="3105">
        <f t="shared" si="3"/>
        <v>1</v>
      </c>
      <c r="P222" s="3106">
        <v>0</v>
      </c>
      <c r="Q222" s="3107"/>
    </row>
    <row r="223" spans="1:17" ht="20.100000000000001" customHeight="1">
      <c r="A223" s="3095">
        <v>219</v>
      </c>
      <c r="B223" s="3230" t="s">
        <v>912</v>
      </c>
      <c r="C223" s="3112" t="s">
        <v>805</v>
      </c>
      <c r="D223" s="3097" t="s">
        <v>29</v>
      </c>
      <c r="E223" s="3098"/>
      <c r="F223" s="3108" t="s">
        <v>915</v>
      </c>
      <c r="G223" s="3100">
        <v>0</v>
      </c>
      <c r="H223" s="3101">
        <v>0</v>
      </c>
      <c r="I223" s="3102">
        <v>1</v>
      </c>
      <c r="J223" s="3102">
        <v>0</v>
      </c>
      <c r="K223" s="3102">
        <v>0</v>
      </c>
      <c r="L223" s="3103">
        <v>0</v>
      </c>
      <c r="M223" s="3102">
        <v>0</v>
      </c>
      <c r="N223" s="3109">
        <v>-191083.87</v>
      </c>
      <c r="O223" s="3105">
        <f t="shared" si="3"/>
        <v>1</v>
      </c>
      <c r="P223" s="3106">
        <v>0</v>
      </c>
      <c r="Q223" s="3107"/>
    </row>
    <row r="224" spans="1:17" ht="20.100000000000001" customHeight="1">
      <c r="A224" s="3095">
        <v>220</v>
      </c>
      <c r="B224" s="3230" t="s">
        <v>912</v>
      </c>
      <c r="C224" s="3112" t="s">
        <v>805</v>
      </c>
      <c r="D224" s="3097" t="s">
        <v>29</v>
      </c>
      <c r="E224" s="3098" t="s">
        <v>916</v>
      </c>
      <c r="F224" s="3099" t="s">
        <v>50</v>
      </c>
      <c r="G224" s="3101">
        <v>0</v>
      </c>
      <c r="H224" s="3101">
        <v>0</v>
      </c>
      <c r="I224" s="3110">
        <v>1</v>
      </c>
      <c r="J224" s="3102">
        <v>0</v>
      </c>
      <c r="K224" s="3102">
        <v>0</v>
      </c>
      <c r="L224" s="3102">
        <v>0</v>
      </c>
      <c r="M224" s="3102">
        <v>0</v>
      </c>
      <c r="N224" s="3135">
        <v>7588.99</v>
      </c>
      <c r="O224" s="3105">
        <f t="shared" si="3"/>
        <v>1</v>
      </c>
      <c r="P224" s="3106">
        <v>0</v>
      </c>
      <c r="Q224" s="3107"/>
    </row>
    <row r="225" spans="1:17" ht="20.100000000000001" customHeight="1">
      <c r="A225" s="3095">
        <v>221</v>
      </c>
      <c r="B225" s="3230" t="s">
        <v>912</v>
      </c>
      <c r="C225" s="3112" t="s">
        <v>805</v>
      </c>
      <c r="D225" s="3097" t="s">
        <v>29</v>
      </c>
      <c r="E225" s="3098"/>
      <c r="F225" s="3099" t="s">
        <v>917</v>
      </c>
      <c r="G225" s="3101">
        <v>0</v>
      </c>
      <c r="H225" s="3101">
        <v>0</v>
      </c>
      <c r="I225" s="3110">
        <v>0</v>
      </c>
      <c r="J225" s="3102">
        <v>0</v>
      </c>
      <c r="K225" s="3102">
        <v>0</v>
      </c>
      <c r="L225" s="3102">
        <v>0</v>
      </c>
      <c r="M225" s="3102">
        <v>1</v>
      </c>
      <c r="N225" s="3135">
        <v>-2350</v>
      </c>
      <c r="O225" s="3105">
        <f t="shared" si="3"/>
        <v>1</v>
      </c>
      <c r="P225" s="3106">
        <v>0</v>
      </c>
      <c r="Q225" s="3107"/>
    </row>
    <row r="226" spans="1:17" ht="20.100000000000001" customHeight="1">
      <c r="A226" s="3095">
        <v>222</v>
      </c>
      <c r="B226" s="3230" t="s">
        <v>912</v>
      </c>
      <c r="C226" s="3112" t="s">
        <v>805</v>
      </c>
      <c r="D226" s="3097" t="s">
        <v>29</v>
      </c>
      <c r="E226" s="3112" t="s">
        <v>918</v>
      </c>
      <c r="F226" s="3131" t="s">
        <v>919</v>
      </c>
      <c r="G226" s="3100">
        <v>0</v>
      </c>
      <c r="H226" s="3101">
        <v>0</v>
      </c>
      <c r="I226" s="3102">
        <v>0</v>
      </c>
      <c r="J226" s="3102">
        <v>0</v>
      </c>
      <c r="K226" s="3102">
        <v>0</v>
      </c>
      <c r="L226" s="3102">
        <v>0</v>
      </c>
      <c r="M226" s="3103">
        <v>1</v>
      </c>
      <c r="N226" s="3266">
        <v>18510</v>
      </c>
      <c r="O226" s="3105">
        <f t="shared" si="3"/>
        <v>1</v>
      </c>
      <c r="P226" s="3106">
        <v>0</v>
      </c>
      <c r="Q226" s="3107"/>
    </row>
    <row r="227" spans="1:17" ht="20.100000000000001" customHeight="1">
      <c r="A227" s="3095">
        <v>223</v>
      </c>
      <c r="B227" s="3230" t="s">
        <v>912</v>
      </c>
      <c r="C227" s="3112" t="s">
        <v>805</v>
      </c>
      <c r="D227" s="3097" t="s">
        <v>68</v>
      </c>
      <c r="E227" s="3141">
        <v>46234</v>
      </c>
      <c r="F227" s="3137" t="s">
        <v>791</v>
      </c>
      <c r="G227" s="3115">
        <v>0</v>
      </c>
      <c r="H227" s="3101">
        <v>0</v>
      </c>
      <c r="I227" s="3102">
        <v>0</v>
      </c>
      <c r="J227" s="3102">
        <v>0</v>
      </c>
      <c r="K227" s="3102">
        <v>0</v>
      </c>
      <c r="L227" s="3110">
        <v>0</v>
      </c>
      <c r="M227" s="3103">
        <v>4</v>
      </c>
      <c r="N227" s="3116">
        <v>205</v>
      </c>
      <c r="O227" s="3105">
        <f t="shared" si="3"/>
        <v>4</v>
      </c>
      <c r="P227" s="3106">
        <v>0</v>
      </c>
      <c r="Q227" s="3107"/>
    </row>
    <row r="228" spans="1:17" ht="20.100000000000001" customHeight="1">
      <c r="A228" s="3095">
        <v>224</v>
      </c>
      <c r="B228" s="3230" t="s">
        <v>912</v>
      </c>
      <c r="C228" s="3112" t="s">
        <v>805</v>
      </c>
      <c r="D228" s="3097" t="s">
        <v>434</v>
      </c>
      <c r="E228" s="3098" t="s">
        <v>920</v>
      </c>
      <c r="F228" s="3113" t="s">
        <v>35</v>
      </c>
      <c r="G228" s="3100">
        <v>0</v>
      </c>
      <c r="H228" s="3101">
        <v>0</v>
      </c>
      <c r="I228" s="3102">
        <v>0</v>
      </c>
      <c r="J228" s="3102">
        <v>0</v>
      </c>
      <c r="K228" s="3103">
        <v>1376</v>
      </c>
      <c r="L228" s="3102">
        <v>0</v>
      </c>
      <c r="M228" s="3102">
        <v>0</v>
      </c>
      <c r="N228" s="3118">
        <v>42871840.859999999</v>
      </c>
      <c r="O228" s="3105">
        <f t="shared" si="3"/>
        <v>1376</v>
      </c>
      <c r="P228" s="3106">
        <v>0</v>
      </c>
      <c r="Q228" s="3107"/>
    </row>
    <row r="229" spans="1:17" ht="20.100000000000001" customHeight="1">
      <c r="A229" s="3095">
        <v>225</v>
      </c>
      <c r="B229" s="3230" t="s">
        <v>912</v>
      </c>
      <c r="C229" s="3112" t="s">
        <v>805</v>
      </c>
      <c r="D229" s="3097" t="s">
        <v>36</v>
      </c>
      <c r="E229" s="3098" t="s">
        <v>921</v>
      </c>
      <c r="F229" s="3113" t="s">
        <v>52</v>
      </c>
      <c r="G229" s="3100">
        <v>0</v>
      </c>
      <c r="H229" s="3110">
        <v>231</v>
      </c>
      <c r="I229" s="3102">
        <v>0</v>
      </c>
      <c r="J229" s="3102">
        <v>0</v>
      </c>
      <c r="K229" s="3102">
        <v>0</v>
      </c>
      <c r="L229" s="3102">
        <v>0</v>
      </c>
      <c r="M229" s="3102">
        <v>0</v>
      </c>
      <c r="N229" s="3117">
        <v>0</v>
      </c>
      <c r="O229" s="3105">
        <f t="shared" si="3"/>
        <v>231</v>
      </c>
      <c r="P229" s="3106">
        <v>0</v>
      </c>
      <c r="Q229" s="3107"/>
    </row>
    <row r="230" spans="1:17" ht="20.100000000000001" customHeight="1">
      <c r="A230" s="3095">
        <v>226</v>
      </c>
      <c r="B230" s="3230" t="s">
        <v>912</v>
      </c>
      <c r="C230" s="3112" t="s">
        <v>805</v>
      </c>
      <c r="D230" s="3097" t="s">
        <v>36</v>
      </c>
      <c r="E230" s="3098" t="s">
        <v>921</v>
      </c>
      <c r="F230" s="3137" t="s">
        <v>922</v>
      </c>
      <c r="G230" s="3110">
        <v>96</v>
      </c>
      <c r="H230" s="3101">
        <v>0</v>
      </c>
      <c r="I230" s="3102">
        <v>0</v>
      </c>
      <c r="J230" s="3102">
        <v>0</v>
      </c>
      <c r="K230" s="3102">
        <v>0</v>
      </c>
      <c r="L230" s="3102">
        <v>0</v>
      </c>
      <c r="M230" s="3102">
        <v>0</v>
      </c>
      <c r="N230" s="3117">
        <v>0</v>
      </c>
      <c r="O230" s="3105">
        <f t="shared" si="3"/>
        <v>96</v>
      </c>
      <c r="P230" s="3106">
        <v>0</v>
      </c>
      <c r="Q230" s="3107"/>
    </row>
    <row r="231" spans="1:17" ht="20.100000000000001" customHeight="1">
      <c r="A231" s="3095">
        <v>227</v>
      </c>
      <c r="B231" s="3230" t="s">
        <v>923</v>
      </c>
      <c r="C231" s="3112" t="s">
        <v>805</v>
      </c>
      <c r="D231" s="3097" t="s">
        <v>29</v>
      </c>
      <c r="E231" s="3098" t="s">
        <v>924</v>
      </c>
      <c r="F231" s="3155" t="s">
        <v>49</v>
      </c>
      <c r="G231" s="3105">
        <v>0</v>
      </c>
      <c r="H231" s="3101">
        <v>0</v>
      </c>
      <c r="I231" s="3154">
        <v>1</v>
      </c>
      <c r="J231" s="3101">
        <v>0</v>
      </c>
      <c r="K231" s="3101">
        <v>0</v>
      </c>
      <c r="L231" s="3101">
        <v>0</v>
      </c>
      <c r="M231" s="3101">
        <v>0</v>
      </c>
      <c r="N231" s="3104">
        <v>77714156.689999998</v>
      </c>
      <c r="O231" s="3105">
        <f t="shared" si="3"/>
        <v>1</v>
      </c>
      <c r="P231" s="3106">
        <v>0</v>
      </c>
      <c r="Q231" s="3107"/>
    </row>
    <row r="232" spans="1:17" ht="20.100000000000001" customHeight="1">
      <c r="A232" s="3095">
        <v>228</v>
      </c>
      <c r="B232" s="3230" t="s">
        <v>923</v>
      </c>
      <c r="C232" s="3112" t="s">
        <v>805</v>
      </c>
      <c r="D232" s="3097" t="s">
        <v>29</v>
      </c>
      <c r="E232" s="3098" t="s">
        <v>924</v>
      </c>
      <c r="F232" s="3155" t="s">
        <v>32</v>
      </c>
      <c r="G232" s="3105">
        <v>0</v>
      </c>
      <c r="H232" s="3101">
        <v>0</v>
      </c>
      <c r="I232" s="3154">
        <v>1</v>
      </c>
      <c r="J232" s="3101">
        <v>0</v>
      </c>
      <c r="K232" s="3101">
        <v>0</v>
      </c>
      <c r="L232" s="3101">
        <v>0</v>
      </c>
      <c r="M232" s="3101">
        <v>0</v>
      </c>
      <c r="N232" s="3109">
        <v>203028.62</v>
      </c>
      <c r="O232" s="3105">
        <f t="shared" si="3"/>
        <v>1</v>
      </c>
      <c r="P232" s="3106">
        <v>0</v>
      </c>
      <c r="Q232" s="3107"/>
    </row>
    <row r="233" spans="1:17" ht="20.100000000000001" customHeight="1">
      <c r="A233" s="3095">
        <v>229</v>
      </c>
      <c r="B233" s="3230" t="s">
        <v>923</v>
      </c>
      <c r="C233" s="3112" t="s">
        <v>805</v>
      </c>
      <c r="D233" s="3097" t="s">
        <v>29</v>
      </c>
      <c r="E233" s="3098" t="s">
        <v>521</v>
      </c>
      <c r="F233" s="3155" t="s">
        <v>50</v>
      </c>
      <c r="G233" s="3101">
        <v>0</v>
      </c>
      <c r="H233" s="3101">
        <v>0</v>
      </c>
      <c r="I233" s="3154">
        <v>1</v>
      </c>
      <c r="J233" s="3101">
        <v>0</v>
      </c>
      <c r="K233" s="3101">
        <v>0</v>
      </c>
      <c r="L233" s="3101">
        <v>0</v>
      </c>
      <c r="M233" s="3101">
        <v>0</v>
      </c>
      <c r="N233" s="3116">
        <v>46237.59</v>
      </c>
      <c r="O233" s="3105">
        <f t="shared" si="3"/>
        <v>1</v>
      </c>
      <c r="P233" s="3106">
        <v>0</v>
      </c>
      <c r="Q233" s="3107"/>
    </row>
    <row r="234" spans="1:17" ht="20.100000000000001" customHeight="1">
      <c r="A234" s="3095">
        <v>230</v>
      </c>
      <c r="B234" s="3230" t="s">
        <v>923</v>
      </c>
      <c r="C234" s="3112" t="s">
        <v>805</v>
      </c>
      <c r="D234" s="3097" t="s">
        <v>29</v>
      </c>
      <c r="E234" s="3098"/>
      <c r="F234" s="3155" t="s">
        <v>886</v>
      </c>
      <c r="G234" s="3101">
        <v>0</v>
      </c>
      <c r="H234" s="3101">
        <v>0</v>
      </c>
      <c r="I234" s="3154">
        <v>1</v>
      </c>
      <c r="J234" s="3101">
        <v>0</v>
      </c>
      <c r="K234" s="3101">
        <v>0</v>
      </c>
      <c r="L234" s="3101">
        <v>0</v>
      </c>
      <c r="M234" s="3101">
        <v>0</v>
      </c>
      <c r="N234" s="3116">
        <v>84.5</v>
      </c>
      <c r="O234" s="3105">
        <f t="shared" si="3"/>
        <v>1</v>
      </c>
      <c r="P234" s="3106">
        <v>0</v>
      </c>
      <c r="Q234" s="3107"/>
    </row>
    <row r="235" spans="1:17" ht="20.100000000000001" customHeight="1">
      <c r="A235" s="3095">
        <v>231</v>
      </c>
      <c r="B235" s="3230" t="s">
        <v>923</v>
      </c>
      <c r="C235" s="3112" t="s">
        <v>805</v>
      </c>
      <c r="D235" s="3120" t="s">
        <v>29</v>
      </c>
      <c r="E235" s="3098" t="s">
        <v>924</v>
      </c>
      <c r="F235" s="3267" t="s">
        <v>925</v>
      </c>
      <c r="G235" s="3100">
        <v>0</v>
      </c>
      <c r="H235" s="3101">
        <v>0</v>
      </c>
      <c r="I235" s="3101">
        <v>0</v>
      </c>
      <c r="J235" s="3101">
        <v>0</v>
      </c>
      <c r="K235" s="3101">
        <v>0</v>
      </c>
      <c r="L235" s="3101">
        <v>0</v>
      </c>
      <c r="M235" s="3152">
        <v>1</v>
      </c>
      <c r="N235" s="3118">
        <v>6858.94</v>
      </c>
      <c r="O235" s="3105">
        <f t="shared" si="3"/>
        <v>1</v>
      </c>
      <c r="P235" s="3106">
        <v>0</v>
      </c>
      <c r="Q235" s="3268"/>
    </row>
    <row r="236" spans="1:17" ht="20.100000000000001" customHeight="1">
      <c r="A236" s="3095">
        <v>232</v>
      </c>
      <c r="B236" s="3230" t="s">
        <v>923</v>
      </c>
      <c r="C236" s="3112" t="s">
        <v>805</v>
      </c>
      <c r="D236" s="3097" t="s">
        <v>434</v>
      </c>
      <c r="E236" s="3098" t="s">
        <v>100</v>
      </c>
      <c r="F236" s="3151" t="s">
        <v>35</v>
      </c>
      <c r="G236" s="3100">
        <v>0</v>
      </c>
      <c r="H236" s="3101">
        <v>0</v>
      </c>
      <c r="I236" s="3101">
        <v>0</v>
      </c>
      <c r="J236" s="3101">
        <v>0</v>
      </c>
      <c r="K236" s="3152">
        <v>233</v>
      </c>
      <c r="L236" s="3101">
        <v>0</v>
      </c>
      <c r="M236" s="3101">
        <v>0</v>
      </c>
      <c r="N236" s="3118">
        <v>3389862.81</v>
      </c>
      <c r="O236" s="3105">
        <f t="shared" si="3"/>
        <v>233</v>
      </c>
      <c r="P236" s="3106">
        <v>0</v>
      </c>
      <c r="Q236" s="3107"/>
    </row>
    <row r="237" spans="1:17" ht="20.100000000000001" customHeight="1">
      <c r="A237" s="3095">
        <v>233</v>
      </c>
      <c r="B237" s="3230" t="s">
        <v>926</v>
      </c>
      <c r="C237" s="3112" t="s">
        <v>805</v>
      </c>
      <c r="D237" s="3097" t="s">
        <v>29</v>
      </c>
      <c r="E237" s="3269" t="s">
        <v>924</v>
      </c>
      <c r="F237" s="3099" t="s">
        <v>49</v>
      </c>
      <c r="G237" s="3270">
        <v>0</v>
      </c>
      <c r="H237" s="3102">
        <v>0</v>
      </c>
      <c r="I237" s="3110">
        <v>1</v>
      </c>
      <c r="J237" s="3102">
        <v>0</v>
      </c>
      <c r="K237" s="3102">
        <v>0</v>
      </c>
      <c r="L237" s="3102">
        <v>0</v>
      </c>
      <c r="M237" s="3102">
        <v>0</v>
      </c>
      <c r="N237" s="3271">
        <v>-19412837.77</v>
      </c>
      <c r="O237" s="3105">
        <f t="shared" si="3"/>
        <v>1</v>
      </c>
      <c r="P237" s="3106">
        <v>0</v>
      </c>
      <c r="Q237" s="3107"/>
    </row>
    <row r="238" spans="1:17" ht="20.100000000000001" customHeight="1">
      <c r="A238" s="3095">
        <v>234</v>
      </c>
      <c r="B238" s="3230" t="s">
        <v>926</v>
      </c>
      <c r="C238" s="3112" t="s">
        <v>805</v>
      </c>
      <c r="D238" s="3097" t="s">
        <v>434</v>
      </c>
      <c r="E238" s="3272">
        <v>46059</v>
      </c>
      <c r="F238" s="3113" t="s">
        <v>34</v>
      </c>
      <c r="G238" s="3273">
        <v>0</v>
      </c>
      <c r="H238" s="3102">
        <v>0</v>
      </c>
      <c r="I238" s="3102">
        <v>0</v>
      </c>
      <c r="J238" s="3103">
        <v>154</v>
      </c>
      <c r="K238" s="3102">
        <v>0</v>
      </c>
      <c r="L238" s="3102">
        <v>0</v>
      </c>
      <c r="M238" s="3102">
        <v>0</v>
      </c>
      <c r="N238" s="3117">
        <v>0</v>
      </c>
      <c r="O238" s="3105">
        <f t="shared" si="3"/>
        <v>44</v>
      </c>
      <c r="P238" s="3119">
        <v>110</v>
      </c>
      <c r="Q238" s="3107"/>
    </row>
    <row r="239" spans="1:17" ht="20.100000000000001" customHeight="1">
      <c r="A239" s="3095">
        <v>235</v>
      </c>
      <c r="B239" s="3230" t="s">
        <v>926</v>
      </c>
      <c r="C239" s="3112" t="s">
        <v>805</v>
      </c>
      <c r="D239" s="3097" t="s">
        <v>434</v>
      </c>
      <c r="E239" s="3272">
        <v>46059</v>
      </c>
      <c r="F239" s="3113" t="s">
        <v>35</v>
      </c>
      <c r="G239" s="3273">
        <v>0</v>
      </c>
      <c r="H239" s="3102">
        <v>0</v>
      </c>
      <c r="I239" s="3102">
        <v>0</v>
      </c>
      <c r="J239" s="3102">
        <v>0</v>
      </c>
      <c r="K239" s="3103">
        <v>113</v>
      </c>
      <c r="L239" s="3102">
        <v>0</v>
      </c>
      <c r="M239" s="3102">
        <v>0</v>
      </c>
      <c r="N239" s="3107">
        <v>1156754.94</v>
      </c>
      <c r="O239" s="3105">
        <f t="shared" si="3"/>
        <v>113</v>
      </c>
      <c r="P239" s="3106">
        <v>0</v>
      </c>
      <c r="Q239" s="3107"/>
    </row>
    <row r="240" spans="1:17" ht="20.100000000000001" customHeight="1">
      <c r="A240" s="3095">
        <v>236</v>
      </c>
      <c r="B240" s="3230" t="s">
        <v>927</v>
      </c>
      <c r="C240" s="3112" t="s">
        <v>805</v>
      </c>
      <c r="D240" s="3097" t="s">
        <v>786</v>
      </c>
      <c r="E240" s="3098" t="s">
        <v>100</v>
      </c>
      <c r="F240" s="3128" t="s">
        <v>118</v>
      </c>
      <c r="G240" s="3100">
        <v>0</v>
      </c>
      <c r="H240" s="3101">
        <v>0</v>
      </c>
      <c r="I240" s="3102">
        <v>0</v>
      </c>
      <c r="J240" s="3102">
        <v>0</v>
      </c>
      <c r="K240" s="3102">
        <v>0</v>
      </c>
      <c r="L240" s="3102">
        <v>0</v>
      </c>
      <c r="M240" s="3103">
        <v>1</v>
      </c>
      <c r="N240" s="3104">
        <v>48500</v>
      </c>
      <c r="O240" s="3105">
        <f t="shared" si="3"/>
        <v>1</v>
      </c>
      <c r="P240" s="3106">
        <v>0</v>
      </c>
      <c r="Q240" s="3107"/>
    </row>
    <row r="241" spans="1:17" ht="20.100000000000001" customHeight="1">
      <c r="A241" s="3095">
        <v>237</v>
      </c>
      <c r="B241" s="3230" t="s">
        <v>927</v>
      </c>
      <c r="C241" s="3112" t="s">
        <v>805</v>
      </c>
      <c r="D241" s="3097" t="s">
        <v>29</v>
      </c>
      <c r="E241" s="3098" t="s">
        <v>100</v>
      </c>
      <c r="F241" s="3099" t="s">
        <v>49</v>
      </c>
      <c r="G241" s="3105">
        <v>0</v>
      </c>
      <c r="H241" s="3101">
        <v>0</v>
      </c>
      <c r="I241" s="3110">
        <v>1</v>
      </c>
      <c r="J241" s="3102">
        <v>0</v>
      </c>
      <c r="K241" s="3102">
        <v>0</v>
      </c>
      <c r="L241" s="3102">
        <v>0</v>
      </c>
      <c r="M241" s="3102">
        <v>0</v>
      </c>
      <c r="N241" s="3274">
        <v>-821650901.10000002</v>
      </c>
      <c r="O241" s="3105">
        <f t="shared" si="3"/>
        <v>1</v>
      </c>
      <c r="P241" s="3106">
        <v>0</v>
      </c>
      <c r="Q241" s="3107"/>
    </row>
    <row r="242" spans="1:17" ht="20.100000000000001" customHeight="1">
      <c r="A242" s="3095">
        <v>238</v>
      </c>
      <c r="B242" s="3230" t="s">
        <v>927</v>
      </c>
      <c r="C242" s="3112" t="s">
        <v>805</v>
      </c>
      <c r="D242" s="3097" t="s">
        <v>29</v>
      </c>
      <c r="E242" s="3098" t="s">
        <v>100</v>
      </c>
      <c r="F242" s="3099" t="s">
        <v>32</v>
      </c>
      <c r="G242" s="3105">
        <v>0</v>
      </c>
      <c r="H242" s="3101">
        <v>0</v>
      </c>
      <c r="I242" s="3110">
        <v>1</v>
      </c>
      <c r="J242" s="3102">
        <v>0</v>
      </c>
      <c r="K242" s="3102">
        <v>0</v>
      </c>
      <c r="L242" s="3102">
        <v>0</v>
      </c>
      <c r="M242" s="3102">
        <v>0</v>
      </c>
      <c r="N242" s="3127">
        <v>102117.63</v>
      </c>
      <c r="O242" s="3105">
        <f t="shared" si="3"/>
        <v>1</v>
      </c>
      <c r="P242" s="3106">
        <v>0</v>
      </c>
      <c r="Q242" s="3107"/>
    </row>
    <row r="243" spans="1:17" ht="20.100000000000001" customHeight="1">
      <c r="A243" s="3095">
        <v>239</v>
      </c>
      <c r="B243" s="3230" t="s">
        <v>927</v>
      </c>
      <c r="C243" s="3112" t="s">
        <v>805</v>
      </c>
      <c r="D243" s="3097" t="s">
        <v>29</v>
      </c>
      <c r="E243" s="3098" t="s">
        <v>100</v>
      </c>
      <c r="F243" s="3099" t="s">
        <v>50</v>
      </c>
      <c r="G243" s="3101">
        <v>0</v>
      </c>
      <c r="H243" s="3101">
        <v>0</v>
      </c>
      <c r="I243" s="3110">
        <v>1</v>
      </c>
      <c r="J243" s="3102">
        <v>0</v>
      </c>
      <c r="K243" s="3102">
        <v>0</v>
      </c>
      <c r="L243" s="3102">
        <v>0</v>
      </c>
      <c r="M243" s="3102">
        <v>0</v>
      </c>
      <c r="N243" s="3228">
        <v>12.5</v>
      </c>
      <c r="O243" s="3105">
        <f t="shared" si="3"/>
        <v>1</v>
      </c>
      <c r="P243" s="3106">
        <v>0</v>
      </c>
      <c r="Q243" s="3107"/>
    </row>
    <row r="244" spans="1:17" ht="20.100000000000001" customHeight="1">
      <c r="A244" s="3095">
        <v>240</v>
      </c>
      <c r="B244" s="3230" t="s">
        <v>927</v>
      </c>
      <c r="C244" s="3112" t="s">
        <v>805</v>
      </c>
      <c r="D244" s="3097" t="s">
        <v>29</v>
      </c>
      <c r="E244" s="3112" t="s">
        <v>100</v>
      </c>
      <c r="F244" s="3131" t="s">
        <v>928</v>
      </c>
      <c r="G244" s="3170">
        <v>0</v>
      </c>
      <c r="H244" s="3135">
        <v>0</v>
      </c>
      <c r="I244" s="3184">
        <v>0</v>
      </c>
      <c r="J244" s="3184">
        <v>0</v>
      </c>
      <c r="K244" s="3184">
        <v>0</v>
      </c>
      <c r="L244" s="3184">
        <v>0</v>
      </c>
      <c r="M244" s="3117">
        <v>2</v>
      </c>
      <c r="N244" s="3109">
        <v>-1550</v>
      </c>
      <c r="O244" s="3105">
        <f t="shared" si="3"/>
        <v>2</v>
      </c>
      <c r="P244" s="3106">
        <v>0</v>
      </c>
      <c r="Q244" s="3107"/>
    </row>
    <row r="245" spans="1:17" ht="20.100000000000001" customHeight="1">
      <c r="A245" s="3095">
        <v>241</v>
      </c>
      <c r="B245" s="3230" t="s">
        <v>927</v>
      </c>
      <c r="C245" s="3112" t="s">
        <v>805</v>
      </c>
      <c r="D245" s="3097" t="s">
        <v>29</v>
      </c>
      <c r="E245" s="3112" t="s">
        <v>100</v>
      </c>
      <c r="F245" s="3131" t="s">
        <v>929</v>
      </c>
      <c r="G245" s="3170">
        <v>0</v>
      </c>
      <c r="H245" s="3135">
        <v>0</v>
      </c>
      <c r="I245" s="3184">
        <v>0</v>
      </c>
      <c r="J245" s="3184">
        <v>0</v>
      </c>
      <c r="K245" s="3184">
        <v>0</v>
      </c>
      <c r="L245" s="3184">
        <v>0</v>
      </c>
      <c r="M245" s="3117">
        <v>5</v>
      </c>
      <c r="N245" s="3228">
        <v>122164.63</v>
      </c>
      <c r="O245" s="3105">
        <f t="shared" si="3"/>
        <v>5</v>
      </c>
      <c r="P245" s="3106">
        <v>0</v>
      </c>
      <c r="Q245" s="3107"/>
    </row>
    <row r="246" spans="1:17" ht="20.100000000000001" customHeight="1">
      <c r="A246" s="3095">
        <v>242</v>
      </c>
      <c r="B246" s="3230" t="s">
        <v>927</v>
      </c>
      <c r="C246" s="3112" t="s">
        <v>805</v>
      </c>
      <c r="D246" s="3097" t="s">
        <v>68</v>
      </c>
      <c r="E246" s="3112" t="s">
        <v>100</v>
      </c>
      <c r="F246" s="3137" t="s">
        <v>791</v>
      </c>
      <c r="G246" s="3115">
        <v>0</v>
      </c>
      <c r="H246" s="3101">
        <v>0</v>
      </c>
      <c r="I246" s="3102">
        <v>0</v>
      </c>
      <c r="J246" s="3102">
        <v>0</v>
      </c>
      <c r="K246" s="3102">
        <v>0</v>
      </c>
      <c r="L246" s="3110">
        <v>0</v>
      </c>
      <c r="M246" s="3103">
        <v>3</v>
      </c>
      <c r="N246" s="3116">
        <v>501053.95</v>
      </c>
      <c r="O246" s="3105">
        <f t="shared" si="3"/>
        <v>3</v>
      </c>
      <c r="P246" s="3106">
        <v>0</v>
      </c>
      <c r="Q246" s="3107"/>
    </row>
    <row r="247" spans="1:17" ht="20.100000000000001" customHeight="1">
      <c r="A247" s="3095">
        <v>243</v>
      </c>
      <c r="B247" s="3230" t="s">
        <v>927</v>
      </c>
      <c r="C247" s="3112" t="s">
        <v>805</v>
      </c>
      <c r="D247" s="3097" t="s">
        <v>434</v>
      </c>
      <c r="E247" s="3112"/>
      <c r="F247" s="3113" t="s">
        <v>34</v>
      </c>
      <c r="G247" s="3100">
        <v>0</v>
      </c>
      <c r="H247" s="3101">
        <v>0</v>
      </c>
      <c r="I247" s="3102">
        <v>0</v>
      </c>
      <c r="J247" s="3103">
        <v>59</v>
      </c>
      <c r="K247" s="3102">
        <v>0</v>
      </c>
      <c r="L247" s="3102">
        <v>0</v>
      </c>
      <c r="M247" s="3102">
        <v>0</v>
      </c>
      <c r="N247" s="3117">
        <v>0</v>
      </c>
      <c r="O247" s="3105">
        <f t="shared" si="3"/>
        <v>59</v>
      </c>
      <c r="P247" s="3106">
        <v>0</v>
      </c>
      <c r="Q247" s="3107"/>
    </row>
    <row r="248" spans="1:17" ht="20.100000000000001" customHeight="1">
      <c r="A248" s="3095">
        <v>244</v>
      </c>
      <c r="B248" s="3230" t="s">
        <v>927</v>
      </c>
      <c r="C248" s="3112" t="s">
        <v>805</v>
      </c>
      <c r="D248" s="3097" t="s">
        <v>434</v>
      </c>
      <c r="E248" s="3098"/>
      <c r="F248" s="3113" t="s">
        <v>35</v>
      </c>
      <c r="G248" s="3100">
        <v>0</v>
      </c>
      <c r="H248" s="3101">
        <v>0</v>
      </c>
      <c r="I248" s="3102">
        <v>0</v>
      </c>
      <c r="J248" s="3102">
        <v>0</v>
      </c>
      <c r="K248" s="3275">
        <v>1310</v>
      </c>
      <c r="L248" s="3102">
        <v>0</v>
      </c>
      <c r="M248" s="3102">
        <v>0</v>
      </c>
      <c r="N248" s="3118">
        <v>5790141.2200000118</v>
      </c>
      <c r="O248" s="3105">
        <f t="shared" si="3"/>
        <v>1310</v>
      </c>
      <c r="P248" s="3106">
        <v>0</v>
      </c>
      <c r="Q248" s="3107"/>
    </row>
    <row r="249" spans="1:17" ht="20.100000000000001" customHeight="1">
      <c r="A249" s="3095">
        <v>245</v>
      </c>
      <c r="B249" s="3230" t="s">
        <v>927</v>
      </c>
      <c r="C249" s="3112" t="s">
        <v>805</v>
      </c>
      <c r="D249" s="3097" t="s">
        <v>36</v>
      </c>
      <c r="E249" s="3098"/>
      <c r="F249" s="3113" t="s">
        <v>52</v>
      </c>
      <c r="G249" s="3100">
        <v>0</v>
      </c>
      <c r="H249" s="3110">
        <v>111</v>
      </c>
      <c r="I249" s="3102">
        <v>0</v>
      </c>
      <c r="J249" s="3102">
        <v>0</v>
      </c>
      <c r="K249" s="3102">
        <v>0</v>
      </c>
      <c r="L249" s="3102">
        <v>0</v>
      </c>
      <c r="M249" s="3102">
        <v>0</v>
      </c>
      <c r="N249" s="3117">
        <v>0</v>
      </c>
      <c r="O249" s="3105">
        <f t="shared" si="3"/>
        <v>111</v>
      </c>
      <c r="P249" s="3106">
        <v>0</v>
      </c>
      <c r="Q249" s="3107"/>
    </row>
    <row r="250" spans="1:17" ht="20.100000000000001" customHeight="1">
      <c r="A250" s="3095">
        <v>246</v>
      </c>
      <c r="B250" s="3230" t="s">
        <v>927</v>
      </c>
      <c r="C250" s="3112" t="s">
        <v>805</v>
      </c>
      <c r="D250" s="3120" t="s">
        <v>442</v>
      </c>
      <c r="E250" s="3185" t="s">
        <v>930</v>
      </c>
      <c r="F250" s="3137" t="s">
        <v>931</v>
      </c>
      <c r="G250" s="3101">
        <v>0</v>
      </c>
      <c r="H250" s="3101">
        <v>0</v>
      </c>
      <c r="I250" s="3102">
        <v>0</v>
      </c>
      <c r="J250" s="3102">
        <v>0</v>
      </c>
      <c r="K250" s="3102">
        <v>0</v>
      </c>
      <c r="L250" s="3122">
        <v>0</v>
      </c>
      <c r="M250" s="3110">
        <v>1</v>
      </c>
      <c r="N250" s="3109">
        <v>300000</v>
      </c>
      <c r="O250" s="3105">
        <f t="shared" si="3"/>
        <v>0</v>
      </c>
      <c r="P250" s="3119">
        <v>1</v>
      </c>
      <c r="Q250" s="3107"/>
    </row>
    <row r="251" spans="1:17" ht="20.100000000000001" customHeight="1">
      <c r="A251" s="3095">
        <v>247</v>
      </c>
      <c r="B251" s="3230" t="s">
        <v>932</v>
      </c>
      <c r="C251" s="3112" t="s">
        <v>805</v>
      </c>
      <c r="D251" s="3097" t="s">
        <v>786</v>
      </c>
      <c r="E251" s="3276" t="s">
        <v>930</v>
      </c>
      <c r="F251" s="3128" t="s">
        <v>933</v>
      </c>
      <c r="G251" s="3100">
        <v>0</v>
      </c>
      <c r="H251" s="3101">
        <v>0</v>
      </c>
      <c r="I251" s="3102">
        <v>0</v>
      </c>
      <c r="J251" s="3102">
        <v>0</v>
      </c>
      <c r="K251" s="3102">
        <v>0</v>
      </c>
      <c r="L251" s="3102">
        <v>0</v>
      </c>
      <c r="M251" s="3103">
        <v>1</v>
      </c>
      <c r="N251" s="3104">
        <v>122586.28</v>
      </c>
      <c r="O251" s="3105">
        <f t="shared" si="3"/>
        <v>1</v>
      </c>
      <c r="P251" s="3106">
        <v>0</v>
      </c>
      <c r="Q251" s="3107"/>
    </row>
    <row r="252" spans="1:17" ht="20.100000000000001" customHeight="1">
      <c r="A252" s="3095">
        <v>248</v>
      </c>
      <c r="B252" s="3230" t="s">
        <v>932</v>
      </c>
      <c r="C252" s="3112" t="s">
        <v>805</v>
      </c>
      <c r="D252" s="3097" t="s">
        <v>29</v>
      </c>
      <c r="E252" s="3276"/>
      <c r="F252" s="3241" t="s">
        <v>934</v>
      </c>
      <c r="G252" s="3100">
        <v>0</v>
      </c>
      <c r="H252" s="3101">
        <v>0</v>
      </c>
      <c r="I252" s="3102">
        <v>1</v>
      </c>
      <c r="J252" s="3102">
        <v>0</v>
      </c>
      <c r="K252" s="3102">
        <v>0</v>
      </c>
      <c r="L252" s="3102">
        <v>0</v>
      </c>
      <c r="M252" s="3103">
        <v>0</v>
      </c>
      <c r="N252" s="3104">
        <v>161.5</v>
      </c>
      <c r="O252" s="3105">
        <f t="shared" si="3"/>
        <v>1</v>
      </c>
      <c r="P252" s="3106">
        <v>0</v>
      </c>
      <c r="Q252" s="3107"/>
    </row>
    <row r="253" spans="1:17" ht="20.100000000000001" customHeight="1">
      <c r="A253" s="3095">
        <v>249</v>
      </c>
      <c r="B253" s="3230" t="s">
        <v>932</v>
      </c>
      <c r="C253" s="3112" t="s">
        <v>805</v>
      </c>
      <c r="D253" s="3097" t="s">
        <v>36</v>
      </c>
      <c r="E253" s="3276" t="s">
        <v>930</v>
      </c>
      <c r="F253" s="3113" t="s">
        <v>52</v>
      </c>
      <c r="G253" s="3100">
        <v>0</v>
      </c>
      <c r="H253" s="3110">
        <v>531</v>
      </c>
      <c r="I253" s="3102">
        <v>0</v>
      </c>
      <c r="J253" s="3102">
        <v>0</v>
      </c>
      <c r="K253" s="3102">
        <v>0</v>
      </c>
      <c r="L253" s="3102">
        <v>0</v>
      </c>
      <c r="M253" s="3102">
        <v>0</v>
      </c>
      <c r="N253" s="3117">
        <v>0</v>
      </c>
      <c r="O253" s="3105">
        <f t="shared" si="3"/>
        <v>531</v>
      </c>
      <c r="P253" s="3106">
        <v>0</v>
      </c>
      <c r="Q253" s="3107"/>
    </row>
    <row r="254" spans="1:17" ht="20.100000000000001" customHeight="1">
      <c r="A254" s="3095">
        <v>250</v>
      </c>
      <c r="B254" s="3230" t="s">
        <v>932</v>
      </c>
      <c r="C254" s="3112" t="s">
        <v>805</v>
      </c>
      <c r="D254" s="3097" t="s">
        <v>36</v>
      </c>
      <c r="E254" s="3140" t="s">
        <v>930</v>
      </c>
      <c r="F254" s="3137" t="s">
        <v>935</v>
      </c>
      <c r="G254" s="3110">
        <v>260</v>
      </c>
      <c r="H254" s="3101">
        <v>0</v>
      </c>
      <c r="I254" s="3102">
        <v>0</v>
      </c>
      <c r="J254" s="3102">
        <v>0</v>
      </c>
      <c r="K254" s="3102">
        <v>0</v>
      </c>
      <c r="L254" s="3102">
        <v>0</v>
      </c>
      <c r="M254" s="3102">
        <v>0</v>
      </c>
      <c r="N254" s="3117">
        <v>0</v>
      </c>
      <c r="O254" s="3105">
        <f t="shared" si="3"/>
        <v>260</v>
      </c>
      <c r="P254" s="3106">
        <v>0</v>
      </c>
      <c r="Q254" s="3107"/>
    </row>
    <row r="255" spans="1:17" ht="20.100000000000001" customHeight="1">
      <c r="A255" s="3095">
        <v>251</v>
      </c>
      <c r="B255" s="3230" t="s">
        <v>932</v>
      </c>
      <c r="C255" s="3112" t="s">
        <v>805</v>
      </c>
      <c r="D255" s="3097" t="s">
        <v>105</v>
      </c>
      <c r="E255" s="3276" t="s">
        <v>930</v>
      </c>
      <c r="F255" s="3114" t="s">
        <v>936</v>
      </c>
      <c r="G255" s="3124">
        <v>0</v>
      </c>
      <c r="H255" s="3124">
        <v>0</v>
      </c>
      <c r="I255" s="3124">
        <v>1</v>
      </c>
      <c r="J255" s="3124">
        <v>0</v>
      </c>
      <c r="K255" s="3125">
        <v>0</v>
      </c>
      <c r="L255" s="3126">
        <v>0</v>
      </c>
      <c r="M255" s="3126">
        <v>0</v>
      </c>
      <c r="N255" s="3129">
        <v>161.5</v>
      </c>
      <c r="O255" s="3105">
        <f t="shared" si="3"/>
        <v>1</v>
      </c>
      <c r="P255" s="3106">
        <v>0</v>
      </c>
      <c r="Q255" s="3107"/>
    </row>
    <row r="256" spans="1:17" ht="20.100000000000001" customHeight="1">
      <c r="A256" s="3095">
        <v>252</v>
      </c>
      <c r="B256" s="3230" t="s">
        <v>937</v>
      </c>
      <c r="C256" s="3112" t="s">
        <v>805</v>
      </c>
      <c r="D256" s="3097" t="s">
        <v>938</v>
      </c>
      <c r="E256" s="3098"/>
      <c r="F256" s="3128" t="s">
        <v>118</v>
      </c>
      <c r="G256" s="3100">
        <v>0</v>
      </c>
      <c r="H256" s="3101">
        <v>0</v>
      </c>
      <c r="I256" s="3102">
        <v>0</v>
      </c>
      <c r="J256" s="3102">
        <v>0</v>
      </c>
      <c r="K256" s="3102">
        <v>0</v>
      </c>
      <c r="L256" s="3102">
        <v>0</v>
      </c>
      <c r="M256" s="3103">
        <v>1</v>
      </c>
      <c r="N256" s="3104">
        <v>33494.21</v>
      </c>
      <c r="O256" s="3105">
        <f t="shared" si="3"/>
        <v>1</v>
      </c>
      <c r="P256" s="3106">
        <v>0</v>
      </c>
      <c r="Q256" s="3107"/>
    </row>
    <row r="257" spans="1:17" ht="20.100000000000001" customHeight="1">
      <c r="A257" s="3095">
        <v>253</v>
      </c>
      <c r="B257" s="3230" t="s">
        <v>937</v>
      </c>
      <c r="C257" s="3112" t="s">
        <v>805</v>
      </c>
      <c r="D257" s="3097" t="s">
        <v>29</v>
      </c>
      <c r="E257" s="3098"/>
      <c r="F257" s="3099" t="s">
        <v>49</v>
      </c>
      <c r="G257" s="3105">
        <v>0</v>
      </c>
      <c r="H257" s="3101">
        <v>0</v>
      </c>
      <c r="I257" s="3110">
        <v>1</v>
      </c>
      <c r="J257" s="3102">
        <v>0</v>
      </c>
      <c r="K257" s="3102">
        <v>0</v>
      </c>
      <c r="L257" s="3102">
        <v>0</v>
      </c>
      <c r="M257" s="3102">
        <v>0</v>
      </c>
      <c r="N257" s="3104">
        <v>3027309.16</v>
      </c>
      <c r="O257" s="3105">
        <f t="shared" si="3"/>
        <v>1</v>
      </c>
      <c r="P257" s="3106">
        <v>0</v>
      </c>
      <c r="Q257" s="3107"/>
    </row>
    <row r="258" spans="1:17" ht="20.100000000000001" customHeight="1">
      <c r="A258" s="3095">
        <v>254</v>
      </c>
      <c r="B258" s="3230" t="s">
        <v>937</v>
      </c>
      <c r="C258" s="3112" t="s">
        <v>805</v>
      </c>
      <c r="D258" s="3097" t="s">
        <v>29</v>
      </c>
      <c r="E258" s="3098"/>
      <c r="F258" s="3099" t="s">
        <v>32</v>
      </c>
      <c r="G258" s="3105">
        <v>0</v>
      </c>
      <c r="H258" s="3101">
        <v>0</v>
      </c>
      <c r="I258" s="3110">
        <v>1</v>
      </c>
      <c r="J258" s="3102">
        <v>0</v>
      </c>
      <c r="K258" s="3102">
        <v>0</v>
      </c>
      <c r="L258" s="3102">
        <v>0</v>
      </c>
      <c r="M258" s="3102">
        <v>0</v>
      </c>
      <c r="N258" s="3104">
        <v>8915.9500000000007</v>
      </c>
      <c r="O258" s="3105">
        <f t="shared" si="3"/>
        <v>1</v>
      </c>
      <c r="P258" s="3106">
        <v>0</v>
      </c>
      <c r="Q258" s="3107"/>
    </row>
    <row r="259" spans="1:17" ht="20.100000000000001" customHeight="1">
      <c r="A259" s="3095">
        <v>255</v>
      </c>
      <c r="B259" s="3230" t="s">
        <v>937</v>
      </c>
      <c r="C259" s="3112" t="s">
        <v>805</v>
      </c>
      <c r="D259" s="3097" t="s">
        <v>68</v>
      </c>
      <c r="E259" s="3112" t="s">
        <v>741</v>
      </c>
      <c r="F259" s="3137" t="s">
        <v>791</v>
      </c>
      <c r="G259" s="3115">
        <v>0</v>
      </c>
      <c r="H259" s="3101">
        <v>0</v>
      </c>
      <c r="I259" s="3102">
        <v>0</v>
      </c>
      <c r="J259" s="3102">
        <v>0</v>
      </c>
      <c r="K259" s="3102">
        <v>0</v>
      </c>
      <c r="L259" s="3110">
        <v>0</v>
      </c>
      <c r="M259" s="3103">
        <v>1</v>
      </c>
      <c r="N259" s="3116">
        <v>11757010.75</v>
      </c>
      <c r="O259" s="3105">
        <f t="shared" si="3"/>
        <v>1</v>
      </c>
      <c r="P259" s="3106">
        <v>0</v>
      </c>
      <c r="Q259" s="3107"/>
    </row>
    <row r="260" spans="1:17" ht="20.100000000000001" customHeight="1">
      <c r="A260" s="3095">
        <v>256</v>
      </c>
      <c r="B260" s="3230" t="s">
        <v>937</v>
      </c>
      <c r="C260" s="3112" t="s">
        <v>805</v>
      </c>
      <c r="D260" s="3097" t="s">
        <v>434</v>
      </c>
      <c r="E260" s="3269"/>
      <c r="F260" s="3113" t="s">
        <v>35</v>
      </c>
      <c r="G260" s="3273">
        <v>0</v>
      </c>
      <c r="H260" s="3102">
        <v>0</v>
      </c>
      <c r="I260" s="3102">
        <v>0</v>
      </c>
      <c r="J260" s="3102">
        <v>0</v>
      </c>
      <c r="K260" s="3103">
        <v>893</v>
      </c>
      <c r="L260" s="3102">
        <v>0</v>
      </c>
      <c r="M260" s="3102">
        <v>0</v>
      </c>
      <c r="N260" s="3277">
        <v>197767.3</v>
      </c>
      <c r="O260" s="3105">
        <f t="shared" si="3"/>
        <v>893</v>
      </c>
      <c r="P260" s="3106">
        <v>0</v>
      </c>
      <c r="Q260" s="3107"/>
    </row>
    <row r="261" spans="1:17" ht="20.100000000000001" customHeight="1">
      <c r="A261" s="3095">
        <v>257</v>
      </c>
      <c r="B261" s="3230" t="s">
        <v>939</v>
      </c>
      <c r="C261" s="3112" t="s">
        <v>805</v>
      </c>
      <c r="D261" s="3097" t="s">
        <v>786</v>
      </c>
      <c r="E261" s="3278">
        <v>44143</v>
      </c>
      <c r="F261" s="3113" t="s">
        <v>940</v>
      </c>
      <c r="G261" s="3242">
        <v>0</v>
      </c>
      <c r="H261" s="3101">
        <v>0</v>
      </c>
      <c r="I261" s="3102">
        <v>0</v>
      </c>
      <c r="J261" s="3102">
        <v>0</v>
      </c>
      <c r="K261" s="3102">
        <v>0</v>
      </c>
      <c r="L261" s="3110">
        <v>0</v>
      </c>
      <c r="M261" s="3103">
        <v>9</v>
      </c>
      <c r="N261" s="3109">
        <v>5879.68</v>
      </c>
      <c r="O261" s="3105">
        <f t="shared" si="3"/>
        <v>9</v>
      </c>
      <c r="P261" s="3106">
        <v>0</v>
      </c>
      <c r="Q261" s="3109"/>
    </row>
    <row r="262" spans="1:17" ht="20.100000000000001" customHeight="1">
      <c r="A262" s="3095">
        <v>258</v>
      </c>
      <c r="B262" s="3230" t="s">
        <v>939</v>
      </c>
      <c r="C262" s="3112" t="s">
        <v>805</v>
      </c>
      <c r="D262" s="3097" t="s">
        <v>786</v>
      </c>
      <c r="E262" s="3231" t="s">
        <v>818</v>
      </c>
      <c r="F262" s="3128" t="s">
        <v>941</v>
      </c>
      <c r="G262" s="3100">
        <v>0</v>
      </c>
      <c r="H262" s="3101">
        <v>0</v>
      </c>
      <c r="I262" s="3102">
        <v>0</v>
      </c>
      <c r="J262" s="3102">
        <v>0</v>
      </c>
      <c r="K262" s="3102">
        <v>0</v>
      </c>
      <c r="L262" s="3102">
        <v>0</v>
      </c>
      <c r="M262" s="3103">
        <v>1</v>
      </c>
      <c r="N262" s="3104">
        <v>6877.76</v>
      </c>
      <c r="O262" s="3105">
        <f t="shared" si="3"/>
        <v>1</v>
      </c>
      <c r="P262" s="3106">
        <v>0</v>
      </c>
      <c r="Q262" s="3107"/>
    </row>
    <row r="263" spans="1:17" ht="20.100000000000001" customHeight="1">
      <c r="A263" s="3095">
        <v>259</v>
      </c>
      <c r="B263" s="3230" t="s">
        <v>939</v>
      </c>
      <c r="C263" s="3112" t="s">
        <v>805</v>
      </c>
      <c r="D263" s="3097" t="s">
        <v>103</v>
      </c>
      <c r="E263" s="3231" t="s">
        <v>942</v>
      </c>
      <c r="F263" s="3147" t="s">
        <v>3112</v>
      </c>
      <c r="G263" s="3100">
        <v>0</v>
      </c>
      <c r="H263" s="3101">
        <v>0</v>
      </c>
      <c r="I263" s="3102">
        <v>0</v>
      </c>
      <c r="J263" s="3102">
        <v>0</v>
      </c>
      <c r="K263" s="3102">
        <v>0</v>
      </c>
      <c r="L263" s="3103">
        <v>61</v>
      </c>
      <c r="M263" s="3102">
        <v>0</v>
      </c>
      <c r="N263" s="3109">
        <v>2765</v>
      </c>
      <c r="O263" s="3105">
        <f t="shared" si="3"/>
        <v>61</v>
      </c>
      <c r="P263" s="3106">
        <v>0</v>
      </c>
      <c r="Q263" s="3107"/>
    </row>
    <row r="264" spans="1:17" ht="20.100000000000001" customHeight="1">
      <c r="A264" s="3095">
        <v>260</v>
      </c>
      <c r="B264" s="3230" t="s">
        <v>939</v>
      </c>
      <c r="C264" s="3112" t="s">
        <v>805</v>
      </c>
      <c r="D264" s="3097" t="s">
        <v>29</v>
      </c>
      <c r="E264" s="3231"/>
      <c r="F264" s="3147" t="s">
        <v>943</v>
      </c>
      <c r="G264" s="3170"/>
      <c r="H264" s="3135"/>
      <c r="I264" s="3184">
        <v>1</v>
      </c>
      <c r="J264" s="3184"/>
      <c r="K264" s="3184"/>
      <c r="L264" s="3117"/>
      <c r="M264" s="3184"/>
      <c r="N264" s="3109">
        <v>766676781.48000002</v>
      </c>
      <c r="O264" s="3105">
        <f t="shared" ref="O264:O327" si="4">G264+H264+I264+J264+K264+L264+M264-P264</f>
        <v>1</v>
      </c>
      <c r="P264" s="3106">
        <v>0</v>
      </c>
      <c r="Q264" s="3107"/>
    </row>
    <row r="265" spans="1:17" ht="20.100000000000001" customHeight="1">
      <c r="A265" s="3095">
        <v>261</v>
      </c>
      <c r="B265" s="3230" t="s">
        <v>939</v>
      </c>
      <c r="C265" s="3112" t="s">
        <v>805</v>
      </c>
      <c r="D265" s="3097" t="s">
        <v>29</v>
      </c>
      <c r="E265" s="3231"/>
      <c r="F265" s="3147" t="s">
        <v>944</v>
      </c>
      <c r="G265" s="3170"/>
      <c r="H265" s="3135"/>
      <c r="I265" s="3184">
        <v>1</v>
      </c>
      <c r="J265" s="3184"/>
      <c r="K265" s="3184"/>
      <c r="L265" s="3117"/>
      <c r="M265" s="3184"/>
      <c r="N265" s="3109">
        <v>788188.12</v>
      </c>
      <c r="O265" s="3105">
        <f t="shared" si="4"/>
        <v>1</v>
      </c>
      <c r="P265" s="3106">
        <v>0</v>
      </c>
      <c r="Q265" s="3107"/>
    </row>
    <row r="266" spans="1:17" ht="20.100000000000001" customHeight="1">
      <c r="A266" s="3095">
        <v>262</v>
      </c>
      <c r="B266" s="3230" t="s">
        <v>939</v>
      </c>
      <c r="C266" s="3112" t="s">
        <v>805</v>
      </c>
      <c r="D266" s="3097" t="s">
        <v>29</v>
      </c>
      <c r="E266" s="3231"/>
      <c r="F266" s="3147" t="s">
        <v>945</v>
      </c>
      <c r="G266" s="3170"/>
      <c r="H266" s="3135"/>
      <c r="I266" s="3184">
        <v>1</v>
      </c>
      <c r="J266" s="3184"/>
      <c r="K266" s="3184"/>
      <c r="L266" s="3117"/>
      <c r="M266" s="3184"/>
      <c r="N266" s="3109">
        <v>32.5</v>
      </c>
      <c r="O266" s="3105">
        <f t="shared" si="4"/>
        <v>1</v>
      </c>
      <c r="P266" s="3106">
        <v>0</v>
      </c>
      <c r="Q266" s="3107"/>
    </row>
    <row r="267" spans="1:17" ht="20.100000000000001" customHeight="1">
      <c r="A267" s="3095">
        <v>263</v>
      </c>
      <c r="B267" s="3230" t="s">
        <v>939</v>
      </c>
      <c r="C267" s="3112" t="s">
        <v>805</v>
      </c>
      <c r="D267" s="3097" t="s">
        <v>29</v>
      </c>
      <c r="E267" s="3231"/>
      <c r="F267" s="3147" t="s">
        <v>946</v>
      </c>
      <c r="G267" s="3170"/>
      <c r="H267" s="3135"/>
      <c r="I267" s="3184"/>
      <c r="J267" s="3184"/>
      <c r="K267" s="3184"/>
      <c r="L267" s="3117"/>
      <c r="M267" s="3184">
        <v>1</v>
      </c>
      <c r="N267" s="3109">
        <v>3064.82</v>
      </c>
      <c r="O267" s="3105">
        <f t="shared" si="4"/>
        <v>1</v>
      </c>
      <c r="P267" s="3106">
        <v>0</v>
      </c>
      <c r="Q267" s="3107"/>
    </row>
    <row r="268" spans="1:17" ht="20.100000000000001" customHeight="1">
      <c r="A268" s="3095">
        <v>264</v>
      </c>
      <c r="B268" s="3230" t="s">
        <v>939</v>
      </c>
      <c r="C268" s="3112" t="s">
        <v>805</v>
      </c>
      <c r="D268" s="3097" t="s">
        <v>29</v>
      </c>
      <c r="E268" s="3231"/>
      <c r="F268" s="3147" t="s">
        <v>947</v>
      </c>
      <c r="G268" s="3170"/>
      <c r="H268" s="3135"/>
      <c r="I268" s="3184"/>
      <c r="J268" s="3184"/>
      <c r="K268" s="3184"/>
      <c r="L268" s="3117"/>
      <c r="M268" s="3184">
        <v>1</v>
      </c>
      <c r="N268" s="3109">
        <v>4754.1499999999996</v>
      </c>
      <c r="O268" s="3105">
        <f t="shared" si="4"/>
        <v>1</v>
      </c>
      <c r="P268" s="3106">
        <v>0</v>
      </c>
      <c r="Q268" s="3107"/>
    </row>
    <row r="269" spans="1:17" ht="20.100000000000001" customHeight="1">
      <c r="A269" s="3095">
        <v>265</v>
      </c>
      <c r="B269" s="3230" t="s">
        <v>939</v>
      </c>
      <c r="C269" s="3112" t="s">
        <v>805</v>
      </c>
      <c r="D269" s="3097" t="s">
        <v>29</v>
      </c>
      <c r="E269" s="3279" t="s">
        <v>948</v>
      </c>
      <c r="F269" s="3131" t="s">
        <v>949</v>
      </c>
      <c r="G269" s="3100">
        <v>0</v>
      </c>
      <c r="H269" s="3101">
        <v>0</v>
      </c>
      <c r="I269" s="3102">
        <v>0</v>
      </c>
      <c r="J269" s="3102">
        <v>0</v>
      </c>
      <c r="K269" s="3102">
        <v>0</v>
      </c>
      <c r="L269" s="3102">
        <v>0</v>
      </c>
      <c r="M269" s="3103">
        <v>5</v>
      </c>
      <c r="N269" s="3109">
        <v>246092.19</v>
      </c>
      <c r="O269" s="3105">
        <f t="shared" si="4"/>
        <v>5</v>
      </c>
      <c r="P269" s="3106">
        <v>0</v>
      </c>
      <c r="Q269" s="3109"/>
    </row>
    <row r="270" spans="1:17" ht="20.100000000000001" customHeight="1">
      <c r="A270" s="3095">
        <v>266</v>
      </c>
      <c r="B270" s="3230" t="s">
        <v>939</v>
      </c>
      <c r="C270" s="3112" t="s">
        <v>805</v>
      </c>
      <c r="D270" s="3097" t="s">
        <v>29</v>
      </c>
      <c r="E270" s="3279" t="s">
        <v>950</v>
      </c>
      <c r="F270" s="3131" t="s">
        <v>951</v>
      </c>
      <c r="G270" s="3100">
        <v>0</v>
      </c>
      <c r="H270" s="3101">
        <v>0</v>
      </c>
      <c r="I270" s="3102">
        <v>0</v>
      </c>
      <c r="J270" s="3102">
        <v>0</v>
      </c>
      <c r="K270" s="3102">
        <v>0</v>
      </c>
      <c r="L270" s="3102">
        <v>0</v>
      </c>
      <c r="M270" s="3103">
        <v>5</v>
      </c>
      <c r="N270" s="3116">
        <v>1123847.73</v>
      </c>
      <c r="O270" s="3105">
        <f t="shared" si="4"/>
        <v>5</v>
      </c>
      <c r="P270" s="3106">
        <v>0</v>
      </c>
      <c r="Q270" s="3116"/>
    </row>
    <row r="271" spans="1:17" ht="20.100000000000001" customHeight="1">
      <c r="A271" s="3095">
        <v>267</v>
      </c>
      <c r="B271" s="3230" t="s">
        <v>939</v>
      </c>
      <c r="C271" s="3112" t="s">
        <v>805</v>
      </c>
      <c r="D271" s="3097" t="s">
        <v>434</v>
      </c>
      <c r="E271" s="3279"/>
      <c r="F271" s="3113" t="s">
        <v>34</v>
      </c>
      <c r="G271" s="3100">
        <v>0</v>
      </c>
      <c r="H271" s="3101">
        <v>0</v>
      </c>
      <c r="I271" s="3102">
        <v>0</v>
      </c>
      <c r="J271" s="3103">
        <v>734</v>
      </c>
      <c r="K271" s="3102">
        <v>0</v>
      </c>
      <c r="L271" s="3102">
        <v>0</v>
      </c>
      <c r="M271" s="3102">
        <v>0</v>
      </c>
      <c r="N271" s="3117">
        <v>0</v>
      </c>
      <c r="O271" s="3105">
        <f t="shared" si="4"/>
        <v>733</v>
      </c>
      <c r="P271" s="3119">
        <v>1</v>
      </c>
      <c r="Q271" s="3107"/>
    </row>
    <row r="272" spans="1:17" ht="20.100000000000001" customHeight="1">
      <c r="A272" s="3095">
        <v>268</v>
      </c>
      <c r="B272" s="3230" t="s">
        <v>939</v>
      </c>
      <c r="C272" s="3112" t="s">
        <v>805</v>
      </c>
      <c r="D272" s="3097" t="s">
        <v>434</v>
      </c>
      <c r="E272" s="3231"/>
      <c r="F272" s="3113" t="s">
        <v>35</v>
      </c>
      <c r="G272" s="3100">
        <v>0</v>
      </c>
      <c r="H272" s="3101">
        <v>0</v>
      </c>
      <c r="I272" s="3102">
        <v>0</v>
      </c>
      <c r="J272" s="3102">
        <v>0</v>
      </c>
      <c r="K272" s="3103">
        <v>834</v>
      </c>
      <c r="L272" s="3102">
        <v>0</v>
      </c>
      <c r="M272" s="3102">
        <v>0</v>
      </c>
      <c r="N272" s="3118">
        <v>55235507.100000001</v>
      </c>
      <c r="O272" s="3105">
        <f t="shared" si="4"/>
        <v>834</v>
      </c>
      <c r="P272" s="3106">
        <v>0</v>
      </c>
      <c r="Q272" s="3107"/>
    </row>
    <row r="273" spans="1:17" ht="20.100000000000001" customHeight="1">
      <c r="A273" s="3095">
        <v>269</v>
      </c>
      <c r="B273" s="3230" t="s">
        <v>939</v>
      </c>
      <c r="C273" s="3112" t="s">
        <v>805</v>
      </c>
      <c r="D273" s="3097" t="s">
        <v>36</v>
      </c>
      <c r="E273" s="3231" t="s">
        <v>952</v>
      </c>
      <c r="F273" s="3113" t="s">
        <v>52</v>
      </c>
      <c r="G273" s="3100">
        <v>0</v>
      </c>
      <c r="H273" s="3110">
        <v>412</v>
      </c>
      <c r="I273" s="3102">
        <v>0</v>
      </c>
      <c r="J273" s="3102">
        <v>0</v>
      </c>
      <c r="K273" s="3102">
        <v>0</v>
      </c>
      <c r="L273" s="3102">
        <v>0</v>
      </c>
      <c r="M273" s="3102">
        <v>0</v>
      </c>
      <c r="N273" s="3117">
        <v>0</v>
      </c>
      <c r="O273" s="3105">
        <f t="shared" si="4"/>
        <v>412</v>
      </c>
      <c r="P273" s="3106">
        <v>0</v>
      </c>
      <c r="Q273" s="3107"/>
    </row>
    <row r="274" spans="1:17" ht="20.100000000000001" customHeight="1">
      <c r="A274" s="3095">
        <v>270</v>
      </c>
      <c r="B274" s="3230" t="s">
        <v>939</v>
      </c>
      <c r="C274" s="3112" t="s">
        <v>805</v>
      </c>
      <c r="D274" s="3097" t="s">
        <v>36</v>
      </c>
      <c r="E274" s="3231" t="s">
        <v>952</v>
      </c>
      <c r="F274" s="3137" t="s">
        <v>953</v>
      </c>
      <c r="G274" s="3110">
        <v>133</v>
      </c>
      <c r="H274" s="3101">
        <v>0</v>
      </c>
      <c r="I274" s="3102">
        <v>0</v>
      </c>
      <c r="J274" s="3102">
        <v>0</v>
      </c>
      <c r="K274" s="3102">
        <v>0</v>
      </c>
      <c r="L274" s="3102">
        <v>0</v>
      </c>
      <c r="M274" s="3102">
        <v>0</v>
      </c>
      <c r="N274" s="3117">
        <v>0</v>
      </c>
      <c r="O274" s="3105">
        <f t="shared" si="4"/>
        <v>133</v>
      </c>
      <c r="P274" s="3106">
        <v>0</v>
      </c>
      <c r="Q274" s="3107"/>
    </row>
    <row r="275" spans="1:17" ht="20.100000000000001" customHeight="1">
      <c r="A275" s="3095">
        <v>271</v>
      </c>
      <c r="B275" s="3230" t="s">
        <v>954</v>
      </c>
      <c r="C275" s="3112" t="s">
        <v>805</v>
      </c>
      <c r="D275" s="3097" t="s">
        <v>786</v>
      </c>
      <c r="E275" s="3098">
        <v>20250731</v>
      </c>
      <c r="F275" s="3113" t="s">
        <v>955</v>
      </c>
      <c r="G275" s="3242">
        <v>0</v>
      </c>
      <c r="H275" s="3101">
        <v>0</v>
      </c>
      <c r="I275" s="3102">
        <v>0</v>
      </c>
      <c r="J275" s="3102">
        <v>0</v>
      </c>
      <c r="K275" s="3102">
        <v>0</v>
      </c>
      <c r="L275" s="3110">
        <v>0</v>
      </c>
      <c r="M275" s="3103">
        <v>1</v>
      </c>
      <c r="N275" s="3109">
        <v>3700</v>
      </c>
      <c r="O275" s="3105">
        <f t="shared" si="4"/>
        <v>1</v>
      </c>
      <c r="P275" s="3106">
        <v>0</v>
      </c>
      <c r="Q275" s="3107"/>
    </row>
    <row r="276" spans="1:17" ht="20.100000000000001" customHeight="1">
      <c r="A276" s="3095">
        <v>272</v>
      </c>
      <c r="B276" s="3230" t="s">
        <v>954</v>
      </c>
      <c r="C276" s="3112" t="s">
        <v>805</v>
      </c>
      <c r="D276" s="3097" t="s">
        <v>786</v>
      </c>
      <c r="E276" s="3098"/>
      <c r="F276" s="3128" t="s">
        <v>118</v>
      </c>
      <c r="G276" s="3100">
        <v>0</v>
      </c>
      <c r="H276" s="3101">
        <v>0</v>
      </c>
      <c r="I276" s="3102">
        <v>0</v>
      </c>
      <c r="J276" s="3102">
        <v>0</v>
      </c>
      <c r="K276" s="3102">
        <v>0</v>
      </c>
      <c r="L276" s="3102">
        <v>0</v>
      </c>
      <c r="M276" s="3103">
        <v>1</v>
      </c>
      <c r="N276" s="3104">
        <v>41398.5</v>
      </c>
      <c r="O276" s="3105">
        <f t="shared" si="4"/>
        <v>1</v>
      </c>
      <c r="P276" s="3106">
        <v>0</v>
      </c>
      <c r="Q276" s="3107"/>
    </row>
    <row r="277" spans="1:17" ht="20.100000000000001" customHeight="1">
      <c r="A277" s="3095">
        <v>273</v>
      </c>
      <c r="B277" s="3230" t="s">
        <v>954</v>
      </c>
      <c r="C277" s="3112" t="s">
        <v>805</v>
      </c>
      <c r="D277" s="3097" t="s">
        <v>29</v>
      </c>
      <c r="E277" s="3098">
        <v>20250731</v>
      </c>
      <c r="F277" s="3099" t="s">
        <v>49</v>
      </c>
      <c r="G277" s="3105">
        <v>0</v>
      </c>
      <c r="H277" s="3101">
        <v>0</v>
      </c>
      <c r="I277" s="3110">
        <v>1</v>
      </c>
      <c r="J277" s="3102">
        <v>0</v>
      </c>
      <c r="K277" s="3102">
        <v>0</v>
      </c>
      <c r="L277" s="3102">
        <v>0</v>
      </c>
      <c r="M277" s="3102">
        <v>0</v>
      </c>
      <c r="N277" s="3104">
        <v>20802889.809999999</v>
      </c>
      <c r="O277" s="3105">
        <f t="shared" si="4"/>
        <v>1</v>
      </c>
      <c r="P277" s="3106">
        <v>0</v>
      </c>
      <c r="Q277" s="3107"/>
    </row>
    <row r="278" spans="1:17" ht="20.100000000000001" customHeight="1">
      <c r="A278" s="3095">
        <v>274</v>
      </c>
      <c r="B278" s="3230" t="s">
        <v>954</v>
      </c>
      <c r="C278" s="3112" t="s">
        <v>805</v>
      </c>
      <c r="D278" s="3097" t="s">
        <v>29</v>
      </c>
      <c r="E278" s="3098">
        <v>20250731</v>
      </c>
      <c r="F278" s="3099" t="s">
        <v>32</v>
      </c>
      <c r="G278" s="3105">
        <v>0</v>
      </c>
      <c r="H278" s="3101">
        <v>0</v>
      </c>
      <c r="I278" s="3110">
        <v>1</v>
      </c>
      <c r="J278" s="3102">
        <v>0</v>
      </c>
      <c r="K278" s="3102">
        <v>0</v>
      </c>
      <c r="L278" s="3102">
        <v>0</v>
      </c>
      <c r="M278" s="3102">
        <v>0</v>
      </c>
      <c r="N278" s="3104">
        <v>0.43</v>
      </c>
      <c r="O278" s="3105">
        <f t="shared" si="4"/>
        <v>1</v>
      </c>
      <c r="P278" s="3106">
        <v>0</v>
      </c>
      <c r="Q278" s="3107"/>
    </row>
    <row r="279" spans="1:17" ht="20.100000000000001" customHeight="1">
      <c r="A279" s="3095">
        <v>275</v>
      </c>
      <c r="B279" s="3230" t="s">
        <v>954</v>
      </c>
      <c r="C279" s="3112" t="s">
        <v>805</v>
      </c>
      <c r="D279" s="3097" t="s">
        <v>434</v>
      </c>
      <c r="E279" s="3098" t="s">
        <v>100</v>
      </c>
      <c r="F279" s="3113" t="s">
        <v>35</v>
      </c>
      <c r="G279" s="3100">
        <v>0</v>
      </c>
      <c r="H279" s="3101">
        <v>0</v>
      </c>
      <c r="I279" s="3102">
        <v>0</v>
      </c>
      <c r="J279" s="3102">
        <v>0</v>
      </c>
      <c r="K279" s="3103">
        <v>76</v>
      </c>
      <c r="L279" s="3102">
        <v>0</v>
      </c>
      <c r="M279" s="3102">
        <v>0</v>
      </c>
      <c r="N279" s="3118">
        <v>1441344.84</v>
      </c>
      <c r="O279" s="3105">
        <f t="shared" si="4"/>
        <v>76</v>
      </c>
      <c r="P279" s="3106">
        <v>0</v>
      </c>
      <c r="Q279" s="3107"/>
    </row>
    <row r="280" spans="1:17" ht="20.100000000000001" customHeight="1">
      <c r="A280" s="3095">
        <v>276</v>
      </c>
      <c r="B280" s="3230" t="s">
        <v>954</v>
      </c>
      <c r="C280" s="3112" t="s">
        <v>805</v>
      </c>
      <c r="D280" s="3097" t="s">
        <v>36</v>
      </c>
      <c r="E280" s="3098"/>
      <c r="F280" s="3113" t="s">
        <v>52</v>
      </c>
      <c r="G280" s="3100">
        <v>0</v>
      </c>
      <c r="H280" s="3110">
        <v>366</v>
      </c>
      <c r="I280" s="3102">
        <v>0</v>
      </c>
      <c r="J280" s="3102">
        <v>0</v>
      </c>
      <c r="K280" s="3102">
        <v>0</v>
      </c>
      <c r="L280" s="3102">
        <v>0</v>
      </c>
      <c r="M280" s="3102">
        <v>0</v>
      </c>
      <c r="N280" s="3117">
        <v>0</v>
      </c>
      <c r="O280" s="3105">
        <f t="shared" si="4"/>
        <v>366</v>
      </c>
      <c r="P280" s="3106">
        <v>0</v>
      </c>
      <c r="Q280" s="3107"/>
    </row>
    <row r="281" spans="1:17" ht="20.100000000000001" customHeight="1">
      <c r="A281" s="3095">
        <v>277</v>
      </c>
      <c r="B281" s="3230" t="s">
        <v>954</v>
      </c>
      <c r="C281" s="3112" t="s">
        <v>805</v>
      </c>
      <c r="D281" s="3097" t="s">
        <v>36</v>
      </c>
      <c r="E281" s="3098"/>
      <c r="F281" s="3137" t="s">
        <v>956</v>
      </c>
      <c r="G281" s="3110">
        <v>60</v>
      </c>
      <c r="H281" s="3101">
        <v>0</v>
      </c>
      <c r="I281" s="3102">
        <v>0</v>
      </c>
      <c r="J281" s="3102">
        <v>0</v>
      </c>
      <c r="K281" s="3102">
        <v>0</v>
      </c>
      <c r="L281" s="3102">
        <v>0</v>
      </c>
      <c r="M281" s="3102">
        <v>0</v>
      </c>
      <c r="N281" s="3117">
        <v>0</v>
      </c>
      <c r="O281" s="3105">
        <f t="shared" si="4"/>
        <v>60</v>
      </c>
      <c r="P281" s="3106">
        <v>0</v>
      </c>
      <c r="Q281" s="3107"/>
    </row>
    <row r="282" spans="1:17" ht="20.100000000000001" customHeight="1">
      <c r="A282" s="3095">
        <v>278</v>
      </c>
      <c r="B282" s="3230" t="s">
        <v>3114</v>
      </c>
      <c r="C282" s="3112" t="s">
        <v>805</v>
      </c>
      <c r="D282" s="3097" t="s">
        <v>103</v>
      </c>
      <c r="E282" s="3280"/>
      <c r="F282" s="3281" t="s">
        <v>3115</v>
      </c>
      <c r="G282" s="3282">
        <v>0</v>
      </c>
      <c r="H282" s="3283">
        <v>0</v>
      </c>
      <c r="I282" s="3284">
        <v>0</v>
      </c>
      <c r="J282" s="3284">
        <v>0</v>
      </c>
      <c r="K282" s="3284">
        <v>0</v>
      </c>
      <c r="L282" s="3284">
        <v>2</v>
      </c>
      <c r="M282" s="3284">
        <v>0</v>
      </c>
      <c r="N282" s="3285">
        <v>140</v>
      </c>
      <c r="O282" s="3105">
        <f t="shared" si="4"/>
        <v>2</v>
      </c>
      <c r="P282" s="3106">
        <v>0</v>
      </c>
      <c r="Q282" s="3286"/>
    </row>
    <row r="283" spans="1:17" ht="20.100000000000001" customHeight="1">
      <c r="A283" s="3095">
        <v>279</v>
      </c>
      <c r="B283" s="3230" t="s">
        <v>3114</v>
      </c>
      <c r="C283" s="3112" t="s">
        <v>805</v>
      </c>
      <c r="D283" s="3287" t="s">
        <v>29</v>
      </c>
      <c r="E283" s="3280"/>
      <c r="F283" s="3281" t="s">
        <v>958</v>
      </c>
      <c r="G283" s="3282">
        <v>0</v>
      </c>
      <c r="H283" s="3283">
        <v>0</v>
      </c>
      <c r="I283" s="3284">
        <v>0</v>
      </c>
      <c r="J283" s="3284">
        <v>0</v>
      </c>
      <c r="K283" s="3284">
        <v>0</v>
      </c>
      <c r="L283" s="3284">
        <v>0</v>
      </c>
      <c r="M283" s="3284">
        <v>1</v>
      </c>
      <c r="N283" s="3285">
        <v>115</v>
      </c>
      <c r="O283" s="3105">
        <f t="shared" si="4"/>
        <v>1</v>
      </c>
      <c r="P283" s="3106">
        <v>0</v>
      </c>
      <c r="Q283" s="3286"/>
    </row>
    <row r="284" spans="1:17" ht="20.100000000000001" customHeight="1">
      <c r="A284" s="3095">
        <v>280</v>
      </c>
      <c r="B284" s="3230" t="s">
        <v>3114</v>
      </c>
      <c r="C284" s="3112" t="s">
        <v>805</v>
      </c>
      <c r="D284" s="3097" t="s">
        <v>29</v>
      </c>
      <c r="E284" s="3280"/>
      <c r="F284" s="3288" t="s">
        <v>49</v>
      </c>
      <c r="G284" s="3289">
        <v>0</v>
      </c>
      <c r="H284" s="3290">
        <v>0</v>
      </c>
      <c r="I284" s="3291">
        <v>1</v>
      </c>
      <c r="J284" s="3292">
        <v>0</v>
      </c>
      <c r="K284" s="3292">
        <v>0</v>
      </c>
      <c r="L284" s="3292">
        <v>0</v>
      </c>
      <c r="M284" s="3292">
        <v>0</v>
      </c>
      <c r="N284" s="3293">
        <v>42457490.840000004</v>
      </c>
      <c r="O284" s="3105">
        <f t="shared" si="4"/>
        <v>1</v>
      </c>
      <c r="P284" s="3106">
        <v>0</v>
      </c>
      <c r="Q284" s="3286"/>
    </row>
    <row r="285" spans="1:17" ht="20.100000000000001" customHeight="1">
      <c r="A285" s="3095">
        <v>281</v>
      </c>
      <c r="B285" s="3230" t="s">
        <v>3114</v>
      </c>
      <c r="C285" s="3112" t="s">
        <v>805</v>
      </c>
      <c r="D285" s="3097" t="s">
        <v>29</v>
      </c>
      <c r="E285" s="3280"/>
      <c r="F285" s="3288" t="s">
        <v>32</v>
      </c>
      <c r="G285" s="3289">
        <v>0</v>
      </c>
      <c r="H285" s="3290">
        <v>0</v>
      </c>
      <c r="I285" s="3291">
        <v>1</v>
      </c>
      <c r="J285" s="3292">
        <v>0</v>
      </c>
      <c r="K285" s="3292">
        <v>0</v>
      </c>
      <c r="L285" s="3292">
        <v>0</v>
      </c>
      <c r="M285" s="3292">
        <v>0</v>
      </c>
      <c r="N285" s="3293">
        <v>208750.44</v>
      </c>
      <c r="O285" s="3105">
        <f t="shared" si="4"/>
        <v>1</v>
      </c>
      <c r="P285" s="3106">
        <v>0</v>
      </c>
      <c r="Q285" s="3286"/>
    </row>
    <row r="286" spans="1:17" ht="20.100000000000001" customHeight="1">
      <c r="A286" s="3095">
        <v>282</v>
      </c>
      <c r="B286" s="3230" t="s">
        <v>3114</v>
      </c>
      <c r="C286" s="3112" t="s">
        <v>805</v>
      </c>
      <c r="D286" s="3097" t="s">
        <v>29</v>
      </c>
      <c r="E286" s="3280"/>
      <c r="F286" s="3288" t="s">
        <v>50</v>
      </c>
      <c r="G286" s="3290">
        <v>0</v>
      </c>
      <c r="H286" s="3290">
        <v>0</v>
      </c>
      <c r="I286" s="3291">
        <v>1</v>
      </c>
      <c r="J286" s="3292">
        <v>0</v>
      </c>
      <c r="K286" s="3292">
        <v>0</v>
      </c>
      <c r="L286" s="3292">
        <v>0</v>
      </c>
      <c r="M286" s="3292">
        <v>0</v>
      </c>
      <c r="N286" s="3294">
        <v>466614.27</v>
      </c>
      <c r="O286" s="3105">
        <f t="shared" si="4"/>
        <v>1</v>
      </c>
      <c r="P286" s="3106">
        <v>0</v>
      </c>
      <c r="Q286" s="3286"/>
    </row>
    <row r="287" spans="1:17" ht="20.100000000000001" customHeight="1">
      <c r="A287" s="3095">
        <v>283</v>
      </c>
      <c r="B287" s="3230" t="s">
        <v>3114</v>
      </c>
      <c r="C287" s="3112" t="s">
        <v>805</v>
      </c>
      <c r="D287" s="3287" t="s">
        <v>29</v>
      </c>
      <c r="E287" s="3295"/>
      <c r="F287" s="3296" t="s">
        <v>959</v>
      </c>
      <c r="G287" s="3297">
        <v>0</v>
      </c>
      <c r="H287" s="3298">
        <v>0</v>
      </c>
      <c r="I287" s="3299">
        <v>0</v>
      </c>
      <c r="J287" s="3299">
        <v>0</v>
      </c>
      <c r="K287" s="3299">
        <v>0</v>
      </c>
      <c r="L287" s="3299">
        <v>0</v>
      </c>
      <c r="M287" s="3300">
        <v>1</v>
      </c>
      <c r="N287" s="3301">
        <v>74087.960000000006</v>
      </c>
      <c r="O287" s="3105">
        <f t="shared" si="4"/>
        <v>1</v>
      </c>
      <c r="P287" s="3106">
        <v>0</v>
      </c>
      <c r="Q287" s="3286"/>
    </row>
    <row r="288" spans="1:17" ht="20.100000000000001" customHeight="1">
      <c r="A288" s="3095">
        <v>284</v>
      </c>
      <c r="B288" s="3230" t="s">
        <v>3114</v>
      </c>
      <c r="C288" s="3112" t="s">
        <v>805</v>
      </c>
      <c r="D288" s="3097" t="s">
        <v>434</v>
      </c>
      <c r="E288" s="3280"/>
      <c r="F288" s="3302" t="s">
        <v>35</v>
      </c>
      <c r="G288" s="3303">
        <v>0</v>
      </c>
      <c r="H288" s="3290">
        <v>0</v>
      </c>
      <c r="I288" s="3292">
        <v>0</v>
      </c>
      <c r="J288" s="3292">
        <v>0</v>
      </c>
      <c r="K288" s="3304">
        <v>319</v>
      </c>
      <c r="L288" s="3292">
        <v>0</v>
      </c>
      <c r="M288" s="3292">
        <v>0</v>
      </c>
      <c r="N288" s="3305">
        <v>336160</v>
      </c>
      <c r="O288" s="3105">
        <f t="shared" si="4"/>
        <v>319</v>
      </c>
      <c r="P288" s="3106">
        <v>0</v>
      </c>
      <c r="Q288" s="3286"/>
    </row>
    <row r="289" spans="1:17" ht="20.100000000000001" customHeight="1">
      <c r="A289" s="3095">
        <v>285</v>
      </c>
      <c r="B289" s="3230" t="s">
        <v>3114</v>
      </c>
      <c r="C289" s="3112" t="s">
        <v>805</v>
      </c>
      <c r="D289" s="3287" t="s">
        <v>365</v>
      </c>
      <c r="E289" s="3280"/>
      <c r="F289" s="3306" t="s">
        <v>104</v>
      </c>
      <c r="G289" s="3290">
        <v>0</v>
      </c>
      <c r="H289" s="3292">
        <v>0</v>
      </c>
      <c r="I289" s="3292">
        <v>0</v>
      </c>
      <c r="J289" s="3292">
        <v>0</v>
      </c>
      <c r="K289" s="3307">
        <v>0</v>
      </c>
      <c r="L289" s="3307">
        <v>0</v>
      </c>
      <c r="M289" s="3308">
        <v>1</v>
      </c>
      <c r="N289" s="3309">
        <v>0</v>
      </c>
      <c r="O289" s="3105">
        <f t="shared" si="4"/>
        <v>1</v>
      </c>
      <c r="P289" s="3106">
        <v>0</v>
      </c>
      <c r="Q289" s="3286"/>
    </row>
    <row r="290" spans="1:17" ht="20.100000000000001" customHeight="1">
      <c r="A290" s="3095">
        <v>286</v>
      </c>
      <c r="B290" s="3230" t="s">
        <v>3114</v>
      </c>
      <c r="C290" s="3112" t="s">
        <v>805</v>
      </c>
      <c r="D290" s="3097" t="s">
        <v>36</v>
      </c>
      <c r="E290" s="3280"/>
      <c r="F290" s="3302" t="s">
        <v>52</v>
      </c>
      <c r="G290" s="3303">
        <v>0</v>
      </c>
      <c r="H290" s="3291">
        <v>775</v>
      </c>
      <c r="I290" s="3292">
        <v>0</v>
      </c>
      <c r="J290" s="3292">
        <v>0</v>
      </c>
      <c r="K290" s="3292">
        <v>0</v>
      </c>
      <c r="L290" s="3292">
        <v>0</v>
      </c>
      <c r="M290" s="3292">
        <v>0</v>
      </c>
      <c r="N290" s="3301">
        <v>0</v>
      </c>
      <c r="O290" s="3105">
        <f t="shared" si="4"/>
        <v>775</v>
      </c>
      <c r="P290" s="3106">
        <v>0</v>
      </c>
      <c r="Q290" s="3286"/>
    </row>
    <row r="291" spans="1:17" ht="20.100000000000001" customHeight="1">
      <c r="A291" s="3095">
        <v>287</v>
      </c>
      <c r="B291" s="3230" t="s">
        <v>3114</v>
      </c>
      <c r="C291" s="3112" t="s">
        <v>805</v>
      </c>
      <c r="D291" s="3097" t="s">
        <v>36</v>
      </c>
      <c r="E291" s="3280"/>
      <c r="F291" s="3137" t="s">
        <v>960</v>
      </c>
      <c r="G291" s="3291">
        <v>3</v>
      </c>
      <c r="H291" s="3290">
        <v>0</v>
      </c>
      <c r="I291" s="3292">
        <v>0</v>
      </c>
      <c r="J291" s="3292">
        <v>0</v>
      </c>
      <c r="K291" s="3292">
        <v>0</v>
      </c>
      <c r="L291" s="3292">
        <v>0</v>
      </c>
      <c r="M291" s="3292">
        <v>0</v>
      </c>
      <c r="N291" s="3301">
        <v>0</v>
      </c>
      <c r="O291" s="3105">
        <f t="shared" si="4"/>
        <v>3</v>
      </c>
      <c r="P291" s="3106">
        <v>0</v>
      </c>
      <c r="Q291" s="3286"/>
    </row>
    <row r="292" spans="1:17" ht="20.100000000000001" customHeight="1">
      <c r="A292" s="3095">
        <v>288</v>
      </c>
      <c r="B292" s="3230" t="s">
        <v>961</v>
      </c>
      <c r="C292" s="3112" t="s">
        <v>805</v>
      </c>
      <c r="D292" s="3097" t="s">
        <v>26</v>
      </c>
      <c r="E292" s="3098"/>
      <c r="F292" s="3113" t="s">
        <v>48</v>
      </c>
      <c r="G292" s="3100">
        <v>0</v>
      </c>
      <c r="H292" s="3101">
        <v>0</v>
      </c>
      <c r="I292" s="3102">
        <v>0</v>
      </c>
      <c r="J292" s="3102">
        <v>0</v>
      </c>
      <c r="K292" s="3102">
        <v>0</v>
      </c>
      <c r="L292" s="3102">
        <v>0</v>
      </c>
      <c r="M292" s="3103">
        <v>1</v>
      </c>
      <c r="N292" s="3109">
        <v>37393.35</v>
      </c>
      <c r="O292" s="3105">
        <f t="shared" si="4"/>
        <v>1</v>
      </c>
      <c r="P292" s="3106">
        <v>0</v>
      </c>
      <c r="Q292" s="3107"/>
    </row>
    <row r="293" spans="1:17" ht="20.100000000000001" customHeight="1">
      <c r="A293" s="3095">
        <v>289</v>
      </c>
      <c r="B293" s="3230" t="s">
        <v>961</v>
      </c>
      <c r="C293" s="3112" t="s">
        <v>805</v>
      </c>
      <c r="D293" s="3097" t="s">
        <v>786</v>
      </c>
      <c r="E293" s="3098" t="s">
        <v>962</v>
      </c>
      <c r="F293" s="3113" t="s">
        <v>963</v>
      </c>
      <c r="G293" s="3242">
        <v>0</v>
      </c>
      <c r="H293" s="3101">
        <v>0</v>
      </c>
      <c r="I293" s="3102">
        <v>0</v>
      </c>
      <c r="J293" s="3102">
        <v>0</v>
      </c>
      <c r="K293" s="3102">
        <v>0</v>
      </c>
      <c r="L293" s="3110">
        <v>0</v>
      </c>
      <c r="M293" s="3103">
        <v>1</v>
      </c>
      <c r="N293" s="3109">
        <v>3000</v>
      </c>
      <c r="O293" s="3105">
        <f t="shared" si="4"/>
        <v>1</v>
      </c>
      <c r="P293" s="3106">
        <v>0</v>
      </c>
      <c r="Q293" s="3107"/>
    </row>
    <row r="294" spans="1:17" ht="20.100000000000001" customHeight="1">
      <c r="A294" s="3095">
        <v>290</v>
      </c>
      <c r="B294" s="3230" t="s">
        <v>961</v>
      </c>
      <c r="C294" s="3112" t="s">
        <v>805</v>
      </c>
      <c r="D294" s="3097" t="s">
        <v>103</v>
      </c>
      <c r="E294" s="3098" t="s">
        <v>100</v>
      </c>
      <c r="F294" s="3147" t="s">
        <v>3112</v>
      </c>
      <c r="G294" s="3100">
        <v>0</v>
      </c>
      <c r="H294" s="3101">
        <v>0</v>
      </c>
      <c r="I294" s="3102">
        <v>0</v>
      </c>
      <c r="J294" s="3102">
        <v>0</v>
      </c>
      <c r="K294" s="3102">
        <v>0</v>
      </c>
      <c r="L294" s="3103">
        <v>90</v>
      </c>
      <c r="M294" s="3103">
        <v>0</v>
      </c>
      <c r="N294" s="3109">
        <v>3169.25</v>
      </c>
      <c r="O294" s="3105">
        <f t="shared" si="4"/>
        <v>90</v>
      </c>
      <c r="P294" s="3106">
        <v>0</v>
      </c>
      <c r="Q294" s="3107"/>
    </row>
    <row r="295" spans="1:17" ht="20.100000000000001" customHeight="1">
      <c r="A295" s="3095">
        <v>291</v>
      </c>
      <c r="B295" s="3230" t="s">
        <v>961</v>
      </c>
      <c r="C295" s="3112" t="s">
        <v>805</v>
      </c>
      <c r="D295" s="3097" t="s">
        <v>29</v>
      </c>
      <c r="E295" s="3098" t="s">
        <v>100</v>
      </c>
      <c r="F295" s="3099" t="s">
        <v>49</v>
      </c>
      <c r="G295" s="3105">
        <v>0</v>
      </c>
      <c r="H295" s="3101">
        <v>0</v>
      </c>
      <c r="I295" s="3110">
        <v>1</v>
      </c>
      <c r="J295" s="3102">
        <v>0</v>
      </c>
      <c r="K295" s="3102">
        <v>0</v>
      </c>
      <c r="L295" s="3102">
        <v>0</v>
      </c>
      <c r="M295" s="3102">
        <v>0</v>
      </c>
      <c r="N295" s="3104">
        <v>528480476.60000002</v>
      </c>
      <c r="O295" s="3105">
        <f t="shared" si="4"/>
        <v>1</v>
      </c>
      <c r="P295" s="3106">
        <v>0</v>
      </c>
      <c r="Q295" s="3107"/>
    </row>
    <row r="296" spans="1:17" ht="20.100000000000001" customHeight="1">
      <c r="A296" s="3095">
        <v>292</v>
      </c>
      <c r="B296" s="3230" t="s">
        <v>961</v>
      </c>
      <c r="C296" s="3112" t="s">
        <v>805</v>
      </c>
      <c r="D296" s="3097" t="s">
        <v>29</v>
      </c>
      <c r="E296" s="3098" t="s">
        <v>100</v>
      </c>
      <c r="F296" s="3099" t="s">
        <v>32</v>
      </c>
      <c r="G296" s="3105">
        <v>0</v>
      </c>
      <c r="H296" s="3101">
        <v>0</v>
      </c>
      <c r="I296" s="3110">
        <v>1</v>
      </c>
      <c r="J296" s="3102">
        <v>0</v>
      </c>
      <c r="K296" s="3102">
        <v>0</v>
      </c>
      <c r="L296" s="3102">
        <v>0</v>
      </c>
      <c r="M296" s="3102">
        <v>0</v>
      </c>
      <c r="N296" s="3104">
        <v>1090869.56</v>
      </c>
      <c r="O296" s="3105">
        <f t="shared" si="4"/>
        <v>1</v>
      </c>
      <c r="P296" s="3106">
        <v>0</v>
      </c>
      <c r="Q296" s="3107"/>
    </row>
    <row r="297" spans="1:17" ht="20.100000000000001" customHeight="1">
      <c r="A297" s="3095">
        <v>293</v>
      </c>
      <c r="B297" s="3230" t="s">
        <v>961</v>
      </c>
      <c r="C297" s="3112" t="s">
        <v>805</v>
      </c>
      <c r="D297" s="3097" t="s">
        <v>29</v>
      </c>
      <c r="E297" s="3098" t="s">
        <v>100</v>
      </c>
      <c r="F297" s="3099" t="s">
        <v>964</v>
      </c>
      <c r="G297" s="3101">
        <v>0</v>
      </c>
      <c r="H297" s="3101">
        <v>0</v>
      </c>
      <c r="I297" s="3110">
        <v>1</v>
      </c>
      <c r="J297" s="3102">
        <v>0</v>
      </c>
      <c r="K297" s="3102">
        <v>0</v>
      </c>
      <c r="L297" s="3102">
        <v>0</v>
      </c>
      <c r="M297" s="3102">
        <v>0</v>
      </c>
      <c r="N297" s="3135">
        <v>158107.47</v>
      </c>
      <c r="O297" s="3105">
        <f t="shared" si="4"/>
        <v>1</v>
      </c>
      <c r="P297" s="3106">
        <v>0</v>
      </c>
      <c r="Q297" s="3107"/>
    </row>
    <row r="298" spans="1:17" ht="20.100000000000001" customHeight="1">
      <c r="A298" s="3095">
        <v>294</v>
      </c>
      <c r="B298" s="3230" t="s">
        <v>961</v>
      </c>
      <c r="C298" s="3112" t="s">
        <v>805</v>
      </c>
      <c r="D298" s="3097" t="s">
        <v>68</v>
      </c>
      <c r="E298" s="3112" t="s">
        <v>100</v>
      </c>
      <c r="F298" s="3137" t="s">
        <v>965</v>
      </c>
      <c r="G298" s="3115">
        <v>0</v>
      </c>
      <c r="H298" s="3101">
        <v>0</v>
      </c>
      <c r="I298" s="3102">
        <v>0</v>
      </c>
      <c r="J298" s="3102">
        <v>0</v>
      </c>
      <c r="K298" s="3102">
        <v>0</v>
      </c>
      <c r="L298" s="3110">
        <v>0</v>
      </c>
      <c r="M298" s="3103">
        <v>15</v>
      </c>
      <c r="N298" s="3116">
        <v>88585205.980000004</v>
      </c>
      <c r="O298" s="3105">
        <f t="shared" si="4"/>
        <v>15</v>
      </c>
      <c r="P298" s="3106">
        <v>0</v>
      </c>
      <c r="Q298" s="3107"/>
    </row>
    <row r="299" spans="1:17" ht="20.100000000000001" customHeight="1">
      <c r="A299" s="3095">
        <v>295</v>
      </c>
      <c r="B299" s="3230" t="s">
        <v>961</v>
      </c>
      <c r="C299" s="3112" t="s">
        <v>805</v>
      </c>
      <c r="D299" s="3097" t="s">
        <v>434</v>
      </c>
      <c r="E299" s="3098" t="s">
        <v>100</v>
      </c>
      <c r="F299" s="3113" t="s">
        <v>35</v>
      </c>
      <c r="G299" s="3100">
        <v>0</v>
      </c>
      <c r="H299" s="3101">
        <v>0</v>
      </c>
      <c r="I299" s="3102">
        <v>0</v>
      </c>
      <c r="J299" s="3102">
        <v>0</v>
      </c>
      <c r="K299" s="3103">
        <v>2222</v>
      </c>
      <c r="L299" s="3102">
        <v>0</v>
      </c>
      <c r="M299" s="3102">
        <v>0</v>
      </c>
      <c r="N299" s="3118">
        <v>4386180.62</v>
      </c>
      <c r="O299" s="3105">
        <f t="shared" si="4"/>
        <v>2222</v>
      </c>
      <c r="P299" s="3106">
        <v>0</v>
      </c>
      <c r="Q299" s="3107"/>
    </row>
    <row r="300" spans="1:17" ht="20.100000000000001" customHeight="1">
      <c r="A300" s="3095">
        <v>296</v>
      </c>
      <c r="B300" s="3230" t="s">
        <v>961</v>
      </c>
      <c r="C300" s="3112" t="s">
        <v>805</v>
      </c>
      <c r="D300" s="3097" t="s">
        <v>36</v>
      </c>
      <c r="E300" s="3098" t="s">
        <v>100</v>
      </c>
      <c r="F300" s="3113" t="s">
        <v>52</v>
      </c>
      <c r="G300" s="3100">
        <v>0</v>
      </c>
      <c r="H300" s="3110">
        <v>249</v>
      </c>
      <c r="I300" s="3102">
        <v>0</v>
      </c>
      <c r="J300" s="3102">
        <v>0</v>
      </c>
      <c r="K300" s="3102">
        <v>0</v>
      </c>
      <c r="L300" s="3102">
        <v>0</v>
      </c>
      <c r="M300" s="3102">
        <v>0</v>
      </c>
      <c r="N300" s="3117">
        <v>0</v>
      </c>
      <c r="O300" s="3105">
        <f t="shared" si="4"/>
        <v>249</v>
      </c>
      <c r="P300" s="3106">
        <v>0</v>
      </c>
      <c r="Q300" s="3107"/>
    </row>
    <row r="301" spans="1:17" ht="20.100000000000001" customHeight="1">
      <c r="A301" s="3095">
        <v>297</v>
      </c>
      <c r="B301" s="3230" t="s">
        <v>961</v>
      </c>
      <c r="C301" s="3112" t="s">
        <v>805</v>
      </c>
      <c r="D301" s="3097" t="s">
        <v>36</v>
      </c>
      <c r="E301" s="3098" t="s">
        <v>100</v>
      </c>
      <c r="F301" s="3137" t="s">
        <v>966</v>
      </c>
      <c r="G301" s="3110">
        <v>54</v>
      </c>
      <c r="H301" s="3101">
        <v>0</v>
      </c>
      <c r="I301" s="3102">
        <v>0</v>
      </c>
      <c r="J301" s="3102">
        <v>0</v>
      </c>
      <c r="K301" s="3102">
        <v>0</v>
      </c>
      <c r="L301" s="3102">
        <v>0</v>
      </c>
      <c r="M301" s="3102">
        <v>0</v>
      </c>
      <c r="N301" s="3117">
        <v>0</v>
      </c>
      <c r="O301" s="3105">
        <f t="shared" si="4"/>
        <v>54</v>
      </c>
      <c r="P301" s="3106">
        <v>0</v>
      </c>
      <c r="Q301" s="3107"/>
    </row>
    <row r="302" spans="1:17" ht="20.100000000000001" customHeight="1">
      <c r="A302" s="3095">
        <v>298</v>
      </c>
      <c r="B302" s="3230" t="s">
        <v>967</v>
      </c>
      <c r="C302" s="3112" t="s">
        <v>805</v>
      </c>
      <c r="D302" s="3097" t="s">
        <v>26</v>
      </c>
      <c r="E302" s="3310" t="s">
        <v>968</v>
      </c>
      <c r="F302" s="3113" t="s">
        <v>48</v>
      </c>
      <c r="G302" s="3100">
        <v>0</v>
      </c>
      <c r="H302" s="3101">
        <v>0</v>
      </c>
      <c r="I302" s="3102">
        <v>0</v>
      </c>
      <c r="J302" s="3102">
        <v>0</v>
      </c>
      <c r="K302" s="3102">
        <v>0</v>
      </c>
      <c r="L302" s="3102">
        <v>0</v>
      </c>
      <c r="M302" s="3103">
        <v>1</v>
      </c>
      <c r="N302" s="3109">
        <v>8990</v>
      </c>
      <c r="O302" s="3105">
        <f t="shared" si="4"/>
        <v>1</v>
      </c>
      <c r="P302" s="3106">
        <v>0</v>
      </c>
      <c r="Q302" s="3107"/>
    </row>
    <row r="303" spans="1:17" ht="20.100000000000001" customHeight="1">
      <c r="A303" s="3095">
        <v>299</v>
      </c>
      <c r="B303" s="3230" t="s">
        <v>967</v>
      </c>
      <c r="C303" s="3112" t="s">
        <v>805</v>
      </c>
      <c r="D303" s="3097" t="s">
        <v>786</v>
      </c>
      <c r="E303" s="3310" t="s">
        <v>969</v>
      </c>
      <c r="F303" s="3113" t="s">
        <v>659</v>
      </c>
      <c r="G303" s="3242">
        <v>0</v>
      </c>
      <c r="H303" s="3101">
        <v>0</v>
      </c>
      <c r="I303" s="3102">
        <v>0</v>
      </c>
      <c r="J303" s="3102">
        <v>0</v>
      </c>
      <c r="K303" s="3102">
        <v>0</v>
      </c>
      <c r="L303" s="3110">
        <v>0</v>
      </c>
      <c r="M303" s="3103">
        <v>1</v>
      </c>
      <c r="N303" s="3109">
        <v>12000</v>
      </c>
      <c r="O303" s="3105">
        <f t="shared" si="4"/>
        <v>1</v>
      </c>
      <c r="P303" s="3106">
        <v>0</v>
      </c>
      <c r="Q303" s="3107"/>
    </row>
    <row r="304" spans="1:17" ht="20.100000000000001" customHeight="1">
      <c r="A304" s="3095">
        <v>300</v>
      </c>
      <c r="B304" s="3230" t="s">
        <v>967</v>
      </c>
      <c r="C304" s="3112" t="s">
        <v>805</v>
      </c>
      <c r="D304" s="3097" t="s">
        <v>29</v>
      </c>
      <c r="E304" s="3310" t="s">
        <v>741</v>
      </c>
      <c r="F304" s="3099" t="s">
        <v>49</v>
      </c>
      <c r="G304" s="3105">
        <v>0</v>
      </c>
      <c r="H304" s="3101">
        <v>0</v>
      </c>
      <c r="I304" s="3110">
        <v>1</v>
      </c>
      <c r="J304" s="3102">
        <v>0</v>
      </c>
      <c r="K304" s="3102">
        <v>0</v>
      </c>
      <c r="L304" s="3102">
        <v>0</v>
      </c>
      <c r="M304" s="3102">
        <v>0</v>
      </c>
      <c r="N304" s="3109">
        <v>1048051295</v>
      </c>
      <c r="O304" s="3105">
        <f t="shared" si="4"/>
        <v>1</v>
      </c>
      <c r="P304" s="3106">
        <v>0</v>
      </c>
      <c r="Q304" s="3107"/>
    </row>
    <row r="305" spans="1:17" ht="20.100000000000001" customHeight="1">
      <c r="A305" s="3095">
        <v>301</v>
      </c>
      <c r="B305" s="3230" t="s">
        <v>967</v>
      </c>
      <c r="C305" s="3112" t="s">
        <v>805</v>
      </c>
      <c r="D305" s="3097" t="s">
        <v>29</v>
      </c>
      <c r="E305" s="3310" t="s">
        <v>741</v>
      </c>
      <c r="F305" s="3099" t="s">
        <v>31</v>
      </c>
      <c r="G305" s="3105">
        <v>0</v>
      </c>
      <c r="H305" s="3101">
        <v>0</v>
      </c>
      <c r="I305" s="3110">
        <v>1</v>
      </c>
      <c r="J305" s="3102">
        <v>0</v>
      </c>
      <c r="K305" s="3102">
        <v>0</v>
      </c>
      <c r="L305" s="3102">
        <v>0</v>
      </c>
      <c r="M305" s="3102">
        <v>0</v>
      </c>
      <c r="N305" s="3109">
        <v>0</v>
      </c>
      <c r="O305" s="3105">
        <f t="shared" si="4"/>
        <v>1</v>
      </c>
      <c r="P305" s="3106">
        <v>0</v>
      </c>
      <c r="Q305" s="3107"/>
    </row>
    <row r="306" spans="1:17" ht="20.100000000000001" customHeight="1">
      <c r="A306" s="3095">
        <v>302</v>
      </c>
      <c r="B306" s="3230" t="s">
        <v>967</v>
      </c>
      <c r="C306" s="3112" t="s">
        <v>805</v>
      </c>
      <c r="D306" s="3097" t="s">
        <v>29</v>
      </c>
      <c r="E306" s="3310" t="s">
        <v>890</v>
      </c>
      <c r="F306" s="3099" t="s">
        <v>32</v>
      </c>
      <c r="G306" s="3105">
        <v>0</v>
      </c>
      <c r="H306" s="3101">
        <v>0</v>
      </c>
      <c r="I306" s="3110">
        <v>1</v>
      </c>
      <c r="J306" s="3102">
        <v>0</v>
      </c>
      <c r="K306" s="3102">
        <v>0</v>
      </c>
      <c r="L306" s="3102">
        <v>0</v>
      </c>
      <c r="M306" s="3102">
        <v>0</v>
      </c>
      <c r="N306" s="3109">
        <v>245346.59</v>
      </c>
      <c r="O306" s="3105">
        <f t="shared" si="4"/>
        <v>1</v>
      </c>
      <c r="P306" s="3106">
        <v>0</v>
      </c>
      <c r="Q306" s="3107"/>
    </row>
    <row r="307" spans="1:17" ht="20.100000000000001" customHeight="1">
      <c r="A307" s="3095">
        <v>303</v>
      </c>
      <c r="B307" s="3230" t="s">
        <v>967</v>
      </c>
      <c r="C307" s="3112" t="s">
        <v>805</v>
      </c>
      <c r="D307" s="3097" t="s">
        <v>29</v>
      </c>
      <c r="E307" s="3310" t="s">
        <v>741</v>
      </c>
      <c r="F307" s="3099" t="s">
        <v>207</v>
      </c>
      <c r="G307" s="3101">
        <v>0</v>
      </c>
      <c r="H307" s="3101">
        <v>0</v>
      </c>
      <c r="I307" s="3110">
        <v>1</v>
      </c>
      <c r="J307" s="3102">
        <v>0</v>
      </c>
      <c r="K307" s="3102">
        <v>0</v>
      </c>
      <c r="L307" s="3102">
        <v>0</v>
      </c>
      <c r="M307" s="3102">
        <v>0</v>
      </c>
      <c r="N307" s="3127">
        <v>-1174872.2</v>
      </c>
      <c r="O307" s="3105">
        <f t="shared" si="4"/>
        <v>1</v>
      </c>
      <c r="P307" s="3106">
        <v>0</v>
      </c>
      <c r="Q307" s="3107"/>
    </row>
    <row r="308" spans="1:17" ht="20.100000000000001" customHeight="1">
      <c r="A308" s="3095">
        <v>304</v>
      </c>
      <c r="B308" s="3230" t="s">
        <v>967</v>
      </c>
      <c r="C308" s="3112" t="s">
        <v>805</v>
      </c>
      <c r="D308" s="3097" t="s">
        <v>29</v>
      </c>
      <c r="E308" s="3311" t="s">
        <v>741</v>
      </c>
      <c r="F308" s="3312" t="s">
        <v>970</v>
      </c>
      <c r="G308" s="3139">
        <v>0</v>
      </c>
      <c r="H308" s="3139">
        <v>0</v>
      </c>
      <c r="I308" s="3139">
        <v>1</v>
      </c>
      <c r="J308" s="3139">
        <v>0</v>
      </c>
      <c r="K308" s="3125">
        <v>0</v>
      </c>
      <c r="L308" s="3126">
        <v>0</v>
      </c>
      <c r="M308" s="3126">
        <v>0</v>
      </c>
      <c r="N308" s="3116">
        <v>14990</v>
      </c>
      <c r="O308" s="3105">
        <f t="shared" si="4"/>
        <v>1</v>
      </c>
      <c r="P308" s="3106">
        <v>0</v>
      </c>
      <c r="Q308" s="3107"/>
    </row>
    <row r="309" spans="1:17" ht="20.100000000000001" customHeight="1">
      <c r="A309" s="3095">
        <v>305</v>
      </c>
      <c r="B309" s="3230" t="s">
        <v>967</v>
      </c>
      <c r="C309" s="3112" t="s">
        <v>805</v>
      </c>
      <c r="D309" s="3097" t="s">
        <v>29</v>
      </c>
      <c r="E309" s="3311" t="s">
        <v>971</v>
      </c>
      <c r="F309" s="3131" t="s">
        <v>972</v>
      </c>
      <c r="G309" s="3100">
        <v>0</v>
      </c>
      <c r="H309" s="3101">
        <v>0</v>
      </c>
      <c r="I309" s="3102">
        <v>0</v>
      </c>
      <c r="J309" s="3102">
        <v>0</v>
      </c>
      <c r="K309" s="3102">
        <v>0</v>
      </c>
      <c r="L309" s="3102">
        <v>0</v>
      </c>
      <c r="M309" s="3103">
        <v>1</v>
      </c>
      <c r="N309" s="3116">
        <v>72780.75</v>
      </c>
      <c r="O309" s="3105">
        <f t="shared" si="4"/>
        <v>1</v>
      </c>
      <c r="P309" s="3106">
        <v>0</v>
      </c>
      <c r="Q309" s="3107"/>
    </row>
    <row r="310" spans="1:17" ht="20.100000000000001" customHeight="1">
      <c r="A310" s="3095">
        <v>306</v>
      </c>
      <c r="B310" s="3230" t="s">
        <v>967</v>
      </c>
      <c r="C310" s="3112" t="s">
        <v>805</v>
      </c>
      <c r="D310" s="3097" t="s">
        <v>29</v>
      </c>
      <c r="E310" s="3311" t="s">
        <v>741</v>
      </c>
      <c r="F310" s="3131" t="s">
        <v>973</v>
      </c>
      <c r="G310" s="3100">
        <v>0</v>
      </c>
      <c r="H310" s="3101">
        <v>0</v>
      </c>
      <c r="I310" s="3102">
        <v>0</v>
      </c>
      <c r="J310" s="3102">
        <v>0</v>
      </c>
      <c r="K310" s="3102">
        <v>0</v>
      </c>
      <c r="L310" s="3102">
        <v>0</v>
      </c>
      <c r="M310" s="3103">
        <v>1</v>
      </c>
      <c r="N310" s="3313">
        <v>51806.82</v>
      </c>
      <c r="O310" s="3105">
        <f t="shared" si="4"/>
        <v>1</v>
      </c>
      <c r="P310" s="3106">
        <v>0</v>
      </c>
      <c r="Q310" s="3107"/>
    </row>
    <row r="311" spans="1:17" ht="20.100000000000001" customHeight="1">
      <c r="A311" s="3095">
        <v>307</v>
      </c>
      <c r="B311" s="3230" t="s">
        <v>967</v>
      </c>
      <c r="C311" s="3112" t="s">
        <v>805</v>
      </c>
      <c r="D311" s="3097" t="s">
        <v>434</v>
      </c>
      <c r="E311" s="3311"/>
      <c r="F311" s="3113" t="s">
        <v>34</v>
      </c>
      <c r="G311" s="3100">
        <v>0</v>
      </c>
      <c r="H311" s="3101">
        <v>0</v>
      </c>
      <c r="I311" s="3102">
        <v>0</v>
      </c>
      <c r="J311" s="3103">
        <v>657</v>
      </c>
      <c r="K311" s="3102">
        <v>0</v>
      </c>
      <c r="L311" s="3102">
        <v>0</v>
      </c>
      <c r="M311" s="3102">
        <v>0</v>
      </c>
      <c r="N311" s="3117">
        <v>0</v>
      </c>
      <c r="O311" s="3105">
        <f t="shared" si="4"/>
        <v>657</v>
      </c>
      <c r="P311" s="3106">
        <v>0</v>
      </c>
      <c r="Q311" s="3107"/>
    </row>
    <row r="312" spans="1:17" ht="20.100000000000001" customHeight="1">
      <c r="A312" s="3095">
        <v>308</v>
      </c>
      <c r="B312" s="3230" t="s">
        <v>967</v>
      </c>
      <c r="C312" s="3112" t="s">
        <v>805</v>
      </c>
      <c r="D312" s="3097" t="s">
        <v>434</v>
      </c>
      <c r="E312" s="3310"/>
      <c r="F312" s="3113" t="s">
        <v>35</v>
      </c>
      <c r="G312" s="3100">
        <v>0</v>
      </c>
      <c r="H312" s="3101">
        <v>0</v>
      </c>
      <c r="I312" s="3102">
        <v>0</v>
      </c>
      <c r="J312" s="3102">
        <v>0</v>
      </c>
      <c r="K312" s="3103">
        <v>1620</v>
      </c>
      <c r="L312" s="3102">
        <v>0</v>
      </c>
      <c r="M312" s="3102">
        <v>0</v>
      </c>
      <c r="N312" s="3118">
        <v>12884513.73</v>
      </c>
      <c r="O312" s="3105">
        <f t="shared" si="4"/>
        <v>1620</v>
      </c>
      <c r="P312" s="3106">
        <v>0</v>
      </c>
      <c r="Q312" s="3107"/>
    </row>
    <row r="313" spans="1:17" ht="20.100000000000001" customHeight="1">
      <c r="A313" s="3095">
        <v>309</v>
      </c>
      <c r="B313" s="3230" t="s">
        <v>967</v>
      </c>
      <c r="C313" s="3112" t="s">
        <v>805</v>
      </c>
      <c r="D313" s="3097" t="s">
        <v>365</v>
      </c>
      <c r="E313" s="3310"/>
      <c r="F313" s="3314" t="s">
        <v>104</v>
      </c>
      <c r="G313" s="3101">
        <v>0</v>
      </c>
      <c r="H313" s="3102">
        <v>0</v>
      </c>
      <c r="I313" s="3102">
        <v>0</v>
      </c>
      <c r="J313" s="3102">
        <v>0</v>
      </c>
      <c r="K313" s="3122">
        <v>0</v>
      </c>
      <c r="L313" s="3122">
        <v>0</v>
      </c>
      <c r="M313" s="3126">
        <v>1</v>
      </c>
      <c r="N313" s="3315">
        <v>0</v>
      </c>
      <c r="O313" s="3105">
        <f t="shared" si="4"/>
        <v>1</v>
      </c>
      <c r="P313" s="3106">
        <v>0</v>
      </c>
      <c r="Q313" s="3107"/>
    </row>
    <row r="314" spans="1:17" ht="20.100000000000001" customHeight="1">
      <c r="A314" s="3095">
        <v>310</v>
      </c>
      <c r="B314" s="3230" t="s">
        <v>967</v>
      </c>
      <c r="C314" s="3112" t="s">
        <v>805</v>
      </c>
      <c r="D314" s="3097" t="s">
        <v>36</v>
      </c>
      <c r="E314" s="3310"/>
      <c r="F314" s="3113" t="s">
        <v>52</v>
      </c>
      <c r="G314" s="3101">
        <v>0</v>
      </c>
      <c r="H314" s="3102">
        <v>533</v>
      </c>
      <c r="I314" s="3102">
        <v>0</v>
      </c>
      <c r="J314" s="3102">
        <v>0</v>
      </c>
      <c r="K314" s="3122">
        <v>0</v>
      </c>
      <c r="L314" s="3122">
        <v>0</v>
      </c>
      <c r="M314" s="3126">
        <v>0</v>
      </c>
      <c r="N314" s="3315">
        <v>0</v>
      </c>
      <c r="O314" s="3105">
        <f t="shared" si="4"/>
        <v>533</v>
      </c>
      <c r="P314" s="3106">
        <v>0</v>
      </c>
      <c r="Q314" s="3107"/>
    </row>
    <row r="315" spans="1:17" ht="20.100000000000001" customHeight="1">
      <c r="A315" s="3095">
        <v>311</v>
      </c>
      <c r="B315" s="3230" t="s">
        <v>967</v>
      </c>
      <c r="C315" s="3112" t="s">
        <v>805</v>
      </c>
      <c r="D315" s="3097" t="s">
        <v>36</v>
      </c>
      <c r="E315" s="3310"/>
      <c r="F315" s="3137" t="s">
        <v>974</v>
      </c>
      <c r="G315" s="3110">
        <v>354</v>
      </c>
      <c r="H315" s="3101">
        <v>0</v>
      </c>
      <c r="I315" s="3102">
        <v>0</v>
      </c>
      <c r="J315" s="3102">
        <v>0</v>
      </c>
      <c r="K315" s="3102">
        <v>0</v>
      </c>
      <c r="L315" s="3102">
        <v>0</v>
      </c>
      <c r="M315" s="3102">
        <v>0</v>
      </c>
      <c r="N315" s="3117">
        <v>0</v>
      </c>
      <c r="O315" s="3105">
        <f t="shared" si="4"/>
        <v>354</v>
      </c>
      <c r="P315" s="3106">
        <v>0</v>
      </c>
      <c r="Q315" s="3107"/>
    </row>
    <row r="316" spans="1:17" ht="20.100000000000001" customHeight="1">
      <c r="A316" s="3095">
        <v>312</v>
      </c>
      <c r="B316" s="3230" t="s">
        <v>967</v>
      </c>
      <c r="C316" s="3112" t="s">
        <v>805</v>
      </c>
      <c r="D316" s="3120" t="s">
        <v>442</v>
      </c>
      <c r="E316" s="3316" t="s">
        <v>975</v>
      </c>
      <c r="F316" s="3317" t="s">
        <v>976</v>
      </c>
      <c r="G316" s="3101">
        <v>0</v>
      </c>
      <c r="H316" s="3102">
        <v>0</v>
      </c>
      <c r="I316" s="3102">
        <v>0</v>
      </c>
      <c r="J316" s="3102">
        <v>0</v>
      </c>
      <c r="K316" s="3122">
        <v>0</v>
      </c>
      <c r="L316" s="3122">
        <v>0</v>
      </c>
      <c r="M316" s="3110">
        <v>2</v>
      </c>
      <c r="N316" s="3109">
        <v>1800</v>
      </c>
      <c r="O316" s="3105">
        <f t="shared" si="4"/>
        <v>0</v>
      </c>
      <c r="P316" s="3119">
        <v>2</v>
      </c>
      <c r="Q316" s="3107"/>
    </row>
    <row r="317" spans="1:17" ht="20.100000000000001" customHeight="1">
      <c r="A317" s="3095">
        <v>313</v>
      </c>
      <c r="B317" s="3230" t="s">
        <v>967</v>
      </c>
      <c r="C317" s="3112" t="s">
        <v>805</v>
      </c>
      <c r="D317" s="3120" t="s">
        <v>442</v>
      </c>
      <c r="E317" s="3316" t="s">
        <v>977</v>
      </c>
      <c r="F317" s="3317" t="s">
        <v>978</v>
      </c>
      <c r="G317" s="3101">
        <v>0</v>
      </c>
      <c r="H317" s="3101">
        <v>0</v>
      </c>
      <c r="I317" s="3102">
        <v>0</v>
      </c>
      <c r="J317" s="3102">
        <v>0</v>
      </c>
      <c r="K317" s="3102">
        <v>0</v>
      </c>
      <c r="L317" s="3122">
        <v>0</v>
      </c>
      <c r="M317" s="3110">
        <v>1</v>
      </c>
      <c r="N317" s="3116">
        <v>25000</v>
      </c>
      <c r="O317" s="3105">
        <f t="shared" si="4"/>
        <v>1</v>
      </c>
      <c r="P317" s="3106"/>
      <c r="Q317" s="3107"/>
    </row>
    <row r="318" spans="1:17" ht="20.100000000000001" customHeight="1">
      <c r="A318" s="3095">
        <v>314</v>
      </c>
      <c r="B318" s="3230" t="s">
        <v>967</v>
      </c>
      <c r="C318" s="3112" t="s">
        <v>805</v>
      </c>
      <c r="D318" s="3120" t="s">
        <v>442</v>
      </c>
      <c r="E318" s="3316" t="s">
        <v>150</v>
      </c>
      <c r="F318" s="3317" t="s">
        <v>979</v>
      </c>
      <c r="G318" s="3101">
        <v>0</v>
      </c>
      <c r="H318" s="3101">
        <v>0</v>
      </c>
      <c r="I318" s="3102">
        <v>0</v>
      </c>
      <c r="J318" s="3102">
        <v>0</v>
      </c>
      <c r="K318" s="3102">
        <v>0</v>
      </c>
      <c r="L318" s="3122">
        <v>0</v>
      </c>
      <c r="M318" s="3110">
        <v>2</v>
      </c>
      <c r="N318" s="3129">
        <v>11000</v>
      </c>
      <c r="O318" s="3105">
        <f t="shared" si="4"/>
        <v>0</v>
      </c>
      <c r="P318" s="3119">
        <v>2</v>
      </c>
      <c r="Q318" s="3107"/>
    </row>
    <row r="319" spans="1:17" ht="20.100000000000001" customHeight="1">
      <c r="A319" s="3095">
        <v>315</v>
      </c>
      <c r="B319" s="3230" t="s">
        <v>967</v>
      </c>
      <c r="C319" s="3112" t="s">
        <v>805</v>
      </c>
      <c r="D319" s="3120" t="s">
        <v>442</v>
      </c>
      <c r="E319" s="3316" t="s">
        <v>388</v>
      </c>
      <c r="F319" s="3317" t="s">
        <v>980</v>
      </c>
      <c r="G319" s="3101">
        <v>0</v>
      </c>
      <c r="H319" s="3101">
        <v>0</v>
      </c>
      <c r="I319" s="3102">
        <v>0</v>
      </c>
      <c r="J319" s="3102">
        <v>0</v>
      </c>
      <c r="K319" s="3102">
        <v>0</v>
      </c>
      <c r="L319" s="3122">
        <v>0</v>
      </c>
      <c r="M319" s="3110">
        <v>2</v>
      </c>
      <c r="N319" s="3129">
        <v>2800</v>
      </c>
      <c r="O319" s="3105">
        <f t="shared" si="4"/>
        <v>0</v>
      </c>
      <c r="P319" s="3119">
        <v>2</v>
      </c>
      <c r="Q319" s="3107"/>
    </row>
    <row r="320" spans="1:17" ht="20.100000000000001" customHeight="1">
      <c r="A320" s="3095">
        <v>316</v>
      </c>
      <c r="B320" s="3230" t="s">
        <v>967</v>
      </c>
      <c r="C320" s="3112" t="s">
        <v>805</v>
      </c>
      <c r="D320" s="3120" t="s">
        <v>442</v>
      </c>
      <c r="E320" s="3316" t="s">
        <v>336</v>
      </c>
      <c r="F320" s="3317" t="s">
        <v>981</v>
      </c>
      <c r="G320" s="3101">
        <v>0</v>
      </c>
      <c r="H320" s="3101">
        <v>0</v>
      </c>
      <c r="I320" s="3102">
        <v>0</v>
      </c>
      <c r="J320" s="3102">
        <v>0</v>
      </c>
      <c r="K320" s="3102">
        <v>0</v>
      </c>
      <c r="L320" s="3110">
        <v>0</v>
      </c>
      <c r="M320" s="3103">
        <v>1</v>
      </c>
      <c r="N320" s="3109">
        <v>500000</v>
      </c>
      <c r="O320" s="3105">
        <f t="shared" si="4"/>
        <v>0</v>
      </c>
      <c r="P320" s="3119">
        <v>1</v>
      </c>
      <c r="Q320" s="3107"/>
    </row>
    <row r="321" spans="1:17" ht="20.100000000000001" customHeight="1">
      <c r="A321" s="3095">
        <v>317</v>
      </c>
      <c r="B321" s="3230" t="s">
        <v>967</v>
      </c>
      <c r="C321" s="3112" t="s">
        <v>805</v>
      </c>
      <c r="D321" s="3097" t="s">
        <v>105</v>
      </c>
      <c r="E321" s="3310" t="s">
        <v>100</v>
      </c>
      <c r="F321" s="3123" t="s">
        <v>982</v>
      </c>
      <c r="G321" s="3124">
        <v>0</v>
      </c>
      <c r="H321" s="3124">
        <v>0</v>
      </c>
      <c r="I321" s="3124">
        <v>1</v>
      </c>
      <c r="J321" s="3124">
        <v>0</v>
      </c>
      <c r="K321" s="3125">
        <v>0</v>
      </c>
      <c r="L321" s="3126">
        <v>0</v>
      </c>
      <c r="M321" s="3126">
        <v>0</v>
      </c>
      <c r="N321" s="3129">
        <v>15888.42</v>
      </c>
      <c r="O321" s="3105">
        <f t="shared" si="4"/>
        <v>1</v>
      </c>
      <c r="P321" s="3106">
        <v>0</v>
      </c>
      <c r="Q321" s="3107"/>
    </row>
    <row r="322" spans="1:17" ht="20.100000000000001" customHeight="1">
      <c r="A322" s="3095">
        <v>318</v>
      </c>
      <c r="B322" s="3230" t="s">
        <v>983</v>
      </c>
      <c r="C322" s="3112" t="s">
        <v>805</v>
      </c>
      <c r="D322" s="3097" t="s">
        <v>786</v>
      </c>
      <c r="E322" s="3098" t="s">
        <v>788</v>
      </c>
      <c r="F322" s="3128" t="s">
        <v>118</v>
      </c>
      <c r="G322" s="3100">
        <v>0</v>
      </c>
      <c r="H322" s="3101">
        <v>0</v>
      </c>
      <c r="I322" s="3102">
        <v>0</v>
      </c>
      <c r="J322" s="3102">
        <v>0</v>
      </c>
      <c r="K322" s="3102">
        <v>0</v>
      </c>
      <c r="L322" s="3102">
        <v>0</v>
      </c>
      <c r="M322" s="3152">
        <v>1</v>
      </c>
      <c r="N322" s="3104">
        <v>168890.52</v>
      </c>
      <c r="O322" s="3105">
        <f t="shared" si="4"/>
        <v>1</v>
      </c>
      <c r="P322" s="3106">
        <v>0</v>
      </c>
      <c r="Q322" s="3107"/>
    </row>
    <row r="323" spans="1:17" ht="20.100000000000001" customHeight="1">
      <c r="A323" s="3095">
        <v>319</v>
      </c>
      <c r="B323" s="3230" t="s">
        <v>983</v>
      </c>
      <c r="C323" s="3112" t="s">
        <v>805</v>
      </c>
      <c r="D323" s="3097" t="s">
        <v>29</v>
      </c>
      <c r="E323" s="3098" t="s">
        <v>100</v>
      </c>
      <c r="F323" s="3099" t="s">
        <v>49</v>
      </c>
      <c r="G323" s="3105">
        <v>0</v>
      </c>
      <c r="H323" s="3101">
        <v>0</v>
      </c>
      <c r="I323" s="3154">
        <v>1</v>
      </c>
      <c r="J323" s="3102">
        <v>0</v>
      </c>
      <c r="K323" s="3102">
        <v>0</v>
      </c>
      <c r="L323" s="3102">
        <v>0</v>
      </c>
      <c r="M323" s="3102">
        <v>0</v>
      </c>
      <c r="N323" s="3104">
        <v>61142628.009999998</v>
      </c>
      <c r="O323" s="3105">
        <f t="shared" si="4"/>
        <v>1</v>
      </c>
      <c r="P323" s="3106">
        <v>0</v>
      </c>
      <c r="Q323" s="3107"/>
    </row>
    <row r="324" spans="1:17" ht="20.100000000000001" customHeight="1">
      <c r="A324" s="3095">
        <v>320</v>
      </c>
      <c r="B324" s="3230" t="s">
        <v>983</v>
      </c>
      <c r="C324" s="3112" t="s">
        <v>805</v>
      </c>
      <c r="D324" s="3097" t="s">
        <v>29</v>
      </c>
      <c r="E324" s="3098" t="s">
        <v>788</v>
      </c>
      <c r="F324" s="3099" t="s">
        <v>32</v>
      </c>
      <c r="G324" s="3105">
        <v>0</v>
      </c>
      <c r="H324" s="3101">
        <v>0</v>
      </c>
      <c r="I324" s="3110">
        <v>1</v>
      </c>
      <c r="J324" s="3102">
        <v>0</v>
      </c>
      <c r="K324" s="3102">
        <v>0</v>
      </c>
      <c r="L324" s="3102">
        <v>0</v>
      </c>
      <c r="M324" s="3102">
        <v>0</v>
      </c>
      <c r="N324" s="3104">
        <v>8998.31</v>
      </c>
      <c r="O324" s="3105">
        <f t="shared" si="4"/>
        <v>1</v>
      </c>
      <c r="P324" s="3106">
        <v>0</v>
      </c>
      <c r="Q324" s="3107"/>
    </row>
    <row r="325" spans="1:17" ht="20.100000000000001" customHeight="1">
      <c r="A325" s="3095">
        <v>321</v>
      </c>
      <c r="B325" s="3230" t="s">
        <v>983</v>
      </c>
      <c r="C325" s="3112" t="s">
        <v>805</v>
      </c>
      <c r="D325" s="3097" t="s">
        <v>68</v>
      </c>
      <c r="E325" s="3112" t="s">
        <v>741</v>
      </c>
      <c r="F325" s="3137" t="s">
        <v>791</v>
      </c>
      <c r="G325" s="3115">
        <v>0</v>
      </c>
      <c r="H325" s="3101">
        <v>0</v>
      </c>
      <c r="I325" s="3102">
        <v>0</v>
      </c>
      <c r="J325" s="3102">
        <v>0</v>
      </c>
      <c r="K325" s="3102">
        <v>0</v>
      </c>
      <c r="L325" s="3110">
        <v>0</v>
      </c>
      <c r="M325" s="3152">
        <v>1</v>
      </c>
      <c r="N325" s="3318">
        <v>88147.57</v>
      </c>
      <c r="O325" s="3105">
        <f t="shared" si="4"/>
        <v>1</v>
      </c>
      <c r="P325" s="3106">
        <v>0</v>
      </c>
      <c r="Q325" s="3107"/>
    </row>
    <row r="326" spans="1:17" ht="20.100000000000001" customHeight="1">
      <c r="A326" s="3095">
        <v>322</v>
      </c>
      <c r="B326" s="3230" t="s">
        <v>983</v>
      </c>
      <c r="C326" s="3112" t="s">
        <v>805</v>
      </c>
      <c r="D326" s="3097" t="s">
        <v>434</v>
      </c>
      <c r="E326" s="3112" t="s">
        <v>930</v>
      </c>
      <c r="F326" s="3113" t="s">
        <v>34</v>
      </c>
      <c r="G326" s="3100">
        <v>0</v>
      </c>
      <c r="H326" s="3101">
        <v>0</v>
      </c>
      <c r="I326" s="3102">
        <v>0</v>
      </c>
      <c r="J326" s="3103">
        <v>181</v>
      </c>
      <c r="K326" s="3102">
        <v>0</v>
      </c>
      <c r="L326" s="3102">
        <v>0</v>
      </c>
      <c r="M326" s="3102">
        <v>0</v>
      </c>
      <c r="N326" s="3117">
        <v>0</v>
      </c>
      <c r="O326" s="3105">
        <f t="shared" si="4"/>
        <v>181</v>
      </c>
      <c r="P326" s="3106">
        <v>0</v>
      </c>
      <c r="Q326" s="3107"/>
    </row>
    <row r="327" spans="1:17" ht="20.100000000000001" customHeight="1">
      <c r="A327" s="3095">
        <v>323</v>
      </c>
      <c r="B327" s="3230" t="s">
        <v>983</v>
      </c>
      <c r="C327" s="3112" t="s">
        <v>805</v>
      </c>
      <c r="D327" s="3097" t="s">
        <v>434</v>
      </c>
      <c r="E327" s="3098" t="s">
        <v>930</v>
      </c>
      <c r="F327" s="3113" t="s">
        <v>35</v>
      </c>
      <c r="G327" s="3100">
        <v>0</v>
      </c>
      <c r="H327" s="3101">
        <v>0</v>
      </c>
      <c r="I327" s="3102">
        <v>0</v>
      </c>
      <c r="J327" s="3102">
        <v>0</v>
      </c>
      <c r="K327" s="3152">
        <v>734</v>
      </c>
      <c r="L327" s="3102">
        <v>0</v>
      </c>
      <c r="M327" s="3102">
        <v>0</v>
      </c>
      <c r="N327" s="3277">
        <v>1456676.2</v>
      </c>
      <c r="O327" s="3105">
        <f t="shared" si="4"/>
        <v>734</v>
      </c>
      <c r="P327" s="3106">
        <v>0</v>
      </c>
      <c r="Q327" s="3107"/>
    </row>
    <row r="328" spans="1:17" ht="20.100000000000001" customHeight="1">
      <c r="A328" s="3095">
        <v>324</v>
      </c>
      <c r="B328" s="3230" t="s">
        <v>983</v>
      </c>
      <c r="C328" s="3112" t="s">
        <v>805</v>
      </c>
      <c r="D328" s="3097" t="s">
        <v>36</v>
      </c>
      <c r="E328" s="3112" t="s">
        <v>100</v>
      </c>
      <c r="F328" s="3113" t="s">
        <v>52</v>
      </c>
      <c r="G328" s="3100">
        <v>0</v>
      </c>
      <c r="H328" s="3110">
        <v>408</v>
      </c>
      <c r="I328" s="3102">
        <v>0</v>
      </c>
      <c r="J328" s="3102">
        <v>0</v>
      </c>
      <c r="K328" s="3102">
        <v>0</v>
      </c>
      <c r="L328" s="3102">
        <v>0</v>
      </c>
      <c r="M328" s="3102">
        <v>0</v>
      </c>
      <c r="N328" s="3117">
        <v>0</v>
      </c>
      <c r="O328" s="3105">
        <f t="shared" ref="O328:O366" si="5">G328+H328+I328+J328+K328+L328+M328-P328</f>
        <v>408</v>
      </c>
      <c r="P328" s="3106">
        <v>0</v>
      </c>
      <c r="Q328" s="3107"/>
    </row>
    <row r="329" spans="1:17" ht="20.100000000000001" customHeight="1">
      <c r="A329" s="3095">
        <v>325</v>
      </c>
      <c r="B329" s="3230" t="s">
        <v>983</v>
      </c>
      <c r="C329" s="3112" t="s">
        <v>805</v>
      </c>
      <c r="D329" s="3097" t="s">
        <v>36</v>
      </c>
      <c r="E329" s="3112" t="s">
        <v>100</v>
      </c>
      <c r="F329" s="3137" t="s">
        <v>984</v>
      </c>
      <c r="G329" s="3110">
        <f>H328-322</f>
        <v>86</v>
      </c>
      <c r="H329" s="3101">
        <v>0</v>
      </c>
      <c r="I329" s="3102">
        <v>0</v>
      </c>
      <c r="J329" s="3102">
        <v>0</v>
      </c>
      <c r="K329" s="3102">
        <v>0</v>
      </c>
      <c r="L329" s="3102">
        <v>0</v>
      </c>
      <c r="M329" s="3102">
        <v>0</v>
      </c>
      <c r="N329" s="3117">
        <v>0</v>
      </c>
      <c r="O329" s="3105">
        <f t="shared" si="5"/>
        <v>86</v>
      </c>
      <c r="P329" s="3106">
        <v>0</v>
      </c>
      <c r="Q329" s="3107"/>
    </row>
    <row r="330" spans="1:17" ht="20.100000000000001" customHeight="1">
      <c r="A330" s="3095">
        <v>326</v>
      </c>
      <c r="B330" s="3230" t="s">
        <v>983</v>
      </c>
      <c r="C330" s="3112" t="s">
        <v>805</v>
      </c>
      <c r="D330" s="3097" t="s">
        <v>36</v>
      </c>
      <c r="E330" s="3121" t="s">
        <v>985</v>
      </c>
      <c r="F330" s="3137" t="s">
        <v>795</v>
      </c>
      <c r="G330" s="3101">
        <v>0</v>
      </c>
      <c r="H330" s="3101">
        <v>0</v>
      </c>
      <c r="I330" s="3102">
        <v>0</v>
      </c>
      <c r="J330" s="3102">
        <v>0</v>
      </c>
      <c r="K330" s="3102">
        <v>0</v>
      </c>
      <c r="L330" s="3122">
        <v>0</v>
      </c>
      <c r="M330" s="3110">
        <v>1</v>
      </c>
      <c r="N330" s="3109">
        <v>500000</v>
      </c>
      <c r="O330" s="3105">
        <f t="shared" si="5"/>
        <v>0</v>
      </c>
      <c r="P330" s="3119">
        <v>1</v>
      </c>
      <c r="Q330" s="3107"/>
    </row>
    <row r="331" spans="1:17" ht="20.100000000000001" customHeight="1">
      <c r="A331" s="3095">
        <v>327</v>
      </c>
      <c r="B331" s="3230" t="s">
        <v>983</v>
      </c>
      <c r="C331" s="3112" t="s">
        <v>805</v>
      </c>
      <c r="D331" s="3120" t="s">
        <v>442</v>
      </c>
      <c r="E331" s="3185" t="s">
        <v>986</v>
      </c>
      <c r="F331" s="3137" t="s">
        <v>987</v>
      </c>
      <c r="G331" s="3101">
        <v>0</v>
      </c>
      <c r="H331" s="3101">
        <v>0</v>
      </c>
      <c r="I331" s="3102">
        <v>0</v>
      </c>
      <c r="J331" s="3102">
        <v>0</v>
      </c>
      <c r="K331" s="3102">
        <v>0</v>
      </c>
      <c r="L331" s="3122">
        <v>0</v>
      </c>
      <c r="M331" s="3110">
        <v>1</v>
      </c>
      <c r="N331" s="3319">
        <v>1000000</v>
      </c>
      <c r="O331" s="3105">
        <f t="shared" si="5"/>
        <v>0</v>
      </c>
      <c r="P331" s="3119">
        <v>1</v>
      </c>
      <c r="Q331" s="3107"/>
    </row>
    <row r="332" spans="1:17" ht="20.100000000000001" customHeight="1">
      <c r="A332" s="3095">
        <v>328</v>
      </c>
      <c r="B332" s="3230" t="s">
        <v>988</v>
      </c>
      <c r="C332" s="3112" t="s">
        <v>805</v>
      </c>
      <c r="D332" s="3097" t="s">
        <v>786</v>
      </c>
      <c r="E332" s="3098"/>
      <c r="F332" s="3128" t="s">
        <v>118</v>
      </c>
      <c r="G332" s="3100">
        <v>0</v>
      </c>
      <c r="H332" s="3101">
        <v>0</v>
      </c>
      <c r="I332" s="3102">
        <v>0</v>
      </c>
      <c r="J332" s="3102">
        <v>0</v>
      </c>
      <c r="K332" s="3102">
        <v>0</v>
      </c>
      <c r="L332" s="3102">
        <v>0</v>
      </c>
      <c r="M332" s="3103">
        <v>1</v>
      </c>
      <c r="N332" s="3104">
        <v>12945.35</v>
      </c>
      <c r="O332" s="3105">
        <f t="shared" si="5"/>
        <v>1</v>
      </c>
      <c r="P332" s="3106">
        <v>0</v>
      </c>
      <c r="Q332" s="3107"/>
    </row>
    <row r="333" spans="1:17" ht="20.100000000000001" customHeight="1">
      <c r="A333" s="3095">
        <v>329</v>
      </c>
      <c r="B333" s="3230" t="s">
        <v>988</v>
      </c>
      <c r="C333" s="3112" t="s">
        <v>805</v>
      </c>
      <c r="D333" s="3097" t="s">
        <v>29</v>
      </c>
      <c r="E333" s="3320" t="s">
        <v>100</v>
      </c>
      <c r="F333" s="3099" t="s">
        <v>49</v>
      </c>
      <c r="G333" s="3105">
        <v>0</v>
      </c>
      <c r="H333" s="3101">
        <v>0</v>
      </c>
      <c r="I333" s="3110">
        <v>1</v>
      </c>
      <c r="J333" s="3102">
        <v>0</v>
      </c>
      <c r="K333" s="3102">
        <v>0</v>
      </c>
      <c r="L333" s="3102">
        <v>0</v>
      </c>
      <c r="M333" s="3102">
        <v>0</v>
      </c>
      <c r="N333" s="3321">
        <v>192260622.52000001</v>
      </c>
      <c r="O333" s="3105">
        <f t="shared" si="5"/>
        <v>1</v>
      </c>
      <c r="P333" s="3106">
        <v>0</v>
      </c>
      <c r="Q333" s="3107"/>
    </row>
    <row r="334" spans="1:17" ht="20.100000000000001" customHeight="1">
      <c r="A334" s="3095">
        <v>330</v>
      </c>
      <c r="B334" s="3230" t="s">
        <v>988</v>
      </c>
      <c r="C334" s="3112" t="s">
        <v>805</v>
      </c>
      <c r="D334" s="3097" t="s">
        <v>29</v>
      </c>
      <c r="E334" s="3320"/>
      <c r="F334" s="3322" t="s">
        <v>31</v>
      </c>
      <c r="G334" s="3105">
        <v>0</v>
      </c>
      <c r="H334" s="3101">
        <v>0</v>
      </c>
      <c r="I334" s="3110">
        <v>0</v>
      </c>
      <c r="J334" s="3102">
        <v>0</v>
      </c>
      <c r="K334" s="3102">
        <v>0</v>
      </c>
      <c r="L334" s="3102">
        <v>0</v>
      </c>
      <c r="M334" s="3102">
        <v>0</v>
      </c>
      <c r="N334" s="3104">
        <v>0</v>
      </c>
      <c r="O334" s="3105">
        <f t="shared" si="5"/>
        <v>0</v>
      </c>
      <c r="P334" s="3106">
        <v>0</v>
      </c>
      <c r="Q334" s="3107"/>
    </row>
    <row r="335" spans="1:17" ht="20.100000000000001" customHeight="1">
      <c r="A335" s="3095">
        <v>331</v>
      </c>
      <c r="B335" s="3230" t="s">
        <v>988</v>
      </c>
      <c r="C335" s="3112" t="s">
        <v>805</v>
      </c>
      <c r="D335" s="3097" t="s">
        <v>29</v>
      </c>
      <c r="E335" s="3320"/>
      <c r="F335" s="3099" t="s">
        <v>886</v>
      </c>
      <c r="G335" s="3105">
        <v>0</v>
      </c>
      <c r="H335" s="3101">
        <v>0</v>
      </c>
      <c r="I335" s="3110">
        <v>1</v>
      </c>
      <c r="J335" s="3102">
        <v>0</v>
      </c>
      <c r="K335" s="3102">
        <v>0</v>
      </c>
      <c r="L335" s="3102">
        <v>0</v>
      </c>
      <c r="M335" s="3102">
        <v>0</v>
      </c>
      <c r="N335" s="3104">
        <v>5</v>
      </c>
      <c r="O335" s="3105">
        <f t="shared" si="5"/>
        <v>1</v>
      </c>
      <c r="P335" s="3106">
        <v>0</v>
      </c>
      <c r="Q335" s="3107"/>
    </row>
    <row r="336" spans="1:17" ht="20.100000000000001" customHeight="1">
      <c r="A336" s="3095">
        <v>332</v>
      </c>
      <c r="B336" s="3230" t="s">
        <v>988</v>
      </c>
      <c r="C336" s="3112" t="s">
        <v>805</v>
      </c>
      <c r="D336" s="3097" t="s">
        <v>29</v>
      </c>
      <c r="E336" s="3320" t="s">
        <v>100</v>
      </c>
      <c r="F336" s="3099" t="s">
        <v>32</v>
      </c>
      <c r="G336" s="3105">
        <v>0</v>
      </c>
      <c r="H336" s="3101">
        <v>0</v>
      </c>
      <c r="I336" s="3110">
        <v>1</v>
      </c>
      <c r="J336" s="3102">
        <v>0</v>
      </c>
      <c r="K336" s="3102">
        <v>0</v>
      </c>
      <c r="L336" s="3102">
        <v>0</v>
      </c>
      <c r="M336" s="3102">
        <v>0</v>
      </c>
      <c r="N336" s="3104">
        <v>1740.4</v>
      </c>
      <c r="O336" s="3105">
        <f t="shared" si="5"/>
        <v>1</v>
      </c>
      <c r="P336" s="3106">
        <v>0</v>
      </c>
      <c r="Q336" s="3107"/>
    </row>
    <row r="337" spans="1:17" ht="20.100000000000001" customHeight="1">
      <c r="A337" s="3095">
        <v>333</v>
      </c>
      <c r="B337" s="3230" t="s">
        <v>988</v>
      </c>
      <c r="C337" s="3112" t="s">
        <v>805</v>
      </c>
      <c r="D337" s="3097" t="s">
        <v>29</v>
      </c>
      <c r="E337" s="3320" t="s">
        <v>100</v>
      </c>
      <c r="F337" s="3099" t="s">
        <v>207</v>
      </c>
      <c r="G337" s="3101">
        <v>0</v>
      </c>
      <c r="H337" s="3101">
        <v>0</v>
      </c>
      <c r="I337" s="3110">
        <v>1</v>
      </c>
      <c r="J337" s="3102">
        <v>0</v>
      </c>
      <c r="K337" s="3102">
        <v>0</v>
      </c>
      <c r="L337" s="3102">
        <v>0</v>
      </c>
      <c r="M337" s="3102">
        <v>0</v>
      </c>
      <c r="N337" s="3135">
        <v>6480188.8399999999</v>
      </c>
      <c r="O337" s="3105">
        <f t="shared" si="5"/>
        <v>1</v>
      </c>
      <c r="P337" s="3106">
        <v>0</v>
      </c>
      <c r="Q337" s="3107"/>
    </row>
    <row r="338" spans="1:17" ht="20.100000000000001" customHeight="1">
      <c r="A338" s="3095">
        <v>334</v>
      </c>
      <c r="B338" s="3230" t="s">
        <v>988</v>
      </c>
      <c r="C338" s="3112" t="s">
        <v>805</v>
      </c>
      <c r="D338" s="3097" t="s">
        <v>29</v>
      </c>
      <c r="E338" s="3320"/>
      <c r="F338" s="3099" t="s">
        <v>989</v>
      </c>
      <c r="G338" s="3101">
        <v>0</v>
      </c>
      <c r="H338" s="3101">
        <v>0</v>
      </c>
      <c r="I338" s="3110"/>
      <c r="J338" s="3102">
        <v>0</v>
      </c>
      <c r="K338" s="3102">
        <v>0</v>
      </c>
      <c r="L338" s="3102">
        <v>0</v>
      </c>
      <c r="M338" s="3102">
        <v>1</v>
      </c>
      <c r="N338" s="3135">
        <v>12</v>
      </c>
      <c r="O338" s="3105">
        <f t="shared" si="5"/>
        <v>0</v>
      </c>
      <c r="P338" s="3119">
        <v>1</v>
      </c>
      <c r="Q338" s="3107"/>
    </row>
    <row r="339" spans="1:17" ht="20.100000000000001" customHeight="1">
      <c r="A339" s="3095">
        <v>335</v>
      </c>
      <c r="B339" s="3230" t="s">
        <v>988</v>
      </c>
      <c r="C339" s="3112" t="s">
        <v>805</v>
      </c>
      <c r="D339" s="3097" t="s">
        <v>434</v>
      </c>
      <c r="E339" s="3112"/>
      <c r="F339" s="3113" t="s">
        <v>34</v>
      </c>
      <c r="G339" s="3100">
        <v>0</v>
      </c>
      <c r="H339" s="3101">
        <v>0</v>
      </c>
      <c r="I339" s="3102">
        <v>0</v>
      </c>
      <c r="J339" s="3103">
        <v>20</v>
      </c>
      <c r="K339" s="3102">
        <v>0</v>
      </c>
      <c r="L339" s="3102">
        <v>0</v>
      </c>
      <c r="M339" s="3102">
        <v>0</v>
      </c>
      <c r="N339" s="3117">
        <v>0</v>
      </c>
      <c r="O339" s="3105">
        <f t="shared" si="5"/>
        <v>20</v>
      </c>
      <c r="P339" s="3106">
        <v>0</v>
      </c>
      <c r="Q339" s="3107"/>
    </row>
    <row r="340" spans="1:17" ht="20.100000000000001" customHeight="1">
      <c r="A340" s="3095">
        <v>336</v>
      </c>
      <c r="B340" s="3230" t="s">
        <v>988</v>
      </c>
      <c r="C340" s="3112" t="s">
        <v>805</v>
      </c>
      <c r="D340" s="3097" t="s">
        <v>434</v>
      </c>
      <c r="E340" s="3320" t="s">
        <v>100</v>
      </c>
      <c r="F340" s="3113" t="s">
        <v>35</v>
      </c>
      <c r="G340" s="3100">
        <v>0</v>
      </c>
      <c r="H340" s="3101">
        <v>0</v>
      </c>
      <c r="I340" s="3102">
        <v>0</v>
      </c>
      <c r="J340" s="3102">
        <v>0</v>
      </c>
      <c r="K340" s="3103">
        <v>1</v>
      </c>
      <c r="L340" s="3102">
        <v>0</v>
      </c>
      <c r="M340" s="3102">
        <v>0</v>
      </c>
      <c r="N340" s="3118">
        <v>52</v>
      </c>
      <c r="O340" s="3105">
        <f t="shared" si="5"/>
        <v>1</v>
      </c>
      <c r="P340" s="3106">
        <v>0</v>
      </c>
      <c r="Q340" s="3107"/>
    </row>
    <row r="341" spans="1:17" ht="20.100000000000001" customHeight="1">
      <c r="A341" s="3095">
        <v>337</v>
      </c>
      <c r="B341" s="3230" t="s">
        <v>988</v>
      </c>
      <c r="C341" s="3112" t="s">
        <v>805</v>
      </c>
      <c r="D341" s="3097" t="s">
        <v>36</v>
      </c>
      <c r="E341" s="3320" t="s">
        <v>100</v>
      </c>
      <c r="F341" s="3113" t="s">
        <v>52</v>
      </c>
      <c r="G341" s="3100">
        <v>0</v>
      </c>
      <c r="H341" s="3110">
        <v>249</v>
      </c>
      <c r="I341" s="3102">
        <v>0</v>
      </c>
      <c r="J341" s="3102">
        <v>0</v>
      </c>
      <c r="K341" s="3102">
        <v>0</v>
      </c>
      <c r="L341" s="3102">
        <v>0</v>
      </c>
      <c r="M341" s="3102">
        <v>0</v>
      </c>
      <c r="N341" s="3117">
        <v>0</v>
      </c>
      <c r="O341" s="3105">
        <f t="shared" si="5"/>
        <v>249</v>
      </c>
      <c r="P341" s="3106">
        <v>0</v>
      </c>
      <c r="Q341" s="3107"/>
    </row>
    <row r="342" spans="1:17" ht="20.100000000000001" customHeight="1">
      <c r="A342" s="3095">
        <v>338</v>
      </c>
      <c r="B342" s="3230" t="s">
        <v>988</v>
      </c>
      <c r="C342" s="3112" t="s">
        <v>805</v>
      </c>
      <c r="D342" s="3097" t="s">
        <v>36</v>
      </c>
      <c r="E342" s="3320" t="s">
        <v>100</v>
      </c>
      <c r="F342" s="3137" t="s">
        <v>966</v>
      </c>
      <c r="G342" s="3110">
        <v>54</v>
      </c>
      <c r="H342" s="3101">
        <v>0</v>
      </c>
      <c r="I342" s="3102">
        <v>0</v>
      </c>
      <c r="J342" s="3102">
        <v>0</v>
      </c>
      <c r="K342" s="3102">
        <v>0</v>
      </c>
      <c r="L342" s="3102">
        <v>0</v>
      </c>
      <c r="M342" s="3102">
        <v>0</v>
      </c>
      <c r="N342" s="3117">
        <v>0</v>
      </c>
      <c r="O342" s="3105">
        <f t="shared" si="5"/>
        <v>54</v>
      </c>
      <c r="P342" s="3106">
        <v>0</v>
      </c>
      <c r="Q342" s="3107"/>
    </row>
    <row r="343" spans="1:17" ht="20.100000000000001" customHeight="1">
      <c r="A343" s="3095">
        <v>339</v>
      </c>
      <c r="B343" s="3230" t="s">
        <v>988</v>
      </c>
      <c r="C343" s="3112" t="s">
        <v>805</v>
      </c>
      <c r="D343" s="3120" t="s">
        <v>442</v>
      </c>
      <c r="E343" s="3323" t="s">
        <v>100</v>
      </c>
      <c r="F343" s="3137" t="s">
        <v>795</v>
      </c>
      <c r="G343" s="3101">
        <v>0</v>
      </c>
      <c r="H343" s="3101">
        <v>0</v>
      </c>
      <c r="I343" s="3102">
        <v>0</v>
      </c>
      <c r="J343" s="3102">
        <v>0</v>
      </c>
      <c r="K343" s="3102">
        <v>0</v>
      </c>
      <c r="L343" s="3122">
        <v>0</v>
      </c>
      <c r="M343" s="3110">
        <v>1</v>
      </c>
      <c r="N343" s="3144">
        <v>17900</v>
      </c>
      <c r="O343" s="3105">
        <f t="shared" si="5"/>
        <v>0</v>
      </c>
      <c r="P343" s="3119">
        <v>1</v>
      </c>
      <c r="Q343" s="3107"/>
    </row>
    <row r="344" spans="1:17" ht="20.100000000000001" customHeight="1">
      <c r="A344" s="3095">
        <v>340</v>
      </c>
      <c r="B344" s="3230" t="s">
        <v>988</v>
      </c>
      <c r="C344" s="3112" t="s">
        <v>805</v>
      </c>
      <c r="D344" s="3120" t="s">
        <v>442</v>
      </c>
      <c r="E344" s="3323" t="s">
        <v>100</v>
      </c>
      <c r="F344" s="3137" t="s">
        <v>796</v>
      </c>
      <c r="G344" s="3101">
        <v>0</v>
      </c>
      <c r="H344" s="3101">
        <v>0</v>
      </c>
      <c r="I344" s="3102">
        <v>0</v>
      </c>
      <c r="J344" s="3102">
        <v>0</v>
      </c>
      <c r="K344" s="3102">
        <v>0</v>
      </c>
      <c r="L344" s="3122">
        <v>0</v>
      </c>
      <c r="M344" s="3110">
        <v>2</v>
      </c>
      <c r="N344" s="3144">
        <v>166000</v>
      </c>
      <c r="O344" s="3105">
        <f t="shared" si="5"/>
        <v>0</v>
      </c>
      <c r="P344" s="3119">
        <v>2</v>
      </c>
      <c r="Q344" s="3107"/>
    </row>
    <row r="345" spans="1:17" ht="20.100000000000001" customHeight="1">
      <c r="A345" s="3095">
        <v>341</v>
      </c>
      <c r="B345" s="3230" t="s">
        <v>990</v>
      </c>
      <c r="C345" s="3112" t="s">
        <v>805</v>
      </c>
      <c r="D345" s="3097" t="s">
        <v>786</v>
      </c>
      <c r="E345" s="3098" t="s">
        <v>515</v>
      </c>
      <c r="F345" s="3128" t="s">
        <v>991</v>
      </c>
      <c r="G345" s="3100">
        <v>0</v>
      </c>
      <c r="H345" s="3101">
        <v>0</v>
      </c>
      <c r="I345" s="3102">
        <v>0</v>
      </c>
      <c r="J345" s="3102">
        <v>0</v>
      </c>
      <c r="K345" s="3102">
        <v>0</v>
      </c>
      <c r="L345" s="3102">
        <v>0</v>
      </c>
      <c r="M345" s="3103">
        <v>1</v>
      </c>
      <c r="N345" s="3104">
        <v>-8609.25</v>
      </c>
      <c r="O345" s="3105">
        <f t="shared" si="5"/>
        <v>1</v>
      </c>
      <c r="P345" s="3106">
        <v>0</v>
      </c>
      <c r="Q345" s="3107"/>
    </row>
    <row r="346" spans="1:17" ht="20.100000000000001" customHeight="1">
      <c r="A346" s="3095">
        <v>342</v>
      </c>
      <c r="B346" s="3230" t="s">
        <v>990</v>
      </c>
      <c r="C346" s="3112" t="s">
        <v>805</v>
      </c>
      <c r="D346" s="3097" t="s">
        <v>29</v>
      </c>
      <c r="E346" s="3098"/>
      <c r="F346" s="3099" t="s">
        <v>899</v>
      </c>
      <c r="G346" s="3100">
        <v>0</v>
      </c>
      <c r="H346" s="3101">
        <v>0</v>
      </c>
      <c r="I346" s="3102">
        <v>1</v>
      </c>
      <c r="J346" s="3102">
        <v>0</v>
      </c>
      <c r="K346" s="3102">
        <v>0</v>
      </c>
      <c r="L346" s="3102">
        <v>0</v>
      </c>
      <c r="M346" s="3103">
        <v>0</v>
      </c>
      <c r="N346" s="3104">
        <v>-19027808.809999999</v>
      </c>
      <c r="O346" s="3105">
        <f t="shared" si="5"/>
        <v>1</v>
      </c>
      <c r="P346" s="3106">
        <v>0</v>
      </c>
      <c r="Q346" s="3107"/>
    </row>
    <row r="347" spans="1:17" ht="20.100000000000001" customHeight="1">
      <c r="A347" s="3095">
        <v>343</v>
      </c>
      <c r="B347" s="3230" t="s">
        <v>990</v>
      </c>
      <c r="C347" s="3112" t="s">
        <v>805</v>
      </c>
      <c r="D347" s="3097" t="s">
        <v>29</v>
      </c>
      <c r="E347" s="3138">
        <v>44470</v>
      </c>
      <c r="F347" s="3099" t="s">
        <v>32</v>
      </c>
      <c r="G347" s="3101">
        <v>0</v>
      </c>
      <c r="H347" s="3101">
        <v>0</v>
      </c>
      <c r="I347" s="3110">
        <v>1</v>
      </c>
      <c r="J347" s="3102">
        <v>0</v>
      </c>
      <c r="K347" s="3102">
        <v>0</v>
      </c>
      <c r="L347" s="3102">
        <v>0</v>
      </c>
      <c r="M347" s="3102">
        <v>0</v>
      </c>
      <c r="N347" s="3104">
        <v>0.42</v>
      </c>
      <c r="O347" s="3105">
        <f t="shared" si="5"/>
        <v>1</v>
      </c>
      <c r="P347" s="3106">
        <v>0</v>
      </c>
      <c r="Q347" s="3107"/>
    </row>
    <row r="348" spans="1:17" ht="20.100000000000001" customHeight="1">
      <c r="A348" s="3095">
        <v>344</v>
      </c>
      <c r="B348" s="3230" t="s">
        <v>990</v>
      </c>
      <c r="C348" s="3112" t="s">
        <v>805</v>
      </c>
      <c r="D348" s="3097" t="s">
        <v>29</v>
      </c>
      <c r="E348" s="3141">
        <v>45572</v>
      </c>
      <c r="F348" s="3099" t="s">
        <v>875</v>
      </c>
      <c r="G348" s="3101">
        <v>0</v>
      </c>
      <c r="H348" s="3101">
        <v>0</v>
      </c>
      <c r="I348" s="3110">
        <v>1</v>
      </c>
      <c r="J348" s="3102">
        <v>0</v>
      </c>
      <c r="K348" s="3102">
        <v>0</v>
      </c>
      <c r="L348" s="3102">
        <v>0</v>
      </c>
      <c r="M348" s="3102">
        <v>0</v>
      </c>
      <c r="N348" s="3135">
        <v>30</v>
      </c>
      <c r="O348" s="3105">
        <f t="shared" si="5"/>
        <v>1</v>
      </c>
      <c r="P348" s="3106">
        <v>0</v>
      </c>
      <c r="Q348" s="3107"/>
    </row>
    <row r="349" spans="1:17" ht="20.100000000000001" customHeight="1">
      <c r="A349" s="3095">
        <v>345</v>
      </c>
      <c r="B349" s="3230" t="s">
        <v>990</v>
      </c>
      <c r="C349" s="3112" t="s">
        <v>805</v>
      </c>
      <c r="D349" s="3097" t="s">
        <v>29</v>
      </c>
      <c r="E349" s="3141" t="s">
        <v>876</v>
      </c>
      <c r="F349" s="3099" t="s">
        <v>992</v>
      </c>
      <c r="G349" s="3101">
        <v>0</v>
      </c>
      <c r="H349" s="3101">
        <v>0</v>
      </c>
      <c r="I349" s="3110">
        <v>1</v>
      </c>
      <c r="J349" s="3102">
        <v>0</v>
      </c>
      <c r="K349" s="3102">
        <v>0</v>
      </c>
      <c r="L349" s="3102">
        <v>0</v>
      </c>
      <c r="M349" s="3102">
        <v>0</v>
      </c>
      <c r="N349" s="3135">
        <v>1055</v>
      </c>
      <c r="O349" s="3105">
        <f t="shared" si="5"/>
        <v>1</v>
      </c>
      <c r="P349" s="3106">
        <v>0</v>
      </c>
      <c r="Q349" s="3107"/>
    </row>
    <row r="350" spans="1:17" ht="20.100000000000001" customHeight="1">
      <c r="A350" s="3095">
        <v>346</v>
      </c>
      <c r="B350" s="3230" t="s">
        <v>990</v>
      </c>
      <c r="C350" s="3112" t="s">
        <v>805</v>
      </c>
      <c r="D350" s="3097" t="s">
        <v>442</v>
      </c>
      <c r="E350" s="3141" t="s">
        <v>993</v>
      </c>
      <c r="F350" s="3131" t="s">
        <v>994</v>
      </c>
      <c r="G350" s="3100">
        <v>0</v>
      </c>
      <c r="H350" s="3101">
        <v>0</v>
      </c>
      <c r="I350" s="3102">
        <v>0</v>
      </c>
      <c r="J350" s="3102">
        <v>0</v>
      </c>
      <c r="K350" s="3102">
        <v>0</v>
      </c>
      <c r="L350" s="3102">
        <v>0</v>
      </c>
      <c r="M350" s="3103">
        <v>1</v>
      </c>
      <c r="N350" s="3109">
        <v>31064.66</v>
      </c>
      <c r="O350" s="3105">
        <f t="shared" si="5"/>
        <v>1</v>
      </c>
      <c r="P350" s="3106">
        <v>0</v>
      </c>
      <c r="Q350" s="3107"/>
    </row>
    <row r="351" spans="1:17" ht="20.100000000000001" customHeight="1">
      <c r="A351" s="3095">
        <v>347</v>
      </c>
      <c r="B351" s="3230" t="s">
        <v>990</v>
      </c>
      <c r="C351" s="3112" t="s">
        <v>805</v>
      </c>
      <c r="D351" s="3097" t="s">
        <v>434</v>
      </c>
      <c r="E351" s="3112" t="s">
        <v>100</v>
      </c>
      <c r="F351" s="3113" t="s">
        <v>34</v>
      </c>
      <c r="G351" s="3100">
        <v>0</v>
      </c>
      <c r="H351" s="3101">
        <v>0</v>
      </c>
      <c r="I351" s="3102">
        <v>0</v>
      </c>
      <c r="J351" s="3103">
        <v>154</v>
      </c>
      <c r="K351" s="3102">
        <v>0</v>
      </c>
      <c r="L351" s="3102">
        <v>0</v>
      </c>
      <c r="M351" s="3102">
        <v>0</v>
      </c>
      <c r="N351" s="3117">
        <v>7700</v>
      </c>
      <c r="O351" s="3105">
        <f t="shared" si="5"/>
        <v>153</v>
      </c>
      <c r="P351" s="3119">
        <v>1</v>
      </c>
      <c r="Q351" s="3107"/>
    </row>
    <row r="352" spans="1:17" ht="20.100000000000001" customHeight="1">
      <c r="A352" s="3095">
        <v>348</v>
      </c>
      <c r="B352" s="3230" t="s">
        <v>990</v>
      </c>
      <c r="C352" s="3112" t="s">
        <v>805</v>
      </c>
      <c r="D352" s="3097" t="s">
        <v>434</v>
      </c>
      <c r="E352" s="3098" t="s">
        <v>100</v>
      </c>
      <c r="F352" s="3113" t="s">
        <v>35</v>
      </c>
      <c r="G352" s="3100">
        <v>0</v>
      </c>
      <c r="H352" s="3101">
        <v>0</v>
      </c>
      <c r="I352" s="3102">
        <v>0</v>
      </c>
      <c r="J352" s="3102">
        <v>0</v>
      </c>
      <c r="K352" s="3103">
        <v>220</v>
      </c>
      <c r="L352" s="3102">
        <v>0</v>
      </c>
      <c r="M352" s="3102">
        <v>0</v>
      </c>
      <c r="N352" s="3118">
        <v>2349874.69</v>
      </c>
      <c r="O352" s="3105">
        <f t="shared" si="5"/>
        <v>220</v>
      </c>
      <c r="P352" s="3106">
        <v>0</v>
      </c>
      <c r="Q352" s="3107"/>
    </row>
    <row r="353" spans="1:17" ht="20.100000000000001" customHeight="1">
      <c r="A353" s="3095">
        <v>349</v>
      </c>
      <c r="B353" s="3230" t="s">
        <v>990</v>
      </c>
      <c r="C353" s="3112" t="s">
        <v>805</v>
      </c>
      <c r="D353" s="3097" t="s">
        <v>36</v>
      </c>
      <c r="E353" s="3098" t="s">
        <v>515</v>
      </c>
      <c r="F353" s="3113" t="s">
        <v>52</v>
      </c>
      <c r="G353" s="3100">
        <v>0</v>
      </c>
      <c r="H353" s="3110">
        <v>141</v>
      </c>
      <c r="I353" s="3102">
        <v>0</v>
      </c>
      <c r="J353" s="3102">
        <v>0</v>
      </c>
      <c r="K353" s="3102">
        <v>0</v>
      </c>
      <c r="L353" s="3102">
        <v>0</v>
      </c>
      <c r="M353" s="3102">
        <v>0</v>
      </c>
      <c r="N353" s="3117">
        <v>0</v>
      </c>
      <c r="O353" s="3105">
        <f t="shared" si="5"/>
        <v>104</v>
      </c>
      <c r="P353" s="3119">
        <v>37</v>
      </c>
      <c r="Q353" s="3107"/>
    </row>
    <row r="354" spans="1:17" ht="20.100000000000001" customHeight="1">
      <c r="A354" s="3095">
        <v>350</v>
      </c>
      <c r="B354" s="3230" t="s">
        <v>990</v>
      </c>
      <c r="C354" s="3112" t="s">
        <v>805</v>
      </c>
      <c r="D354" s="3097" t="s">
        <v>36</v>
      </c>
      <c r="E354" s="3098" t="s">
        <v>515</v>
      </c>
      <c r="F354" s="3137" t="s">
        <v>995</v>
      </c>
      <c r="G354" s="3110">
        <f>141-51</f>
        <v>90</v>
      </c>
      <c r="H354" s="3101">
        <v>0</v>
      </c>
      <c r="I354" s="3102">
        <v>0</v>
      </c>
      <c r="J354" s="3102">
        <v>0</v>
      </c>
      <c r="K354" s="3102">
        <v>0</v>
      </c>
      <c r="L354" s="3102">
        <v>0</v>
      </c>
      <c r="M354" s="3102">
        <v>0</v>
      </c>
      <c r="N354" s="3117">
        <v>0</v>
      </c>
      <c r="O354" s="3105">
        <f t="shared" si="5"/>
        <v>0</v>
      </c>
      <c r="P354" s="3119">
        <v>90</v>
      </c>
      <c r="Q354" s="3107"/>
    </row>
    <row r="355" spans="1:17" ht="20.100000000000001" customHeight="1">
      <c r="A355" s="3095">
        <v>351</v>
      </c>
      <c r="B355" s="3230" t="s">
        <v>996</v>
      </c>
      <c r="C355" s="3112" t="s">
        <v>805</v>
      </c>
      <c r="D355" s="3324" t="s">
        <v>26</v>
      </c>
      <c r="E355" s="3325" t="s">
        <v>849</v>
      </c>
      <c r="F355" s="3113" t="s">
        <v>48</v>
      </c>
      <c r="G355" s="3282">
        <v>0</v>
      </c>
      <c r="H355" s="3283">
        <v>0</v>
      </c>
      <c r="I355" s="3284">
        <v>0</v>
      </c>
      <c r="J355" s="3284">
        <v>0</v>
      </c>
      <c r="K355" s="3284">
        <v>0</v>
      </c>
      <c r="L355" s="3284">
        <v>0</v>
      </c>
      <c r="M355" s="3178">
        <v>1</v>
      </c>
      <c r="N355" s="3326">
        <v>901.5</v>
      </c>
      <c r="O355" s="3105">
        <f t="shared" si="5"/>
        <v>1</v>
      </c>
      <c r="P355" s="3106">
        <v>0</v>
      </c>
      <c r="Q355" s="3107"/>
    </row>
    <row r="356" spans="1:17" ht="20.100000000000001" customHeight="1">
      <c r="A356" s="3095">
        <v>352</v>
      </c>
      <c r="B356" s="3230" t="s">
        <v>996</v>
      </c>
      <c r="C356" s="3112" t="s">
        <v>805</v>
      </c>
      <c r="D356" s="3324" t="s">
        <v>103</v>
      </c>
      <c r="E356" s="3325" t="s">
        <v>997</v>
      </c>
      <c r="F356" s="3147" t="s">
        <v>3112</v>
      </c>
      <c r="G356" s="3282">
        <v>0</v>
      </c>
      <c r="H356" s="3283">
        <v>0</v>
      </c>
      <c r="I356" s="3284">
        <v>0</v>
      </c>
      <c r="J356" s="3284">
        <v>0</v>
      </c>
      <c r="K356" s="3284">
        <v>0</v>
      </c>
      <c r="L356" s="3178">
        <v>7</v>
      </c>
      <c r="M356" s="3284">
        <v>0</v>
      </c>
      <c r="N356" s="3326">
        <v>281.77999999999997</v>
      </c>
      <c r="O356" s="3105">
        <f t="shared" si="5"/>
        <v>7</v>
      </c>
      <c r="P356" s="3106">
        <v>0</v>
      </c>
      <c r="Q356" s="3107"/>
    </row>
    <row r="357" spans="1:17" ht="20.100000000000001" customHeight="1">
      <c r="A357" s="3095">
        <v>353</v>
      </c>
      <c r="B357" s="3230" t="s">
        <v>996</v>
      </c>
      <c r="C357" s="3112" t="s">
        <v>805</v>
      </c>
      <c r="D357" s="3097" t="s">
        <v>29</v>
      </c>
      <c r="E357" s="3325"/>
      <c r="F357" s="3108" t="s">
        <v>899</v>
      </c>
      <c r="G357" s="3282">
        <v>0</v>
      </c>
      <c r="H357" s="3283">
        <v>0</v>
      </c>
      <c r="I357" s="3284">
        <v>1</v>
      </c>
      <c r="J357" s="3284">
        <v>0</v>
      </c>
      <c r="K357" s="3284">
        <v>0</v>
      </c>
      <c r="L357" s="3178">
        <v>0</v>
      </c>
      <c r="M357" s="3284">
        <v>0</v>
      </c>
      <c r="N357" s="3326">
        <v>14156928.390000001</v>
      </c>
      <c r="O357" s="3105">
        <f t="shared" si="5"/>
        <v>1</v>
      </c>
      <c r="P357" s="3106">
        <v>0</v>
      </c>
      <c r="Q357" s="3107"/>
    </row>
    <row r="358" spans="1:17" ht="20.100000000000001" customHeight="1">
      <c r="A358" s="3095">
        <v>354</v>
      </c>
      <c r="B358" s="3230" t="s">
        <v>996</v>
      </c>
      <c r="C358" s="3112" t="s">
        <v>805</v>
      </c>
      <c r="D358" s="3097" t="s">
        <v>29</v>
      </c>
      <c r="E358" s="3325" t="s">
        <v>100</v>
      </c>
      <c r="F358" s="3099" t="s">
        <v>32</v>
      </c>
      <c r="G358" s="3327">
        <v>0</v>
      </c>
      <c r="H358" s="3283">
        <v>0</v>
      </c>
      <c r="I358" s="3180">
        <v>1</v>
      </c>
      <c r="J358" s="3284">
        <v>0</v>
      </c>
      <c r="K358" s="3284">
        <v>0</v>
      </c>
      <c r="L358" s="3284">
        <v>0</v>
      </c>
      <c r="M358" s="3284">
        <v>0</v>
      </c>
      <c r="N358" s="3328">
        <v>165.4</v>
      </c>
      <c r="O358" s="3105">
        <f t="shared" si="5"/>
        <v>1</v>
      </c>
      <c r="P358" s="3106">
        <v>0</v>
      </c>
      <c r="Q358" s="3107"/>
    </row>
    <row r="359" spans="1:17" ht="20.100000000000001" customHeight="1">
      <c r="A359" s="3095">
        <v>355</v>
      </c>
      <c r="B359" s="3230" t="s">
        <v>996</v>
      </c>
      <c r="C359" s="3112" t="s">
        <v>805</v>
      </c>
      <c r="D359" s="3097" t="s">
        <v>29</v>
      </c>
      <c r="E359" s="3325" t="s">
        <v>788</v>
      </c>
      <c r="F359" s="3099" t="s">
        <v>50</v>
      </c>
      <c r="G359" s="3283">
        <v>0</v>
      </c>
      <c r="H359" s="3283">
        <v>0</v>
      </c>
      <c r="I359" s="3180">
        <v>1</v>
      </c>
      <c r="J359" s="3284">
        <v>0</v>
      </c>
      <c r="K359" s="3284">
        <v>0</v>
      </c>
      <c r="L359" s="3284">
        <v>0</v>
      </c>
      <c r="M359" s="3284">
        <v>0</v>
      </c>
      <c r="N359" s="3329">
        <v>522.64</v>
      </c>
      <c r="O359" s="3105">
        <f t="shared" si="5"/>
        <v>1</v>
      </c>
      <c r="P359" s="3106">
        <v>0</v>
      </c>
      <c r="Q359" s="3107"/>
    </row>
    <row r="360" spans="1:17" ht="20.100000000000001" customHeight="1">
      <c r="A360" s="3095">
        <v>356</v>
      </c>
      <c r="B360" s="3230" t="s">
        <v>996</v>
      </c>
      <c r="C360" s="3112" t="s">
        <v>805</v>
      </c>
      <c r="D360" s="3324" t="s">
        <v>29</v>
      </c>
      <c r="E360" s="3330" t="s">
        <v>998</v>
      </c>
      <c r="F360" s="3331" t="s">
        <v>999</v>
      </c>
      <c r="G360" s="3332">
        <v>0</v>
      </c>
      <c r="H360" s="3332">
        <v>0</v>
      </c>
      <c r="I360" s="3332">
        <v>0</v>
      </c>
      <c r="J360" s="3332">
        <v>0</v>
      </c>
      <c r="K360" s="3333">
        <v>0</v>
      </c>
      <c r="L360" s="3334">
        <v>0</v>
      </c>
      <c r="M360" s="3334">
        <v>1</v>
      </c>
      <c r="N360" s="3335">
        <v>17803.87</v>
      </c>
      <c r="O360" s="3105">
        <f t="shared" si="5"/>
        <v>1</v>
      </c>
      <c r="P360" s="3106">
        <v>0</v>
      </c>
      <c r="Q360" s="3107"/>
    </row>
    <row r="361" spans="1:17" ht="20.100000000000001" customHeight="1">
      <c r="A361" s="3095">
        <v>357</v>
      </c>
      <c r="B361" s="3230" t="s">
        <v>996</v>
      </c>
      <c r="C361" s="3112" t="s">
        <v>805</v>
      </c>
      <c r="D361" s="3324" t="s">
        <v>29</v>
      </c>
      <c r="E361" s="3336" t="s">
        <v>1000</v>
      </c>
      <c r="F361" s="3131" t="s">
        <v>1001</v>
      </c>
      <c r="G361" s="3282">
        <v>0</v>
      </c>
      <c r="H361" s="3283">
        <v>0</v>
      </c>
      <c r="I361" s="3284">
        <v>0</v>
      </c>
      <c r="J361" s="3284">
        <v>0</v>
      </c>
      <c r="K361" s="3284">
        <v>0</v>
      </c>
      <c r="L361" s="3284">
        <v>0</v>
      </c>
      <c r="M361" s="3178">
        <v>1</v>
      </c>
      <c r="N361" s="3326">
        <v>450</v>
      </c>
      <c r="O361" s="3105">
        <f t="shared" si="5"/>
        <v>0</v>
      </c>
      <c r="P361" s="3119">
        <v>1</v>
      </c>
      <c r="Q361" s="3107"/>
    </row>
    <row r="362" spans="1:17" ht="20.100000000000001" customHeight="1">
      <c r="A362" s="3095">
        <v>358</v>
      </c>
      <c r="B362" s="3230" t="s">
        <v>996</v>
      </c>
      <c r="C362" s="3112" t="s">
        <v>805</v>
      </c>
      <c r="D362" s="3324" t="s">
        <v>29</v>
      </c>
      <c r="E362" s="3330" t="s">
        <v>997</v>
      </c>
      <c r="F362" s="3131" t="s">
        <v>51</v>
      </c>
      <c r="G362" s="3282">
        <v>0</v>
      </c>
      <c r="H362" s="3283">
        <v>0</v>
      </c>
      <c r="I362" s="3284">
        <v>0</v>
      </c>
      <c r="J362" s="3284">
        <v>0</v>
      </c>
      <c r="K362" s="3284">
        <v>0</v>
      </c>
      <c r="L362" s="3284">
        <v>0</v>
      </c>
      <c r="M362" s="3178">
        <v>1</v>
      </c>
      <c r="N362" s="3337">
        <v>35900.639999999999</v>
      </c>
      <c r="O362" s="3105">
        <f t="shared" si="5"/>
        <v>1</v>
      </c>
      <c r="P362" s="3106">
        <v>0</v>
      </c>
      <c r="Q362" s="3107"/>
    </row>
    <row r="363" spans="1:17" ht="20.100000000000001" customHeight="1">
      <c r="A363" s="3095">
        <v>359</v>
      </c>
      <c r="B363" s="3230" t="s">
        <v>996</v>
      </c>
      <c r="C363" s="3112" t="s">
        <v>805</v>
      </c>
      <c r="D363" s="3097" t="s">
        <v>434</v>
      </c>
      <c r="E363" s="3338" t="s">
        <v>817</v>
      </c>
      <c r="F363" s="3113" t="s">
        <v>35</v>
      </c>
      <c r="G363" s="3282">
        <v>0</v>
      </c>
      <c r="H363" s="3283">
        <v>0</v>
      </c>
      <c r="I363" s="3284">
        <v>0</v>
      </c>
      <c r="J363" s="3284">
        <v>0</v>
      </c>
      <c r="K363" s="3178">
        <v>10</v>
      </c>
      <c r="L363" s="3284">
        <v>0</v>
      </c>
      <c r="M363" s="3284">
        <v>0</v>
      </c>
      <c r="N363" s="3339">
        <v>0</v>
      </c>
      <c r="O363" s="3105">
        <f t="shared" si="5"/>
        <v>10</v>
      </c>
      <c r="P363" s="3106">
        <v>0</v>
      </c>
      <c r="Q363" s="3107"/>
    </row>
    <row r="364" spans="1:17" ht="20.100000000000001" customHeight="1">
      <c r="A364" s="3095">
        <v>360</v>
      </c>
      <c r="B364" s="3230" t="s">
        <v>996</v>
      </c>
      <c r="C364" s="3112" t="s">
        <v>805</v>
      </c>
      <c r="D364" s="3097" t="s">
        <v>36</v>
      </c>
      <c r="E364" s="3338"/>
      <c r="F364" s="3113" t="s">
        <v>52</v>
      </c>
      <c r="G364" s="3282">
        <v>0</v>
      </c>
      <c r="H364" s="3180">
        <v>620</v>
      </c>
      <c r="I364" s="3284">
        <v>0</v>
      </c>
      <c r="J364" s="3284">
        <v>0</v>
      </c>
      <c r="K364" s="3284">
        <v>0</v>
      </c>
      <c r="L364" s="3284">
        <v>0</v>
      </c>
      <c r="M364" s="3284">
        <v>0</v>
      </c>
      <c r="N364" s="3182">
        <v>0</v>
      </c>
      <c r="O364" s="3105">
        <f t="shared" si="5"/>
        <v>620</v>
      </c>
      <c r="P364" s="3106">
        <v>0</v>
      </c>
      <c r="Q364" s="3107"/>
    </row>
    <row r="365" spans="1:17" ht="20.100000000000001" customHeight="1">
      <c r="A365" s="3095">
        <v>361</v>
      </c>
      <c r="B365" s="3230" t="s">
        <v>996</v>
      </c>
      <c r="C365" s="3112" t="s">
        <v>805</v>
      </c>
      <c r="D365" s="3097" t="s">
        <v>36</v>
      </c>
      <c r="E365" s="3338"/>
      <c r="F365" s="3137" t="s">
        <v>1002</v>
      </c>
      <c r="G365" s="3180">
        <v>200</v>
      </c>
      <c r="H365" s="3283">
        <v>0</v>
      </c>
      <c r="I365" s="3284">
        <v>0</v>
      </c>
      <c r="J365" s="3284">
        <v>0</v>
      </c>
      <c r="K365" s="3284">
        <v>0</v>
      </c>
      <c r="L365" s="3284">
        <v>0</v>
      </c>
      <c r="M365" s="3284">
        <v>0</v>
      </c>
      <c r="N365" s="3182">
        <v>0</v>
      </c>
      <c r="O365" s="3105">
        <f t="shared" si="5"/>
        <v>200</v>
      </c>
      <c r="P365" s="3106">
        <v>0</v>
      </c>
      <c r="Q365" s="3107"/>
    </row>
    <row r="366" spans="1:17" ht="20.100000000000001" customHeight="1">
      <c r="A366" s="3095">
        <v>362</v>
      </c>
      <c r="B366" s="3230" t="s">
        <v>996</v>
      </c>
      <c r="C366" s="3112" t="s">
        <v>805</v>
      </c>
      <c r="D366" s="3324" t="s">
        <v>105</v>
      </c>
      <c r="E366" s="3338" t="s">
        <v>1003</v>
      </c>
      <c r="F366" s="3123" t="s">
        <v>1004</v>
      </c>
      <c r="G366" s="3156">
        <v>0</v>
      </c>
      <c r="H366" s="3156">
        <v>0</v>
      </c>
      <c r="I366" s="3156">
        <v>0</v>
      </c>
      <c r="J366" s="3156">
        <v>0</v>
      </c>
      <c r="K366" s="3333">
        <v>0</v>
      </c>
      <c r="L366" s="3334">
        <v>0</v>
      </c>
      <c r="M366" s="3334">
        <v>1</v>
      </c>
      <c r="N366" s="3340">
        <v>1123.25</v>
      </c>
      <c r="O366" s="3105">
        <f t="shared" si="5"/>
        <v>1</v>
      </c>
      <c r="P366" s="3106">
        <v>0</v>
      </c>
      <c r="Q366" s="3107"/>
    </row>
    <row r="367" spans="1:17" ht="20.100000000000001" customHeight="1">
      <c r="A367" s="3095">
        <v>363</v>
      </c>
      <c r="B367" s="3230" t="s">
        <v>957</v>
      </c>
      <c r="C367" s="3112" t="s">
        <v>805</v>
      </c>
      <c r="D367" s="3341" t="s">
        <v>1232</v>
      </c>
      <c r="E367" s="3342">
        <v>45839</v>
      </c>
      <c r="F367" s="3343" t="s">
        <v>659</v>
      </c>
      <c r="G367" s="3344"/>
      <c r="H367" s="3345">
        <v>0</v>
      </c>
      <c r="I367" s="3346">
        <v>0</v>
      </c>
      <c r="J367" s="3346">
        <v>0</v>
      </c>
      <c r="K367" s="3346">
        <v>0</v>
      </c>
      <c r="L367" s="3347">
        <v>0</v>
      </c>
      <c r="M367" s="3348">
        <v>1</v>
      </c>
      <c r="N367" s="3349">
        <v>12964.64</v>
      </c>
      <c r="O367" s="3105">
        <f>G367+H367+I367+J367+K367+L367+M367-P367</f>
        <v>1</v>
      </c>
      <c r="P367" s="3106"/>
      <c r="Q367" s="3107"/>
    </row>
    <row r="368" spans="1:17" ht="20.100000000000001" customHeight="1">
      <c r="A368" s="3095">
        <v>364</v>
      </c>
      <c r="B368" s="3230" t="s">
        <v>957</v>
      </c>
      <c r="C368" s="3112" t="s">
        <v>805</v>
      </c>
      <c r="D368" s="3341" t="s">
        <v>1232</v>
      </c>
      <c r="E368" s="3342">
        <v>46203</v>
      </c>
      <c r="F368" s="3350" t="s">
        <v>118</v>
      </c>
      <c r="G368" s="3351">
        <v>0</v>
      </c>
      <c r="H368" s="3345">
        <v>0</v>
      </c>
      <c r="I368" s="3346">
        <v>0</v>
      </c>
      <c r="J368" s="3346">
        <v>0</v>
      </c>
      <c r="K368" s="3346">
        <v>0</v>
      </c>
      <c r="L368" s="3346">
        <v>0</v>
      </c>
      <c r="M368" s="3348">
        <v>1</v>
      </c>
      <c r="N368" s="3349">
        <v>6325.38</v>
      </c>
      <c r="O368" s="3105">
        <f t="shared" ref="O368:O376" si="6">G368+H368+I368+J368+K368+L368+M368-P368</f>
        <v>1</v>
      </c>
      <c r="P368" s="3106"/>
      <c r="Q368" s="3107"/>
    </row>
    <row r="369" spans="1:17" ht="20.100000000000001" customHeight="1">
      <c r="A369" s="3095">
        <v>365</v>
      </c>
      <c r="B369" s="3230" t="s">
        <v>957</v>
      </c>
      <c r="C369" s="3112" t="s">
        <v>805</v>
      </c>
      <c r="D369" s="3341" t="s">
        <v>29</v>
      </c>
      <c r="E369" s="3342">
        <v>45839</v>
      </c>
      <c r="F369" s="3352" t="s">
        <v>49</v>
      </c>
      <c r="G369" s="3349"/>
      <c r="H369" s="3345">
        <v>0</v>
      </c>
      <c r="I369" s="3347">
        <v>1</v>
      </c>
      <c r="J369" s="3346">
        <v>0</v>
      </c>
      <c r="K369" s="3346">
        <v>0</v>
      </c>
      <c r="L369" s="3346">
        <v>0</v>
      </c>
      <c r="M369" s="3346">
        <v>0</v>
      </c>
      <c r="N369" s="3349">
        <v>14652670.98</v>
      </c>
      <c r="O369" s="3105">
        <f t="shared" si="6"/>
        <v>1</v>
      </c>
      <c r="P369" s="3106"/>
      <c r="Q369" s="3107"/>
    </row>
    <row r="370" spans="1:17" ht="20.100000000000001" customHeight="1">
      <c r="A370" s="3095">
        <v>366</v>
      </c>
      <c r="B370" s="3230" t="s">
        <v>957</v>
      </c>
      <c r="C370" s="3112" t="s">
        <v>805</v>
      </c>
      <c r="D370" s="3341" t="s">
        <v>29</v>
      </c>
      <c r="E370" s="3342">
        <v>45839</v>
      </c>
      <c r="F370" s="3352" t="s">
        <v>31</v>
      </c>
      <c r="G370" s="3349"/>
      <c r="H370" s="3345">
        <v>0</v>
      </c>
      <c r="I370" s="3347">
        <v>1</v>
      </c>
      <c r="J370" s="3346">
        <v>0</v>
      </c>
      <c r="K370" s="3346">
        <v>0</v>
      </c>
      <c r="L370" s="3346">
        <v>0</v>
      </c>
      <c r="M370" s="3346">
        <v>0</v>
      </c>
      <c r="N370" s="3349">
        <v>272.01</v>
      </c>
      <c r="O370" s="3105">
        <f t="shared" si="6"/>
        <v>1</v>
      </c>
      <c r="P370" s="3106"/>
      <c r="Q370" s="3107"/>
    </row>
    <row r="371" spans="1:17" ht="20.100000000000001" customHeight="1">
      <c r="A371" s="3095">
        <v>367</v>
      </c>
      <c r="B371" s="3230" t="s">
        <v>957</v>
      </c>
      <c r="C371" s="3112" t="s">
        <v>805</v>
      </c>
      <c r="D371" s="3341" t="s">
        <v>29</v>
      </c>
      <c r="E371" s="3342">
        <v>45839</v>
      </c>
      <c r="F371" s="3352" t="s">
        <v>32</v>
      </c>
      <c r="G371" s="3349"/>
      <c r="H371" s="3345">
        <v>0</v>
      </c>
      <c r="I371" s="3347">
        <v>1</v>
      </c>
      <c r="J371" s="3346">
        <v>0</v>
      </c>
      <c r="K371" s="3346">
        <v>0</v>
      </c>
      <c r="L371" s="3346">
        <v>0</v>
      </c>
      <c r="M371" s="3346">
        <v>0</v>
      </c>
      <c r="N371" s="3349">
        <v>76.959999999999994</v>
      </c>
      <c r="O371" s="3105">
        <f t="shared" si="6"/>
        <v>1</v>
      </c>
      <c r="P371" s="3106"/>
      <c r="Q371" s="3107"/>
    </row>
    <row r="372" spans="1:17" ht="20.100000000000001" customHeight="1">
      <c r="A372" s="3095">
        <v>368</v>
      </c>
      <c r="B372" s="3230" t="s">
        <v>957</v>
      </c>
      <c r="C372" s="3112" t="s">
        <v>805</v>
      </c>
      <c r="D372" s="3353" t="s">
        <v>29</v>
      </c>
      <c r="E372" s="3342">
        <v>45839</v>
      </c>
      <c r="F372" s="3354" t="s">
        <v>3116</v>
      </c>
      <c r="G372" s="3351">
        <v>0</v>
      </c>
      <c r="H372" s="3345">
        <v>0</v>
      </c>
      <c r="I372" s="3346">
        <v>0</v>
      </c>
      <c r="J372" s="3346">
        <v>0</v>
      </c>
      <c r="K372" s="3346">
        <v>0</v>
      </c>
      <c r="L372" s="3346">
        <v>0</v>
      </c>
      <c r="M372" s="3348">
        <v>1</v>
      </c>
      <c r="N372" s="3355">
        <v>182713.76</v>
      </c>
      <c r="O372" s="3105">
        <f t="shared" si="6"/>
        <v>1</v>
      </c>
      <c r="P372" s="3106"/>
      <c r="Q372" s="3107"/>
    </row>
    <row r="373" spans="1:17" ht="20.100000000000001" customHeight="1">
      <c r="A373" s="3095">
        <v>369</v>
      </c>
      <c r="B373" s="3230" t="s">
        <v>957</v>
      </c>
      <c r="C373" s="3112" t="s">
        <v>805</v>
      </c>
      <c r="D373" s="3341" t="s">
        <v>434</v>
      </c>
      <c r="E373" s="3342">
        <v>46233</v>
      </c>
      <c r="F373" s="3356" t="s">
        <v>35</v>
      </c>
      <c r="G373" s="3351">
        <v>0</v>
      </c>
      <c r="H373" s="3345">
        <v>0</v>
      </c>
      <c r="I373" s="3346">
        <v>0</v>
      </c>
      <c r="J373" s="3346">
        <v>0</v>
      </c>
      <c r="K373" s="3348">
        <v>885</v>
      </c>
      <c r="L373" s="3346">
        <v>0</v>
      </c>
      <c r="M373" s="3346">
        <v>0</v>
      </c>
      <c r="N373" s="3357">
        <v>521253.05000000162</v>
      </c>
      <c r="O373" s="3105">
        <f t="shared" si="6"/>
        <v>885</v>
      </c>
      <c r="P373" s="3106">
        <v>0</v>
      </c>
      <c r="Q373" s="3107"/>
    </row>
    <row r="374" spans="1:17" ht="20.100000000000001" customHeight="1">
      <c r="A374" s="3095">
        <v>370</v>
      </c>
      <c r="B374" s="3230" t="s">
        <v>957</v>
      </c>
      <c r="C374" s="3112" t="s">
        <v>805</v>
      </c>
      <c r="D374" s="3341" t="s">
        <v>36</v>
      </c>
      <c r="E374" s="3342">
        <v>45839</v>
      </c>
      <c r="F374" s="3343" t="s">
        <v>52</v>
      </c>
      <c r="G374" s="3351">
        <v>0</v>
      </c>
      <c r="H374" s="3347">
        <v>424</v>
      </c>
      <c r="I374" s="3346">
        <v>0</v>
      </c>
      <c r="J374" s="3346">
        <v>0</v>
      </c>
      <c r="K374" s="3346">
        <v>0</v>
      </c>
      <c r="L374" s="3346">
        <v>0</v>
      </c>
      <c r="M374" s="3346">
        <v>0</v>
      </c>
      <c r="N374" s="3348"/>
      <c r="O374" s="3105">
        <f t="shared" si="6"/>
        <v>424</v>
      </c>
      <c r="P374" s="3106"/>
      <c r="Q374" s="3107"/>
    </row>
    <row r="375" spans="1:17" ht="20.100000000000001" customHeight="1">
      <c r="A375" s="3095">
        <v>371</v>
      </c>
      <c r="B375" s="3230" t="s">
        <v>957</v>
      </c>
      <c r="C375" s="3112" t="s">
        <v>805</v>
      </c>
      <c r="D375" s="3358" t="s">
        <v>442</v>
      </c>
      <c r="E375" s="3342">
        <v>45855</v>
      </c>
      <c r="F375" s="3359" t="s">
        <v>3117</v>
      </c>
      <c r="G375" s="3360"/>
      <c r="H375" s="3345">
        <v>0</v>
      </c>
      <c r="I375" s="3346">
        <v>0</v>
      </c>
      <c r="J375" s="3346">
        <v>0</v>
      </c>
      <c r="K375" s="3346">
        <v>0</v>
      </c>
      <c r="L375" s="3361">
        <v>0</v>
      </c>
      <c r="M375" s="3345">
        <v>1</v>
      </c>
      <c r="N375" s="3362">
        <v>50000</v>
      </c>
      <c r="O375" s="3105">
        <f t="shared" si="6"/>
        <v>0</v>
      </c>
      <c r="P375" s="3119">
        <v>1</v>
      </c>
      <c r="Q375" s="3107"/>
    </row>
    <row r="376" spans="1:17" ht="20.100000000000001" customHeight="1">
      <c r="A376" s="3095">
        <v>372</v>
      </c>
      <c r="B376" s="3230" t="s">
        <v>957</v>
      </c>
      <c r="C376" s="3112" t="s">
        <v>805</v>
      </c>
      <c r="D376" s="3358" t="s">
        <v>442</v>
      </c>
      <c r="E376" s="3342">
        <v>45860</v>
      </c>
      <c r="F376" s="3363" t="s">
        <v>796</v>
      </c>
      <c r="G376" s="3360"/>
      <c r="H376" s="3345">
        <v>0</v>
      </c>
      <c r="I376" s="3346"/>
      <c r="J376" s="3346">
        <v>0</v>
      </c>
      <c r="K376" s="3346">
        <v>0</v>
      </c>
      <c r="L376" s="3361">
        <v>0</v>
      </c>
      <c r="M376" s="3345">
        <v>1</v>
      </c>
      <c r="N376" s="3362">
        <v>50000</v>
      </c>
      <c r="O376" s="3105">
        <f t="shared" si="6"/>
        <v>0</v>
      </c>
      <c r="P376" s="3119">
        <v>1</v>
      </c>
      <c r="Q376" s="3107"/>
    </row>
    <row r="377" spans="1:17" ht="20.100000000000001" customHeight="1">
      <c r="A377" s="117"/>
      <c r="B377" s="117"/>
      <c r="C377" s="117"/>
      <c r="D377" s="117"/>
      <c r="E377" s="118" t="s">
        <v>1005</v>
      </c>
      <c r="F377" s="119"/>
      <c r="G377" s="120">
        <f>SUM(G7:G376)</f>
        <v>5283</v>
      </c>
      <c r="H377" s="120">
        <f t="shared" ref="H377:Q377" si="7">SUM(H7:H376)</f>
        <v>16438</v>
      </c>
      <c r="I377" s="120">
        <f t="shared" si="7"/>
        <v>129</v>
      </c>
      <c r="J377" s="120">
        <f t="shared" si="7"/>
        <v>6798</v>
      </c>
      <c r="K377" s="120">
        <f t="shared" si="7"/>
        <v>27137</v>
      </c>
      <c r="L377" s="120">
        <f t="shared" si="7"/>
        <v>990</v>
      </c>
      <c r="M377" s="120">
        <f t="shared" si="7"/>
        <v>228</v>
      </c>
      <c r="N377" s="120">
        <f t="shared" si="7"/>
        <v>3693953553.1100006</v>
      </c>
      <c r="O377" s="120">
        <f t="shared" si="7"/>
        <v>56608</v>
      </c>
      <c r="P377" s="120">
        <f t="shared" si="7"/>
        <v>395</v>
      </c>
      <c r="Q377" s="120">
        <f t="shared" si="7"/>
        <v>0</v>
      </c>
    </row>
    <row r="378" spans="1:17" ht="20.100000000000001" customHeight="1">
      <c r="A378" s="122"/>
      <c r="B378" s="122"/>
      <c r="C378" s="122"/>
      <c r="D378" s="122"/>
      <c r="E378" s="123"/>
      <c r="F378" s="124"/>
      <c r="G378" s="125" t="s">
        <v>779</v>
      </c>
      <c r="H378" s="125" t="s">
        <v>1006</v>
      </c>
      <c r="I378" s="125" t="s">
        <v>1007</v>
      </c>
      <c r="J378" s="125" t="s">
        <v>9</v>
      </c>
      <c r="K378" s="125" t="s">
        <v>1008</v>
      </c>
      <c r="L378" s="125" t="s">
        <v>1009</v>
      </c>
      <c r="M378" s="125" t="s">
        <v>1010</v>
      </c>
      <c r="N378" s="126" t="s">
        <v>1011</v>
      </c>
      <c r="O378" s="121"/>
      <c r="P378" s="121"/>
      <c r="Q378" s="127"/>
    </row>
    <row r="379" spans="1:17" ht="20.100000000000001" customHeight="1">
      <c r="F379" s="128"/>
      <c r="G379" s="129"/>
      <c r="H379" s="129"/>
      <c r="I379" s="129"/>
      <c r="J379" s="129"/>
      <c r="K379" s="129"/>
      <c r="L379" s="129"/>
      <c r="M379" s="129"/>
      <c r="O379" s="129"/>
      <c r="P379" s="130"/>
      <c r="Q379" s="130"/>
    </row>
    <row r="380" spans="1:17" ht="20.100000000000001" customHeight="1">
      <c r="F380" s="128"/>
      <c r="G380" s="129"/>
      <c r="H380" s="129"/>
      <c r="I380" s="129"/>
      <c r="J380" s="129"/>
      <c r="K380" s="129"/>
      <c r="L380" s="129"/>
      <c r="M380" s="129"/>
      <c r="O380" s="129"/>
      <c r="P380" s="130"/>
      <c r="Q380" s="130"/>
    </row>
    <row r="381" spans="1:17" ht="20.100000000000001" customHeight="1">
      <c r="F381" s="128"/>
      <c r="G381" s="129"/>
      <c r="H381" s="129"/>
      <c r="I381" s="3364"/>
      <c r="J381" s="3364" t="s">
        <v>1012</v>
      </c>
      <c r="K381" s="3364" t="s">
        <v>22</v>
      </c>
      <c r="L381" s="3364" t="s">
        <v>1013</v>
      </c>
      <c r="M381" s="3365"/>
      <c r="O381" s="129"/>
      <c r="P381" s="130"/>
      <c r="Q381" s="130"/>
    </row>
    <row r="382" spans="1:17" ht="20.100000000000001" customHeight="1">
      <c r="F382" s="128"/>
      <c r="G382" s="129"/>
      <c r="H382" s="129"/>
      <c r="I382" s="3366" t="s">
        <v>779</v>
      </c>
      <c r="J382" s="3367">
        <f>G377</f>
        <v>5283</v>
      </c>
      <c r="K382" s="3367">
        <v>90</v>
      </c>
      <c r="L382" s="3367">
        <f>J382-K382</f>
        <v>5193</v>
      </c>
      <c r="M382" s="3365"/>
      <c r="O382" s="129"/>
      <c r="P382" s="130"/>
      <c r="Q382" s="130"/>
    </row>
    <row r="383" spans="1:17" ht="20.100000000000001" customHeight="1">
      <c r="F383" s="128"/>
      <c r="G383" s="129"/>
      <c r="H383" s="129"/>
      <c r="I383" s="3366" t="s">
        <v>1006</v>
      </c>
      <c r="J383" s="3367">
        <f>H377</f>
        <v>16438</v>
      </c>
      <c r="K383" s="3367">
        <v>38</v>
      </c>
      <c r="L383" s="3367">
        <f t="shared" ref="L383:L388" si="8">J383-K383</f>
        <v>16400</v>
      </c>
      <c r="M383" s="3365"/>
      <c r="O383" s="129"/>
      <c r="P383" s="130"/>
      <c r="Q383" s="130"/>
    </row>
    <row r="384" spans="1:17" ht="20.100000000000001" customHeight="1">
      <c r="F384" s="128"/>
      <c r="G384" s="129"/>
      <c r="H384" s="129"/>
      <c r="I384" s="3366" t="s">
        <v>1007</v>
      </c>
      <c r="J384" s="3367">
        <f>I377</f>
        <v>129</v>
      </c>
      <c r="K384" s="3367">
        <v>1</v>
      </c>
      <c r="L384" s="3367">
        <f t="shared" si="8"/>
        <v>128</v>
      </c>
      <c r="M384" s="3365"/>
      <c r="O384" s="129"/>
      <c r="P384" s="130"/>
      <c r="Q384" s="130"/>
    </row>
    <row r="385" spans="6:17" ht="20.100000000000001" customHeight="1">
      <c r="F385" s="128"/>
      <c r="G385" s="129"/>
      <c r="H385" s="129"/>
      <c r="I385" s="3366" t="s">
        <v>9</v>
      </c>
      <c r="J385" s="3367">
        <f>J377</f>
        <v>6798</v>
      </c>
      <c r="K385" s="3368">
        <f>P13+P56+P69+P100+P116+P138+P148+P158+P178+P192+P200+P215+P238+P247+P271+P311+P326+P339+P351</f>
        <v>143</v>
      </c>
      <c r="L385" s="3367">
        <f t="shared" si="8"/>
        <v>6655</v>
      </c>
      <c r="M385" s="3365"/>
      <c r="O385" s="129"/>
      <c r="P385" s="130"/>
      <c r="Q385" s="130"/>
    </row>
    <row r="386" spans="6:17" ht="20.100000000000001" customHeight="1">
      <c r="F386" s="128"/>
      <c r="G386" s="129"/>
      <c r="H386" s="129"/>
      <c r="I386" s="3366" t="s">
        <v>1014</v>
      </c>
      <c r="J386" s="3367">
        <f>K377</f>
        <v>27137</v>
      </c>
      <c r="K386" s="3367">
        <f>P14+P27+P30+P40+P48+P57+P63+P81+P101+P108+P117+P125+P139+P149+P159+P170+P193+P201+P216+P228+P236+P239+P248+P260+P272+P279+P288+P299+P312+P327+P340+P352+P363+P373</f>
        <v>58</v>
      </c>
      <c r="L386" s="3367">
        <f t="shared" si="8"/>
        <v>27079</v>
      </c>
      <c r="M386" s="3365"/>
      <c r="O386" s="129"/>
      <c r="P386" s="130"/>
      <c r="Q386" s="130"/>
    </row>
    <row r="387" spans="6:17" ht="20.100000000000001" customHeight="1">
      <c r="F387" s="128"/>
      <c r="G387" s="129"/>
      <c r="H387" s="129"/>
      <c r="I387" s="3366" t="s">
        <v>1009</v>
      </c>
      <c r="J387" s="3367">
        <f>L377</f>
        <v>990</v>
      </c>
      <c r="K387" s="3368">
        <f>P8+P50+P75+P85+P88+P221+P263+P282+P294+P356</f>
        <v>0</v>
      </c>
      <c r="L387" s="3367">
        <f t="shared" si="8"/>
        <v>990</v>
      </c>
      <c r="M387" s="3365"/>
      <c r="O387" s="129"/>
      <c r="P387" s="130"/>
      <c r="Q387" s="130"/>
    </row>
    <row r="388" spans="6:17" ht="20.100000000000001" customHeight="1">
      <c r="F388" s="128"/>
      <c r="G388" s="129"/>
      <c r="H388" s="129"/>
      <c r="I388" s="3366" t="s">
        <v>1010</v>
      </c>
      <c r="J388" s="3367">
        <f>M377</f>
        <v>228</v>
      </c>
      <c r="K388" s="3368">
        <f>P7+P11+P12+P15+P16+P19+P20+P21+P23+P26+P33+P34+P37+P38+P39+P46+P47+P49+P54+P55+P65+P66+P70+P73+P74+P80+P86+P87+P96+P103+P107+P110+P115+P118+P121+P122+P132+P140+P143+P144+P150+P151+P155+P156+P157+P161+P168+P169+P173+P174+P175+P177+P180+P181+P183+P184+P185+P190+P191+P197+P198+P199+P202+P203+P211+P212+P213+P214+P217+P218+P219+P220+P225+P226+P227+P235+P240+P244+P245+P246+P250+P251+P256+P259+P261+P262+P267+P268+P269+P270+P275+P276+P283+P287+P289+P292+P293+P298+P302+P303+P309+P310+P313+P316+P317+P318+P319+P320+P322+P325+P330+P331+P332+P338+P343+P344+P345+P350+P355+P360+P361+P362+P366+P367+P368+P372+P375+P376</f>
        <v>65</v>
      </c>
      <c r="L388" s="3367">
        <f t="shared" si="8"/>
        <v>163</v>
      </c>
      <c r="M388" s="3369">
        <f>K388/J388</f>
        <v>0.28508771929824561</v>
      </c>
      <c r="O388" s="129"/>
      <c r="P388" s="130"/>
      <c r="Q388" s="130"/>
    </row>
    <row r="389" spans="6:17" ht="20.100000000000001" customHeight="1">
      <c r="F389" s="128"/>
      <c r="G389" s="129"/>
      <c r="H389" s="129"/>
      <c r="I389" s="3366" t="s">
        <v>1005</v>
      </c>
      <c r="J389" s="3370">
        <f>SUM(J382:J388)</f>
        <v>57003</v>
      </c>
      <c r="K389" s="3370">
        <f>SUBTOTAL(9,K382:K388)</f>
        <v>395</v>
      </c>
      <c r="L389" s="3370">
        <f>O377</f>
        <v>56608</v>
      </c>
      <c r="M389" s="3369">
        <f>K389/J389</f>
        <v>6.9294598529901939E-3</v>
      </c>
      <c r="O389" s="129"/>
      <c r="P389" s="130"/>
      <c r="Q389" s="130"/>
    </row>
    <row r="390" spans="6:17" ht="20.100000000000001" customHeight="1">
      <c r="F390" s="128"/>
      <c r="G390" s="129"/>
      <c r="H390" s="129"/>
      <c r="I390" s="129"/>
      <c r="J390" s="129"/>
      <c r="K390" s="129"/>
      <c r="L390" s="129"/>
      <c r="M390" s="129"/>
      <c r="O390" s="129"/>
      <c r="P390" s="130"/>
      <c r="Q390" s="130"/>
    </row>
  </sheetData>
  <mergeCells count="10">
    <mergeCell ref="A1:Q1"/>
    <mergeCell ref="A2:Q2"/>
    <mergeCell ref="A3:Q3"/>
    <mergeCell ref="A4:Q4"/>
    <mergeCell ref="A5:A6"/>
    <mergeCell ref="B5:B6"/>
    <mergeCell ref="C5:C6"/>
    <mergeCell ref="D5:D6"/>
    <mergeCell ref="E5:E6"/>
    <mergeCell ref="G5: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Q1079"/>
  <sheetViews>
    <sheetView topLeftCell="A1057" workbookViewId="0">
      <selection activeCell="P1083" sqref="P1083"/>
    </sheetView>
  </sheetViews>
  <sheetFormatPr defaultRowHeight="15"/>
  <cols>
    <col min="9" max="9" width="12.28515625" customWidth="1"/>
    <col min="13" max="13" width="31.42578125" customWidth="1"/>
    <col min="16" max="17" width="12.140625" customWidth="1"/>
  </cols>
  <sheetData>
    <row r="1" spans="1:17" ht="20.100000000000001" customHeight="1">
      <c r="A1" s="136"/>
      <c r="B1" s="3483" t="s">
        <v>0</v>
      </c>
      <c r="C1" s="3483"/>
      <c r="D1" s="3484"/>
      <c r="E1" s="3483"/>
      <c r="F1" s="3483"/>
      <c r="G1" s="3483"/>
      <c r="H1" s="3483"/>
      <c r="I1" s="3484"/>
      <c r="J1" s="3483"/>
      <c r="K1" s="3483"/>
      <c r="L1" s="3483"/>
      <c r="M1" s="3483"/>
      <c r="N1" s="3483"/>
      <c r="O1" s="136"/>
      <c r="P1" s="136"/>
      <c r="Q1" s="136"/>
    </row>
    <row r="2" spans="1:17" ht="20.100000000000001" customHeight="1">
      <c r="A2" s="136"/>
      <c r="B2" s="3483" t="s">
        <v>1020</v>
      </c>
      <c r="C2" s="3483"/>
      <c r="D2" s="3484"/>
      <c r="E2" s="3483"/>
      <c r="F2" s="3483"/>
      <c r="G2" s="3483"/>
      <c r="H2" s="3483"/>
      <c r="I2" s="3484"/>
      <c r="J2" s="3483"/>
      <c r="K2" s="3483"/>
      <c r="L2" s="3483"/>
      <c r="M2" s="3483"/>
      <c r="N2" s="3483"/>
      <c r="O2" s="136"/>
      <c r="P2" s="136"/>
      <c r="Q2" s="136"/>
    </row>
    <row r="3" spans="1:17" ht="20.100000000000001" customHeight="1">
      <c r="A3" s="136"/>
      <c r="B3" s="3483" t="s">
        <v>1</v>
      </c>
      <c r="C3" s="3483"/>
      <c r="D3" s="3484"/>
      <c r="E3" s="3483"/>
      <c r="F3" s="3483"/>
      <c r="G3" s="3483"/>
      <c r="H3" s="3483"/>
      <c r="I3" s="3484"/>
      <c r="J3" s="3483"/>
      <c r="K3" s="3483"/>
      <c r="L3" s="3483"/>
      <c r="M3" s="3483"/>
      <c r="N3" s="3483"/>
      <c r="O3" s="136"/>
      <c r="P3" s="136"/>
      <c r="Q3" s="136"/>
    </row>
    <row r="4" spans="1:17" ht="20.100000000000001" customHeight="1">
      <c r="A4" s="136"/>
      <c r="B4" s="3485" t="s">
        <v>1021</v>
      </c>
      <c r="C4" s="3485"/>
      <c r="D4" s="3486"/>
      <c r="E4" s="3485"/>
      <c r="F4" s="3485"/>
      <c r="G4" s="3485"/>
      <c r="H4" s="3485"/>
      <c r="I4" s="3486"/>
      <c r="J4" s="3485"/>
      <c r="K4" s="3485"/>
      <c r="L4" s="3485"/>
      <c r="M4" s="3485"/>
      <c r="N4" s="3485"/>
      <c r="O4" s="136"/>
      <c r="P4" s="136"/>
      <c r="Q4" s="136"/>
    </row>
    <row r="5" spans="1:17" ht="20.100000000000001" customHeight="1">
      <c r="A5" s="3487" t="s">
        <v>764</v>
      </c>
      <c r="B5" s="3489" t="s">
        <v>4</v>
      </c>
      <c r="C5" s="3491" t="s">
        <v>5</v>
      </c>
      <c r="D5" s="3493" t="s">
        <v>6</v>
      </c>
      <c r="E5" s="137" t="s">
        <v>7</v>
      </c>
      <c r="F5" s="2697"/>
      <c r="G5" s="3474" t="s">
        <v>8</v>
      </c>
      <c r="H5" s="3474" t="s">
        <v>9</v>
      </c>
      <c r="I5" s="3474" t="s">
        <v>10</v>
      </c>
      <c r="J5" s="3476" t="s">
        <v>11</v>
      </c>
      <c r="K5" s="3477" t="s">
        <v>12</v>
      </c>
      <c r="L5" s="3479" t="s">
        <v>13</v>
      </c>
      <c r="M5" s="3480" t="s">
        <v>14</v>
      </c>
      <c r="N5" s="3481" t="s">
        <v>1022</v>
      </c>
      <c r="O5" s="3470" t="s">
        <v>16</v>
      </c>
      <c r="P5" s="3470"/>
      <c r="Q5" s="3470"/>
    </row>
    <row r="6" spans="1:17" ht="20.100000000000001" customHeight="1">
      <c r="A6" s="3488"/>
      <c r="B6" s="3490"/>
      <c r="C6" s="3492"/>
      <c r="D6" s="3494" t="s">
        <v>6</v>
      </c>
      <c r="E6" s="138" t="s">
        <v>17</v>
      </c>
      <c r="F6" s="138" t="s">
        <v>18</v>
      </c>
      <c r="G6" s="3475"/>
      <c r="H6" s="3475"/>
      <c r="I6" s="3475"/>
      <c r="J6" s="3476"/>
      <c r="K6" s="3478" t="s">
        <v>19</v>
      </c>
      <c r="L6" s="3479"/>
      <c r="M6" s="3480" t="s">
        <v>20</v>
      </c>
      <c r="N6" s="3482"/>
      <c r="O6" s="139" t="s">
        <v>21</v>
      </c>
      <c r="P6" s="140" t="s">
        <v>22</v>
      </c>
      <c r="Q6" s="2696" t="s">
        <v>23</v>
      </c>
    </row>
    <row r="7" spans="1:17" ht="20.100000000000001" customHeight="1">
      <c r="A7" s="141">
        <v>1</v>
      </c>
      <c r="B7" s="142" t="s">
        <v>1023</v>
      </c>
      <c r="C7" s="143" t="s">
        <v>1024</v>
      </c>
      <c r="D7" s="2791" t="s">
        <v>26</v>
      </c>
      <c r="E7" s="144"/>
      <c r="F7" s="144"/>
      <c r="G7" s="144"/>
      <c r="H7" s="144"/>
      <c r="I7" s="144"/>
      <c r="J7" s="145"/>
      <c r="K7" s="146">
        <v>1</v>
      </c>
      <c r="L7" s="147"/>
      <c r="M7" s="148"/>
      <c r="N7" s="149">
        <v>579734</v>
      </c>
      <c r="O7" s="150">
        <f>E7+F7+G7+H7+I7+J7+K7</f>
        <v>1</v>
      </c>
      <c r="P7" s="151"/>
      <c r="Q7" s="151"/>
    </row>
    <row r="8" spans="1:17" ht="20.100000000000001" customHeight="1">
      <c r="A8" s="141">
        <v>2</v>
      </c>
      <c r="B8" s="142" t="s">
        <v>1023</v>
      </c>
      <c r="C8" s="143" t="s">
        <v>1024</v>
      </c>
      <c r="D8" s="2799"/>
      <c r="E8" s="144"/>
      <c r="F8" s="144"/>
      <c r="G8" s="144"/>
      <c r="H8" s="144"/>
      <c r="I8" s="144"/>
      <c r="J8" s="145"/>
      <c r="K8" s="152">
        <v>1</v>
      </c>
      <c r="L8" s="153"/>
      <c r="M8" s="154" t="s">
        <v>1025</v>
      </c>
      <c r="N8" s="155">
        <v>0</v>
      </c>
      <c r="O8" s="150">
        <f>E8+F8+G8+H8+I8+J8+K8</f>
        <v>1</v>
      </c>
      <c r="P8" s="151"/>
      <c r="Q8" s="151"/>
    </row>
    <row r="9" spans="1:17" ht="20.100000000000001" hidden="1" customHeight="1">
      <c r="A9" s="141">
        <v>3</v>
      </c>
      <c r="B9" s="142" t="s">
        <v>1023</v>
      </c>
      <c r="C9" s="143" t="s">
        <v>1024</v>
      </c>
      <c r="D9" s="3471" t="s">
        <v>29</v>
      </c>
      <c r="E9" s="144"/>
      <c r="F9" s="144"/>
      <c r="G9" s="144"/>
      <c r="H9" s="144"/>
      <c r="I9" s="144"/>
      <c r="J9" s="145"/>
      <c r="K9" s="156"/>
      <c r="L9" s="157"/>
      <c r="M9" s="158" t="s">
        <v>1026</v>
      </c>
      <c r="N9" s="159"/>
      <c r="O9" s="150">
        <f t="shared" ref="O9:O72" si="0">E9+F9+G9+H9+I9+J9+K9</f>
        <v>0</v>
      </c>
      <c r="P9" s="151"/>
      <c r="Q9" s="151"/>
    </row>
    <row r="10" spans="1:17" ht="20.100000000000001" hidden="1" customHeight="1">
      <c r="A10" s="141">
        <v>4</v>
      </c>
      <c r="B10" s="142" t="s">
        <v>1023</v>
      </c>
      <c r="C10" s="143" t="s">
        <v>1024</v>
      </c>
      <c r="D10" s="3472"/>
      <c r="E10" s="144"/>
      <c r="F10" s="144"/>
      <c r="G10" s="160">
        <v>1</v>
      </c>
      <c r="H10" s="144"/>
      <c r="I10" s="144"/>
      <c r="J10" s="145"/>
      <c r="K10" s="152"/>
      <c r="L10" s="153"/>
      <c r="M10" s="161" t="s">
        <v>119</v>
      </c>
      <c r="N10" s="155">
        <v>-4394768.33</v>
      </c>
      <c r="O10" s="150">
        <f t="shared" si="0"/>
        <v>1</v>
      </c>
      <c r="P10" s="151"/>
      <c r="Q10" s="151"/>
    </row>
    <row r="11" spans="1:17" ht="20.100000000000001" hidden="1" customHeight="1">
      <c r="A11" s="141">
        <v>5</v>
      </c>
      <c r="B11" s="142" t="s">
        <v>1023</v>
      </c>
      <c r="C11" s="143" t="s">
        <v>1024</v>
      </c>
      <c r="D11" s="3472"/>
      <c r="E11" s="144"/>
      <c r="F11" s="144"/>
      <c r="G11" s="160">
        <v>1</v>
      </c>
      <c r="H11" s="144"/>
      <c r="I11" s="144"/>
      <c r="J11" s="145"/>
      <c r="K11" s="152"/>
      <c r="L11" s="153"/>
      <c r="M11" s="161" t="s">
        <v>49</v>
      </c>
      <c r="N11" s="155">
        <v>-613248625.5</v>
      </c>
      <c r="O11" s="150">
        <f t="shared" si="0"/>
        <v>1</v>
      </c>
      <c r="P11" s="151"/>
      <c r="Q11" s="151"/>
    </row>
    <row r="12" spans="1:17" ht="20.100000000000001" hidden="1" customHeight="1">
      <c r="A12" s="141">
        <v>6</v>
      </c>
      <c r="B12" s="142" t="s">
        <v>1023</v>
      </c>
      <c r="C12" s="143" t="s">
        <v>1024</v>
      </c>
      <c r="D12" s="3472"/>
      <c r="E12" s="144"/>
      <c r="F12" s="144"/>
      <c r="G12" s="160">
        <v>1</v>
      </c>
      <c r="H12" s="144"/>
      <c r="I12" s="144"/>
      <c r="J12" s="145"/>
      <c r="K12" s="152"/>
      <c r="L12" s="153"/>
      <c r="M12" s="161" t="s">
        <v>32</v>
      </c>
      <c r="N12" s="162">
        <v>30607.14</v>
      </c>
      <c r="O12" s="150">
        <f t="shared" si="0"/>
        <v>1</v>
      </c>
      <c r="P12" s="151"/>
      <c r="Q12" s="151"/>
    </row>
    <row r="13" spans="1:17" ht="20.100000000000001" hidden="1" customHeight="1">
      <c r="A13" s="141">
        <v>7</v>
      </c>
      <c r="B13" s="142" t="s">
        <v>1023</v>
      </c>
      <c r="C13" s="143" t="s">
        <v>1024</v>
      </c>
      <c r="D13" s="3472"/>
      <c r="E13" s="144"/>
      <c r="F13" s="144"/>
      <c r="G13" s="160">
        <v>1</v>
      </c>
      <c r="H13" s="144"/>
      <c r="I13" s="144"/>
      <c r="J13" s="145"/>
      <c r="K13" s="163"/>
      <c r="L13" s="164"/>
      <c r="M13" s="165" t="s">
        <v>1027</v>
      </c>
      <c r="N13" s="104">
        <v>1175664.55</v>
      </c>
      <c r="O13" s="150">
        <f t="shared" si="0"/>
        <v>1</v>
      </c>
      <c r="P13" s="151"/>
      <c r="Q13" s="151"/>
    </row>
    <row r="14" spans="1:17" ht="20.100000000000001" hidden="1" customHeight="1">
      <c r="A14" s="141">
        <v>8</v>
      </c>
      <c r="B14" s="142" t="s">
        <v>1023</v>
      </c>
      <c r="C14" s="143" t="s">
        <v>1024</v>
      </c>
      <c r="D14" s="3472"/>
      <c r="E14" s="144"/>
      <c r="F14" s="144"/>
      <c r="G14" s="144"/>
      <c r="H14" s="144"/>
      <c r="I14" s="144"/>
      <c r="J14" s="145"/>
      <c r="K14" s="166"/>
      <c r="L14" s="167"/>
      <c r="M14" s="168" t="s">
        <v>1028</v>
      </c>
      <c r="N14" s="169"/>
      <c r="O14" s="150">
        <f t="shared" si="0"/>
        <v>0</v>
      </c>
      <c r="P14" s="151"/>
      <c r="Q14" s="151"/>
    </row>
    <row r="15" spans="1:17" ht="20.100000000000001" hidden="1" customHeight="1">
      <c r="A15" s="141">
        <v>9</v>
      </c>
      <c r="B15" s="142" t="s">
        <v>1023</v>
      </c>
      <c r="C15" s="143" t="s">
        <v>1024</v>
      </c>
      <c r="D15" s="3472"/>
      <c r="E15" s="170"/>
      <c r="F15" s="170"/>
      <c r="G15" s="160">
        <v>1</v>
      </c>
      <c r="H15" s="170"/>
      <c r="I15" s="170"/>
      <c r="J15" s="171"/>
      <c r="K15" s="172"/>
      <c r="L15" s="173"/>
      <c r="M15" s="174" t="s">
        <v>183</v>
      </c>
      <c r="N15" s="175">
        <v>89957.59</v>
      </c>
      <c r="O15" s="150">
        <f t="shared" si="0"/>
        <v>1</v>
      </c>
      <c r="P15" s="151"/>
      <c r="Q15" s="151"/>
    </row>
    <row r="16" spans="1:17" ht="20.100000000000001" hidden="1" customHeight="1">
      <c r="A16" s="141">
        <v>10</v>
      </c>
      <c r="B16" s="142" t="s">
        <v>1023</v>
      </c>
      <c r="C16" s="143" t="s">
        <v>1024</v>
      </c>
      <c r="D16" s="3472"/>
      <c r="E16" s="170"/>
      <c r="F16" s="170"/>
      <c r="G16" s="160">
        <v>1</v>
      </c>
      <c r="H16" s="170"/>
      <c r="I16" s="170"/>
      <c r="J16" s="171"/>
      <c r="K16" s="172"/>
      <c r="L16" s="173"/>
      <c r="M16" s="148" t="s">
        <v>886</v>
      </c>
      <c r="N16" s="175">
        <v>1500</v>
      </c>
      <c r="O16" s="150">
        <f t="shared" si="0"/>
        <v>1</v>
      </c>
      <c r="P16" s="151"/>
      <c r="Q16" s="151"/>
    </row>
    <row r="17" spans="1:17" ht="20.100000000000001" hidden="1" customHeight="1">
      <c r="A17" s="141">
        <v>11</v>
      </c>
      <c r="B17" s="142" t="s">
        <v>1023</v>
      </c>
      <c r="C17" s="143" t="s">
        <v>1024</v>
      </c>
      <c r="D17" s="3472"/>
      <c r="E17" s="144"/>
      <c r="F17" s="144"/>
      <c r="G17" s="144"/>
      <c r="H17" s="144"/>
      <c r="I17" s="144"/>
      <c r="J17" s="145"/>
      <c r="K17" s="166"/>
      <c r="L17" s="167"/>
      <c r="M17" s="176" t="s">
        <v>1029</v>
      </c>
      <c r="N17" s="177"/>
      <c r="O17" s="150">
        <f t="shared" si="0"/>
        <v>0</v>
      </c>
      <c r="P17" s="151"/>
      <c r="Q17" s="151"/>
    </row>
    <row r="18" spans="1:17" ht="20.100000000000001" customHeight="1">
      <c r="A18" s="141">
        <v>12</v>
      </c>
      <c r="B18" s="142" t="s">
        <v>1023</v>
      </c>
      <c r="C18" s="143" t="s">
        <v>1030</v>
      </c>
      <c r="D18" s="3472"/>
      <c r="E18" s="144"/>
      <c r="F18" s="144"/>
      <c r="G18" s="144"/>
      <c r="H18" s="144"/>
      <c r="I18" s="144"/>
      <c r="J18" s="145"/>
      <c r="K18" s="178">
        <v>1</v>
      </c>
      <c r="L18" s="179"/>
      <c r="M18" s="180" t="s">
        <v>1031</v>
      </c>
      <c r="N18" s="155">
        <v>-19221.55</v>
      </c>
      <c r="O18" s="150">
        <f t="shared" si="0"/>
        <v>1</v>
      </c>
      <c r="P18" s="151"/>
      <c r="Q18" s="151"/>
    </row>
    <row r="19" spans="1:17" ht="20.100000000000001" customHeight="1">
      <c r="A19" s="141">
        <v>13</v>
      </c>
      <c r="B19" s="142" t="s">
        <v>1023</v>
      </c>
      <c r="C19" s="143" t="s">
        <v>1024</v>
      </c>
      <c r="D19" s="3472"/>
      <c r="E19" s="144"/>
      <c r="F19" s="144"/>
      <c r="G19" s="144"/>
      <c r="H19" s="144"/>
      <c r="I19" s="144"/>
      <c r="J19" s="145"/>
      <c r="K19" s="178">
        <v>1</v>
      </c>
      <c r="L19" s="179"/>
      <c r="M19" s="180" t="s">
        <v>1032</v>
      </c>
      <c r="N19" s="181">
        <v>-9108.73</v>
      </c>
      <c r="O19" s="150">
        <f t="shared" si="0"/>
        <v>1</v>
      </c>
      <c r="P19" s="151"/>
      <c r="Q19" s="151"/>
    </row>
    <row r="20" spans="1:17" ht="20.100000000000001" customHeight="1">
      <c r="A20" s="141">
        <v>14</v>
      </c>
      <c r="B20" s="142" t="s">
        <v>1023</v>
      </c>
      <c r="C20" s="143" t="s">
        <v>1024</v>
      </c>
      <c r="D20" s="3472"/>
      <c r="E20" s="144"/>
      <c r="F20" s="144"/>
      <c r="G20" s="144"/>
      <c r="H20" s="144"/>
      <c r="I20" s="144"/>
      <c r="J20" s="145"/>
      <c r="K20" s="178">
        <v>1</v>
      </c>
      <c r="L20" s="179"/>
      <c r="M20" s="180" t="s">
        <v>1033</v>
      </c>
      <c r="N20" s="155">
        <v>-11887831.810000001</v>
      </c>
      <c r="O20" s="150">
        <f t="shared" si="0"/>
        <v>1</v>
      </c>
      <c r="P20" s="151"/>
      <c r="Q20" s="151"/>
    </row>
    <row r="21" spans="1:17" ht="20.100000000000001" customHeight="1">
      <c r="A21" s="141">
        <v>15</v>
      </c>
      <c r="B21" s="142" t="s">
        <v>1023</v>
      </c>
      <c r="C21" s="143" t="s">
        <v>1024</v>
      </c>
      <c r="D21" s="3473"/>
      <c r="E21" s="144"/>
      <c r="F21" s="144"/>
      <c r="G21" s="144"/>
      <c r="H21" s="144"/>
      <c r="I21" s="144"/>
      <c r="J21" s="145"/>
      <c r="K21" s="178">
        <v>1</v>
      </c>
      <c r="L21" s="179"/>
      <c r="M21" s="180" t="s">
        <v>1034</v>
      </c>
      <c r="N21" s="155">
        <v>43170.66</v>
      </c>
      <c r="O21" s="150">
        <f t="shared" si="0"/>
        <v>1</v>
      </c>
      <c r="P21" s="151"/>
      <c r="Q21" s="151"/>
    </row>
    <row r="22" spans="1:17" ht="20.100000000000001" customHeight="1">
      <c r="A22" s="141">
        <v>16</v>
      </c>
      <c r="B22" s="142" t="s">
        <v>1023</v>
      </c>
      <c r="C22" s="143" t="s">
        <v>1024</v>
      </c>
      <c r="D22" s="182" t="s">
        <v>68</v>
      </c>
      <c r="E22" s="170"/>
      <c r="F22" s="170"/>
      <c r="G22" s="170"/>
      <c r="H22" s="170"/>
      <c r="I22" s="170"/>
      <c r="J22" s="171"/>
      <c r="K22" s="172">
        <v>3</v>
      </c>
      <c r="L22" s="183"/>
      <c r="M22" s="184" t="s">
        <v>1035</v>
      </c>
      <c r="N22" s="175">
        <v>19960880.66</v>
      </c>
      <c r="O22" s="150">
        <f t="shared" si="0"/>
        <v>3</v>
      </c>
      <c r="P22" s="151"/>
      <c r="Q22" s="151"/>
    </row>
    <row r="23" spans="1:17" ht="20.100000000000001" hidden="1" customHeight="1">
      <c r="A23" s="141">
        <v>17</v>
      </c>
      <c r="B23" s="142" t="s">
        <v>1023</v>
      </c>
      <c r="C23" s="143" t="s">
        <v>1024</v>
      </c>
      <c r="D23" s="2791" t="s">
        <v>33</v>
      </c>
      <c r="E23" s="144"/>
      <c r="F23" s="144"/>
      <c r="G23" s="144"/>
      <c r="H23" s="160">
        <v>35</v>
      </c>
      <c r="I23" s="144"/>
      <c r="J23" s="145"/>
      <c r="K23" s="172"/>
      <c r="L23" s="173"/>
      <c r="M23" s="185" t="s">
        <v>34</v>
      </c>
      <c r="N23" s="186">
        <v>0</v>
      </c>
      <c r="O23" s="150">
        <f t="shared" si="0"/>
        <v>35</v>
      </c>
      <c r="P23" s="151"/>
      <c r="Q23" s="151"/>
    </row>
    <row r="24" spans="1:17" ht="20.100000000000001" hidden="1" customHeight="1">
      <c r="A24" s="141">
        <v>18</v>
      </c>
      <c r="B24" s="142" t="s">
        <v>1023</v>
      </c>
      <c r="C24" s="143" t="s">
        <v>1024</v>
      </c>
      <c r="D24" s="2799"/>
      <c r="E24" s="144"/>
      <c r="F24" s="144"/>
      <c r="G24" s="144"/>
      <c r="H24" s="144"/>
      <c r="I24" s="160">
        <v>2770</v>
      </c>
      <c r="J24" s="145"/>
      <c r="K24" s="187"/>
      <c r="L24" s="153"/>
      <c r="M24" s="185" t="s">
        <v>35</v>
      </c>
      <c r="N24" s="188">
        <v>8148098.6200000001</v>
      </c>
      <c r="O24" s="150">
        <f t="shared" si="0"/>
        <v>2770</v>
      </c>
      <c r="P24" s="151"/>
      <c r="Q24" s="101"/>
    </row>
    <row r="25" spans="1:17" ht="20.100000000000001" customHeight="1">
      <c r="A25" s="141">
        <v>19</v>
      </c>
      <c r="B25" s="142" t="s">
        <v>1023</v>
      </c>
      <c r="C25" s="143" t="s">
        <v>1024</v>
      </c>
      <c r="D25" s="182" t="s">
        <v>195</v>
      </c>
      <c r="E25" s="144"/>
      <c r="F25" s="144"/>
      <c r="G25" s="144"/>
      <c r="H25" s="144"/>
      <c r="I25" s="144"/>
      <c r="J25" s="145"/>
      <c r="K25" s="152">
        <v>1</v>
      </c>
      <c r="L25" s="153"/>
      <c r="M25" s="189" t="s">
        <v>1036</v>
      </c>
      <c r="N25" s="155">
        <v>0</v>
      </c>
      <c r="O25" s="150">
        <f t="shared" si="0"/>
        <v>1</v>
      </c>
      <c r="P25" s="151"/>
      <c r="Q25" s="151"/>
    </row>
    <row r="26" spans="1:17" ht="20.100000000000001" hidden="1" customHeight="1">
      <c r="A26" s="141">
        <v>20</v>
      </c>
      <c r="B26" s="142" t="s">
        <v>1023</v>
      </c>
      <c r="C26" s="143" t="s">
        <v>1024</v>
      </c>
      <c r="D26" s="2791" t="s">
        <v>36</v>
      </c>
      <c r="E26" s="144"/>
      <c r="F26" s="160">
        <v>19</v>
      </c>
      <c r="G26" s="144"/>
      <c r="H26" s="144"/>
      <c r="I26" s="144"/>
      <c r="J26" s="145"/>
      <c r="K26" s="190"/>
      <c r="L26" s="147"/>
      <c r="M26" s="191" t="s">
        <v>1037</v>
      </c>
      <c r="N26" s="181">
        <v>0</v>
      </c>
      <c r="O26" s="150">
        <f t="shared" si="0"/>
        <v>19</v>
      </c>
      <c r="P26" s="151"/>
      <c r="Q26" s="151"/>
    </row>
    <row r="27" spans="1:17" ht="20.100000000000001" hidden="1" customHeight="1">
      <c r="A27" s="141">
        <v>21</v>
      </c>
      <c r="B27" s="142" t="s">
        <v>1023</v>
      </c>
      <c r="C27" s="143" t="s">
        <v>1024</v>
      </c>
      <c r="D27" s="2792"/>
      <c r="E27" s="160">
        <v>8</v>
      </c>
      <c r="F27" s="144"/>
      <c r="G27" s="144"/>
      <c r="H27" s="144"/>
      <c r="I27" s="144"/>
      <c r="J27" s="145"/>
      <c r="K27" s="190"/>
      <c r="L27" s="147"/>
      <c r="M27" s="191" t="s">
        <v>1038</v>
      </c>
      <c r="N27" s="181">
        <v>0</v>
      </c>
      <c r="O27" s="150">
        <f t="shared" si="0"/>
        <v>8</v>
      </c>
      <c r="P27" s="151"/>
      <c r="Q27" s="101"/>
    </row>
    <row r="28" spans="1:17" ht="20.100000000000001" customHeight="1">
      <c r="A28" s="141">
        <v>22</v>
      </c>
      <c r="B28" s="142" t="s">
        <v>1023</v>
      </c>
      <c r="C28" s="143" t="s">
        <v>1024</v>
      </c>
      <c r="D28" s="2791" t="s">
        <v>38</v>
      </c>
      <c r="E28" s="144"/>
      <c r="F28" s="144"/>
      <c r="G28" s="144"/>
      <c r="H28" s="144"/>
      <c r="I28" s="144"/>
      <c r="J28" s="145"/>
      <c r="K28" s="146">
        <v>1</v>
      </c>
      <c r="L28" s="173">
        <v>46204</v>
      </c>
      <c r="M28" s="192" t="s">
        <v>1039</v>
      </c>
      <c r="N28" s="193">
        <v>320000</v>
      </c>
      <c r="O28" s="150">
        <f t="shared" si="0"/>
        <v>1</v>
      </c>
      <c r="P28" s="151"/>
      <c r="Q28" s="151"/>
    </row>
    <row r="29" spans="1:17" ht="20.100000000000001" customHeight="1">
      <c r="A29" s="141">
        <v>23</v>
      </c>
      <c r="B29" s="142" t="s">
        <v>1023</v>
      </c>
      <c r="C29" s="143" t="s">
        <v>1024</v>
      </c>
      <c r="D29" s="2802"/>
      <c r="E29" s="144"/>
      <c r="F29" s="144"/>
      <c r="G29" s="144"/>
      <c r="H29" s="144"/>
      <c r="I29" s="144"/>
      <c r="J29" s="145"/>
      <c r="K29" s="146">
        <v>1</v>
      </c>
      <c r="L29" s="173">
        <v>46204</v>
      </c>
      <c r="M29" s="192" t="s">
        <v>1040</v>
      </c>
      <c r="N29" s="193">
        <v>2999700</v>
      </c>
      <c r="O29" s="150">
        <f t="shared" si="0"/>
        <v>1</v>
      </c>
      <c r="P29" s="151"/>
      <c r="Q29" s="151"/>
    </row>
    <row r="30" spans="1:17" ht="20.100000000000001" customHeight="1">
      <c r="A30" s="141">
        <v>24</v>
      </c>
      <c r="B30" s="142" t="s">
        <v>1023</v>
      </c>
      <c r="C30" s="143" t="s">
        <v>1024</v>
      </c>
      <c r="D30" s="2802"/>
      <c r="E30" s="194"/>
      <c r="F30" s="194"/>
      <c r="G30" s="194"/>
      <c r="H30" s="194"/>
      <c r="I30" s="194"/>
      <c r="J30" s="195"/>
      <c r="K30" s="146">
        <v>1</v>
      </c>
      <c r="L30" s="173">
        <v>46206</v>
      </c>
      <c r="M30" s="192" t="s">
        <v>1041</v>
      </c>
      <c r="N30" s="193">
        <v>250000</v>
      </c>
      <c r="O30" s="150">
        <f t="shared" si="0"/>
        <v>1</v>
      </c>
      <c r="P30" s="196"/>
      <c r="Q30" s="196"/>
    </row>
    <row r="31" spans="1:17" ht="20.100000000000001" customHeight="1">
      <c r="A31" s="141">
        <v>25</v>
      </c>
      <c r="B31" s="142" t="s">
        <v>1023</v>
      </c>
      <c r="C31" s="143" t="s">
        <v>1024</v>
      </c>
      <c r="D31" s="2802"/>
      <c r="E31" s="194"/>
      <c r="F31" s="194"/>
      <c r="G31" s="194"/>
      <c r="H31" s="194"/>
      <c r="I31" s="194"/>
      <c r="J31" s="195"/>
      <c r="K31" s="146">
        <v>1</v>
      </c>
      <c r="L31" s="173">
        <v>46209</v>
      </c>
      <c r="M31" s="192" t="s">
        <v>1042</v>
      </c>
      <c r="N31" s="197">
        <v>950000</v>
      </c>
      <c r="O31" s="150">
        <f t="shared" si="0"/>
        <v>1</v>
      </c>
      <c r="P31" s="196"/>
      <c r="Q31" s="196"/>
    </row>
    <row r="32" spans="1:17" ht="20.100000000000001" customHeight="1">
      <c r="A32" s="141">
        <v>26</v>
      </c>
      <c r="B32" s="142" t="s">
        <v>1023</v>
      </c>
      <c r="C32" s="143" t="s">
        <v>1024</v>
      </c>
      <c r="D32" s="2802"/>
      <c r="E32" s="198"/>
      <c r="F32" s="198"/>
      <c r="G32" s="160"/>
      <c r="H32" s="198"/>
      <c r="I32" s="198"/>
      <c r="J32" s="199"/>
      <c r="K32" s="146">
        <v>1</v>
      </c>
      <c r="L32" s="173">
        <v>46217</v>
      </c>
      <c r="M32" s="192" t="s">
        <v>1043</v>
      </c>
      <c r="N32" s="197">
        <v>100000</v>
      </c>
      <c r="O32" s="150">
        <f t="shared" si="0"/>
        <v>1</v>
      </c>
      <c r="P32" s="196"/>
      <c r="Q32" s="196"/>
    </row>
    <row r="33" spans="1:17" ht="20.100000000000001" customHeight="1">
      <c r="A33" s="141">
        <v>27</v>
      </c>
      <c r="B33" s="142" t="s">
        <v>1023</v>
      </c>
      <c r="C33" s="143" t="s">
        <v>1024</v>
      </c>
      <c r="D33" s="2802"/>
      <c r="E33" s="198"/>
      <c r="F33" s="198"/>
      <c r="G33" s="160"/>
      <c r="H33" s="198"/>
      <c r="I33" s="198"/>
      <c r="J33" s="199"/>
      <c r="K33" s="146">
        <v>1</v>
      </c>
      <c r="L33" s="173">
        <v>46226</v>
      </c>
      <c r="M33" s="192" t="s">
        <v>1044</v>
      </c>
      <c r="N33" s="197">
        <v>75000</v>
      </c>
      <c r="O33" s="150">
        <f t="shared" si="0"/>
        <v>1</v>
      </c>
      <c r="P33" s="196"/>
      <c r="Q33" s="196"/>
    </row>
    <row r="34" spans="1:17" ht="20.100000000000001" customHeight="1">
      <c r="A34" s="141">
        <v>28</v>
      </c>
      <c r="B34" s="142" t="s">
        <v>1023</v>
      </c>
      <c r="C34" s="143" t="s">
        <v>1024</v>
      </c>
      <c r="D34" s="2799"/>
      <c r="E34" s="198"/>
      <c r="F34" s="198"/>
      <c r="G34" s="160"/>
      <c r="H34" s="198"/>
      <c r="I34" s="198"/>
      <c r="J34" s="199"/>
      <c r="K34" s="146">
        <v>1</v>
      </c>
      <c r="L34" s="173">
        <v>46232</v>
      </c>
      <c r="M34" s="192" t="s">
        <v>1045</v>
      </c>
      <c r="N34" s="200">
        <v>77875</v>
      </c>
      <c r="O34" s="150">
        <f t="shared" si="0"/>
        <v>1</v>
      </c>
      <c r="P34" s="196"/>
      <c r="Q34" s="196"/>
    </row>
    <row r="35" spans="1:17" ht="20.100000000000001" customHeight="1">
      <c r="A35" s="141">
        <v>29</v>
      </c>
      <c r="B35" s="142" t="s">
        <v>1046</v>
      </c>
      <c r="C35" s="143" t="s">
        <v>1024</v>
      </c>
      <c r="D35" s="182" t="s">
        <v>1047</v>
      </c>
      <c r="E35" s="198"/>
      <c r="F35" s="198"/>
      <c r="G35" s="160"/>
      <c r="H35" s="198"/>
      <c r="I35" s="198"/>
      <c r="J35" s="199"/>
      <c r="K35" s="201">
        <v>1</v>
      </c>
      <c r="L35" s="202"/>
      <c r="M35" s="203" t="s">
        <v>1048</v>
      </c>
      <c r="N35" s="204">
        <v>14300</v>
      </c>
      <c r="O35" s="150">
        <f t="shared" si="0"/>
        <v>1</v>
      </c>
      <c r="P35" s="196"/>
      <c r="Q35" s="196"/>
    </row>
    <row r="36" spans="1:17" ht="20.100000000000001" hidden="1" customHeight="1">
      <c r="A36" s="141">
        <v>30</v>
      </c>
      <c r="B36" s="142" t="s">
        <v>1046</v>
      </c>
      <c r="C36" s="143" t="s">
        <v>1024</v>
      </c>
      <c r="D36" s="2802"/>
      <c r="E36" s="198"/>
      <c r="F36" s="198"/>
      <c r="G36" s="160"/>
      <c r="H36" s="198"/>
      <c r="I36" s="198"/>
      <c r="J36" s="199"/>
      <c r="K36" s="205"/>
      <c r="L36" s="206"/>
      <c r="M36" s="207" t="s">
        <v>1026</v>
      </c>
      <c r="N36" s="208"/>
      <c r="O36" s="150">
        <f t="shared" si="0"/>
        <v>0</v>
      </c>
      <c r="P36" s="196"/>
      <c r="Q36" s="196"/>
    </row>
    <row r="37" spans="1:17" ht="20.100000000000001" hidden="1" customHeight="1">
      <c r="A37" s="141">
        <v>31</v>
      </c>
      <c r="B37" s="142" t="s">
        <v>1046</v>
      </c>
      <c r="C37" s="143" t="s">
        <v>1024</v>
      </c>
      <c r="D37" s="2802" t="s">
        <v>29</v>
      </c>
      <c r="E37" s="198"/>
      <c r="F37" s="198"/>
      <c r="G37" s="198">
        <v>1</v>
      </c>
      <c r="H37" s="198"/>
      <c r="I37" s="198"/>
      <c r="J37" s="199"/>
      <c r="K37" s="201"/>
      <c r="L37" s="202"/>
      <c r="M37" s="209" t="s">
        <v>119</v>
      </c>
      <c r="N37" s="208">
        <v>-2004355.73</v>
      </c>
      <c r="O37" s="150">
        <f t="shared" si="0"/>
        <v>1</v>
      </c>
      <c r="P37" s="196"/>
      <c r="Q37" s="196"/>
    </row>
    <row r="38" spans="1:17" ht="20.100000000000001" hidden="1" customHeight="1">
      <c r="A38" s="141">
        <v>32</v>
      </c>
      <c r="B38" s="142" t="s">
        <v>1046</v>
      </c>
      <c r="C38" s="143" t="s">
        <v>1024</v>
      </c>
      <c r="D38" s="2802"/>
      <c r="E38" s="198"/>
      <c r="F38" s="198"/>
      <c r="G38" s="198">
        <v>1</v>
      </c>
      <c r="H38" s="198"/>
      <c r="I38" s="198"/>
      <c r="J38" s="199"/>
      <c r="K38" s="201"/>
      <c r="L38" s="202"/>
      <c r="M38" s="209" t="s">
        <v>1049</v>
      </c>
      <c r="N38" s="208">
        <v>-12308761.039999999</v>
      </c>
      <c r="O38" s="150">
        <f t="shared" si="0"/>
        <v>1</v>
      </c>
      <c r="P38" s="196"/>
      <c r="Q38" s="196"/>
    </row>
    <row r="39" spans="1:17" ht="20.100000000000001" hidden="1" customHeight="1">
      <c r="A39" s="141">
        <v>33</v>
      </c>
      <c r="B39" s="142" t="s">
        <v>1046</v>
      </c>
      <c r="C39" s="143" t="s">
        <v>1024</v>
      </c>
      <c r="D39" s="2802"/>
      <c r="E39" s="198"/>
      <c r="F39" s="198"/>
      <c r="G39" s="198">
        <v>1</v>
      </c>
      <c r="H39" s="198"/>
      <c r="I39" s="198"/>
      <c r="J39" s="199"/>
      <c r="K39" s="201"/>
      <c r="L39" s="202"/>
      <c r="M39" s="209" t="s">
        <v>32</v>
      </c>
      <c r="N39" s="208">
        <v>349.55</v>
      </c>
      <c r="O39" s="150">
        <f t="shared" si="0"/>
        <v>1</v>
      </c>
      <c r="P39" s="196"/>
      <c r="Q39" s="196"/>
    </row>
    <row r="40" spans="1:17" ht="20.100000000000001" hidden="1" customHeight="1">
      <c r="A40" s="141">
        <v>34</v>
      </c>
      <c r="B40" s="142" t="s">
        <v>1046</v>
      </c>
      <c r="C40" s="143" t="s">
        <v>1024</v>
      </c>
      <c r="D40" s="2802"/>
      <c r="E40" s="198"/>
      <c r="F40" s="198"/>
      <c r="G40" s="160">
        <v>1</v>
      </c>
      <c r="H40" s="198"/>
      <c r="I40" s="198"/>
      <c r="J40" s="199"/>
      <c r="K40" s="210"/>
      <c r="L40" s="211"/>
      <c r="M40" s="209" t="s">
        <v>1050</v>
      </c>
      <c r="N40" s="212">
        <v>13342.17</v>
      </c>
      <c r="O40" s="150">
        <f t="shared" si="0"/>
        <v>1</v>
      </c>
      <c r="P40" s="196"/>
      <c r="Q40" s="196"/>
    </row>
    <row r="41" spans="1:17" ht="20.100000000000001" hidden="1" customHeight="1">
      <c r="A41" s="141">
        <v>35</v>
      </c>
      <c r="B41" s="142" t="s">
        <v>1046</v>
      </c>
      <c r="C41" s="143" t="s">
        <v>1024</v>
      </c>
      <c r="D41" s="2802"/>
      <c r="E41" s="198"/>
      <c r="F41" s="198"/>
      <c r="G41" s="198">
        <v>1</v>
      </c>
      <c r="H41" s="198"/>
      <c r="I41" s="198"/>
      <c r="J41" s="199"/>
      <c r="K41" s="210"/>
      <c r="L41" s="211"/>
      <c r="M41" s="209" t="s">
        <v>50</v>
      </c>
      <c r="N41" s="212">
        <v>401.56</v>
      </c>
      <c r="O41" s="150">
        <f t="shared" si="0"/>
        <v>1</v>
      </c>
      <c r="P41" s="213"/>
      <c r="Q41" s="213"/>
    </row>
    <row r="42" spans="1:17" ht="20.100000000000001" hidden="1" customHeight="1">
      <c r="A42" s="141">
        <v>36</v>
      </c>
      <c r="B42" s="142" t="s">
        <v>1046</v>
      </c>
      <c r="C42" s="143" t="s">
        <v>1024</v>
      </c>
      <c r="D42" s="2802"/>
      <c r="E42" s="198"/>
      <c r="F42" s="198"/>
      <c r="G42" s="198"/>
      <c r="H42" s="198"/>
      <c r="I42" s="198"/>
      <c r="J42" s="199"/>
      <c r="K42" s="205"/>
      <c r="L42" s="206"/>
      <c r="M42" s="214" t="s">
        <v>1028</v>
      </c>
      <c r="N42" s="208"/>
      <c r="O42" s="150">
        <f t="shared" si="0"/>
        <v>0</v>
      </c>
      <c r="P42" s="196"/>
      <c r="Q42" s="196"/>
    </row>
    <row r="43" spans="1:17" ht="20.100000000000001" customHeight="1">
      <c r="A43" s="141">
        <v>37</v>
      </c>
      <c r="B43" s="142" t="s">
        <v>1046</v>
      </c>
      <c r="C43" s="143" t="s">
        <v>1024</v>
      </c>
      <c r="D43" s="2802"/>
      <c r="E43" s="194"/>
      <c r="F43" s="194"/>
      <c r="G43" s="194"/>
      <c r="H43" s="194"/>
      <c r="I43" s="194"/>
      <c r="J43" s="195"/>
      <c r="K43" s="210">
        <v>1</v>
      </c>
      <c r="L43" s="211"/>
      <c r="M43" s="209" t="s">
        <v>1051</v>
      </c>
      <c r="N43" s="208">
        <v>3649.85</v>
      </c>
      <c r="O43" s="150">
        <f t="shared" si="0"/>
        <v>1</v>
      </c>
      <c r="P43" s="196"/>
      <c r="Q43" s="196"/>
    </row>
    <row r="44" spans="1:17" ht="20.100000000000001" customHeight="1">
      <c r="A44" s="141">
        <v>38</v>
      </c>
      <c r="B44" s="142" t="s">
        <v>1046</v>
      </c>
      <c r="C44" s="143" t="s">
        <v>1024</v>
      </c>
      <c r="D44" s="2802"/>
      <c r="E44" s="194"/>
      <c r="F44" s="194"/>
      <c r="G44" s="194"/>
      <c r="H44" s="194"/>
      <c r="I44" s="194"/>
      <c r="J44" s="195"/>
      <c r="K44" s="210">
        <v>1</v>
      </c>
      <c r="L44" s="211"/>
      <c r="M44" s="209" t="s">
        <v>1052</v>
      </c>
      <c r="N44" s="212">
        <v>-3695149.06</v>
      </c>
      <c r="O44" s="150">
        <f t="shared" si="0"/>
        <v>1</v>
      </c>
      <c r="P44" s="196"/>
      <c r="Q44" s="196"/>
    </row>
    <row r="45" spans="1:17" ht="20.100000000000001" hidden="1" customHeight="1">
      <c r="A45" s="141">
        <v>39</v>
      </c>
      <c r="B45" s="142" t="s">
        <v>1046</v>
      </c>
      <c r="C45" s="143" t="s">
        <v>1024</v>
      </c>
      <c r="D45" s="2802"/>
      <c r="E45" s="194"/>
      <c r="F45" s="194"/>
      <c r="G45" s="194">
        <v>1</v>
      </c>
      <c r="H45" s="194"/>
      <c r="I45" s="194"/>
      <c r="J45" s="195"/>
      <c r="K45" s="210"/>
      <c r="L45" s="211"/>
      <c r="M45" s="215" t="s">
        <v>1053</v>
      </c>
      <c r="N45" s="212">
        <v>399321.64</v>
      </c>
      <c r="O45" s="150">
        <f t="shared" si="0"/>
        <v>1</v>
      </c>
      <c r="P45" s="196"/>
      <c r="Q45" s="196"/>
    </row>
    <row r="46" spans="1:17" ht="20.100000000000001" hidden="1" customHeight="1">
      <c r="A46" s="141">
        <v>40</v>
      </c>
      <c r="B46" s="142" t="s">
        <v>1046</v>
      </c>
      <c r="C46" s="143" t="s">
        <v>1024</v>
      </c>
      <c r="D46" s="2802"/>
      <c r="E46" s="194"/>
      <c r="F46" s="194"/>
      <c r="G46" s="194">
        <v>1</v>
      </c>
      <c r="H46" s="194"/>
      <c r="I46" s="194"/>
      <c r="J46" s="195"/>
      <c r="K46" s="216"/>
      <c r="L46" s="211"/>
      <c r="M46" s="215" t="s">
        <v>828</v>
      </c>
      <c r="N46" s="212">
        <v>15</v>
      </c>
      <c r="O46" s="150">
        <f t="shared" si="0"/>
        <v>1</v>
      </c>
      <c r="P46" s="196"/>
      <c r="Q46" s="196"/>
    </row>
    <row r="47" spans="1:17" ht="20.100000000000001" hidden="1" customHeight="1">
      <c r="A47" s="141">
        <v>41</v>
      </c>
      <c r="B47" s="142" t="s">
        <v>1046</v>
      </c>
      <c r="C47" s="143" t="s">
        <v>1024</v>
      </c>
      <c r="D47" s="2802"/>
      <c r="E47" s="194"/>
      <c r="F47" s="194"/>
      <c r="G47" s="194"/>
      <c r="H47" s="194"/>
      <c r="I47" s="194"/>
      <c r="J47" s="195"/>
      <c r="K47" s="205"/>
      <c r="L47" s="206"/>
      <c r="M47" s="217" t="s">
        <v>1029</v>
      </c>
      <c r="N47" s="212"/>
      <c r="O47" s="150">
        <f t="shared" si="0"/>
        <v>0</v>
      </c>
      <c r="P47" s="196"/>
      <c r="Q47" s="196"/>
    </row>
    <row r="48" spans="1:17" ht="20.100000000000001" customHeight="1">
      <c r="A48" s="141">
        <v>42</v>
      </c>
      <c r="B48" s="142" t="s">
        <v>1046</v>
      </c>
      <c r="C48" s="143" t="s">
        <v>1024</v>
      </c>
      <c r="D48" s="2802"/>
      <c r="E48" s="194"/>
      <c r="F48" s="194"/>
      <c r="G48" s="194"/>
      <c r="H48" s="194"/>
      <c r="I48" s="194"/>
      <c r="J48" s="195"/>
      <c r="K48" s="210">
        <v>1</v>
      </c>
      <c r="L48" s="211"/>
      <c r="M48" s="203" t="s">
        <v>1054</v>
      </c>
      <c r="N48" s="212">
        <v>41199.29</v>
      </c>
      <c r="O48" s="150">
        <f t="shared" si="0"/>
        <v>1</v>
      </c>
      <c r="P48" s="196"/>
      <c r="Q48" s="196"/>
    </row>
    <row r="49" spans="1:17" ht="20.100000000000001" customHeight="1">
      <c r="A49" s="141">
        <v>43</v>
      </c>
      <c r="B49" s="142" t="s">
        <v>1046</v>
      </c>
      <c r="C49" s="143" t="s">
        <v>1024</v>
      </c>
      <c r="D49" s="2802"/>
      <c r="E49" s="194"/>
      <c r="F49" s="194"/>
      <c r="G49" s="194"/>
      <c r="H49" s="194"/>
      <c r="I49" s="194"/>
      <c r="J49" s="195"/>
      <c r="K49" s="210">
        <v>1</v>
      </c>
      <c r="L49" s="211">
        <v>45958</v>
      </c>
      <c r="M49" s="209" t="s">
        <v>1055</v>
      </c>
      <c r="N49" s="212">
        <v>4051</v>
      </c>
      <c r="O49" s="150">
        <f t="shared" si="0"/>
        <v>1</v>
      </c>
      <c r="P49" s="196"/>
      <c r="Q49" s="196"/>
    </row>
    <row r="50" spans="1:17" ht="20.100000000000001" customHeight="1">
      <c r="A50" s="141">
        <v>44</v>
      </c>
      <c r="B50" s="142" t="s">
        <v>1046</v>
      </c>
      <c r="C50" s="143" t="s">
        <v>1024</v>
      </c>
      <c r="D50" s="2802"/>
      <c r="E50" s="194"/>
      <c r="F50" s="194"/>
      <c r="G50" s="194"/>
      <c r="H50" s="160"/>
      <c r="I50" s="194"/>
      <c r="J50" s="195"/>
      <c r="K50" s="210">
        <v>1</v>
      </c>
      <c r="L50" s="211">
        <v>45957</v>
      </c>
      <c r="M50" s="209" t="s">
        <v>1056</v>
      </c>
      <c r="N50" s="212">
        <v>141418.44</v>
      </c>
      <c r="O50" s="150">
        <f t="shared" si="0"/>
        <v>1</v>
      </c>
      <c r="P50" s="218"/>
      <c r="Q50" s="218"/>
    </row>
    <row r="51" spans="1:17" ht="20.100000000000001" customHeight="1">
      <c r="A51" s="141">
        <v>45</v>
      </c>
      <c r="B51" s="142" t="s">
        <v>1046</v>
      </c>
      <c r="C51" s="143" t="s">
        <v>1024</v>
      </c>
      <c r="D51" s="2802"/>
      <c r="E51" s="198"/>
      <c r="F51" s="198"/>
      <c r="G51" s="198"/>
      <c r="H51" s="198"/>
      <c r="I51" s="160"/>
      <c r="J51" s="199"/>
      <c r="K51" s="210">
        <v>1</v>
      </c>
      <c r="L51" s="211"/>
      <c r="M51" s="209" t="s">
        <v>1057</v>
      </c>
      <c r="N51" s="212">
        <v>15014.79</v>
      </c>
      <c r="O51" s="150">
        <f t="shared" si="0"/>
        <v>1</v>
      </c>
      <c r="P51" s="196"/>
      <c r="Q51" s="196"/>
    </row>
    <row r="52" spans="1:17" ht="20.100000000000001" customHeight="1">
      <c r="A52" s="141">
        <v>46</v>
      </c>
      <c r="B52" s="142" t="s">
        <v>1046</v>
      </c>
      <c r="C52" s="143" t="s">
        <v>1024</v>
      </c>
      <c r="D52" s="2799"/>
      <c r="E52" s="198"/>
      <c r="F52" s="198"/>
      <c r="G52" s="198"/>
      <c r="H52" s="198"/>
      <c r="I52" s="198"/>
      <c r="J52" s="199"/>
      <c r="K52" s="210">
        <v>3</v>
      </c>
      <c r="L52" s="211">
        <v>44973</v>
      </c>
      <c r="M52" s="209" t="s">
        <v>1058</v>
      </c>
      <c r="N52" s="212">
        <v>714.18</v>
      </c>
      <c r="O52" s="150">
        <f t="shared" si="0"/>
        <v>3</v>
      </c>
      <c r="P52" s="213"/>
      <c r="Q52" s="213"/>
    </row>
    <row r="53" spans="1:17" ht="20.100000000000001" customHeight="1">
      <c r="A53" s="141">
        <v>47</v>
      </c>
      <c r="B53" s="142" t="s">
        <v>1046</v>
      </c>
      <c r="C53" s="143" t="s">
        <v>1024</v>
      </c>
      <c r="D53" s="2791" t="s">
        <v>1059</v>
      </c>
      <c r="E53" s="194"/>
      <c r="F53" s="160"/>
      <c r="G53" s="194"/>
      <c r="H53" s="194"/>
      <c r="I53" s="194"/>
      <c r="J53" s="195"/>
      <c r="K53" s="210">
        <v>1</v>
      </c>
      <c r="L53" s="211"/>
      <c r="M53" s="209" t="s">
        <v>1060</v>
      </c>
      <c r="N53" s="212">
        <v>1093.3399999999999</v>
      </c>
      <c r="O53" s="150">
        <f t="shared" si="0"/>
        <v>1</v>
      </c>
      <c r="P53" s="196"/>
      <c r="Q53" s="196"/>
    </row>
    <row r="54" spans="1:17" ht="20.100000000000001" customHeight="1">
      <c r="A54" s="141">
        <v>48</v>
      </c>
      <c r="B54" s="142" t="s">
        <v>1046</v>
      </c>
      <c r="C54" s="143" t="s">
        <v>1024</v>
      </c>
      <c r="D54" s="2799"/>
      <c r="E54" s="160"/>
      <c r="F54" s="194"/>
      <c r="G54" s="194"/>
      <c r="H54" s="194"/>
      <c r="I54" s="194"/>
      <c r="J54" s="195"/>
      <c r="K54" s="210">
        <v>2</v>
      </c>
      <c r="L54" s="211"/>
      <c r="M54" s="209" t="s">
        <v>1061</v>
      </c>
      <c r="N54" s="212">
        <v>7743.08</v>
      </c>
      <c r="O54" s="150">
        <f t="shared" si="0"/>
        <v>2</v>
      </c>
      <c r="P54" s="196"/>
      <c r="Q54" s="196"/>
    </row>
    <row r="55" spans="1:17" ht="20.100000000000001" hidden="1" customHeight="1">
      <c r="A55" s="141">
        <v>49</v>
      </c>
      <c r="B55" s="142" t="s">
        <v>1046</v>
      </c>
      <c r="C55" s="143" t="s">
        <v>1024</v>
      </c>
      <c r="D55" s="2791" t="s">
        <v>33</v>
      </c>
      <c r="E55" s="144"/>
      <c r="F55" s="144"/>
      <c r="G55" s="144"/>
      <c r="H55" s="144">
        <v>330</v>
      </c>
      <c r="I55" s="144"/>
      <c r="J55" s="145"/>
      <c r="K55" s="219"/>
      <c r="L55" s="220"/>
      <c r="M55" s="221" t="s">
        <v>1062</v>
      </c>
      <c r="N55" s="222">
        <v>0</v>
      </c>
      <c r="O55" s="150">
        <f t="shared" si="0"/>
        <v>330</v>
      </c>
      <c r="P55" s="151"/>
      <c r="Q55" s="151"/>
    </row>
    <row r="56" spans="1:17" ht="20.100000000000001" hidden="1" customHeight="1">
      <c r="A56" s="141">
        <v>50</v>
      </c>
      <c r="B56" s="142" t="s">
        <v>1046</v>
      </c>
      <c r="C56" s="143" t="s">
        <v>1024</v>
      </c>
      <c r="D56" s="2799"/>
      <c r="E56" s="144"/>
      <c r="F56" s="144"/>
      <c r="G56" s="144"/>
      <c r="H56" s="144"/>
      <c r="I56" s="144">
        <v>6471</v>
      </c>
      <c r="J56" s="145"/>
      <c r="K56" s="210"/>
      <c r="L56" s="211"/>
      <c r="M56" s="209" t="s">
        <v>35</v>
      </c>
      <c r="N56" s="204">
        <v>4776384.43</v>
      </c>
      <c r="O56" s="150">
        <f t="shared" si="0"/>
        <v>6471</v>
      </c>
      <c r="P56" s="151"/>
      <c r="Q56" s="151"/>
    </row>
    <row r="57" spans="1:17" ht="20.100000000000001" customHeight="1">
      <c r="A57" s="141">
        <v>51</v>
      </c>
      <c r="B57" s="142" t="s">
        <v>1046</v>
      </c>
      <c r="C57" s="143" t="s">
        <v>1024</v>
      </c>
      <c r="D57" s="182" t="s">
        <v>1063</v>
      </c>
      <c r="E57" s="144"/>
      <c r="F57" s="144"/>
      <c r="G57" s="144"/>
      <c r="H57" s="144"/>
      <c r="I57" s="144"/>
      <c r="J57" s="145"/>
      <c r="K57" s="210">
        <v>3</v>
      </c>
      <c r="L57" s="211"/>
      <c r="M57" s="209" t="s">
        <v>196</v>
      </c>
      <c r="N57" s="212">
        <v>4586.6099999999997</v>
      </c>
      <c r="O57" s="150">
        <f t="shared" si="0"/>
        <v>3</v>
      </c>
      <c r="P57" s="151"/>
      <c r="Q57" s="151"/>
    </row>
    <row r="58" spans="1:17" ht="20.100000000000001" hidden="1" customHeight="1">
      <c r="A58" s="141">
        <v>52</v>
      </c>
      <c r="B58" s="142" t="s">
        <v>1046</v>
      </c>
      <c r="C58" s="143" t="s">
        <v>1024</v>
      </c>
      <c r="D58" s="2791" t="s">
        <v>36</v>
      </c>
      <c r="E58" s="144"/>
      <c r="F58" s="144">
        <v>931</v>
      </c>
      <c r="G58" s="160"/>
      <c r="H58" s="144"/>
      <c r="I58" s="144"/>
      <c r="J58" s="145"/>
      <c r="K58" s="210"/>
      <c r="L58" s="211"/>
      <c r="M58" s="209" t="s">
        <v>1064</v>
      </c>
      <c r="N58" s="212">
        <v>80959.759999999995</v>
      </c>
      <c r="O58" s="150">
        <f t="shared" si="0"/>
        <v>931</v>
      </c>
      <c r="P58" s="151"/>
      <c r="Q58" s="151"/>
    </row>
    <row r="59" spans="1:17" ht="20.100000000000001" hidden="1" customHeight="1">
      <c r="A59" s="141">
        <v>53</v>
      </c>
      <c r="B59" s="142" t="s">
        <v>1046</v>
      </c>
      <c r="C59" s="143" t="s">
        <v>1024</v>
      </c>
      <c r="D59" s="2792"/>
      <c r="E59" s="144">
        <v>265</v>
      </c>
      <c r="F59" s="144"/>
      <c r="G59" s="160"/>
      <c r="H59" s="144"/>
      <c r="I59" s="144"/>
      <c r="J59" s="145"/>
      <c r="K59" s="210"/>
      <c r="L59" s="211"/>
      <c r="M59" s="209" t="s">
        <v>1065</v>
      </c>
      <c r="N59" s="212">
        <v>23044.400000000001</v>
      </c>
      <c r="O59" s="150">
        <f t="shared" si="0"/>
        <v>265</v>
      </c>
      <c r="P59" s="151"/>
      <c r="Q59" s="151"/>
    </row>
    <row r="60" spans="1:17" ht="20.100000000000001" customHeight="1">
      <c r="A60" s="141">
        <v>54</v>
      </c>
      <c r="B60" s="142" t="s">
        <v>1066</v>
      </c>
      <c r="C60" s="143" t="s">
        <v>1024</v>
      </c>
      <c r="D60" s="2791" t="s">
        <v>1047</v>
      </c>
      <c r="E60" s="144"/>
      <c r="F60" s="144"/>
      <c r="G60" s="160"/>
      <c r="H60" s="144"/>
      <c r="I60" s="144"/>
      <c r="J60" s="145"/>
      <c r="K60" s="223">
        <v>1</v>
      </c>
      <c r="L60" s="224"/>
      <c r="M60" s="225" t="s">
        <v>1067</v>
      </c>
      <c r="N60" s="108">
        <v>30741.99</v>
      </c>
      <c r="O60" s="150">
        <f t="shared" si="0"/>
        <v>1</v>
      </c>
      <c r="P60" s="151"/>
      <c r="Q60" s="151"/>
    </row>
    <row r="61" spans="1:17" ht="20.100000000000001" customHeight="1">
      <c r="A61" s="141">
        <v>55</v>
      </c>
      <c r="B61" s="142" t="s">
        <v>1066</v>
      </c>
      <c r="C61" s="143" t="s">
        <v>1024</v>
      </c>
      <c r="D61" s="2799"/>
      <c r="E61" s="144"/>
      <c r="F61" s="144"/>
      <c r="G61" s="160"/>
      <c r="H61" s="144"/>
      <c r="I61" s="144"/>
      <c r="J61" s="145"/>
      <c r="K61" s="223">
        <v>1</v>
      </c>
      <c r="L61" s="224"/>
      <c r="M61" s="226" t="s">
        <v>1068</v>
      </c>
      <c r="N61" s="108">
        <v>-340138</v>
      </c>
      <c r="O61" s="150">
        <f t="shared" si="0"/>
        <v>1</v>
      </c>
      <c r="P61" s="151"/>
      <c r="Q61" s="151"/>
    </row>
    <row r="62" spans="1:17" ht="20.100000000000001" hidden="1" customHeight="1">
      <c r="A62" s="141">
        <v>56</v>
      </c>
      <c r="B62" s="142" t="s">
        <v>1066</v>
      </c>
      <c r="C62" s="143" t="s">
        <v>1024</v>
      </c>
      <c r="D62" s="2791" t="s">
        <v>29</v>
      </c>
      <c r="E62" s="144"/>
      <c r="F62" s="144"/>
      <c r="G62" s="160"/>
      <c r="H62" s="144"/>
      <c r="I62" s="144"/>
      <c r="J62" s="145"/>
      <c r="K62" s="227"/>
      <c r="L62" s="228"/>
      <c r="M62" s="229" t="s">
        <v>1026</v>
      </c>
      <c r="N62" s="230"/>
      <c r="O62" s="150">
        <f t="shared" si="0"/>
        <v>0</v>
      </c>
      <c r="P62" s="151"/>
      <c r="Q62" s="151"/>
    </row>
    <row r="63" spans="1:17" ht="20.100000000000001" hidden="1" customHeight="1">
      <c r="A63" s="141">
        <v>57</v>
      </c>
      <c r="B63" s="142" t="s">
        <v>1066</v>
      </c>
      <c r="C63" s="143" t="s">
        <v>1024</v>
      </c>
      <c r="D63" s="2802"/>
      <c r="E63" s="144"/>
      <c r="F63" s="144"/>
      <c r="G63" s="144">
        <v>1</v>
      </c>
      <c r="H63" s="144"/>
      <c r="I63" s="144"/>
      <c r="J63" s="145"/>
      <c r="K63" s="223"/>
      <c r="L63" s="224"/>
      <c r="M63" s="231" t="s">
        <v>119</v>
      </c>
      <c r="N63" s="108">
        <v>-3485381.82</v>
      </c>
      <c r="O63" s="150">
        <f t="shared" si="0"/>
        <v>1</v>
      </c>
      <c r="P63" s="151"/>
      <c r="Q63" s="151"/>
    </row>
    <row r="64" spans="1:17" ht="20.100000000000001" hidden="1" customHeight="1">
      <c r="A64" s="141">
        <v>58</v>
      </c>
      <c r="B64" s="142" t="s">
        <v>1066</v>
      </c>
      <c r="C64" s="143" t="s">
        <v>1024</v>
      </c>
      <c r="D64" s="2802"/>
      <c r="E64" s="144"/>
      <c r="F64" s="144"/>
      <c r="G64" s="160">
        <v>1</v>
      </c>
      <c r="H64" s="144"/>
      <c r="I64" s="144"/>
      <c r="J64" s="145"/>
      <c r="K64" s="223"/>
      <c r="L64" s="228"/>
      <c r="M64" s="231" t="s">
        <v>49</v>
      </c>
      <c r="N64" s="108">
        <v>-5963721.6699999999</v>
      </c>
      <c r="O64" s="150">
        <f t="shared" si="0"/>
        <v>1</v>
      </c>
      <c r="P64" s="151"/>
      <c r="Q64" s="151"/>
    </row>
    <row r="65" spans="1:17" ht="20.100000000000001" hidden="1" customHeight="1">
      <c r="A65" s="141">
        <v>59</v>
      </c>
      <c r="B65" s="142" t="s">
        <v>1066</v>
      </c>
      <c r="C65" s="143" t="s">
        <v>1024</v>
      </c>
      <c r="D65" s="2802"/>
      <c r="E65" s="144"/>
      <c r="F65" s="144"/>
      <c r="G65" s="160">
        <v>1</v>
      </c>
      <c r="H65" s="144"/>
      <c r="I65" s="144"/>
      <c r="J65" s="145"/>
      <c r="K65" s="223"/>
      <c r="L65" s="228"/>
      <c r="M65" s="231" t="s">
        <v>860</v>
      </c>
      <c r="N65" s="108">
        <v>45.71</v>
      </c>
      <c r="O65" s="150">
        <f t="shared" si="0"/>
        <v>1</v>
      </c>
      <c r="P65" s="151"/>
      <c r="Q65" s="151"/>
    </row>
    <row r="66" spans="1:17" ht="20.100000000000001" hidden="1" customHeight="1">
      <c r="A66" s="141">
        <v>60</v>
      </c>
      <c r="B66" s="142" t="s">
        <v>1066</v>
      </c>
      <c r="C66" s="143" t="s">
        <v>1024</v>
      </c>
      <c r="D66" s="2802"/>
      <c r="E66" s="144"/>
      <c r="F66" s="144"/>
      <c r="G66" s="144">
        <v>1</v>
      </c>
      <c r="H66" s="144"/>
      <c r="I66" s="144"/>
      <c r="J66" s="145"/>
      <c r="K66" s="223"/>
      <c r="L66" s="228"/>
      <c r="M66" s="231" t="s">
        <v>32</v>
      </c>
      <c r="N66" s="108">
        <v>0.53</v>
      </c>
      <c r="O66" s="150">
        <f t="shared" si="0"/>
        <v>1</v>
      </c>
      <c r="P66" s="151"/>
      <c r="Q66" s="151"/>
    </row>
    <row r="67" spans="1:17" ht="20.100000000000001" hidden="1" customHeight="1">
      <c r="A67" s="141">
        <v>61</v>
      </c>
      <c r="B67" s="142" t="s">
        <v>1066</v>
      </c>
      <c r="C67" s="143" t="s">
        <v>1024</v>
      </c>
      <c r="D67" s="2802"/>
      <c r="E67" s="144"/>
      <c r="F67" s="144"/>
      <c r="G67" s="144">
        <v>1</v>
      </c>
      <c r="H67" s="144"/>
      <c r="I67" s="144"/>
      <c r="J67" s="145"/>
      <c r="K67" s="232"/>
      <c r="L67" s="228"/>
      <c r="M67" s="225" t="s">
        <v>207</v>
      </c>
      <c r="N67" s="233">
        <v>-674171.48</v>
      </c>
      <c r="O67" s="150">
        <f t="shared" si="0"/>
        <v>1</v>
      </c>
      <c r="P67" s="151"/>
      <c r="Q67" s="151"/>
    </row>
    <row r="68" spans="1:17" ht="20.100000000000001" hidden="1" customHeight="1">
      <c r="A68" s="141">
        <v>62</v>
      </c>
      <c r="B68" s="142" t="s">
        <v>1066</v>
      </c>
      <c r="C68" s="143" t="s">
        <v>1024</v>
      </c>
      <c r="D68" s="2802"/>
      <c r="E68" s="144"/>
      <c r="F68" s="144"/>
      <c r="G68" s="144"/>
      <c r="H68" s="144"/>
      <c r="I68" s="144"/>
      <c r="J68" s="145"/>
      <c r="K68" s="227"/>
      <c r="L68" s="228"/>
      <c r="M68" s="229" t="s">
        <v>1028</v>
      </c>
      <c r="N68" s="230"/>
      <c r="O68" s="150">
        <f t="shared" si="0"/>
        <v>0</v>
      </c>
      <c r="P68" s="151"/>
      <c r="Q68" s="151"/>
    </row>
    <row r="69" spans="1:17" ht="20.100000000000001" hidden="1" customHeight="1">
      <c r="A69" s="141">
        <v>63</v>
      </c>
      <c r="B69" s="142" t="s">
        <v>1066</v>
      </c>
      <c r="C69" s="143" t="s">
        <v>1024</v>
      </c>
      <c r="D69" s="2802"/>
      <c r="E69" s="144"/>
      <c r="F69" s="144"/>
      <c r="G69" s="144">
        <v>1</v>
      </c>
      <c r="H69" s="144"/>
      <c r="I69" s="144"/>
      <c r="J69" s="145"/>
      <c r="K69" s="232"/>
      <c r="L69" s="228"/>
      <c r="M69" s="225" t="s">
        <v>183</v>
      </c>
      <c r="N69" s="233">
        <v>348.82</v>
      </c>
      <c r="O69" s="150">
        <f t="shared" si="0"/>
        <v>1</v>
      </c>
      <c r="P69" s="151"/>
      <c r="Q69" s="151"/>
    </row>
    <row r="70" spans="1:17" ht="20.100000000000001" hidden="1" customHeight="1">
      <c r="A70" s="141">
        <v>64</v>
      </c>
      <c r="B70" s="142" t="s">
        <v>1066</v>
      </c>
      <c r="C70" s="143" t="s">
        <v>1024</v>
      </c>
      <c r="D70" s="2802"/>
      <c r="E70" s="144"/>
      <c r="F70" s="144"/>
      <c r="G70" s="144">
        <v>1</v>
      </c>
      <c r="H70" s="144"/>
      <c r="I70" s="144"/>
      <c r="J70" s="145"/>
      <c r="K70" s="232"/>
      <c r="L70" s="228"/>
      <c r="M70" s="225" t="s">
        <v>1069</v>
      </c>
      <c r="N70" s="233">
        <v>181.75</v>
      </c>
      <c r="O70" s="150">
        <f t="shared" si="0"/>
        <v>1</v>
      </c>
      <c r="P70" s="151"/>
      <c r="Q70" s="151"/>
    </row>
    <row r="71" spans="1:17" ht="20.100000000000001" hidden="1" customHeight="1">
      <c r="A71" s="141">
        <v>65</v>
      </c>
      <c r="B71" s="142" t="s">
        <v>1066</v>
      </c>
      <c r="C71" s="143" t="s">
        <v>1024</v>
      </c>
      <c r="D71" s="2802"/>
      <c r="E71" s="144"/>
      <c r="F71" s="144"/>
      <c r="G71" s="144"/>
      <c r="H71" s="144"/>
      <c r="I71" s="144"/>
      <c r="J71" s="145"/>
      <c r="K71" s="234"/>
      <c r="L71" s="228"/>
      <c r="M71" s="235" t="s">
        <v>1029</v>
      </c>
      <c r="N71" s="236"/>
      <c r="O71" s="150">
        <f t="shared" si="0"/>
        <v>0</v>
      </c>
      <c r="P71" s="151"/>
      <c r="Q71" s="151"/>
    </row>
    <row r="72" spans="1:17" ht="20.100000000000001" customHeight="1">
      <c r="A72" s="141">
        <v>66</v>
      </c>
      <c r="B72" s="142" t="s">
        <v>1066</v>
      </c>
      <c r="C72" s="143" t="s">
        <v>1024</v>
      </c>
      <c r="D72" s="2802"/>
      <c r="E72" s="144"/>
      <c r="F72" s="144"/>
      <c r="G72" s="144"/>
      <c r="H72" s="144"/>
      <c r="I72" s="144"/>
      <c r="J72" s="145"/>
      <c r="K72" s="219">
        <v>1</v>
      </c>
      <c r="L72" s="228"/>
      <c r="M72" s="237" t="s">
        <v>1070</v>
      </c>
      <c r="N72" s="222">
        <v>-5000</v>
      </c>
      <c r="O72" s="150">
        <f t="shared" si="0"/>
        <v>1</v>
      </c>
      <c r="P72" s="151"/>
      <c r="Q72" s="151"/>
    </row>
    <row r="73" spans="1:17" ht="20.100000000000001" customHeight="1">
      <c r="A73" s="141">
        <v>67</v>
      </c>
      <c r="B73" s="142" t="s">
        <v>1066</v>
      </c>
      <c r="C73" s="143" t="s">
        <v>1024</v>
      </c>
      <c r="D73" s="2802"/>
      <c r="E73" s="144"/>
      <c r="F73" s="144"/>
      <c r="G73" s="144"/>
      <c r="H73" s="144"/>
      <c r="I73" s="144"/>
      <c r="J73" s="145"/>
      <c r="K73" s="219">
        <v>1</v>
      </c>
      <c r="L73" s="228"/>
      <c r="M73" s="237" t="s">
        <v>1071</v>
      </c>
      <c r="N73" s="222">
        <v>-4</v>
      </c>
      <c r="O73" s="150">
        <f t="shared" ref="O73:O136" si="1">E73+F73+G73+H73+I73+J73+K73</f>
        <v>1</v>
      </c>
      <c r="P73" s="151"/>
      <c r="Q73" s="151"/>
    </row>
    <row r="74" spans="1:17" ht="20.100000000000001" customHeight="1">
      <c r="A74" s="141">
        <v>68</v>
      </c>
      <c r="B74" s="142" t="s">
        <v>1066</v>
      </c>
      <c r="C74" s="143" t="s">
        <v>1024</v>
      </c>
      <c r="D74" s="2802"/>
      <c r="E74" s="144"/>
      <c r="F74" s="144"/>
      <c r="G74" s="144"/>
      <c r="H74" s="144"/>
      <c r="I74" s="144"/>
      <c r="J74" s="145"/>
      <c r="K74" s="219">
        <v>1</v>
      </c>
      <c r="L74" s="238"/>
      <c r="M74" s="237" t="s">
        <v>1072</v>
      </c>
      <c r="N74" s="222">
        <v>-24</v>
      </c>
      <c r="O74" s="150">
        <f t="shared" si="1"/>
        <v>1</v>
      </c>
      <c r="P74" s="151"/>
      <c r="Q74" s="151"/>
    </row>
    <row r="75" spans="1:17" ht="20.100000000000001" customHeight="1">
      <c r="A75" s="141">
        <v>69</v>
      </c>
      <c r="B75" s="142" t="s">
        <v>1066</v>
      </c>
      <c r="C75" s="143" t="s">
        <v>1024</v>
      </c>
      <c r="D75" s="2802"/>
      <c r="E75" s="144"/>
      <c r="F75" s="144"/>
      <c r="G75" s="144"/>
      <c r="H75" s="160"/>
      <c r="I75" s="144"/>
      <c r="J75" s="145"/>
      <c r="K75" s="232">
        <v>1</v>
      </c>
      <c r="L75" s="228"/>
      <c r="M75" s="231" t="s">
        <v>1073</v>
      </c>
      <c r="N75" s="239">
        <v>-1500</v>
      </c>
      <c r="O75" s="150">
        <f t="shared" si="1"/>
        <v>1</v>
      </c>
      <c r="P75" s="151"/>
      <c r="Q75" s="151"/>
    </row>
    <row r="76" spans="1:17" ht="20.100000000000001" customHeight="1">
      <c r="A76" s="141">
        <v>70</v>
      </c>
      <c r="B76" s="142" t="s">
        <v>1066</v>
      </c>
      <c r="C76" s="143" t="s">
        <v>1024</v>
      </c>
      <c r="D76" s="2802"/>
      <c r="E76" s="144"/>
      <c r="F76" s="144"/>
      <c r="G76" s="144"/>
      <c r="H76" s="144"/>
      <c r="I76" s="160"/>
      <c r="J76" s="145"/>
      <c r="K76" s="232">
        <v>1</v>
      </c>
      <c r="L76" s="224"/>
      <c r="M76" s="231" t="s">
        <v>1074</v>
      </c>
      <c r="N76" s="233">
        <v>-3434.74</v>
      </c>
      <c r="O76" s="150">
        <f t="shared" si="1"/>
        <v>1</v>
      </c>
      <c r="P76" s="151"/>
      <c r="Q76" s="151"/>
    </row>
    <row r="77" spans="1:17" ht="20.100000000000001" customHeight="1">
      <c r="A77" s="141">
        <v>71</v>
      </c>
      <c r="B77" s="142" t="s">
        <v>1066</v>
      </c>
      <c r="C77" s="143" t="s">
        <v>1024</v>
      </c>
      <c r="D77" s="2799"/>
      <c r="E77" s="144"/>
      <c r="F77" s="144"/>
      <c r="G77" s="144"/>
      <c r="H77" s="144"/>
      <c r="I77" s="144"/>
      <c r="J77" s="145"/>
      <c r="K77" s="219">
        <v>3</v>
      </c>
      <c r="L77" s="224"/>
      <c r="M77" s="237" t="s">
        <v>1075</v>
      </c>
      <c r="N77" s="222">
        <v>18729.82</v>
      </c>
      <c r="O77" s="150">
        <f t="shared" si="1"/>
        <v>3</v>
      </c>
      <c r="P77" s="151"/>
      <c r="Q77" s="151"/>
    </row>
    <row r="78" spans="1:17" ht="20.100000000000001" customHeight="1">
      <c r="A78" s="141">
        <v>72</v>
      </c>
      <c r="B78" s="142" t="s">
        <v>1066</v>
      </c>
      <c r="C78" s="143" t="s">
        <v>1024</v>
      </c>
      <c r="D78" s="182" t="s">
        <v>1076</v>
      </c>
      <c r="E78" s="144"/>
      <c r="F78" s="144"/>
      <c r="G78" s="144"/>
      <c r="H78" s="144"/>
      <c r="I78" s="144"/>
      <c r="J78" s="145"/>
      <c r="K78" s="232">
        <v>6</v>
      </c>
      <c r="L78" s="240"/>
      <c r="M78" s="225" t="s">
        <v>1077</v>
      </c>
      <c r="N78" s="222">
        <v>3150370.83</v>
      </c>
      <c r="O78" s="150">
        <f t="shared" si="1"/>
        <v>6</v>
      </c>
      <c r="P78" s="151"/>
      <c r="Q78" s="151"/>
    </row>
    <row r="79" spans="1:17" ht="20.100000000000001" hidden="1" customHeight="1">
      <c r="A79" s="141">
        <v>73</v>
      </c>
      <c r="B79" s="142" t="s">
        <v>1066</v>
      </c>
      <c r="C79" s="143" t="s">
        <v>1024</v>
      </c>
      <c r="D79" s="2801" t="s">
        <v>33</v>
      </c>
      <c r="E79" s="144"/>
      <c r="F79" s="144"/>
      <c r="G79" s="144"/>
      <c r="H79" s="144"/>
      <c r="I79" s="144"/>
      <c r="J79" s="145"/>
      <c r="K79" s="241"/>
      <c r="L79" s="240"/>
      <c r="M79" s="242" t="s">
        <v>1078</v>
      </c>
      <c r="N79" s="243"/>
      <c r="O79" s="150">
        <f t="shared" si="1"/>
        <v>0</v>
      </c>
      <c r="P79" s="151"/>
      <c r="Q79" s="151"/>
    </row>
    <row r="80" spans="1:17" ht="20.100000000000001" hidden="1" customHeight="1">
      <c r="A80" s="141">
        <v>74</v>
      </c>
      <c r="B80" s="142" t="s">
        <v>1066</v>
      </c>
      <c r="C80" s="143" t="s">
        <v>1024</v>
      </c>
      <c r="D80" s="2800"/>
      <c r="E80" s="144"/>
      <c r="F80" s="144"/>
      <c r="G80" s="144"/>
      <c r="H80" s="144">
        <v>12</v>
      </c>
      <c r="I80" s="144"/>
      <c r="J80" s="145"/>
      <c r="K80" s="219"/>
      <c r="L80" s="240"/>
      <c r="M80" s="231" t="s">
        <v>34</v>
      </c>
      <c r="N80" s="239">
        <v>0</v>
      </c>
      <c r="O80" s="150">
        <f t="shared" si="1"/>
        <v>12</v>
      </c>
      <c r="P80" s="151"/>
      <c r="Q80" s="151"/>
    </row>
    <row r="81" spans="1:17" ht="20.100000000000001" hidden="1" customHeight="1">
      <c r="A81" s="141">
        <v>75</v>
      </c>
      <c r="B81" s="142" t="s">
        <v>1066</v>
      </c>
      <c r="C81" s="143" t="s">
        <v>1024</v>
      </c>
      <c r="D81" s="2792"/>
      <c r="E81" s="144"/>
      <c r="F81" s="144"/>
      <c r="G81" s="144"/>
      <c r="H81" s="144"/>
      <c r="I81" s="144">
        <v>2326</v>
      </c>
      <c r="J81" s="145"/>
      <c r="K81" s="223"/>
      <c r="L81" s="240"/>
      <c r="M81" s="231" t="s">
        <v>35</v>
      </c>
      <c r="N81" s="244">
        <v>10194623.25</v>
      </c>
      <c r="O81" s="150">
        <f t="shared" si="1"/>
        <v>2326</v>
      </c>
      <c r="P81" s="151"/>
      <c r="Q81" s="151"/>
    </row>
    <row r="82" spans="1:17" ht="20.100000000000001" customHeight="1">
      <c r="A82" s="141">
        <v>76</v>
      </c>
      <c r="B82" s="142" t="s">
        <v>1066</v>
      </c>
      <c r="C82" s="143" t="s">
        <v>1024</v>
      </c>
      <c r="D82" s="182" t="s">
        <v>195</v>
      </c>
      <c r="E82" s="144"/>
      <c r="F82" s="144"/>
      <c r="G82" s="144"/>
      <c r="H82" s="144"/>
      <c r="I82" s="144"/>
      <c r="J82" s="145"/>
      <c r="K82" s="223">
        <v>1</v>
      </c>
      <c r="L82" s="240"/>
      <c r="M82" s="231" t="s">
        <v>1079</v>
      </c>
      <c r="N82" s="108">
        <v>30000</v>
      </c>
      <c r="O82" s="150">
        <f t="shared" si="1"/>
        <v>1</v>
      </c>
      <c r="P82" s="151"/>
      <c r="Q82" s="151"/>
    </row>
    <row r="83" spans="1:17" ht="20.100000000000001" customHeight="1">
      <c r="A83" s="141">
        <v>77</v>
      </c>
      <c r="B83" s="142" t="s">
        <v>1066</v>
      </c>
      <c r="C83" s="143" t="s">
        <v>1024</v>
      </c>
      <c r="D83" s="245" t="s">
        <v>195</v>
      </c>
      <c r="E83" s="144"/>
      <c r="F83" s="144"/>
      <c r="G83" s="144"/>
      <c r="H83" s="144"/>
      <c r="I83" s="144"/>
      <c r="J83" s="145"/>
      <c r="K83" s="223">
        <v>1</v>
      </c>
      <c r="L83" s="240"/>
      <c r="M83" s="231" t="s">
        <v>1080</v>
      </c>
      <c r="N83" s="108">
        <v>22766.99</v>
      </c>
      <c r="O83" s="150">
        <f t="shared" si="1"/>
        <v>1</v>
      </c>
      <c r="P83" s="151"/>
      <c r="Q83" s="151"/>
    </row>
    <row r="84" spans="1:17" ht="20.100000000000001" hidden="1" customHeight="1">
      <c r="A84" s="141">
        <v>78</v>
      </c>
      <c r="B84" s="142" t="s">
        <v>1066</v>
      </c>
      <c r="C84" s="143" t="s">
        <v>1024</v>
      </c>
      <c r="D84" s="2793" t="s">
        <v>36</v>
      </c>
      <c r="E84" s="144"/>
      <c r="F84" s="144">
        <v>154</v>
      </c>
      <c r="G84" s="144"/>
      <c r="H84" s="144"/>
      <c r="I84" s="144"/>
      <c r="J84" s="145"/>
      <c r="K84" s="223"/>
      <c r="L84" s="240"/>
      <c r="M84" s="231" t="s">
        <v>1081</v>
      </c>
      <c r="N84" s="108">
        <v>0</v>
      </c>
      <c r="O84" s="150">
        <f t="shared" si="1"/>
        <v>154</v>
      </c>
      <c r="P84" s="151"/>
      <c r="Q84" s="151"/>
    </row>
    <row r="85" spans="1:17" ht="20.100000000000001" hidden="1" customHeight="1">
      <c r="A85" s="141">
        <v>79</v>
      </c>
      <c r="B85" s="142" t="s">
        <v>1066</v>
      </c>
      <c r="C85" s="143" t="s">
        <v>1024</v>
      </c>
      <c r="D85" s="2792"/>
      <c r="E85" s="144">
        <v>73</v>
      </c>
      <c r="F85" s="144"/>
      <c r="G85" s="144"/>
      <c r="H85" s="144"/>
      <c r="I85" s="144"/>
      <c r="J85" s="145"/>
      <c r="K85" s="223"/>
      <c r="L85" s="240"/>
      <c r="M85" s="246" t="s">
        <v>1082</v>
      </c>
      <c r="N85" s="108">
        <v>0</v>
      </c>
      <c r="O85" s="150">
        <f t="shared" si="1"/>
        <v>73</v>
      </c>
      <c r="P85" s="151"/>
      <c r="Q85" s="151"/>
    </row>
    <row r="86" spans="1:17" ht="20.100000000000001" customHeight="1">
      <c r="A86" s="141">
        <v>80</v>
      </c>
      <c r="B86" s="142" t="s">
        <v>1083</v>
      </c>
      <c r="C86" s="143" t="s">
        <v>1024</v>
      </c>
      <c r="D86" s="2793" t="s">
        <v>1084</v>
      </c>
      <c r="E86" s="144"/>
      <c r="F86" s="144"/>
      <c r="G86" s="144"/>
      <c r="H86" s="144"/>
      <c r="I86" s="144"/>
      <c r="J86" s="247"/>
      <c r="K86" s="248">
        <v>1</v>
      </c>
      <c r="L86" s="224"/>
      <c r="M86" s="246" t="s">
        <v>1085</v>
      </c>
      <c r="N86" s="249">
        <v>-1300</v>
      </c>
      <c r="O86" s="150">
        <f t="shared" si="1"/>
        <v>1</v>
      </c>
      <c r="P86" s="151"/>
      <c r="Q86" s="151"/>
    </row>
    <row r="87" spans="1:17" ht="20.100000000000001" customHeight="1">
      <c r="A87" s="141">
        <v>81</v>
      </c>
      <c r="B87" s="142" t="s">
        <v>1083</v>
      </c>
      <c r="C87" s="143" t="s">
        <v>1024</v>
      </c>
      <c r="D87" s="2795"/>
      <c r="E87" s="144"/>
      <c r="F87" s="144"/>
      <c r="G87" s="144"/>
      <c r="H87" s="144"/>
      <c r="I87" s="144"/>
      <c r="J87" s="247"/>
      <c r="K87" s="248">
        <v>1</v>
      </c>
      <c r="L87" s="224"/>
      <c r="M87" s="246" t="s">
        <v>1086</v>
      </c>
      <c r="N87" s="250">
        <v>-2200</v>
      </c>
      <c r="O87" s="150">
        <f t="shared" si="1"/>
        <v>1</v>
      </c>
      <c r="P87" s="151"/>
      <c r="Q87" s="151"/>
    </row>
    <row r="88" spans="1:17" ht="20.100000000000001" customHeight="1">
      <c r="A88" s="141">
        <v>82</v>
      </c>
      <c r="B88" s="142" t="s">
        <v>1083</v>
      </c>
      <c r="C88" s="143" t="s">
        <v>1024</v>
      </c>
      <c r="D88" s="2794"/>
      <c r="E88" s="144"/>
      <c r="F88" s="144"/>
      <c r="G88" s="144"/>
      <c r="H88" s="144"/>
      <c r="I88" s="144"/>
      <c r="J88" s="247"/>
      <c r="K88" s="248">
        <v>1</v>
      </c>
      <c r="L88" s="224"/>
      <c r="M88" s="226" t="s">
        <v>1087</v>
      </c>
      <c r="N88" s="250">
        <v>47366.1</v>
      </c>
      <c r="O88" s="150">
        <f t="shared" si="1"/>
        <v>1</v>
      </c>
      <c r="P88" s="151"/>
      <c r="Q88" s="151"/>
    </row>
    <row r="89" spans="1:17" ht="20.100000000000001" hidden="1" customHeight="1">
      <c r="A89" s="141">
        <v>83</v>
      </c>
      <c r="B89" s="142" t="s">
        <v>1083</v>
      </c>
      <c r="C89" s="143" t="s">
        <v>1024</v>
      </c>
      <c r="D89" s="182"/>
      <c r="E89" s="144"/>
      <c r="F89" s="144"/>
      <c r="G89" s="144"/>
      <c r="H89" s="144"/>
      <c r="I89" s="144"/>
      <c r="J89" s="247"/>
      <c r="K89" s="251"/>
      <c r="L89" s="224"/>
      <c r="M89" s="252" t="s">
        <v>1026</v>
      </c>
      <c r="N89" s="253"/>
      <c r="O89" s="150">
        <f t="shared" si="1"/>
        <v>0</v>
      </c>
      <c r="P89" s="151"/>
      <c r="Q89" s="151"/>
    </row>
    <row r="90" spans="1:17" ht="20.100000000000001" hidden="1" customHeight="1">
      <c r="A90" s="141">
        <v>84</v>
      </c>
      <c r="B90" s="142" t="s">
        <v>1083</v>
      </c>
      <c r="C90" s="143" t="s">
        <v>1024</v>
      </c>
      <c r="D90" s="182" t="s">
        <v>29</v>
      </c>
      <c r="E90" s="144"/>
      <c r="F90" s="160"/>
      <c r="G90" s="144">
        <v>1</v>
      </c>
      <c r="H90" s="144"/>
      <c r="I90" s="144"/>
      <c r="J90" s="247"/>
      <c r="K90" s="254"/>
      <c r="L90" s="224"/>
      <c r="M90" s="246" t="s">
        <v>119</v>
      </c>
      <c r="N90" s="250">
        <v>-2289603.29</v>
      </c>
      <c r="O90" s="150">
        <f t="shared" si="1"/>
        <v>1</v>
      </c>
      <c r="P90" s="151"/>
      <c r="Q90" s="151"/>
    </row>
    <row r="91" spans="1:17" ht="20.100000000000001" hidden="1" customHeight="1">
      <c r="A91" s="141">
        <v>85</v>
      </c>
      <c r="B91" s="142" t="s">
        <v>1083</v>
      </c>
      <c r="C91" s="143" t="s">
        <v>1024</v>
      </c>
      <c r="D91" s="182" t="s">
        <v>29</v>
      </c>
      <c r="E91" s="160"/>
      <c r="F91" s="144"/>
      <c r="G91" s="144">
        <v>1</v>
      </c>
      <c r="H91" s="144"/>
      <c r="I91" s="144"/>
      <c r="J91" s="247"/>
      <c r="K91" s="254"/>
      <c r="L91" s="224"/>
      <c r="M91" s="246" t="s">
        <v>49</v>
      </c>
      <c r="N91" s="250">
        <v>14631751.470000001</v>
      </c>
      <c r="O91" s="150">
        <f t="shared" si="1"/>
        <v>1</v>
      </c>
      <c r="P91" s="151"/>
      <c r="Q91" s="151"/>
    </row>
    <row r="92" spans="1:17" ht="20.100000000000001" hidden="1" customHeight="1">
      <c r="A92" s="141">
        <v>86</v>
      </c>
      <c r="B92" s="142" t="s">
        <v>1083</v>
      </c>
      <c r="C92" s="143" t="s">
        <v>1024</v>
      </c>
      <c r="D92" s="182" t="s">
        <v>29</v>
      </c>
      <c r="E92" s="144"/>
      <c r="F92" s="144"/>
      <c r="G92" s="144">
        <v>1</v>
      </c>
      <c r="H92" s="144"/>
      <c r="I92" s="144"/>
      <c r="J92" s="247"/>
      <c r="K92" s="254"/>
      <c r="L92" s="224"/>
      <c r="M92" s="246" t="s">
        <v>32</v>
      </c>
      <c r="N92" s="255">
        <v>-281510.57</v>
      </c>
      <c r="O92" s="150">
        <f t="shared" si="1"/>
        <v>1</v>
      </c>
      <c r="P92" s="256"/>
      <c r="Q92" s="256"/>
    </row>
    <row r="93" spans="1:17" ht="20.100000000000001" hidden="1" customHeight="1">
      <c r="A93" s="141">
        <v>87</v>
      </c>
      <c r="B93" s="142" t="s">
        <v>1083</v>
      </c>
      <c r="C93" s="143" t="s">
        <v>1024</v>
      </c>
      <c r="D93" s="182" t="s">
        <v>29</v>
      </c>
      <c r="E93" s="144"/>
      <c r="F93" s="144"/>
      <c r="G93" s="144">
        <v>1</v>
      </c>
      <c r="H93" s="144"/>
      <c r="I93" s="144"/>
      <c r="J93" s="247"/>
      <c r="K93" s="254"/>
      <c r="L93" s="224"/>
      <c r="M93" s="257" t="s">
        <v>1027</v>
      </c>
      <c r="N93" s="222">
        <v>752118.86</v>
      </c>
      <c r="O93" s="150">
        <f t="shared" si="1"/>
        <v>1</v>
      </c>
      <c r="P93" s="256"/>
      <c r="Q93" s="256"/>
    </row>
    <row r="94" spans="1:17" ht="20.100000000000001" hidden="1" customHeight="1">
      <c r="A94" s="141">
        <v>88</v>
      </c>
      <c r="B94" s="142" t="s">
        <v>1083</v>
      </c>
      <c r="C94" s="143" t="s">
        <v>1024</v>
      </c>
      <c r="D94" s="182" t="s">
        <v>26</v>
      </c>
      <c r="E94" s="144"/>
      <c r="F94" s="144"/>
      <c r="G94" s="144"/>
      <c r="H94" s="144"/>
      <c r="I94" s="144"/>
      <c r="J94" s="247"/>
      <c r="K94" s="258"/>
      <c r="L94" s="224"/>
      <c r="M94" s="259" t="s">
        <v>1028</v>
      </c>
      <c r="N94" s="243"/>
      <c r="O94" s="150">
        <f t="shared" si="1"/>
        <v>0</v>
      </c>
      <c r="P94" s="256"/>
      <c r="Q94" s="256"/>
    </row>
    <row r="95" spans="1:17" ht="20.100000000000001" hidden="1" customHeight="1">
      <c r="A95" s="141">
        <v>89</v>
      </c>
      <c r="B95" s="142" t="s">
        <v>1083</v>
      </c>
      <c r="C95" s="143" t="s">
        <v>1024</v>
      </c>
      <c r="D95" s="182" t="s">
        <v>29</v>
      </c>
      <c r="E95" s="144"/>
      <c r="F95" s="144"/>
      <c r="G95" s="144">
        <v>1</v>
      </c>
      <c r="H95" s="144"/>
      <c r="I95" s="144"/>
      <c r="J95" s="247"/>
      <c r="K95" s="254"/>
      <c r="L95" s="224"/>
      <c r="M95" s="257" t="s">
        <v>183</v>
      </c>
      <c r="N95" s="222">
        <v>33810.14</v>
      </c>
      <c r="O95" s="150">
        <f t="shared" si="1"/>
        <v>1</v>
      </c>
      <c r="P95" s="256"/>
      <c r="Q95" s="256"/>
    </row>
    <row r="96" spans="1:17" ht="20.100000000000001" customHeight="1">
      <c r="A96" s="141">
        <v>90</v>
      </c>
      <c r="B96" s="142" t="s">
        <v>1083</v>
      </c>
      <c r="C96" s="143" t="s">
        <v>1024</v>
      </c>
      <c r="D96" s="182" t="s">
        <v>29</v>
      </c>
      <c r="E96" s="144"/>
      <c r="F96" s="144"/>
      <c r="G96" s="160"/>
      <c r="H96" s="144"/>
      <c r="I96" s="144"/>
      <c r="J96" s="247"/>
      <c r="K96" s="254">
        <v>1</v>
      </c>
      <c r="L96" s="224"/>
      <c r="M96" s="257" t="s">
        <v>1088</v>
      </c>
      <c r="N96" s="222">
        <v>-65</v>
      </c>
      <c r="O96" s="150">
        <f t="shared" si="1"/>
        <v>1</v>
      </c>
      <c r="P96" s="256"/>
      <c r="Q96" s="256"/>
    </row>
    <row r="97" spans="1:17" ht="20.100000000000001" hidden="1" customHeight="1">
      <c r="A97" s="141">
        <v>91</v>
      </c>
      <c r="B97" s="142" t="s">
        <v>1083</v>
      </c>
      <c r="C97" s="143" t="s">
        <v>1024</v>
      </c>
      <c r="D97" s="182" t="s">
        <v>29</v>
      </c>
      <c r="E97" s="144"/>
      <c r="F97" s="144"/>
      <c r="G97" s="160">
        <v>1</v>
      </c>
      <c r="H97" s="144"/>
      <c r="I97" s="144"/>
      <c r="J97" s="247"/>
      <c r="K97" s="260"/>
      <c r="L97" s="224"/>
      <c r="M97" s="261" t="s">
        <v>1069</v>
      </c>
      <c r="N97" s="239">
        <v>39</v>
      </c>
      <c r="O97" s="150">
        <f t="shared" si="1"/>
        <v>1</v>
      </c>
      <c r="P97" s="256"/>
      <c r="Q97" s="256"/>
    </row>
    <row r="98" spans="1:17" ht="20.100000000000001" hidden="1" customHeight="1">
      <c r="A98" s="141">
        <v>92</v>
      </c>
      <c r="B98" s="142" t="s">
        <v>1083</v>
      </c>
      <c r="C98" s="143" t="s">
        <v>1024</v>
      </c>
      <c r="D98" s="182" t="s">
        <v>29</v>
      </c>
      <c r="E98" s="144"/>
      <c r="F98" s="144"/>
      <c r="G98" s="160"/>
      <c r="H98" s="144"/>
      <c r="I98" s="144"/>
      <c r="J98" s="247"/>
      <c r="K98" s="262"/>
      <c r="L98" s="224"/>
      <c r="M98" s="263" t="s">
        <v>1029</v>
      </c>
      <c r="N98" s="264"/>
      <c r="O98" s="150">
        <f t="shared" si="1"/>
        <v>0</v>
      </c>
      <c r="P98" s="256"/>
      <c r="Q98" s="256"/>
    </row>
    <row r="99" spans="1:17" ht="20.100000000000001" customHeight="1">
      <c r="A99" s="141">
        <v>93</v>
      </c>
      <c r="B99" s="142" t="s">
        <v>1083</v>
      </c>
      <c r="C99" s="143" t="s">
        <v>1024</v>
      </c>
      <c r="D99" s="182" t="s">
        <v>29</v>
      </c>
      <c r="E99" s="170"/>
      <c r="F99" s="170"/>
      <c r="G99" s="160"/>
      <c r="H99" s="170"/>
      <c r="I99" s="170"/>
      <c r="J99" s="265"/>
      <c r="K99" s="260">
        <v>1</v>
      </c>
      <c r="L99" s="228"/>
      <c r="M99" s="266" t="s">
        <v>1061</v>
      </c>
      <c r="N99" s="239">
        <v>99175.06</v>
      </c>
      <c r="O99" s="150">
        <f t="shared" si="1"/>
        <v>1</v>
      </c>
      <c r="P99" s="256">
        <v>1</v>
      </c>
      <c r="Q99" s="256"/>
    </row>
    <row r="100" spans="1:17" ht="20.100000000000001" hidden="1" customHeight="1">
      <c r="A100" s="141">
        <v>94</v>
      </c>
      <c r="B100" s="142" t="s">
        <v>1083</v>
      </c>
      <c r="C100" s="143" t="s">
        <v>1024</v>
      </c>
      <c r="D100" s="182" t="s">
        <v>33</v>
      </c>
      <c r="E100" s="144"/>
      <c r="F100" s="144"/>
      <c r="G100" s="144"/>
      <c r="H100" s="144">
        <v>25</v>
      </c>
      <c r="I100" s="144"/>
      <c r="J100" s="247"/>
      <c r="K100" s="248"/>
      <c r="L100" s="238"/>
      <c r="M100" s="246" t="s">
        <v>34</v>
      </c>
      <c r="N100" s="267">
        <v>0</v>
      </c>
      <c r="O100" s="150">
        <f t="shared" si="1"/>
        <v>25</v>
      </c>
      <c r="P100" s="256"/>
      <c r="Q100" s="256"/>
    </row>
    <row r="101" spans="1:17" ht="20.100000000000001" hidden="1" customHeight="1">
      <c r="A101" s="141">
        <v>95</v>
      </c>
      <c r="B101" s="142" t="s">
        <v>1083</v>
      </c>
      <c r="C101" s="143" t="s">
        <v>1024</v>
      </c>
      <c r="D101" s="182" t="s">
        <v>33</v>
      </c>
      <c r="E101" s="170"/>
      <c r="F101" s="170"/>
      <c r="G101" s="160"/>
      <c r="H101" s="170"/>
      <c r="I101" s="170">
        <v>2485</v>
      </c>
      <c r="J101" s="265"/>
      <c r="K101" s="268"/>
      <c r="L101" s="228"/>
      <c r="M101" s="246" t="s">
        <v>35</v>
      </c>
      <c r="N101" s="249">
        <v>2606211.5099999998</v>
      </c>
      <c r="O101" s="150">
        <f t="shared" si="1"/>
        <v>2485</v>
      </c>
      <c r="P101" s="256"/>
      <c r="Q101" s="256"/>
    </row>
    <row r="102" spans="1:17" ht="20.100000000000001" customHeight="1">
      <c r="A102" s="141">
        <v>96</v>
      </c>
      <c r="B102" s="142" t="s">
        <v>1083</v>
      </c>
      <c r="C102" s="143" t="s">
        <v>1024</v>
      </c>
      <c r="D102" s="182" t="s">
        <v>291</v>
      </c>
      <c r="E102" s="170"/>
      <c r="F102" s="170"/>
      <c r="G102" s="269"/>
      <c r="H102" s="170"/>
      <c r="I102" s="170"/>
      <c r="J102" s="265"/>
      <c r="K102" s="248">
        <v>2</v>
      </c>
      <c r="L102" s="228"/>
      <c r="M102" s="237" t="s">
        <v>1089</v>
      </c>
      <c r="N102" s="250">
        <v>0</v>
      </c>
      <c r="O102" s="150">
        <f t="shared" si="1"/>
        <v>2</v>
      </c>
      <c r="P102" s="256"/>
      <c r="Q102" s="256"/>
    </row>
    <row r="103" spans="1:17" ht="20.100000000000001" hidden="1" customHeight="1">
      <c r="A103" s="141">
        <v>97</v>
      </c>
      <c r="B103" s="142" t="s">
        <v>1083</v>
      </c>
      <c r="C103" s="143" t="s">
        <v>1024</v>
      </c>
      <c r="D103" s="2791" t="s">
        <v>36</v>
      </c>
      <c r="E103" s="144"/>
      <c r="F103" s="144">
        <v>580</v>
      </c>
      <c r="G103" s="144"/>
      <c r="H103" s="144"/>
      <c r="I103" s="144"/>
      <c r="J103" s="247"/>
      <c r="K103" s="270"/>
      <c r="L103" s="228"/>
      <c r="M103" s="246" t="s">
        <v>1090</v>
      </c>
      <c r="N103" s="271">
        <v>0</v>
      </c>
      <c r="O103" s="150">
        <f t="shared" si="1"/>
        <v>580</v>
      </c>
      <c r="P103" s="256"/>
      <c r="Q103" s="256"/>
    </row>
    <row r="104" spans="1:17" ht="20.100000000000001" hidden="1" customHeight="1">
      <c r="A104" s="141">
        <v>98</v>
      </c>
      <c r="B104" s="142" t="s">
        <v>1083</v>
      </c>
      <c r="C104" s="143" t="s">
        <v>1024</v>
      </c>
      <c r="D104" s="2792"/>
      <c r="E104" s="144">
        <v>214</v>
      </c>
      <c r="F104" s="144"/>
      <c r="G104" s="144"/>
      <c r="H104" s="160"/>
      <c r="I104" s="144"/>
      <c r="J104" s="247"/>
      <c r="K104" s="248"/>
      <c r="L104" s="224"/>
      <c r="M104" s="257" t="s">
        <v>1091</v>
      </c>
      <c r="N104" s="271">
        <v>0</v>
      </c>
      <c r="O104" s="150">
        <f t="shared" si="1"/>
        <v>214</v>
      </c>
      <c r="P104" s="256"/>
      <c r="Q104" s="256"/>
    </row>
    <row r="105" spans="1:17" ht="20.100000000000001" customHeight="1">
      <c r="A105" s="141">
        <v>99</v>
      </c>
      <c r="B105" s="142" t="s">
        <v>1092</v>
      </c>
      <c r="C105" s="143" t="s">
        <v>1024</v>
      </c>
      <c r="D105" s="2791" t="s">
        <v>1047</v>
      </c>
      <c r="E105" s="144"/>
      <c r="F105" s="144"/>
      <c r="G105" s="144"/>
      <c r="H105" s="144"/>
      <c r="I105" s="160"/>
      <c r="J105" s="145"/>
      <c r="K105" s="272">
        <v>1</v>
      </c>
      <c r="L105" s="224"/>
      <c r="M105" s="246" t="s">
        <v>1093</v>
      </c>
      <c r="N105" s="273">
        <v>182339.25</v>
      </c>
      <c r="O105" s="150">
        <f t="shared" si="1"/>
        <v>1</v>
      </c>
      <c r="P105" s="256"/>
      <c r="Q105" s="256"/>
    </row>
    <row r="106" spans="1:17" ht="20.100000000000001" customHeight="1">
      <c r="A106" s="141">
        <v>100</v>
      </c>
      <c r="B106" s="142" t="s">
        <v>1092</v>
      </c>
      <c r="C106" s="143" t="s">
        <v>1024</v>
      </c>
      <c r="D106" s="2802"/>
      <c r="E106" s="144"/>
      <c r="F106" s="144"/>
      <c r="G106" s="144"/>
      <c r="H106" s="144"/>
      <c r="I106" s="144"/>
      <c r="J106" s="145"/>
      <c r="K106" s="272">
        <v>1</v>
      </c>
      <c r="L106" s="224"/>
      <c r="M106" s="246" t="s">
        <v>1094</v>
      </c>
      <c r="N106" s="274">
        <v>67000</v>
      </c>
      <c r="O106" s="150">
        <f t="shared" si="1"/>
        <v>1</v>
      </c>
      <c r="P106" s="256"/>
      <c r="Q106" s="256"/>
    </row>
    <row r="107" spans="1:17" ht="20.100000000000001" customHeight="1">
      <c r="A107" s="141">
        <v>101</v>
      </c>
      <c r="B107" s="142" t="s">
        <v>1092</v>
      </c>
      <c r="C107" s="143" t="s">
        <v>1024</v>
      </c>
      <c r="D107" s="2799"/>
      <c r="E107" s="144"/>
      <c r="F107" s="160"/>
      <c r="G107" s="144"/>
      <c r="H107" s="144"/>
      <c r="I107" s="144"/>
      <c r="J107" s="145"/>
      <c r="K107" s="275">
        <v>2</v>
      </c>
      <c r="L107" s="224"/>
      <c r="M107" s="276" t="s">
        <v>1095</v>
      </c>
      <c r="N107" s="277">
        <v>1370083.97</v>
      </c>
      <c r="O107" s="150">
        <f t="shared" si="1"/>
        <v>2</v>
      </c>
      <c r="P107" s="256"/>
      <c r="Q107" s="256"/>
    </row>
    <row r="108" spans="1:17" ht="20.100000000000001" customHeight="1">
      <c r="A108" s="141">
        <v>102</v>
      </c>
      <c r="B108" s="142" t="s">
        <v>1092</v>
      </c>
      <c r="C108" s="143" t="s">
        <v>1024</v>
      </c>
      <c r="D108" s="182" t="s">
        <v>103</v>
      </c>
      <c r="E108" s="160"/>
      <c r="F108" s="144"/>
      <c r="G108" s="144"/>
      <c r="H108" s="144"/>
      <c r="I108" s="144"/>
      <c r="J108" s="145">
        <v>11</v>
      </c>
      <c r="K108" s="2806"/>
      <c r="L108" s="2807"/>
      <c r="M108" s="2808" t="s">
        <v>1096</v>
      </c>
      <c r="N108" s="2809">
        <v>2000</v>
      </c>
      <c r="O108" s="2810">
        <f t="shared" si="1"/>
        <v>11</v>
      </c>
      <c r="P108" s="256"/>
      <c r="Q108" s="256"/>
    </row>
    <row r="109" spans="1:17" ht="20.100000000000001" hidden="1" customHeight="1">
      <c r="A109" s="141">
        <v>103</v>
      </c>
      <c r="B109" s="142" t="s">
        <v>1092</v>
      </c>
      <c r="C109" s="143" t="s">
        <v>1024</v>
      </c>
      <c r="D109" s="2791" t="s">
        <v>29</v>
      </c>
      <c r="E109" s="144"/>
      <c r="F109" s="144"/>
      <c r="G109" s="144"/>
      <c r="H109" s="144"/>
      <c r="I109" s="144"/>
      <c r="J109" s="145"/>
      <c r="K109" s="279"/>
      <c r="L109" s="224"/>
      <c r="M109" s="252" t="s">
        <v>1026</v>
      </c>
      <c r="N109" s="280"/>
      <c r="O109" s="150">
        <f t="shared" si="1"/>
        <v>0</v>
      </c>
      <c r="P109" s="256"/>
      <c r="Q109" s="256"/>
    </row>
    <row r="110" spans="1:17" ht="20.100000000000001" hidden="1" customHeight="1">
      <c r="A110" s="141">
        <v>104</v>
      </c>
      <c r="B110" s="142" t="s">
        <v>1092</v>
      </c>
      <c r="C110" s="143" t="s">
        <v>1024</v>
      </c>
      <c r="D110" s="2802"/>
      <c r="E110" s="144"/>
      <c r="F110" s="144"/>
      <c r="G110" s="144">
        <v>1</v>
      </c>
      <c r="H110" s="144"/>
      <c r="I110" s="144"/>
      <c r="J110" s="145"/>
      <c r="K110" s="272"/>
      <c r="L110" s="224"/>
      <c r="M110" s="246" t="s">
        <v>119</v>
      </c>
      <c r="N110" s="244">
        <v>-4690902.91</v>
      </c>
      <c r="O110" s="150">
        <f t="shared" si="1"/>
        <v>1</v>
      </c>
      <c r="P110" s="256"/>
      <c r="Q110" s="256"/>
    </row>
    <row r="111" spans="1:17" ht="20.100000000000001" hidden="1" customHeight="1">
      <c r="A111" s="141">
        <v>105</v>
      </c>
      <c r="B111" s="142" t="s">
        <v>1092</v>
      </c>
      <c r="C111" s="143" t="s">
        <v>1024</v>
      </c>
      <c r="D111" s="2802"/>
      <c r="E111" s="144"/>
      <c r="F111" s="144"/>
      <c r="G111" s="144">
        <v>1</v>
      </c>
      <c r="H111" s="144"/>
      <c r="I111" s="144"/>
      <c r="J111" s="145"/>
      <c r="K111" s="272"/>
      <c r="L111" s="224"/>
      <c r="M111" s="246" t="s">
        <v>49</v>
      </c>
      <c r="N111" s="273">
        <v>796925120</v>
      </c>
      <c r="O111" s="150">
        <f t="shared" si="1"/>
        <v>1</v>
      </c>
      <c r="P111" s="256"/>
      <c r="Q111" s="256"/>
    </row>
    <row r="112" spans="1:17" ht="20.100000000000001" hidden="1" customHeight="1">
      <c r="A112" s="141">
        <v>106</v>
      </c>
      <c r="B112" s="142" t="s">
        <v>1092</v>
      </c>
      <c r="C112" s="143" t="s">
        <v>1024</v>
      </c>
      <c r="D112" s="2802"/>
      <c r="E112" s="144"/>
      <c r="F112" s="144"/>
      <c r="G112" s="144">
        <v>1</v>
      </c>
      <c r="H112" s="144"/>
      <c r="I112" s="281"/>
      <c r="J112" s="282"/>
      <c r="K112" s="272"/>
      <c r="L112" s="224"/>
      <c r="M112" s="246" t="s">
        <v>32</v>
      </c>
      <c r="N112" s="283">
        <v>10945680.460000001</v>
      </c>
      <c r="O112" s="150">
        <f t="shared" si="1"/>
        <v>1</v>
      </c>
      <c r="P112" s="256"/>
      <c r="Q112" s="256"/>
    </row>
    <row r="113" spans="1:17" ht="20.100000000000001" hidden="1" customHeight="1">
      <c r="A113" s="141">
        <v>107</v>
      </c>
      <c r="B113" s="142" t="s">
        <v>1092</v>
      </c>
      <c r="C113" s="143" t="s">
        <v>1024</v>
      </c>
      <c r="D113" s="2802"/>
      <c r="E113" s="144"/>
      <c r="F113" s="144"/>
      <c r="G113" s="144">
        <v>1</v>
      </c>
      <c r="H113" s="144"/>
      <c r="I113" s="144"/>
      <c r="J113" s="145"/>
      <c r="K113" s="284"/>
      <c r="L113" s="224"/>
      <c r="M113" s="285" t="s">
        <v>1097</v>
      </c>
      <c r="N113" s="286">
        <v>151131.25</v>
      </c>
      <c r="O113" s="150">
        <f t="shared" si="1"/>
        <v>1</v>
      </c>
      <c r="P113" s="256"/>
      <c r="Q113" s="256"/>
    </row>
    <row r="114" spans="1:17" ht="20.100000000000001" hidden="1" customHeight="1">
      <c r="A114" s="141">
        <v>108</v>
      </c>
      <c r="B114" s="142" t="s">
        <v>1092</v>
      </c>
      <c r="C114" s="143" t="s">
        <v>1024</v>
      </c>
      <c r="D114" s="2802"/>
      <c r="E114" s="144"/>
      <c r="F114" s="144"/>
      <c r="G114" s="160">
        <v>1</v>
      </c>
      <c r="H114" s="144"/>
      <c r="I114" s="144"/>
      <c r="J114" s="145"/>
      <c r="K114" s="287"/>
      <c r="L114" s="224"/>
      <c r="M114" s="246" t="s">
        <v>50</v>
      </c>
      <c r="N114" s="233">
        <v>-33413.47</v>
      </c>
      <c r="O114" s="150">
        <f t="shared" si="1"/>
        <v>1</v>
      </c>
      <c r="P114" s="256"/>
      <c r="Q114" s="256"/>
    </row>
    <row r="115" spans="1:17" ht="20.100000000000001" hidden="1" customHeight="1">
      <c r="A115" s="141">
        <v>109</v>
      </c>
      <c r="B115" s="142" t="s">
        <v>1092</v>
      </c>
      <c r="C115" s="143" t="s">
        <v>1024</v>
      </c>
      <c r="D115" s="2802"/>
      <c r="E115" s="144"/>
      <c r="F115" s="144"/>
      <c r="G115" s="160"/>
      <c r="H115" s="144"/>
      <c r="I115" s="144"/>
      <c r="J115" s="145"/>
      <c r="K115" s="288"/>
      <c r="L115" s="224"/>
      <c r="M115" s="289" t="s">
        <v>1028</v>
      </c>
      <c r="N115" s="290"/>
      <c r="O115" s="150">
        <f t="shared" si="1"/>
        <v>0</v>
      </c>
      <c r="P115" s="256"/>
      <c r="Q115" s="256"/>
    </row>
    <row r="116" spans="1:17" ht="20.100000000000001" hidden="1" customHeight="1">
      <c r="A116" s="141">
        <v>110</v>
      </c>
      <c r="B116" s="142" t="s">
        <v>1092</v>
      </c>
      <c r="C116" s="143" t="s">
        <v>1024</v>
      </c>
      <c r="D116" s="2802"/>
      <c r="E116" s="144"/>
      <c r="F116" s="144"/>
      <c r="G116" s="160">
        <v>1</v>
      </c>
      <c r="H116" s="144"/>
      <c r="I116" s="144"/>
      <c r="J116" s="145"/>
      <c r="K116" s="291"/>
      <c r="L116" s="224"/>
      <c r="M116" s="292" t="s">
        <v>1098</v>
      </c>
      <c r="N116" s="233">
        <v>78.75</v>
      </c>
      <c r="O116" s="150">
        <f t="shared" si="1"/>
        <v>1</v>
      </c>
      <c r="P116" s="256"/>
      <c r="Q116" s="256"/>
    </row>
    <row r="117" spans="1:17" ht="20.100000000000001" customHeight="1">
      <c r="A117" s="141">
        <v>111</v>
      </c>
      <c r="B117" s="142" t="s">
        <v>1092</v>
      </c>
      <c r="C117" s="143" t="s">
        <v>1024</v>
      </c>
      <c r="D117" s="2802"/>
      <c r="E117" s="144"/>
      <c r="F117" s="144"/>
      <c r="G117" s="160"/>
      <c r="H117" s="144"/>
      <c r="I117" s="144"/>
      <c r="J117" s="145"/>
      <c r="K117" s="291">
        <v>1</v>
      </c>
      <c r="L117" s="228"/>
      <c r="M117" s="292" t="s">
        <v>393</v>
      </c>
      <c r="N117" s="233">
        <v>17491.02</v>
      </c>
      <c r="O117" s="150">
        <f t="shared" si="1"/>
        <v>1</v>
      </c>
      <c r="P117" s="256"/>
      <c r="Q117" s="256"/>
    </row>
    <row r="118" spans="1:17" ht="20.100000000000001" hidden="1" customHeight="1">
      <c r="A118" s="141">
        <v>112</v>
      </c>
      <c r="B118" s="142" t="s">
        <v>1092</v>
      </c>
      <c r="C118" s="143" t="s">
        <v>1024</v>
      </c>
      <c r="D118" s="2802"/>
      <c r="E118" s="144"/>
      <c r="F118" s="144"/>
      <c r="G118" s="160">
        <v>1</v>
      </c>
      <c r="H118" s="144"/>
      <c r="I118" s="144"/>
      <c r="J118" s="145"/>
      <c r="K118" s="291"/>
      <c r="L118" s="228"/>
      <c r="M118" s="292" t="s">
        <v>1099</v>
      </c>
      <c r="N118" s="233">
        <v>962250.81</v>
      </c>
      <c r="O118" s="150">
        <f t="shared" si="1"/>
        <v>1</v>
      </c>
      <c r="P118" s="256"/>
      <c r="Q118" s="256"/>
    </row>
    <row r="119" spans="1:17" ht="20.100000000000001" customHeight="1">
      <c r="A119" s="141">
        <v>113</v>
      </c>
      <c r="B119" s="142" t="s">
        <v>1092</v>
      </c>
      <c r="C119" s="143" t="s">
        <v>1024</v>
      </c>
      <c r="D119" s="2802"/>
      <c r="E119" s="144"/>
      <c r="F119" s="144"/>
      <c r="G119" s="144"/>
      <c r="H119" s="144"/>
      <c r="I119" s="144"/>
      <c r="J119" s="145"/>
      <c r="K119" s="291">
        <v>1</v>
      </c>
      <c r="L119" s="228"/>
      <c r="M119" s="292" t="s">
        <v>1100</v>
      </c>
      <c r="N119" s="233">
        <v>-15</v>
      </c>
      <c r="O119" s="150">
        <f t="shared" si="1"/>
        <v>1</v>
      </c>
      <c r="P119" s="256"/>
      <c r="Q119" s="256"/>
    </row>
    <row r="120" spans="1:17" ht="20.100000000000001" hidden="1" customHeight="1">
      <c r="A120" s="141">
        <v>114</v>
      </c>
      <c r="B120" s="142" t="s">
        <v>1092</v>
      </c>
      <c r="C120" s="143" t="s">
        <v>1024</v>
      </c>
      <c r="D120" s="2802"/>
      <c r="E120" s="144"/>
      <c r="F120" s="144"/>
      <c r="G120" s="160"/>
      <c r="H120" s="144"/>
      <c r="I120" s="144"/>
      <c r="J120" s="145"/>
      <c r="K120" s="241"/>
      <c r="L120" s="228"/>
      <c r="M120" s="293" t="s">
        <v>1029</v>
      </c>
      <c r="N120" s="294"/>
      <c r="O120" s="150">
        <f t="shared" si="1"/>
        <v>0</v>
      </c>
      <c r="P120" s="256"/>
      <c r="Q120" s="256"/>
    </row>
    <row r="121" spans="1:17" ht="20.100000000000001" customHeight="1">
      <c r="A121" s="141">
        <v>115</v>
      </c>
      <c r="B121" s="142" t="s">
        <v>1092</v>
      </c>
      <c r="C121" s="143" t="s">
        <v>1024</v>
      </c>
      <c r="D121" s="2802"/>
      <c r="E121" s="144"/>
      <c r="F121" s="144"/>
      <c r="G121" s="144"/>
      <c r="H121" s="144"/>
      <c r="I121" s="144"/>
      <c r="J121" s="145"/>
      <c r="K121" s="291">
        <v>1</v>
      </c>
      <c r="L121" s="228"/>
      <c r="M121" s="276" t="s">
        <v>1101</v>
      </c>
      <c r="N121" s="233">
        <v>-225</v>
      </c>
      <c r="O121" s="150">
        <f t="shared" si="1"/>
        <v>1</v>
      </c>
      <c r="P121" s="256"/>
      <c r="Q121" s="256"/>
    </row>
    <row r="122" spans="1:17" ht="20.100000000000001" customHeight="1">
      <c r="A122" s="141">
        <v>116</v>
      </c>
      <c r="B122" s="142" t="s">
        <v>1092</v>
      </c>
      <c r="C122" s="143" t="s">
        <v>1024</v>
      </c>
      <c r="D122" s="2802"/>
      <c r="E122" s="144"/>
      <c r="F122" s="144"/>
      <c r="G122" s="160"/>
      <c r="H122" s="144"/>
      <c r="I122" s="144"/>
      <c r="J122" s="145"/>
      <c r="K122" s="291">
        <v>1</v>
      </c>
      <c r="L122" s="228"/>
      <c r="M122" s="276" t="s">
        <v>1102</v>
      </c>
      <c r="N122" s="233">
        <v>-359820.79999999999</v>
      </c>
      <c r="O122" s="150">
        <f t="shared" si="1"/>
        <v>1</v>
      </c>
      <c r="P122" s="256"/>
      <c r="Q122" s="256"/>
    </row>
    <row r="123" spans="1:17" ht="20.100000000000001" customHeight="1">
      <c r="A123" s="141">
        <v>117</v>
      </c>
      <c r="B123" s="142" t="s">
        <v>1092</v>
      </c>
      <c r="C123" s="143" t="s">
        <v>1024</v>
      </c>
      <c r="D123" s="2802"/>
      <c r="E123" s="144"/>
      <c r="F123" s="144"/>
      <c r="G123" s="144"/>
      <c r="H123" s="144"/>
      <c r="I123" s="144"/>
      <c r="J123" s="145"/>
      <c r="K123" s="291">
        <v>1</v>
      </c>
      <c r="L123" s="228"/>
      <c r="M123" s="276" t="s">
        <v>1103</v>
      </c>
      <c r="N123" s="286">
        <v>-633750</v>
      </c>
      <c r="O123" s="150">
        <f t="shared" si="1"/>
        <v>1</v>
      </c>
      <c r="P123" s="256"/>
      <c r="Q123" s="256"/>
    </row>
    <row r="124" spans="1:17" ht="20.100000000000001" customHeight="1">
      <c r="A124" s="141">
        <v>118</v>
      </c>
      <c r="B124" s="142" t="s">
        <v>1092</v>
      </c>
      <c r="C124" s="143" t="s">
        <v>1024</v>
      </c>
      <c r="D124" s="2799"/>
      <c r="E124" s="144"/>
      <c r="F124" s="144"/>
      <c r="G124" s="144"/>
      <c r="H124" s="144"/>
      <c r="I124" s="144"/>
      <c r="J124" s="145"/>
      <c r="K124" s="291">
        <v>1</v>
      </c>
      <c r="L124" s="228"/>
      <c r="M124" s="276" t="s">
        <v>1104</v>
      </c>
      <c r="N124" s="233">
        <v>10000</v>
      </c>
      <c r="O124" s="150">
        <f t="shared" si="1"/>
        <v>1</v>
      </c>
      <c r="P124" s="256"/>
      <c r="Q124" s="256"/>
    </row>
    <row r="125" spans="1:17" ht="20.100000000000001" customHeight="1">
      <c r="A125" s="141">
        <v>119</v>
      </c>
      <c r="B125" s="142" t="s">
        <v>1092</v>
      </c>
      <c r="C125" s="143" t="s">
        <v>1024</v>
      </c>
      <c r="D125" s="182" t="s">
        <v>1105</v>
      </c>
      <c r="E125" s="144"/>
      <c r="F125" s="144"/>
      <c r="G125" s="144"/>
      <c r="H125" s="144"/>
      <c r="I125" s="144"/>
      <c r="J125" s="145"/>
      <c r="K125" s="291">
        <v>20</v>
      </c>
      <c r="L125" s="228"/>
      <c r="M125" s="295" t="s">
        <v>1061</v>
      </c>
      <c r="N125" s="296">
        <v>110367203.89</v>
      </c>
      <c r="O125" s="150">
        <f t="shared" si="1"/>
        <v>20</v>
      </c>
      <c r="P125" s="256"/>
      <c r="Q125" s="256"/>
    </row>
    <row r="126" spans="1:17" ht="20.100000000000001" hidden="1" customHeight="1">
      <c r="A126" s="141">
        <v>120</v>
      </c>
      <c r="B126" s="142" t="s">
        <v>1092</v>
      </c>
      <c r="C126" s="143" t="s">
        <v>1024</v>
      </c>
      <c r="D126" s="2791" t="s">
        <v>33</v>
      </c>
      <c r="E126" s="144"/>
      <c r="F126" s="144"/>
      <c r="G126" s="144"/>
      <c r="H126" s="144">
        <v>700</v>
      </c>
      <c r="I126" s="144"/>
      <c r="J126" s="145"/>
      <c r="K126" s="291"/>
      <c r="L126" s="228"/>
      <c r="M126" s="261" t="s">
        <v>1106</v>
      </c>
      <c r="N126" s="233">
        <v>35000</v>
      </c>
      <c r="O126" s="150">
        <f t="shared" si="1"/>
        <v>700</v>
      </c>
      <c r="P126" s="256"/>
      <c r="Q126" s="256"/>
    </row>
    <row r="127" spans="1:17" ht="20.100000000000001" hidden="1" customHeight="1">
      <c r="A127" s="141">
        <v>121</v>
      </c>
      <c r="B127" s="142" t="s">
        <v>1092</v>
      </c>
      <c r="C127" s="143" t="s">
        <v>1024</v>
      </c>
      <c r="D127" s="2799"/>
      <c r="E127" s="144"/>
      <c r="F127" s="144"/>
      <c r="G127" s="144"/>
      <c r="H127" s="144"/>
      <c r="I127" s="144">
        <v>9686</v>
      </c>
      <c r="J127" s="145"/>
      <c r="K127" s="275"/>
      <c r="L127" s="228"/>
      <c r="M127" s="261" t="s">
        <v>35</v>
      </c>
      <c r="N127" s="244">
        <v>24637608.370000001</v>
      </c>
      <c r="O127" s="150">
        <f t="shared" si="1"/>
        <v>9686</v>
      </c>
      <c r="P127" s="256"/>
      <c r="Q127" s="256"/>
    </row>
    <row r="128" spans="1:17" ht="20.100000000000001" hidden="1" customHeight="1">
      <c r="A128" s="141">
        <v>122</v>
      </c>
      <c r="B128" s="142" t="s">
        <v>1092</v>
      </c>
      <c r="C128" s="143" t="s">
        <v>1024</v>
      </c>
      <c r="D128" s="2791" t="s">
        <v>36</v>
      </c>
      <c r="E128" s="144"/>
      <c r="F128" s="144">
        <v>225</v>
      </c>
      <c r="G128" s="144"/>
      <c r="H128" s="160"/>
      <c r="I128" s="144"/>
      <c r="J128" s="145"/>
      <c r="K128" s="297"/>
      <c r="L128" s="228"/>
      <c r="M128" s="225" t="s">
        <v>1107</v>
      </c>
      <c r="N128" s="298">
        <v>0</v>
      </c>
      <c r="O128" s="150">
        <f t="shared" si="1"/>
        <v>225</v>
      </c>
      <c r="P128" s="256"/>
      <c r="Q128" s="256"/>
    </row>
    <row r="129" spans="1:17" ht="20.100000000000001" hidden="1" customHeight="1">
      <c r="A129" s="141">
        <v>123</v>
      </c>
      <c r="B129" s="142" t="s">
        <v>1092</v>
      </c>
      <c r="C129" s="143" t="s">
        <v>1024</v>
      </c>
      <c r="D129" s="2792"/>
      <c r="E129" s="144">
        <v>69</v>
      </c>
      <c r="F129" s="144"/>
      <c r="G129" s="144"/>
      <c r="H129" s="144"/>
      <c r="I129" s="160"/>
      <c r="J129" s="145"/>
      <c r="K129" s="275"/>
      <c r="L129" s="224"/>
      <c r="M129" s="261" t="s">
        <v>1108</v>
      </c>
      <c r="N129" s="277">
        <v>0</v>
      </c>
      <c r="O129" s="150">
        <f t="shared" si="1"/>
        <v>69</v>
      </c>
      <c r="P129" s="256"/>
      <c r="Q129" s="256"/>
    </row>
    <row r="130" spans="1:17" ht="20.100000000000001" customHeight="1">
      <c r="A130" s="141">
        <v>124</v>
      </c>
      <c r="B130" s="142" t="s">
        <v>1109</v>
      </c>
      <c r="C130" s="143" t="s">
        <v>1024</v>
      </c>
      <c r="D130" s="2793" t="s">
        <v>1110</v>
      </c>
      <c r="E130" s="144"/>
      <c r="F130" s="160"/>
      <c r="G130" s="144"/>
      <c r="H130" s="144"/>
      <c r="I130" s="144"/>
      <c r="J130" s="145"/>
      <c r="K130" s="299">
        <v>1</v>
      </c>
      <c r="L130" s="224"/>
      <c r="M130" s="257" t="s">
        <v>1111</v>
      </c>
      <c r="N130" s="300">
        <v>176450</v>
      </c>
      <c r="O130" s="150">
        <f t="shared" si="1"/>
        <v>1</v>
      </c>
      <c r="P130" s="256"/>
      <c r="Q130" s="256"/>
    </row>
    <row r="131" spans="1:17" ht="20.100000000000001" customHeight="1">
      <c r="A131" s="141">
        <v>125</v>
      </c>
      <c r="B131" s="142" t="s">
        <v>1109</v>
      </c>
      <c r="C131" s="143" t="s">
        <v>1024</v>
      </c>
      <c r="D131" s="2795"/>
      <c r="E131" s="160"/>
      <c r="F131" s="144"/>
      <c r="G131" s="144"/>
      <c r="H131" s="144"/>
      <c r="I131" s="144"/>
      <c r="J131" s="145"/>
      <c r="K131" s="301">
        <v>1</v>
      </c>
      <c r="L131" s="224"/>
      <c r="M131" s="257" t="s">
        <v>1112</v>
      </c>
      <c r="N131" s="302">
        <v>-11500</v>
      </c>
      <c r="O131" s="150">
        <f t="shared" si="1"/>
        <v>1</v>
      </c>
      <c r="P131" s="256"/>
      <c r="Q131" s="256"/>
    </row>
    <row r="132" spans="1:17" ht="20.100000000000001" customHeight="1">
      <c r="A132" s="141">
        <v>126</v>
      </c>
      <c r="B132" s="142" t="s">
        <v>1109</v>
      </c>
      <c r="C132" s="143" t="s">
        <v>1024</v>
      </c>
      <c r="D132" s="2794"/>
      <c r="E132" s="144"/>
      <c r="F132" s="144"/>
      <c r="G132" s="144"/>
      <c r="H132" s="144"/>
      <c r="I132" s="144"/>
      <c r="J132" s="145"/>
      <c r="K132" s="303">
        <v>1</v>
      </c>
      <c r="L132" s="224"/>
      <c r="M132" s="304" t="s">
        <v>1113</v>
      </c>
      <c r="N132" s="305">
        <v>766250.47</v>
      </c>
      <c r="O132" s="150">
        <f t="shared" si="1"/>
        <v>1</v>
      </c>
      <c r="P132" s="256"/>
      <c r="Q132" s="256"/>
    </row>
    <row r="133" spans="1:17" ht="20.100000000000001" hidden="1" customHeight="1">
      <c r="A133" s="141">
        <v>127</v>
      </c>
      <c r="B133" s="142" t="s">
        <v>1109</v>
      </c>
      <c r="C133" s="143" t="s">
        <v>1024</v>
      </c>
      <c r="D133" s="2793" t="s">
        <v>29</v>
      </c>
      <c r="E133" s="144"/>
      <c r="F133" s="144"/>
      <c r="G133" s="144"/>
      <c r="H133" s="144"/>
      <c r="I133" s="144"/>
      <c r="J133" s="145"/>
      <c r="K133" s="306"/>
      <c r="L133" s="224"/>
      <c r="M133" s="252" t="s">
        <v>1026</v>
      </c>
      <c r="N133" s="253"/>
      <c r="O133" s="150">
        <f t="shared" si="1"/>
        <v>0</v>
      </c>
      <c r="P133" s="256"/>
      <c r="Q133" s="256"/>
    </row>
    <row r="134" spans="1:17" ht="20.100000000000001" hidden="1" customHeight="1">
      <c r="A134" s="141">
        <v>128</v>
      </c>
      <c r="B134" s="142" t="s">
        <v>1109</v>
      </c>
      <c r="C134" s="143" t="s">
        <v>1024</v>
      </c>
      <c r="D134" s="2795"/>
      <c r="E134" s="144"/>
      <c r="F134" s="144"/>
      <c r="G134" s="144">
        <v>1</v>
      </c>
      <c r="H134" s="144"/>
      <c r="I134" s="144"/>
      <c r="J134" s="145"/>
      <c r="K134" s="303"/>
      <c r="L134" s="238"/>
      <c r="M134" s="246" t="s">
        <v>119</v>
      </c>
      <c r="N134" s="250">
        <v>-3573657.31</v>
      </c>
      <c r="O134" s="150">
        <f t="shared" si="1"/>
        <v>1</v>
      </c>
      <c r="P134" s="151"/>
      <c r="Q134" s="151"/>
    </row>
    <row r="135" spans="1:17" ht="20.100000000000001" hidden="1" customHeight="1">
      <c r="A135" s="141">
        <v>129</v>
      </c>
      <c r="B135" s="142" t="s">
        <v>1109</v>
      </c>
      <c r="C135" s="143" t="s">
        <v>1024</v>
      </c>
      <c r="D135" s="2795"/>
      <c r="E135" s="144"/>
      <c r="F135" s="144"/>
      <c r="G135" s="144">
        <v>1</v>
      </c>
      <c r="H135" s="144"/>
      <c r="I135" s="144"/>
      <c r="J135" s="145"/>
      <c r="K135" s="307"/>
      <c r="L135" s="224"/>
      <c r="M135" s="246" t="s">
        <v>49</v>
      </c>
      <c r="N135" s="250">
        <v>-454800006.80000001</v>
      </c>
      <c r="O135" s="150">
        <f t="shared" si="1"/>
        <v>1</v>
      </c>
      <c r="P135" s="151"/>
      <c r="Q135" s="151"/>
    </row>
    <row r="136" spans="1:17" ht="20.100000000000001" hidden="1" customHeight="1">
      <c r="A136" s="141">
        <v>130</v>
      </c>
      <c r="B136" s="142" t="s">
        <v>1109</v>
      </c>
      <c r="C136" s="143" t="s">
        <v>1024</v>
      </c>
      <c r="D136" s="2795"/>
      <c r="E136" s="144"/>
      <c r="F136" s="144"/>
      <c r="G136" s="144"/>
      <c r="H136" s="144"/>
      <c r="I136" s="144"/>
      <c r="J136" s="145"/>
      <c r="K136" s="307"/>
      <c r="L136" s="224"/>
      <c r="M136" s="246" t="s">
        <v>31</v>
      </c>
      <c r="N136" s="250">
        <v>0</v>
      </c>
      <c r="O136" s="150">
        <f t="shared" si="1"/>
        <v>0</v>
      </c>
      <c r="P136" s="151"/>
      <c r="Q136" s="151"/>
    </row>
    <row r="137" spans="1:17" ht="20.100000000000001" hidden="1" customHeight="1">
      <c r="A137" s="141">
        <v>131</v>
      </c>
      <c r="B137" s="142" t="s">
        <v>1109</v>
      </c>
      <c r="C137" s="143" t="s">
        <v>1024</v>
      </c>
      <c r="D137" s="2795"/>
      <c r="E137" s="144"/>
      <c r="F137" s="144"/>
      <c r="G137" s="144">
        <v>1</v>
      </c>
      <c r="H137" s="144"/>
      <c r="I137" s="144"/>
      <c r="J137" s="145"/>
      <c r="K137" s="307"/>
      <c r="L137" s="224"/>
      <c r="M137" s="257" t="s">
        <v>708</v>
      </c>
      <c r="N137" s="305">
        <v>-7798.35</v>
      </c>
      <c r="O137" s="150">
        <f t="shared" ref="O137:O200" si="2">E137+F137+G137+H137+I137+J137+K137</f>
        <v>1</v>
      </c>
      <c r="P137" s="151"/>
      <c r="Q137" s="151"/>
    </row>
    <row r="138" spans="1:17" ht="20.100000000000001" hidden="1" customHeight="1">
      <c r="A138" s="141">
        <v>132</v>
      </c>
      <c r="B138" s="142" t="s">
        <v>1109</v>
      </c>
      <c r="C138" s="143" t="s">
        <v>1024</v>
      </c>
      <c r="D138" s="2795"/>
      <c r="E138" s="144"/>
      <c r="F138" s="144"/>
      <c r="G138" s="160">
        <v>1</v>
      </c>
      <c r="H138" s="144"/>
      <c r="I138" s="144"/>
      <c r="J138" s="145"/>
      <c r="K138" s="307"/>
      <c r="L138" s="224"/>
      <c r="M138" s="257" t="s">
        <v>1114</v>
      </c>
      <c r="N138" s="305">
        <v>2935407.87</v>
      </c>
      <c r="O138" s="150">
        <f t="shared" si="2"/>
        <v>1</v>
      </c>
      <c r="P138" s="151"/>
      <c r="Q138" s="151"/>
    </row>
    <row r="139" spans="1:17" ht="20.100000000000001" hidden="1" customHeight="1">
      <c r="A139" s="141">
        <v>133</v>
      </c>
      <c r="B139" s="142" t="s">
        <v>1109</v>
      </c>
      <c r="C139" s="143" t="s">
        <v>1024</v>
      </c>
      <c r="D139" s="2795"/>
      <c r="E139" s="144"/>
      <c r="F139" s="144"/>
      <c r="G139" s="160">
        <v>1</v>
      </c>
      <c r="H139" s="144"/>
      <c r="I139" s="144"/>
      <c r="J139" s="145"/>
      <c r="K139" s="303"/>
      <c r="L139" s="224"/>
      <c r="M139" s="246" t="s">
        <v>32</v>
      </c>
      <c r="N139" s="255">
        <v>15996237.43</v>
      </c>
      <c r="O139" s="150">
        <f t="shared" si="2"/>
        <v>1</v>
      </c>
      <c r="P139" s="151"/>
      <c r="Q139" s="151"/>
    </row>
    <row r="140" spans="1:17" ht="20.100000000000001" hidden="1" customHeight="1">
      <c r="A140" s="141">
        <v>134</v>
      </c>
      <c r="B140" s="142" t="s">
        <v>1109</v>
      </c>
      <c r="C140" s="143" t="s">
        <v>1024</v>
      </c>
      <c r="D140" s="2795"/>
      <c r="E140" s="144"/>
      <c r="F140" s="144"/>
      <c r="G140" s="160">
        <v>1</v>
      </c>
      <c r="H140" s="144"/>
      <c r="I140" s="144"/>
      <c r="J140" s="145"/>
      <c r="K140" s="307"/>
      <c r="L140" s="224"/>
      <c r="M140" s="246" t="s">
        <v>50</v>
      </c>
      <c r="N140" s="222">
        <v>39442.58</v>
      </c>
      <c r="O140" s="150">
        <f t="shared" si="2"/>
        <v>1</v>
      </c>
      <c r="P140" s="151"/>
      <c r="Q140" s="151"/>
    </row>
    <row r="141" spans="1:17" ht="20.100000000000001" hidden="1" customHeight="1">
      <c r="A141" s="141">
        <v>135</v>
      </c>
      <c r="B141" s="142" t="s">
        <v>1109</v>
      </c>
      <c r="C141" s="143" t="s">
        <v>1024</v>
      </c>
      <c r="D141" s="2795"/>
      <c r="E141" s="144"/>
      <c r="F141" s="144"/>
      <c r="G141" s="160"/>
      <c r="H141" s="144"/>
      <c r="I141" s="144"/>
      <c r="J141" s="145"/>
      <c r="K141" s="308"/>
      <c r="L141" s="224"/>
      <c r="M141" s="289" t="s">
        <v>1115</v>
      </c>
      <c r="N141" s="309"/>
      <c r="O141" s="150">
        <f t="shared" si="2"/>
        <v>0</v>
      </c>
      <c r="P141" s="151"/>
      <c r="Q141" s="151"/>
    </row>
    <row r="142" spans="1:17" ht="20.100000000000001" hidden="1" customHeight="1">
      <c r="A142" s="141">
        <v>136</v>
      </c>
      <c r="B142" s="142" t="s">
        <v>1109</v>
      </c>
      <c r="C142" s="143" t="s">
        <v>1024</v>
      </c>
      <c r="D142" s="2795"/>
      <c r="E142" s="144"/>
      <c r="F142" s="144"/>
      <c r="G142" s="160">
        <v>1</v>
      </c>
      <c r="H142" s="144"/>
      <c r="I142" s="144"/>
      <c r="J142" s="145"/>
      <c r="K142" s="310"/>
      <c r="L142" s="224"/>
      <c r="M142" s="311" t="s">
        <v>1069</v>
      </c>
      <c r="N142" s="212">
        <v>91</v>
      </c>
      <c r="O142" s="150">
        <f t="shared" si="2"/>
        <v>1</v>
      </c>
      <c r="P142" s="151"/>
      <c r="Q142" s="151"/>
    </row>
    <row r="143" spans="1:17" ht="20.100000000000001" hidden="1" customHeight="1">
      <c r="A143" s="141">
        <v>137</v>
      </c>
      <c r="B143" s="142" t="s">
        <v>1109</v>
      </c>
      <c r="C143" s="143" t="s">
        <v>1024</v>
      </c>
      <c r="D143" s="2795"/>
      <c r="E143" s="144"/>
      <c r="F143" s="144"/>
      <c r="G143" s="160">
        <v>1</v>
      </c>
      <c r="H143" s="144"/>
      <c r="I143" s="144"/>
      <c r="J143" s="145"/>
      <c r="K143" s="312"/>
      <c r="L143" s="228"/>
      <c r="M143" s="311" t="s">
        <v>1099</v>
      </c>
      <c r="N143" s="212">
        <v>264736.25</v>
      </c>
      <c r="O143" s="150">
        <f t="shared" si="2"/>
        <v>1</v>
      </c>
      <c r="P143" s="151"/>
      <c r="Q143" s="151"/>
    </row>
    <row r="144" spans="1:17" ht="20.100000000000001" hidden="1" customHeight="1">
      <c r="A144" s="141">
        <v>138</v>
      </c>
      <c r="B144" s="142" t="s">
        <v>1109</v>
      </c>
      <c r="C144" s="143" t="s">
        <v>1024</v>
      </c>
      <c r="D144" s="2795"/>
      <c r="E144" s="144"/>
      <c r="F144" s="144"/>
      <c r="G144" s="144"/>
      <c r="H144" s="144"/>
      <c r="I144" s="144"/>
      <c r="J144" s="145"/>
      <c r="K144" s="308"/>
      <c r="L144" s="228"/>
      <c r="M144" s="263" t="s">
        <v>1029</v>
      </c>
      <c r="N144" s="264"/>
      <c r="O144" s="150">
        <f t="shared" si="2"/>
        <v>0</v>
      </c>
      <c r="P144" s="151"/>
      <c r="Q144" s="151"/>
    </row>
    <row r="145" spans="1:17" ht="20.100000000000001" customHeight="1">
      <c r="A145" s="141">
        <v>139</v>
      </c>
      <c r="B145" s="142" t="s">
        <v>1109</v>
      </c>
      <c r="C145" s="143" t="s">
        <v>1024</v>
      </c>
      <c r="D145" s="2795"/>
      <c r="E145" s="144"/>
      <c r="F145" s="144"/>
      <c r="G145" s="160"/>
      <c r="H145" s="144"/>
      <c r="I145" s="144"/>
      <c r="J145" s="145"/>
      <c r="K145" s="219">
        <v>1</v>
      </c>
      <c r="L145" s="228"/>
      <c r="M145" s="257" t="s">
        <v>1116</v>
      </c>
      <c r="N145" s="305">
        <v>-108518.41</v>
      </c>
      <c r="O145" s="150">
        <f t="shared" si="2"/>
        <v>1</v>
      </c>
      <c r="P145" s="151"/>
      <c r="Q145" s="151"/>
    </row>
    <row r="146" spans="1:17" ht="20.100000000000001" customHeight="1">
      <c r="A146" s="141">
        <v>140</v>
      </c>
      <c r="B146" s="142" t="s">
        <v>1109</v>
      </c>
      <c r="C146" s="143" t="s">
        <v>1024</v>
      </c>
      <c r="D146" s="2794"/>
      <c r="E146" s="144"/>
      <c r="F146" s="144"/>
      <c r="G146" s="160"/>
      <c r="H146" s="144"/>
      <c r="I146" s="144"/>
      <c r="J146" s="145"/>
      <c r="K146" s="303">
        <v>1</v>
      </c>
      <c r="L146" s="228"/>
      <c r="M146" s="304" t="s">
        <v>1117</v>
      </c>
      <c r="N146" s="222">
        <v>12087401.83</v>
      </c>
      <c r="O146" s="150">
        <f t="shared" si="2"/>
        <v>1</v>
      </c>
      <c r="P146" s="151"/>
      <c r="Q146" s="151"/>
    </row>
    <row r="147" spans="1:17" ht="20.100000000000001" customHeight="1">
      <c r="A147" s="141">
        <v>141</v>
      </c>
      <c r="B147" s="142" t="s">
        <v>1109</v>
      </c>
      <c r="C147" s="143" t="s">
        <v>1024</v>
      </c>
      <c r="D147" s="182" t="s">
        <v>1076</v>
      </c>
      <c r="E147" s="144"/>
      <c r="F147" s="144"/>
      <c r="G147" s="144"/>
      <c r="H147" s="144"/>
      <c r="I147" s="144"/>
      <c r="J147" s="145"/>
      <c r="K147" s="312">
        <v>5</v>
      </c>
      <c r="L147" s="228"/>
      <c r="M147" s="313" t="s">
        <v>1061</v>
      </c>
      <c r="N147" s="222">
        <v>55926141.140000001</v>
      </c>
      <c r="O147" s="150">
        <f t="shared" si="2"/>
        <v>5</v>
      </c>
      <c r="P147" s="151"/>
      <c r="Q147" s="151"/>
    </row>
    <row r="148" spans="1:17" ht="20.100000000000001" hidden="1" customHeight="1">
      <c r="A148" s="141">
        <v>142</v>
      </c>
      <c r="B148" s="142" t="s">
        <v>1109</v>
      </c>
      <c r="C148" s="143" t="s">
        <v>1024</v>
      </c>
      <c r="D148" s="2793" t="s">
        <v>33</v>
      </c>
      <c r="E148" s="144"/>
      <c r="F148" s="144"/>
      <c r="G148" s="144"/>
      <c r="H148" s="144">
        <v>998</v>
      </c>
      <c r="I148" s="144"/>
      <c r="J148" s="145"/>
      <c r="K148" s="219"/>
      <c r="L148" s="224"/>
      <c r="M148" s="246" t="s">
        <v>34</v>
      </c>
      <c r="N148" s="267">
        <v>0</v>
      </c>
      <c r="O148" s="150">
        <f t="shared" si="2"/>
        <v>998</v>
      </c>
      <c r="P148" s="151"/>
      <c r="Q148" s="151"/>
    </row>
    <row r="149" spans="1:17" ht="20.100000000000001" hidden="1" customHeight="1">
      <c r="A149" s="141">
        <v>143</v>
      </c>
      <c r="B149" s="142" t="s">
        <v>1109</v>
      </c>
      <c r="C149" s="143" t="s">
        <v>1024</v>
      </c>
      <c r="D149" s="2794"/>
      <c r="E149" s="144"/>
      <c r="F149" s="144"/>
      <c r="G149" s="144"/>
      <c r="H149" s="144"/>
      <c r="I149" s="144">
        <v>5290</v>
      </c>
      <c r="J149" s="145"/>
      <c r="K149" s="219"/>
      <c r="L149" s="228"/>
      <c r="M149" s="246" t="s">
        <v>35</v>
      </c>
      <c r="N149" s="249">
        <v>21632768.73</v>
      </c>
      <c r="O149" s="150">
        <f t="shared" si="2"/>
        <v>5290</v>
      </c>
      <c r="P149" s="151"/>
      <c r="Q149" s="151"/>
    </row>
    <row r="150" spans="1:17" ht="20.100000000000001" customHeight="1">
      <c r="A150" s="141">
        <v>144</v>
      </c>
      <c r="B150" s="142" t="s">
        <v>1109</v>
      </c>
      <c r="C150" s="143" t="s">
        <v>1024</v>
      </c>
      <c r="D150" s="182" t="s">
        <v>1118</v>
      </c>
      <c r="E150" s="144"/>
      <c r="F150" s="144"/>
      <c r="G150" s="144"/>
      <c r="H150" s="144"/>
      <c r="I150" s="144"/>
      <c r="J150" s="145"/>
      <c r="K150" s="307">
        <v>1</v>
      </c>
      <c r="L150" s="228"/>
      <c r="M150" s="314" t="s">
        <v>104</v>
      </c>
      <c r="N150" s="250">
        <v>0</v>
      </c>
      <c r="O150" s="150">
        <f t="shared" si="2"/>
        <v>1</v>
      </c>
      <c r="P150" s="151"/>
      <c r="Q150" s="151"/>
    </row>
    <row r="151" spans="1:17" ht="20.100000000000001" hidden="1" customHeight="1">
      <c r="A151" s="141">
        <v>145</v>
      </c>
      <c r="B151" s="142" t="s">
        <v>1109</v>
      </c>
      <c r="C151" s="143" t="s">
        <v>1024</v>
      </c>
      <c r="D151" s="2793" t="s">
        <v>36</v>
      </c>
      <c r="E151" s="144"/>
      <c r="F151" s="144">
        <v>1213</v>
      </c>
      <c r="G151" s="144"/>
      <c r="H151" s="160"/>
      <c r="I151" s="144"/>
      <c r="J151" s="145"/>
      <c r="K151" s="307"/>
      <c r="L151" s="228"/>
      <c r="M151" s="246" t="s">
        <v>1119</v>
      </c>
      <c r="N151" s="250">
        <v>0</v>
      </c>
      <c r="O151" s="150">
        <f t="shared" si="2"/>
        <v>1213</v>
      </c>
      <c r="P151" s="151"/>
      <c r="Q151" s="151"/>
    </row>
    <row r="152" spans="1:17" ht="20.100000000000001" hidden="1" customHeight="1">
      <c r="A152" s="141">
        <v>146</v>
      </c>
      <c r="B152" s="142" t="s">
        <v>1109</v>
      </c>
      <c r="C152" s="143" t="s">
        <v>1024</v>
      </c>
      <c r="D152" s="2792"/>
      <c r="E152" s="144">
        <v>878</v>
      </c>
      <c r="F152" s="144"/>
      <c r="G152" s="144"/>
      <c r="H152" s="144"/>
      <c r="I152" s="160"/>
      <c r="J152" s="145"/>
      <c r="K152" s="303"/>
      <c r="L152" s="224"/>
      <c r="M152" s="246" t="s">
        <v>1120</v>
      </c>
      <c r="N152" s="250">
        <v>0</v>
      </c>
      <c r="O152" s="150">
        <f t="shared" si="2"/>
        <v>878</v>
      </c>
      <c r="P152" s="151"/>
      <c r="Q152" s="151"/>
    </row>
    <row r="153" spans="1:17" ht="20.100000000000001" hidden="1" customHeight="1">
      <c r="A153" s="141">
        <v>147</v>
      </c>
      <c r="B153" s="142" t="s">
        <v>1121</v>
      </c>
      <c r="C153" s="143" t="s">
        <v>1024</v>
      </c>
      <c r="D153" s="315"/>
      <c r="E153" s="144"/>
      <c r="F153" s="144"/>
      <c r="G153" s="144"/>
      <c r="H153" s="144"/>
      <c r="I153" s="144"/>
      <c r="J153" s="145"/>
      <c r="K153" s="306"/>
      <c r="L153" s="224"/>
      <c r="M153" s="252" t="s">
        <v>1026</v>
      </c>
      <c r="N153" s="253"/>
      <c r="O153" s="150">
        <f t="shared" si="2"/>
        <v>0</v>
      </c>
      <c r="P153" s="151"/>
      <c r="Q153" s="151"/>
    </row>
    <row r="154" spans="1:17" ht="20.100000000000001" hidden="1" customHeight="1">
      <c r="A154" s="141">
        <v>148</v>
      </c>
      <c r="B154" s="142" t="s">
        <v>1121</v>
      </c>
      <c r="C154" s="143" t="s">
        <v>1024</v>
      </c>
      <c r="D154" s="2793" t="s">
        <v>29</v>
      </c>
      <c r="E154" s="144"/>
      <c r="F154" s="160"/>
      <c r="G154" s="144">
        <v>1</v>
      </c>
      <c r="H154" s="144"/>
      <c r="I154" s="144"/>
      <c r="J154" s="145"/>
      <c r="K154" s="316"/>
      <c r="L154" s="224"/>
      <c r="M154" s="261" t="s">
        <v>119</v>
      </c>
      <c r="N154" s="108">
        <v>-1935221.49</v>
      </c>
      <c r="O154" s="150">
        <f t="shared" si="2"/>
        <v>1</v>
      </c>
      <c r="P154" s="151"/>
      <c r="Q154" s="151"/>
    </row>
    <row r="155" spans="1:17" ht="20.100000000000001" hidden="1" customHeight="1">
      <c r="A155" s="141">
        <v>149</v>
      </c>
      <c r="B155" s="142" t="s">
        <v>1121</v>
      </c>
      <c r="C155" s="143" t="s">
        <v>1024</v>
      </c>
      <c r="D155" s="2795"/>
      <c r="E155" s="160"/>
      <c r="F155" s="144"/>
      <c r="G155" s="144">
        <v>1</v>
      </c>
      <c r="H155" s="144"/>
      <c r="I155" s="144"/>
      <c r="J155" s="145"/>
      <c r="K155" s="223"/>
      <c r="L155" s="224"/>
      <c r="M155" s="261" t="s">
        <v>49</v>
      </c>
      <c r="N155" s="108">
        <v>-17168653.219999999</v>
      </c>
      <c r="O155" s="150">
        <f t="shared" si="2"/>
        <v>1</v>
      </c>
      <c r="P155" s="151"/>
      <c r="Q155" s="151"/>
    </row>
    <row r="156" spans="1:17" ht="20.100000000000001" hidden="1" customHeight="1">
      <c r="A156" s="141">
        <v>150</v>
      </c>
      <c r="B156" s="142" t="s">
        <v>1121</v>
      </c>
      <c r="C156" s="143" t="s">
        <v>1024</v>
      </c>
      <c r="D156" s="2795"/>
      <c r="E156" s="144"/>
      <c r="F156" s="144"/>
      <c r="G156" s="144">
        <v>1</v>
      </c>
      <c r="H156" s="144"/>
      <c r="I156" s="144"/>
      <c r="J156" s="145"/>
      <c r="K156" s="223"/>
      <c r="L156" s="224"/>
      <c r="M156" s="261" t="s">
        <v>32</v>
      </c>
      <c r="N156" s="296">
        <v>18.670000000000002</v>
      </c>
      <c r="O156" s="150">
        <f t="shared" si="2"/>
        <v>1</v>
      </c>
      <c r="P156" s="151"/>
      <c r="Q156" s="151"/>
    </row>
    <row r="157" spans="1:17" ht="20.100000000000001" hidden="1" customHeight="1">
      <c r="A157" s="141">
        <v>151</v>
      </c>
      <c r="B157" s="142" t="s">
        <v>1121</v>
      </c>
      <c r="C157" s="143" t="s">
        <v>1024</v>
      </c>
      <c r="D157" s="2795"/>
      <c r="E157" s="144"/>
      <c r="F157" s="144"/>
      <c r="G157" s="160">
        <v>1</v>
      </c>
      <c r="H157" s="144"/>
      <c r="I157" s="144"/>
      <c r="J157" s="145"/>
      <c r="K157" s="232"/>
      <c r="L157" s="224"/>
      <c r="M157" s="261" t="s">
        <v>1027</v>
      </c>
      <c r="N157" s="239">
        <v>25745.09</v>
      </c>
      <c r="O157" s="150">
        <f t="shared" si="2"/>
        <v>1</v>
      </c>
      <c r="P157" s="151"/>
      <c r="Q157" s="151"/>
    </row>
    <row r="158" spans="1:17" ht="20.100000000000001" hidden="1" customHeight="1">
      <c r="A158" s="141">
        <v>152</v>
      </c>
      <c r="B158" s="142" t="s">
        <v>1121</v>
      </c>
      <c r="C158" s="143" t="s">
        <v>1024</v>
      </c>
      <c r="D158" s="2795"/>
      <c r="E158" s="144"/>
      <c r="F158" s="144"/>
      <c r="G158" s="160">
        <v>1</v>
      </c>
      <c r="H158" s="144"/>
      <c r="I158" s="144"/>
      <c r="J158" s="145"/>
      <c r="K158" s="232"/>
      <c r="L158" s="224"/>
      <c r="M158" s="261" t="s">
        <v>50</v>
      </c>
      <c r="N158" s="239">
        <v>-9.41</v>
      </c>
      <c r="O158" s="150">
        <f t="shared" si="2"/>
        <v>1</v>
      </c>
      <c r="P158" s="151"/>
      <c r="Q158" s="151"/>
    </row>
    <row r="159" spans="1:17" ht="20.100000000000001" hidden="1" customHeight="1">
      <c r="A159" s="141">
        <v>153</v>
      </c>
      <c r="B159" s="142" t="s">
        <v>1121</v>
      </c>
      <c r="C159" s="143" t="s">
        <v>1024</v>
      </c>
      <c r="D159" s="2795"/>
      <c r="E159" s="144"/>
      <c r="F159" s="144"/>
      <c r="G159" s="160"/>
      <c r="H159" s="144"/>
      <c r="I159" s="144"/>
      <c r="J159" s="145"/>
      <c r="K159" s="306"/>
      <c r="L159" s="224"/>
      <c r="M159" s="252" t="s">
        <v>1029</v>
      </c>
      <c r="N159" s="253"/>
      <c r="O159" s="150">
        <f t="shared" si="2"/>
        <v>0</v>
      </c>
      <c r="P159" s="151"/>
      <c r="Q159" s="151"/>
    </row>
    <row r="160" spans="1:17" ht="20.100000000000001" customHeight="1">
      <c r="A160" s="141">
        <v>154</v>
      </c>
      <c r="B160" s="142" t="s">
        <v>1121</v>
      </c>
      <c r="C160" s="143" t="s">
        <v>1024</v>
      </c>
      <c r="D160" s="2794"/>
      <c r="E160" s="144"/>
      <c r="F160" s="144"/>
      <c r="G160" s="160"/>
      <c r="H160" s="144"/>
      <c r="I160" s="144"/>
      <c r="J160" s="145"/>
      <c r="K160" s="232">
        <v>1</v>
      </c>
      <c r="L160" s="228"/>
      <c r="M160" s="276" t="s">
        <v>1122</v>
      </c>
      <c r="N160" s="317">
        <v>17280</v>
      </c>
      <c r="O160" s="150">
        <f t="shared" si="2"/>
        <v>1</v>
      </c>
      <c r="P160" s="151"/>
      <c r="Q160" s="151"/>
    </row>
    <row r="161" spans="1:17" ht="20.100000000000001" hidden="1" customHeight="1">
      <c r="A161" s="141">
        <v>155</v>
      </c>
      <c r="B161" s="142" t="s">
        <v>1121</v>
      </c>
      <c r="C161" s="143" t="s">
        <v>1024</v>
      </c>
      <c r="D161" s="2793" t="s">
        <v>33</v>
      </c>
      <c r="E161" s="144"/>
      <c r="F161" s="144"/>
      <c r="G161" s="160"/>
      <c r="H161" s="144"/>
      <c r="I161" s="144"/>
      <c r="J161" s="145"/>
      <c r="K161" s="306"/>
      <c r="L161" s="228"/>
      <c r="M161" s="252" t="s">
        <v>1078</v>
      </c>
      <c r="N161" s="253"/>
      <c r="O161" s="150">
        <f t="shared" si="2"/>
        <v>0</v>
      </c>
      <c r="P161" s="151"/>
      <c r="Q161" s="151"/>
    </row>
    <row r="162" spans="1:17" ht="20.100000000000001" hidden="1" customHeight="1">
      <c r="A162" s="141">
        <v>156</v>
      </c>
      <c r="B162" s="142" t="s">
        <v>1121</v>
      </c>
      <c r="C162" s="143" t="s">
        <v>1024</v>
      </c>
      <c r="D162" s="2795"/>
      <c r="E162" s="144"/>
      <c r="F162" s="144"/>
      <c r="G162" s="144"/>
      <c r="H162" s="144">
        <v>145</v>
      </c>
      <c r="I162" s="144"/>
      <c r="J162" s="145"/>
      <c r="K162" s="232"/>
      <c r="L162" s="224"/>
      <c r="M162" s="261" t="s">
        <v>34</v>
      </c>
      <c r="N162" s="239">
        <v>0</v>
      </c>
      <c r="O162" s="150">
        <f t="shared" si="2"/>
        <v>145</v>
      </c>
      <c r="P162" s="151"/>
      <c r="Q162" s="151"/>
    </row>
    <row r="163" spans="1:17" ht="20.100000000000001" hidden="1" customHeight="1">
      <c r="A163" s="141">
        <v>157</v>
      </c>
      <c r="B163" s="142" t="s">
        <v>1121</v>
      </c>
      <c r="C163" s="143" t="s">
        <v>1024</v>
      </c>
      <c r="D163" s="2794"/>
      <c r="E163" s="144"/>
      <c r="F163" s="144"/>
      <c r="G163" s="144"/>
      <c r="H163" s="144"/>
      <c r="I163" s="144">
        <v>1265</v>
      </c>
      <c r="J163" s="145"/>
      <c r="K163" s="223"/>
      <c r="L163" s="228"/>
      <c r="M163" s="261" t="s">
        <v>35</v>
      </c>
      <c r="N163" s="318">
        <v>567382.86</v>
      </c>
      <c r="O163" s="150">
        <f t="shared" si="2"/>
        <v>1265</v>
      </c>
      <c r="P163" s="151"/>
      <c r="Q163" s="151"/>
    </row>
    <row r="164" spans="1:17" ht="20.100000000000001" hidden="1" customHeight="1">
      <c r="A164" s="141">
        <v>158</v>
      </c>
      <c r="B164" s="142" t="s">
        <v>1121</v>
      </c>
      <c r="C164" s="143" t="s">
        <v>1024</v>
      </c>
      <c r="D164" s="182" t="s">
        <v>36</v>
      </c>
      <c r="E164" s="144"/>
      <c r="F164" s="144">
        <v>383</v>
      </c>
      <c r="G164" s="144"/>
      <c r="H164" s="144"/>
      <c r="I164" s="144"/>
      <c r="J164" s="145"/>
      <c r="K164" s="319"/>
      <c r="L164" s="224"/>
      <c r="M164" s="261" t="s">
        <v>1123</v>
      </c>
      <c r="N164" s="320">
        <v>0</v>
      </c>
      <c r="O164" s="150">
        <f t="shared" si="2"/>
        <v>383</v>
      </c>
      <c r="P164" s="151"/>
      <c r="Q164" s="151"/>
    </row>
    <row r="165" spans="1:17" ht="20.100000000000001" customHeight="1">
      <c r="A165" s="141">
        <v>159</v>
      </c>
      <c r="B165" s="142" t="s">
        <v>1124</v>
      </c>
      <c r="C165" s="143" t="s">
        <v>1024</v>
      </c>
      <c r="D165" s="182" t="s">
        <v>1047</v>
      </c>
      <c r="E165" s="144"/>
      <c r="F165" s="144"/>
      <c r="G165" s="144"/>
      <c r="H165" s="160"/>
      <c r="I165" s="144"/>
      <c r="J165" s="145"/>
      <c r="K165" s="152">
        <v>1</v>
      </c>
      <c r="L165" s="228"/>
      <c r="M165" s="321" t="s">
        <v>1125</v>
      </c>
      <c r="N165" s="155">
        <v>3796.49</v>
      </c>
      <c r="O165" s="150">
        <f t="shared" si="2"/>
        <v>1</v>
      </c>
      <c r="P165" s="151"/>
      <c r="Q165" s="151"/>
    </row>
    <row r="166" spans="1:17" ht="20.100000000000001" hidden="1" customHeight="1">
      <c r="A166" s="141">
        <v>160</v>
      </c>
      <c r="B166" s="142" t="s">
        <v>1124</v>
      </c>
      <c r="C166" s="143" t="s">
        <v>1024</v>
      </c>
      <c r="D166" s="182"/>
      <c r="E166" s="144"/>
      <c r="F166" s="144"/>
      <c r="G166" s="144"/>
      <c r="H166" s="144"/>
      <c r="I166" s="160"/>
      <c r="J166" s="145"/>
      <c r="K166" s="156"/>
      <c r="L166" s="224"/>
      <c r="M166" s="158" t="s">
        <v>1026</v>
      </c>
      <c r="N166" s="159"/>
      <c r="O166" s="150">
        <f t="shared" si="2"/>
        <v>0</v>
      </c>
      <c r="P166" s="151"/>
      <c r="Q166" s="151"/>
    </row>
    <row r="167" spans="1:17" ht="20.100000000000001" hidden="1" customHeight="1">
      <c r="A167" s="141">
        <v>161</v>
      </c>
      <c r="B167" s="142" t="s">
        <v>1124</v>
      </c>
      <c r="C167" s="143" t="s">
        <v>1024</v>
      </c>
      <c r="D167" s="2793" t="s">
        <v>29</v>
      </c>
      <c r="E167" s="144"/>
      <c r="F167" s="160"/>
      <c r="G167" s="144">
        <v>1</v>
      </c>
      <c r="H167" s="144"/>
      <c r="I167" s="144"/>
      <c r="J167" s="145"/>
      <c r="K167" s="152"/>
      <c r="L167" s="224"/>
      <c r="M167" s="161" t="s">
        <v>119</v>
      </c>
      <c r="N167" s="322">
        <v>-3302588.98</v>
      </c>
      <c r="O167" s="150">
        <f t="shared" si="2"/>
        <v>1</v>
      </c>
      <c r="P167" s="151"/>
      <c r="Q167" s="151"/>
    </row>
    <row r="168" spans="1:17" ht="20.100000000000001" hidden="1" customHeight="1">
      <c r="A168" s="141">
        <v>162</v>
      </c>
      <c r="B168" s="142" t="s">
        <v>1124</v>
      </c>
      <c r="C168" s="143" t="s">
        <v>1024</v>
      </c>
      <c r="D168" s="2795"/>
      <c r="E168" s="144"/>
      <c r="F168" s="144"/>
      <c r="G168" s="144">
        <v>1</v>
      </c>
      <c r="H168" s="144"/>
      <c r="I168" s="144"/>
      <c r="J168" s="145"/>
      <c r="K168" s="152"/>
      <c r="L168" s="224"/>
      <c r="M168" s="161" t="s">
        <v>49</v>
      </c>
      <c r="N168" s="322">
        <v>-12522457.67</v>
      </c>
      <c r="O168" s="150">
        <f t="shared" si="2"/>
        <v>1</v>
      </c>
      <c r="P168" s="151"/>
      <c r="Q168" s="151"/>
    </row>
    <row r="169" spans="1:17" ht="20.100000000000001" hidden="1" customHeight="1">
      <c r="A169" s="141">
        <v>163</v>
      </c>
      <c r="B169" s="142" t="s">
        <v>1124</v>
      </c>
      <c r="C169" s="143" t="s">
        <v>1024</v>
      </c>
      <c r="D169" s="2795"/>
      <c r="E169" s="144"/>
      <c r="F169" s="144"/>
      <c r="G169" s="144">
        <v>1</v>
      </c>
      <c r="H169" s="144"/>
      <c r="I169" s="144"/>
      <c r="J169" s="145"/>
      <c r="K169" s="172"/>
      <c r="L169" s="224"/>
      <c r="M169" s="323" t="s">
        <v>1027</v>
      </c>
      <c r="N169" s="324">
        <v>77251.87</v>
      </c>
      <c r="O169" s="150">
        <f t="shared" si="2"/>
        <v>1</v>
      </c>
      <c r="P169" s="151"/>
      <c r="Q169" s="151"/>
    </row>
    <row r="170" spans="1:17" ht="20.100000000000001" hidden="1" customHeight="1">
      <c r="A170" s="141">
        <v>164</v>
      </c>
      <c r="B170" s="142" t="s">
        <v>1124</v>
      </c>
      <c r="C170" s="143" t="s">
        <v>1024</v>
      </c>
      <c r="D170" s="2795"/>
      <c r="E170" s="144"/>
      <c r="F170" s="144"/>
      <c r="G170" s="160"/>
      <c r="H170" s="144"/>
      <c r="I170" s="144"/>
      <c r="J170" s="145"/>
      <c r="K170" s="166"/>
      <c r="L170" s="224"/>
      <c r="M170" s="168" t="s">
        <v>1028</v>
      </c>
      <c r="N170" s="325"/>
      <c r="O170" s="150">
        <f t="shared" si="2"/>
        <v>0</v>
      </c>
      <c r="P170" s="151"/>
      <c r="Q170" s="151"/>
    </row>
    <row r="171" spans="1:17" ht="20.100000000000001" customHeight="1">
      <c r="A171" s="141">
        <v>165</v>
      </c>
      <c r="B171" s="142" t="s">
        <v>1124</v>
      </c>
      <c r="C171" s="143" t="s">
        <v>1024</v>
      </c>
      <c r="D171" s="2795"/>
      <c r="E171" s="144"/>
      <c r="F171" s="144"/>
      <c r="G171" s="160"/>
      <c r="H171" s="144"/>
      <c r="I171" s="144"/>
      <c r="J171" s="145"/>
      <c r="K171" s="326">
        <v>1</v>
      </c>
      <c r="L171" s="224"/>
      <c r="M171" s="327" t="s">
        <v>1126</v>
      </c>
      <c r="N171" s="328">
        <v>0.36</v>
      </c>
      <c r="O171" s="150">
        <f t="shared" si="2"/>
        <v>1</v>
      </c>
      <c r="P171" s="151"/>
      <c r="Q171" s="151"/>
    </row>
    <row r="172" spans="1:17" ht="20.100000000000001" hidden="1" customHeight="1">
      <c r="A172" s="141">
        <v>166</v>
      </c>
      <c r="B172" s="142" t="s">
        <v>1124</v>
      </c>
      <c r="C172" s="143" t="s">
        <v>1024</v>
      </c>
      <c r="D172" s="2795"/>
      <c r="E172" s="144"/>
      <c r="F172" s="144"/>
      <c r="G172" s="160">
        <v>4</v>
      </c>
      <c r="H172" s="144"/>
      <c r="I172" s="144"/>
      <c r="J172" s="145"/>
      <c r="K172" s="326"/>
      <c r="L172" s="228"/>
      <c r="M172" s="327" t="s">
        <v>1127</v>
      </c>
      <c r="N172" s="328">
        <v>69.5</v>
      </c>
      <c r="O172" s="150">
        <f t="shared" si="2"/>
        <v>4</v>
      </c>
      <c r="P172" s="151"/>
      <c r="Q172" s="151"/>
    </row>
    <row r="173" spans="1:17" ht="20.100000000000001" hidden="1" customHeight="1">
      <c r="A173" s="141">
        <v>167</v>
      </c>
      <c r="B173" s="142" t="s">
        <v>1124</v>
      </c>
      <c r="C173" s="143" t="s">
        <v>1024</v>
      </c>
      <c r="D173" s="2795"/>
      <c r="E173" s="144"/>
      <c r="F173" s="144"/>
      <c r="G173" s="144">
        <v>1</v>
      </c>
      <c r="H173" s="144"/>
      <c r="I173" s="144"/>
      <c r="J173" s="145"/>
      <c r="K173" s="326"/>
      <c r="L173" s="228"/>
      <c r="M173" s="327" t="s">
        <v>1069</v>
      </c>
      <c r="N173" s="328">
        <v>69.5</v>
      </c>
      <c r="O173" s="150">
        <f t="shared" si="2"/>
        <v>1</v>
      </c>
      <c r="P173" s="151"/>
      <c r="Q173" s="151"/>
    </row>
    <row r="174" spans="1:17" ht="20.100000000000001" hidden="1" customHeight="1">
      <c r="A174" s="141">
        <v>168</v>
      </c>
      <c r="B174" s="142" t="s">
        <v>1124</v>
      </c>
      <c r="C174" s="143" t="s">
        <v>1024</v>
      </c>
      <c r="D174" s="2795"/>
      <c r="E174" s="144"/>
      <c r="F174" s="144"/>
      <c r="G174" s="144"/>
      <c r="H174" s="144"/>
      <c r="I174" s="144"/>
      <c r="J174" s="145"/>
      <c r="K174" s="166"/>
      <c r="L174" s="224"/>
      <c r="M174" s="168" t="s">
        <v>1029</v>
      </c>
      <c r="N174" s="329"/>
      <c r="O174" s="150">
        <f t="shared" si="2"/>
        <v>0</v>
      </c>
      <c r="P174" s="151"/>
      <c r="Q174" s="151"/>
    </row>
    <row r="175" spans="1:17" ht="20.100000000000001" customHeight="1">
      <c r="A175" s="141">
        <v>169</v>
      </c>
      <c r="B175" s="142" t="s">
        <v>1124</v>
      </c>
      <c r="C175" s="143" t="s">
        <v>1024</v>
      </c>
      <c r="D175" s="2794"/>
      <c r="E175" s="144"/>
      <c r="F175" s="144"/>
      <c r="G175" s="160"/>
      <c r="H175" s="144"/>
      <c r="I175" s="144"/>
      <c r="J175" s="145"/>
      <c r="K175" s="178">
        <v>1</v>
      </c>
      <c r="L175" s="224"/>
      <c r="M175" s="330" t="s">
        <v>1128</v>
      </c>
      <c r="N175" s="331">
        <v>900</v>
      </c>
      <c r="O175" s="150">
        <f t="shared" si="2"/>
        <v>1</v>
      </c>
      <c r="P175" s="151"/>
      <c r="Q175" s="151"/>
    </row>
    <row r="176" spans="1:17" ht="20.100000000000001" hidden="1" customHeight="1">
      <c r="A176" s="141">
        <v>170</v>
      </c>
      <c r="B176" s="142" t="s">
        <v>1124</v>
      </c>
      <c r="C176" s="143" t="s">
        <v>1024</v>
      </c>
      <c r="D176" s="182" t="s">
        <v>33</v>
      </c>
      <c r="E176" s="144"/>
      <c r="F176" s="144"/>
      <c r="G176" s="144"/>
      <c r="H176" s="144"/>
      <c r="I176" s="144">
        <v>2665</v>
      </c>
      <c r="J176" s="145"/>
      <c r="K176" s="152"/>
      <c r="L176" s="228"/>
      <c r="M176" s="161" t="s">
        <v>35</v>
      </c>
      <c r="N176" s="332">
        <v>1351061.87</v>
      </c>
      <c r="O176" s="150">
        <f t="shared" si="2"/>
        <v>2665</v>
      </c>
      <c r="P176" s="151"/>
      <c r="Q176" s="151"/>
    </row>
    <row r="177" spans="1:17" ht="20.100000000000001" customHeight="1">
      <c r="A177" s="141">
        <v>171</v>
      </c>
      <c r="B177" s="142" t="s">
        <v>1124</v>
      </c>
      <c r="C177" s="143" t="s">
        <v>1024</v>
      </c>
      <c r="D177" s="182" t="s">
        <v>1118</v>
      </c>
      <c r="E177" s="144"/>
      <c r="F177" s="144"/>
      <c r="G177" s="144"/>
      <c r="H177" s="144"/>
      <c r="I177" s="144"/>
      <c r="J177" s="145"/>
      <c r="K177" s="152">
        <v>1</v>
      </c>
      <c r="L177" s="228"/>
      <c r="M177" s="161" t="s">
        <v>1129</v>
      </c>
      <c r="N177" s="175">
        <v>0</v>
      </c>
      <c r="O177" s="150">
        <f t="shared" si="2"/>
        <v>1</v>
      </c>
      <c r="P177" s="151"/>
      <c r="Q177" s="151"/>
    </row>
    <row r="178" spans="1:17" ht="20.100000000000001" hidden="1" customHeight="1">
      <c r="A178" s="141">
        <v>172</v>
      </c>
      <c r="B178" s="142" t="s">
        <v>1124</v>
      </c>
      <c r="C178" s="143" t="s">
        <v>1024</v>
      </c>
      <c r="D178" s="2793" t="s">
        <v>36</v>
      </c>
      <c r="E178" s="144"/>
      <c r="F178" s="144">
        <v>512</v>
      </c>
      <c r="G178" s="144"/>
      <c r="H178" s="160"/>
      <c r="I178" s="144"/>
      <c r="J178" s="145"/>
      <c r="K178" s="326"/>
      <c r="L178" s="228"/>
      <c r="M178" s="333" t="s">
        <v>1130</v>
      </c>
      <c r="N178" s="175">
        <v>0</v>
      </c>
      <c r="O178" s="150">
        <f t="shared" si="2"/>
        <v>512</v>
      </c>
      <c r="P178" s="151"/>
      <c r="Q178" s="151"/>
    </row>
    <row r="179" spans="1:17" ht="20.100000000000001" hidden="1" customHeight="1">
      <c r="A179" s="141">
        <v>173</v>
      </c>
      <c r="B179" s="142" t="s">
        <v>1124</v>
      </c>
      <c r="C179" s="143" t="s">
        <v>1024</v>
      </c>
      <c r="D179" s="2792"/>
      <c r="E179" s="144">
        <v>17</v>
      </c>
      <c r="F179" s="144"/>
      <c r="G179" s="144"/>
      <c r="H179" s="144"/>
      <c r="I179" s="160"/>
      <c r="J179" s="145"/>
      <c r="K179" s="326"/>
      <c r="L179" s="224"/>
      <c r="M179" s="333" t="s">
        <v>1131</v>
      </c>
      <c r="N179" s="175">
        <v>0</v>
      </c>
      <c r="O179" s="150">
        <f t="shared" si="2"/>
        <v>17</v>
      </c>
      <c r="P179" s="151"/>
      <c r="Q179" s="151"/>
    </row>
    <row r="180" spans="1:17" ht="20.100000000000001" customHeight="1">
      <c r="A180" s="141">
        <v>174</v>
      </c>
      <c r="B180" s="142" t="s">
        <v>1134</v>
      </c>
      <c r="C180" s="143" t="s">
        <v>1024</v>
      </c>
      <c r="D180" s="182" t="s">
        <v>1132</v>
      </c>
      <c r="E180" s="144"/>
      <c r="F180" s="144"/>
      <c r="G180" s="144"/>
      <c r="H180" s="144"/>
      <c r="I180" s="144"/>
      <c r="J180" s="145"/>
      <c r="K180" s="334">
        <v>1</v>
      </c>
      <c r="L180" s="224"/>
      <c r="M180" s="304" t="s">
        <v>1133</v>
      </c>
      <c r="N180" s="305">
        <v>15649.95</v>
      </c>
      <c r="O180" s="150">
        <f t="shared" si="2"/>
        <v>1</v>
      </c>
      <c r="P180" s="151"/>
      <c r="Q180" s="151"/>
    </row>
    <row r="181" spans="1:17" ht="20.100000000000001" hidden="1" customHeight="1">
      <c r="A181" s="141">
        <v>175</v>
      </c>
      <c r="B181" s="142" t="s">
        <v>1124</v>
      </c>
      <c r="C181" s="143" t="s">
        <v>1024</v>
      </c>
      <c r="D181" s="182"/>
      <c r="E181" s="144"/>
      <c r="F181" s="160"/>
      <c r="G181" s="144"/>
      <c r="H181" s="144"/>
      <c r="I181" s="144"/>
      <c r="J181" s="145"/>
      <c r="K181" s="335"/>
      <c r="L181" s="224"/>
      <c r="M181" s="252" t="s">
        <v>1026</v>
      </c>
      <c r="N181" s="253"/>
      <c r="O181" s="150">
        <f t="shared" si="2"/>
        <v>0</v>
      </c>
      <c r="P181" s="151"/>
      <c r="Q181" s="151"/>
    </row>
    <row r="182" spans="1:17" ht="20.100000000000001" hidden="1" customHeight="1">
      <c r="A182" s="141">
        <v>176</v>
      </c>
      <c r="B182" s="142" t="s">
        <v>1124</v>
      </c>
      <c r="C182" s="143" t="s">
        <v>1024</v>
      </c>
      <c r="D182" s="2793" t="s">
        <v>29</v>
      </c>
      <c r="E182" s="160"/>
      <c r="F182" s="144"/>
      <c r="G182" s="144">
        <v>1</v>
      </c>
      <c r="H182" s="144"/>
      <c r="I182" s="144"/>
      <c r="J182" s="145"/>
      <c r="K182" s="334"/>
      <c r="L182" s="224"/>
      <c r="M182" s="246" t="s">
        <v>119</v>
      </c>
      <c r="N182" s="250">
        <v>-2191912.1800000002</v>
      </c>
      <c r="O182" s="150">
        <f t="shared" si="2"/>
        <v>1</v>
      </c>
      <c r="P182" s="151"/>
      <c r="Q182" s="151"/>
    </row>
    <row r="183" spans="1:17" ht="20.100000000000001" hidden="1" customHeight="1">
      <c r="A183" s="141">
        <v>177</v>
      </c>
      <c r="B183" s="142" t="s">
        <v>1134</v>
      </c>
      <c r="C183" s="143" t="s">
        <v>1024</v>
      </c>
      <c r="D183" s="2795"/>
      <c r="E183" s="144"/>
      <c r="F183" s="144"/>
      <c r="G183" s="144">
        <v>1</v>
      </c>
      <c r="H183" s="144"/>
      <c r="I183" s="144"/>
      <c r="J183" s="145"/>
      <c r="K183" s="336"/>
      <c r="L183" s="224"/>
      <c r="M183" s="246" t="s">
        <v>1027</v>
      </c>
      <c r="N183" s="250">
        <v>13562.84</v>
      </c>
      <c r="O183" s="150">
        <f t="shared" si="2"/>
        <v>1</v>
      </c>
      <c r="P183" s="151"/>
      <c r="Q183" s="151"/>
    </row>
    <row r="184" spans="1:17" ht="20.100000000000001" hidden="1" customHeight="1">
      <c r="A184" s="141">
        <v>178</v>
      </c>
      <c r="B184" s="142" t="s">
        <v>1134</v>
      </c>
      <c r="C184" s="143" t="s">
        <v>1024</v>
      </c>
      <c r="D184" s="2795"/>
      <c r="E184" s="144"/>
      <c r="F184" s="144"/>
      <c r="G184" s="144"/>
      <c r="H184" s="144"/>
      <c r="I184" s="144"/>
      <c r="J184" s="145"/>
      <c r="K184" s="337"/>
      <c r="L184" s="224"/>
      <c r="M184" s="289" t="s">
        <v>1028</v>
      </c>
      <c r="N184" s="309"/>
      <c r="O184" s="150">
        <f t="shared" si="2"/>
        <v>0</v>
      </c>
      <c r="P184" s="151"/>
      <c r="Q184" s="151"/>
    </row>
    <row r="185" spans="1:17" ht="20.100000000000001" hidden="1" customHeight="1">
      <c r="A185" s="141">
        <v>179</v>
      </c>
      <c r="B185" s="142" t="s">
        <v>1134</v>
      </c>
      <c r="C185" s="143" t="s">
        <v>1024</v>
      </c>
      <c r="D185" s="2795"/>
      <c r="E185" s="144"/>
      <c r="F185" s="144"/>
      <c r="G185" s="160">
        <v>1</v>
      </c>
      <c r="H185" s="144"/>
      <c r="I185" s="144"/>
      <c r="J185" s="145"/>
      <c r="K185" s="338"/>
      <c r="L185" s="224"/>
      <c r="M185" s="311" t="s">
        <v>364</v>
      </c>
      <c r="N185" s="305">
        <v>64.5</v>
      </c>
      <c r="O185" s="150">
        <f t="shared" si="2"/>
        <v>1</v>
      </c>
      <c r="P185" s="151"/>
      <c r="Q185" s="151"/>
    </row>
    <row r="186" spans="1:17" ht="20.100000000000001" hidden="1" customHeight="1">
      <c r="A186" s="141">
        <v>180</v>
      </c>
      <c r="B186" s="142" t="s">
        <v>1134</v>
      </c>
      <c r="C186" s="143" t="s">
        <v>1024</v>
      </c>
      <c r="D186" s="2795"/>
      <c r="E186" s="144"/>
      <c r="F186" s="144"/>
      <c r="G186" s="160">
        <v>1</v>
      </c>
      <c r="H186" s="144"/>
      <c r="I186" s="144"/>
      <c r="J186" s="145"/>
      <c r="K186" s="338"/>
      <c r="L186" s="228"/>
      <c r="M186" s="311" t="s">
        <v>1069</v>
      </c>
      <c r="N186" s="305">
        <v>64.5</v>
      </c>
      <c r="O186" s="150">
        <f t="shared" si="2"/>
        <v>1</v>
      </c>
      <c r="P186" s="151"/>
      <c r="Q186" s="151"/>
    </row>
    <row r="187" spans="1:17" ht="20.100000000000001" hidden="1" customHeight="1">
      <c r="A187" s="141">
        <v>181</v>
      </c>
      <c r="B187" s="142" t="s">
        <v>1134</v>
      </c>
      <c r="C187" s="143" t="s">
        <v>1024</v>
      </c>
      <c r="D187" s="2795"/>
      <c r="E187" s="144"/>
      <c r="F187" s="144"/>
      <c r="G187" s="144"/>
      <c r="H187" s="144"/>
      <c r="I187" s="144"/>
      <c r="J187" s="145"/>
      <c r="K187" s="337"/>
      <c r="L187" s="228"/>
      <c r="M187" s="263" t="s">
        <v>1029</v>
      </c>
      <c r="N187" s="264"/>
      <c r="O187" s="150">
        <f t="shared" si="2"/>
        <v>0</v>
      </c>
      <c r="P187" s="151"/>
      <c r="Q187" s="151"/>
    </row>
    <row r="188" spans="1:17" ht="20.100000000000001" customHeight="1">
      <c r="A188" s="141">
        <v>182</v>
      </c>
      <c r="B188" s="142" t="s">
        <v>1134</v>
      </c>
      <c r="C188" s="143" t="s">
        <v>1024</v>
      </c>
      <c r="D188" s="2794"/>
      <c r="E188" s="144"/>
      <c r="F188" s="144"/>
      <c r="G188" s="160"/>
      <c r="H188" s="144"/>
      <c r="I188" s="144"/>
      <c r="J188" s="145"/>
      <c r="K188" s="339">
        <v>5</v>
      </c>
      <c r="L188" s="228"/>
      <c r="M188" s="304" t="s">
        <v>1135</v>
      </c>
      <c r="N188" s="340">
        <v>-250</v>
      </c>
      <c r="O188" s="150">
        <f t="shared" si="2"/>
        <v>5</v>
      </c>
      <c r="P188" s="151"/>
      <c r="Q188" s="151"/>
    </row>
    <row r="189" spans="1:17" ht="20.100000000000001" customHeight="1">
      <c r="A189" s="141">
        <v>183</v>
      </c>
      <c r="B189" s="142" t="s">
        <v>1134</v>
      </c>
      <c r="C189" s="143" t="s">
        <v>1024</v>
      </c>
      <c r="D189" s="182" t="s">
        <v>1105</v>
      </c>
      <c r="E189" s="144"/>
      <c r="F189" s="144"/>
      <c r="G189" s="144"/>
      <c r="H189" s="144"/>
      <c r="I189" s="144"/>
      <c r="J189" s="145"/>
      <c r="K189" s="341">
        <v>1</v>
      </c>
      <c r="L189" s="228"/>
      <c r="M189" s="313" t="s">
        <v>1061</v>
      </c>
      <c r="N189" s="222">
        <v>6510.28</v>
      </c>
      <c r="O189" s="150">
        <f t="shared" si="2"/>
        <v>1</v>
      </c>
      <c r="P189" s="151"/>
      <c r="Q189" s="151"/>
    </row>
    <row r="190" spans="1:17" ht="20.100000000000001" hidden="1" customHeight="1">
      <c r="A190" s="141">
        <v>184</v>
      </c>
      <c r="B190" s="142" t="s">
        <v>1134</v>
      </c>
      <c r="C190" s="143" t="s">
        <v>1024</v>
      </c>
      <c r="D190" s="182" t="s">
        <v>33</v>
      </c>
      <c r="E190" s="144"/>
      <c r="F190" s="144"/>
      <c r="G190" s="144"/>
      <c r="H190" s="144"/>
      <c r="I190" s="144">
        <v>137</v>
      </c>
      <c r="J190" s="145"/>
      <c r="K190" s="334"/>
      <c r="L190" s="228"/>
      <c r="M190" s="246" t="s">
        <v>35</v>
      </c>
      <c r="N190" s="249">
        <v>54327.57</v>
      </c>
      <c r="O190" s="150">
        <f t="shared" si="2"/>
        <v>137</v>
      </c>
      <c r="P190" s="151"/>
      <c r="Q190" s="151"/>
    </row>
    <row r="191" spans="1:17" ht="20.100000000000001" hidden="1" customHeight="1">
      <c r="A191" s="141">
        <v>185</v>
      </c>
      <c r="B191" s="142" t="s">
        <v>1134</v>
      </c>
      <c r="C191" s="143" t="s">
        <v>1024</v>
      </c>
      <c r="D191" s="2793" t="s">
        <v>36</v>
      </c>
      <c r="E191" s="144"/>
      <c r="F191" s="144">
        <v>163</v>
      </c>
      <c r="G191" s="144"/>
      <c r="H191" s="160"/>
      <c r="I191" s="144"/>
      <c r="J191" s="145"/>
      <c r="K191" s="334"/>
      <c r="L191" s="228"/>
      <c r="M191" s="246" t="s">
        <v>1136</v>
      </c>
      <c r="N191" s="342">
        <v>16300</v>
      </c>
      <c r="O191" s="150">
        <f t="shared" si="2"/>
        <v>163</v>
      </c>
      <c r="P191" s="151"/>
      <c r="Q191" s="151"/>
    </row>
    <row r="192" spans="1:17" ht="20.100000000000001" hidden="1" customHeight="1">
      <c r="A192" s="141">
        <v>186</v>
      </c>
      <c r="B192" s="142" t="s">
        <v>1134</v>
      </c>
      <c r="C192" s="143" t="s">
        <v>1024</v>
      </c>
      <c r="D192" s="2792"/>
      <c r="E192" s="144">
        <v>6</v>
      </c>
      <c r="F192" s="144"/>
      <c r="G192" s="144"/>
      <c r="H192" s="144"/>
      <c r="I192" s="160"/>
      <c r="J192" s="145"/>
      <c r="K192" s="334"/>
      <c r="L192" s="228"/>
      <c r="M192" s="246" t="s">
        <v>1137</v>
      </c>
      <c r="N192" s="250">
        <v>0</v>
      </c>
      <c r="O192" s="150">
        <f t="shared" si="2"/>
        <v>6</v>
      </c>
      <c r="P192" s="151"/>
      <c r="Q192" s="151"/>
    </row>
    <row r="193" spans="1:17" ht="20.100000000000001" customHeight="1">
      <c r="A193" s="141">
        <v>187</v>
      </c>
      <c r="B193" s="142" t="s">
        <v>1138</v>
      </c>
      <c r="C193" s="143" t="s">
        <v>1024</v>
      </c>
      <c r="D193" s="182" t="s">
        <v>1047</v>
      </c>
      <c r="E193" s="144"/>
      <c r="F193" s="160"/>
      <c r="G193" s="144"/>
      <c r="H193" s="144"/>
      <c r="I193" s="144"/>
      <c r="J193" s="145"/>
      <c r="K193" s="343">
        <v>1</v>
      </c>
      <c r="L193" s="224"/>
      <c r="M193" s="304" t="s">
        <v>1139</v>
      </c>
      <c r="N193" s="342">
        <v>194699.8</v>
      </c>
      <c r="O193" s="150">
        <f t="shared" si="2"/>
        <v>1</v>
      </c>
      <c r="P193" s="151"/>
      <c r="Q193" s="151"/>
    </row>
    <row r="194" spans="1:17" ht="20.100000000000001" hidden="1" customHeight="1">
      <c r="A194" s="141">
        <v>188</v>
      </c>
      <c r="B194" s="142" t="s">
        <v>1138</v>
      </c>
      <c r="C194" s="143" t="s">
        <v>1024</v>
      </c>
      <c r="D194" s="2793" t="s">
        <v>29</v>
      </c>
      <c r="E194" s="160"/>
      <c r="F194" s="144"/>
      <c r="G194" s="144"/>
      <c r="H194" s="144"/>
      <c r="I194" s="144"/>
      <c r="J194" s="145"/>
      <c r="K194" s="344"/>
      <c r="L194" s="224"/>
      <c r="M194" s="345" t="s">
        <v>1140</v>
      </c>
      <c r="N194" s="346"/>
      <c r="O194" s="150">
        <f t="shared" si="2"/>
        <v>0</v>
      </c>
      <c r="P194" s="151"/>
      <c r="Q194" s="151"/>
    </row>
    <row r="195" spans="1:17" ht="20.100000000000001" hidden="1" customHeight="1">
      <c r="A195" s="141">
        <v>189</v>
      </c>
      <c r="B195" s="142" t="s">
        <v>1138</v>
      </c>
      <c r="C195" s="143" t="s">
        <v>1024</v>
      </c>
      <c r="D195" s="2795"/>
      <c r="E195" s="170"/>
      <c r="F195" s="170"/>
      <c r="G195" s="170">
        <v>1</v>
      </c>
      <c r="H195" s="170"/>
      <c r="I195" s="170"/>
      <c r="J195" s="171"/>
      <c r="K195" s="303"/>
      <c r="L195" s="224"/>
      <c r="M195" s="257" t="s">
        <v>119</v>
      </c>
      <c r="N195" s="347">
        <v>-3142273.16</v>
      </c>
      <c r="O195" s="150">
        <f t="shared" si="2"/>
        <v>1</v>
      </c>
      <c r="P195" s="151"/>
      <c r="Q195" s="151"/>
    </row>
    <row r="196" spans="1:17" ht="20.100000000000001" hidden="1" customHeight="1">
      <c r="A196" s="141">
        <v>190</v>
      </c>
      <c r="B196" s="142" t="s">
        <v>1138</v>
      </c>
      <c r="C196" s="143" t="s">
        <v>1024</v>
      </c>
      <c r="D196" s="2795"/>
      <c r="E196" s="170"/>
      <c r="F196" s="170"/>
      <c r="G196" s="170">
        <v>1</v>
      </c>
      <c r="H196" s="170"/>
      <c r="I196" s="348"/>
      <c r="J196" s="282"/>
      <c r="K196" s="303"/>
      <c r="L196" s="224"/>
      <c r="M196" s="257" t="s">
        <v>49</v>
      </c>
      <c r="N196" s="347">
        <v>-66146190.020000003</v>
      </c>
      <c r="O196" s="150">
        <f t="shared" si="2"/>
        <v>1</v>
      </c>
      <c r="P196" s="151"/>
      <c r="Q196" s="151"/>
    </row>
    <row r="197" spans="1:17" ht="20.100000000000001" hidden="1" customHeight="1">
      <c r="A197" s="141">
        <v>191</v>
      </c>
      <c r="B197" s="142" t="s">
        <v>1138</v>
      </c>
      <c r="C197" s="143" t="s">
        <v>1024</v>
      </c>
      <c r="D197" s="2795"/>
      <c r="E197" s="170"/>
      <c r="F197" s="170"/>
      <c r="G197" s="170">
        <v>1</v>
      </c>
      <c r="H197" s="170"/>
      <c r="I197" s="170"/>
      <c r="J197" s="171"/>
      <c r="K197" s="303"/>
      <c r="L197" s="349"/>
      <c r="M197" s="257" t="s">
        <v>32</v>
      </c>
      <c r="N197" s="347">
        <v>-4903.6499999999996</v>
      </c>
      <c r="O197" s="150">
        <f t="shared" si="2"/>
        <v>1</v>
      </c>
      <c r="P197" s="151"/>
      <c r="Q197" s="151"/>
    </row>
    <row r="198" spans="1:17" ht="20.100000000000001" hidden="1" customHeight="1">
      <c r="A198" s="141">
        <v>192</v>
      </c>
      <c r="B198" s="142" t="s">
        <v>1138</v>
      </c>
      <c r="C198" s="143" t="s">
        <v>1024</v>
      </c>
      <c r="D198" s="2795"/>
      <c r="E198" s="170"/>
      <c r="F198" s="170"/>
      <c r="G198" s="160"/>
      <c r="H198" s="170"/>
      <c r="I198" s="170"/>
      <c r="J198" s="171"/>
      <c r="K198" s="219"/>
      <c r="L198" s="224"/>
      <c r="M198" s="257" t="s">
        <v>207</v>
      </c>
      <c r="N198" s="347">
        <v>-19997.23</v>
      </c>
      <c r="O198" s="150">
        <f t="shared" si="2"/>
        <v>0</v>
      </c>
      <c r="P198" s="151"/>
      <c r="Q198" s="151"/>
    </row>
    <row r="199" spans="1:17" ht="20.100000000000001" hidden="1" customHeight="1">
      <c r="A199" s="141">
        <v>193</v>
      </c>
      <c r="B199" s="142" t="s">
        <v>1138</v>
      </c>
      <c r="C199" s="143" t="s">
        <v>1024</v>
      </c>
      <c r="D199" s="2795"/>
      <c r="E199" s="170"/>
      <c r="F199" s="170"/>
      <c r="G199" s="160"/>
      <c r="H199" s="170"/>
      <c r="I199" s="170"/>
      <c r="J199" s="171"/>
      <c r="K199" s="344"/>
      <c r="L199" s="224"/>
      <c r="M199" s="345" t="s">
        <v>1028</v>
      </c>
      <c r="N199" s="346"/>
      <c r="O199" s="150">
        <f t="shared" si="2"/>
        <v>0</v>
      </c>
      <c r="P199" s="151"/>
      <c r="Q199" s="151"/>
    </row>
    <row r="200" spans="1:17" ht="20.100000000000001" hidden="1" customHeight="1">
      <c r="A200" s="141">
        <v>194</v>
      </c>
      <c r="B200" s="142" t="s">
        <v>1138</v>
      </c>
      <c r="C200" s="143" t="s">
        <v>1024</v>
      </c>
      <c r="D200" s="2795"/>
      <c r="E200" s="170"/>
      <c r="F200" s="170"/>
      <c r="G200" s="160">
        <v>1</v>
      </c>
      <c r="H200" s="170"/>
      <c r="I200" s="170"/>
      <c r="J200" s="171"/>
      <c r="K200" s="350"/>
      <c r="L200" s="224"/>
      <c r="M200" s="257" t="s">
        <v>828</v>
      </c>
      <c r="N200" s="351">
        <v>70</v>
      </c>
      <c r="O200" s="150">
        <f t="shared" si="2"/>
        <v>1</v>
      </c>
      <c r="P200" s="151"/>
      <c r="Q200" s="151"/>
    </row>
    <row r="201" spans="1:17" ht="20.100000000000001" hidden="1" customHeight="1">
      <c r="A201" s="141">
        <v>195</v>
      </c>
      <c r="B201" s="142" t="s">
        <v>1138</v>
      </c>
      <c r="C201" s="143" t="s">
        <v>1024</v>
      </c>
      <c r="D201" s="2795"/>
      <c r="E201" s="170"/>
      <c r="F201" s="170"/>
      <c r="G201" s="160">
        <v>1</v>
      </c>
      <c r="H201" s="170"/>
      <c r="I201" s="170"/>
      <c r="J201" s="171"/>
      <c r="K201" s="219"/>
      <c r="L201" s="228"/>
      <c r="M201" s="221" t="s">
        <v>183</v>
      </c>
      <c r="N201" s="352">
        <v>367.29</v>
      </c>
      <c r="O201" s="150">
        <f t="shared" ref="O201:O264" si="3">E201+F201+G201+H201+I201+J201+K201</f>
        <v>1</v>
      </c>
      <c r="P201" s="151"/>
      <c r="Q201" s="151"/>
    </row>
    <row r="202" spans="1:17" ht="20.100000000000001" hidden="1" customHeight="1">
      <c r="A202" s="141">
        <v>196</v>
      </c>
      <c r="B202" s="142" t="s">
        <v>1138</v>
      </c>
      <c r="C202" s="143" t="s">
        <v>1024</v>
      </c>
      <c r="D202" s="2795"/>
      <c r="E202" s="170"/>
      <c r="F202" s="170"/>
      <c r="G202" s="170"/>
      <c r="H202" s="170"/>
      <c r="I202" s="170"/>
      <c r="J202" s="171"/>
      <c r="K202" s="344"/>
      <c r="L202" s="349"/>
      <c r="M202" s="345" t="s">
        <v>1141</v>
      </c>
      <c r="N202" s="346"/>
      <c r="O202" s="150">
        <f t="shared" si="3"/>
        <v>0</v>
      </c>
      <c r="P202" s="151"/>
      <c r="Q202" s="151"/>
    </row>
    <row r="203" spans="1:17" ht="20.100000000000001" customHeight="1">
      <c r="A203" s="141">
        <v>197</v>
      </c>
      <c r="B203" s="142" t="s">
        <v>1138</v>
      </c>
      <c r="C203" s="143" t="s">
        <v>1024</v>
      </c>
      <c r="D203" s="2795"/>
      <c r="E203" s="170"/>
      <c r="F203" s="170"/>
      <c r="G203" s="160"/>
      <c r="H203" s="170"/>
      <c r="I203" s="170"/>
      <c r="J203" s="171"/>
      <c r="K203" s="219">
        <v>1</v>
      </c>
      <c r="L203" s="238"/>
      <c r="M203" s="311" t="s">
        <v>1142</v>
      </c>
      <c r="N203" s="353">
        <v>90417.73</v>
      </c>
      <c r="O203" s="150">
        <f t="shared" si="3"/>
        <v>1</v>
      </c>
      <c r="P203" s="151"/>
      <c r="Q203" s="151"/>
    </row>
    <row r="204" spans="1:17" ht="20.100000000000001" hidden="1" customHeight="1">
      <c r="A204" s="141">
        <v>198</v>
      </c>
      <c r="B204" s="142" t="s">
        <v>1138</v>
      </c>
      <c r="C204" s="143" t="s">
        <v>1024</v>
      </c>
      <c r="D204" s="2795"/>
      <c r="E204" s="170"/>
      <c r="F204" s="170"/>
      <c r="G204" s="160"/>
      <c r="H204" s="170"/>
      <c r="I204" s="170"/>
      <c r="J204" s="171"/>
      <c r="K204" s="344"/>
      <c r="L204" s="238"/>
      <c r="M204" s="345" t="s">
        <v>1029</v>
      </c>
      <c r="N204" s="346"/>
      <c r="O204" s="150">
        <f t="shared" si="3"/>
        <v>0</v>
      </c>
      <c r="P204" s="151"/>
      <c r="Q204" s="151"/>
    </row>
    <row r="205" spans="1:17" ht="20.100000000000001" customHeight="1">
      <c r="A205" s="141">
        <v>199</v>
      </c>
      <c r="B205" s="142" t="s">
        <v>1138</v>
      </c>
      <c r="C205" s="143" t="s">
        <v>1024</v>
      </c>
      <c r="D205" s="2795"/>
      <c r="E205" s="170"/>
      <c r="F205" s="170"/>
      <c r="G205" s="170"/>
      <c r="H205" s="170"/>
      <c r="I205" s="170"/>
      <c r="J205" s="171"/>
      <c r="K205" s="219">
        <v>1</v>
      </c>
      <c r="L205" s="349"/>
      <c r="M205" s="304" t="s">
        <v>1143</v>
      </c>
      <c r="N205" s="347">
        <v>-875</v>
      </c>
      <c r="O205" s="150">
        <f t="shared" si="3"/>
        <v>1</v>
      </c>
      <c r="P205" s="151"/>
      <c r="Q205" s="151"/>
    </row>
    <row r="206" spans="1:17" ht="20.100000000000001" customHeight="1">
      <c r="A206" s="141">
        <v>200</v>
      </c>
      <c r="B206" s="142" t="s">
        <v>1138</v>
      </c>
      <c r="C206" s="143" t="s">
        <v>1024</v>
      </c>
      <c r="D206" s="2794"/>
      <c r="E206" s="170"/>
      <c r="F206" s="170"/>
      <c r="G206" s="170"/>
      <c r="H206" s="170"/>
      <c r="I206" s="170"/>
      <c r="J206" s="171"/>
      <c r="K206" s="219">
        <v>10</v>
      </c>
      <c r="L206" s="228"/>
      <c r="M206" s="304" t="s">
        <v>1144</v>
      </c>
      <c r="N206" s="347">
        <v>87548.32</v>
      </c>
      <c r="O206" s="150">
        <f t="shared" si="3"/>
        <v>10</v>
      </c>
      <c r="P206" s="151"/>
      <c r="Q206" s="151"/>
    </row>
    <row r="207" spans="1:17" ht="20.100000000000001" customHeight="1">
      <c r="A207" s="141">
        <v>201</v>
      </c>
      <c r="B207" s="142" t="s">
        <v>1138</v>
      </c>
      <c r="C207" s="143" t="s">
        <v>1024</v>
      </c>
      <c r="D207" s="182" t="s">
        <v>1105</v>
      </c>
      <c r="E207" s="170"/>
      <c r="F207" s="170"/>
      <c r="G207" s="170"/>
      <c r="H207" s="170"/>
      <c r="I207" s="170"/>
      <c r="J207" s="171"/>
      <c r="K207" s="219">
        <v>3</v>
      </c>
      <c r="L207" s="349"/>
      <c r="M207" s="221" t="s">
        <v>1061</v>
      </c>
      <c r="N207" s="354">
        <v>170266.23999999999</v>
      </c>
      <c r="O207" s="150">
        <f t="shared" si="3"/>
        <v>3</v>
      </c>
      <c r="P207" s="151"/>
      <c r="Q207" s="151"/>
    </row>
    <row r="208" spans="1:17" ht="20.100000000000001" hidden="1" customHeight="1">
      <c r="A208" s="141">
        <v>202</v>
      </c>
      <c r="B208" s="142" t="s">
        <v>1138</v>
      </c>
      <c r="C208" s="143" t="s">
        <v>1024</v>
      </c>
      <c r="D208" s="182" t="s">
        <v>29</v>
      </c>
      <c r="E208" s="170"/>
      <c r="F208" s="170"/>
      <c r="G208" s="170"/>
      <c r="H208" s="170"/>
      <c r="I208" s="170"/>
      <c r="J208" s="171"/>
      <c r="K208" s="344"/>
      <c r="L208" s="228"/>
      <c r="M208" s="345" t="s">
        <v>1078</v>
      </c>
      <c r="N208" s="346"/>
      <c r="O208" s="150">
        <f t="shared" si="3"/>
        <v>0</v>
      </c>
      <c r="P208" s="151"/>
      <c r="Q208" s="151"/>
    </row>
    <row r="209" spans="1:17" ht="20.100000000000001" hidden="1" customHeight="1">
      <c r="A209" s="141">
        <v>203</v>
      </c>
      <c r="B209" s="142" t="s">
        <v>1138</v>
      </c>
      <c r="C209" s="143" t="s">
        <v>1024</v>
      </c>
      <c r="D209" s="2791" t="s">
        <v>33</v>
      </c>
      <c r="E209" s="170"/>
      <c r="F209" s="170"/>
      <c r="G209" s="170"/>
      <c r="H209" s="170">
        <v>557</v>
      </c>
      <c r="I209" s="170"/>
      <c r="J209" s="171"/>
      <c r="K209" s="219"/>
      <c r="L209" s="228"/>
      <c r="M209" s="257" t="s">
        <v>34</v>
      </c>
      <c r="N209" s="351">
        <v>0</v>
      </c>
      <c r="O209" s="150">
        <f t="shared" si="3"/>
        <v>557</v>
      </c>
      <c r="P209" s="151"/>
      <c r="Q209" s="151"/>
    </row>
    <row r="210" spans="1:17" ht="20.100000000000001" hidden="1" customHeight="1">
      <c r="A210" s="141">
        <v>204</v>
      </c>
      <c r="B210" s="142" t="s">
        <v>1138</v>
      </c>
      <c r="C210" s="143" t="s">
        <v>1024</v>
      </c>
      <c r="D210" s="2799"/>
      <c r="E210" s="170"/>
      <c r="F210" s="170"/>
      <c r="G210" s="170"/>
      <c r="H210" s="170"/>
      <c r="I210" s="170">
        <v>138</v>
      </c>
      <c r="J210" s="171"/>
      <c r="K210" s="303"/>
      <c r="L210" s="228"/>
      <c r="M210" s="257" t="s">
        <v>35</v>
      </c>
      <c r="N210" s="355">
        <v>3393621</v>
      </c>
      <c r="O210" s="150">
        <f t="shared" si="3"/>
        <v>138</v>
      </c>
      <c r="P210" s="151"/>
      <c r="Q210" s="151"/>
    </row>
    <row r="211" spans="1:17" ht="20.100000000000001" hidden="1" customHeight="1">
      <c r="A211" s="141">
        <v>205</v>
      </c>
      <c r="B211" s="142" t="s">
        <v>1138</v>
      </c>
      <c r="C211" s="143" t="s">
        <v>1024</v>
      </c>
      <c r="D211" s="2801" t="s">
        <v>36</v>
      </c>
      <c r="E211" s="170"/>
      <c r="F211" s="170">
        <v>995</v>
      </c>
      <c r="G211" s="170"/>
      <c r="H211" s="170"/>
      <c r="I211" s="170"/>
      <c r="J211" s="171"/>
      <c r="K211" s="343"/>
      <c r="L211" s="349"/>
      <c r="M211" s="257" t="s">
        <v>1145</v>
      </c>
      <c r="N211" s="356">
        <v>86525.2</v>
      </c>
      <c r="O211" s="150">
        <f t="shared" si="3"/>
        <v>995</v>
      </c>
      <c r="P211" s="151"/>
      <c r="Q211" s="151"/>
    </row>
    <row r="212" spans="1:17" ht="20.100000000000001" hidden="1" customHeight="1">
      <c r="A212" s="141">
        <v>206</v>
      </c>
      <c r="B212" s="142" t="s">
        <v>1138</v>
      </c>
      <c r="C212" s="143" t="s">
        <v>1024</v>
      </c>
      <c r="D212" s="2792"/>
      <c r="E212" s="170">
        <v>402</v>
      </c>
      <c r="F212" s="170"/>
      <c r="G212" s="170"/>
      <c r="H212" s="160"/>
      <c r="I212" s="170"/>
      <c r="J212" s="171"/>
      <c r="K212" s="303"/>
      <c r="L212" s="228"/>
      <c r="M212" s="257" t="s">
        <v>1146</v>
      </c>
      <c r="N212" s="357">
        <v>0</v>
      </c>
      <c r="O212" s="150">
        <f t="shared" si="3"/>
        <v>402</v>
      </c>
      <c r="P212" s="151"/>
      <c r="Q212" s="151"/>
    </row>
    <row r="213" spans="1:17" ht="20.100000000000001" hidden="1" customHeight="1">
      <c r="A213" s="141">
        <v>207</v>
      </c>
      <c r="B213" s="142" t="s">
        <v>1147</v>
      </c>
      <c r="C213" s="143" t="s">
        <v>1024</v>
      </c>
      <c r="D213" s="2793" t="s">
        <v>29</v>
      </c>
      <c r="E213" s="170"/>
      <c r="F213" s="170"/>
      <c r="G213" s="170"/>
      <c r="H213" s="170"/>
      <c r="I213" s="160"/>
      <c r="J213" s="171"/>
      <c r="K213" s="358"/>
      <c r="L213" s="224"/>
      <c r="M213" s="252" t="s">
        <v>1026</v>
      </c>
      <c r="N213" s="253"/>
      <c r="O213" s="150">
        <f t="shared" si="3"/>
        <v>0</v>
      </c>
      <c r="P213" s="151"/>
      <c r="Q213" s="151"/>
    </row>
    <row r="214" spans="1:17" ht="20.100000000000001" hidden="1" customHeight="1">
      <c r="A214" s="141">
        <v>208</v>
      </c>
      <c r="B214" s="142" t="s">
        <v>1147</v>
      </c>
      <c r="C214" s="143" t="s">
        <v>1024</v>
      </c>
      <c r="D214" s="2795"/>
      <c r="E214" s="170"/>
      <c r="F214" s="160"/>
      <c r="G214" s="170">
        <v>1</v>
      </c>
      <c r="H214" s="170"/>
      <c r="I214" s="170"/>
      <c r="J214" s="359"/>
      <c r="K214" s="319"/>
      <c r="L214" s="224"/>
      <c r="M214" s="246" t="s">
        <v>119</v>
      </c>
      <c r="N214" s="271">
        <v>-2202042.42</v>
      </c>
      <c r="O214" s="150">
        <f t="shared" si="3"/>
        <v>1</v>
      </c>
      <c r="P214" s="151"/>
      <c r="Q214" s="151"/>
    </row>
    <row r="215" spans="1:17" ht="20.100000000000001" hidden="1" customHeight="1">
      <c r="A215" s="141">
        <v>209</v>
      </c>
      <c r="B215" s="142" t="s">
        <v>1147</v>
      </c>
      <c r="C215" s="143" t="s">
        <v>1024</v>
      </c>
      <c r="D215" s="2795"/>
      <c r="E215" s="160"/>
      <c r="F215" s="170"/>
      <c r="G215" s="170">
        <v>1</v>
      </c>
      <c r="H215" s="170"/>
      <c r="I215" s="170"/>
      <c r="J215" s="359"/>
      <c r="K215" s="319"/>
      <c r="L215" s="153">
        <f ca="1">L215:L228</f>
        <v>0</v>
      </c>
      <c r="M215" s="261" t="s">
        <v>49</v>
      </c>
      <c r="N215" s="320">
        <v>-7926492.7000000002</v>
      </c>
      <c r="O215" s="150">
        <f t="shared" si="3"/>
        <v>1</v>
      </c>
      <c r="P215" s="151"/>
      <c r="Q215" s="151"/>
    </row>
    <row r="216" spans="1:17" ht="20.100000000000001" hidden="1" customHeight="1">
      <c r="A216" s="141">
        <v>210</v>
      </c>
      <c r="B216" s="142" t="s">
        <v>1147</v>
      </c>
      <c r="C216" s="143" t="s">
        <v>1024</v>
      </c>
      <c r="D216" s="2795"/>
      <c r="E216" s="144"/>
      <c r="F216" s="144"/>
      <c r="G216" s="144">
        <v>1</v>
      </c>
      <c r="H216" s="144"/>
      <c r="I216" s="348"/>
      <c r="J216" s="282"/>
      <c r="K216" s="232"/>
      <c r="L216" s="153"/>
      <c r="M216" s="261" t="s">
        <v>32</v>
      </c>
      <c r="N216" s="239">
        <v>11.42</v>
      </c>
      <c r="O216" s="150">
        <f t="shared" si="3"/>
        <v>1</v>
      </c>
      <c r="P216" s="151"/>
      <c r="Q216" s="151"/>
    </row>
    <row r="217" spans="1:17" ht="20.100000000000001" hidden="1" customHeight="1">
      <c r="A217" s="141">
        <v>211</v>
      </c>
      <c r="B217" s="142" t="s">
        <v>1147</v>
      </c>
      <c r="C217" s="143" t="s">
        <v>1024</v>
      </c>
      <c r="D217" s="2795"/>
      <c r="E217" s="144"/>
      <c r="F217" s="144"/>
      <c r="G217" s="144">
        <v>1</v>
      </c>
      <c r="H217" s="144"/>
      <c r="I217" s="144"/>
      <c r="J217" s="359"/>
      <c r="K217" s="232"/>
      <c r="L217" s="153"/>
      <c r="M217" s="261" t="s">
        <v>207</v>
      </c>
      <c r="N217" s="239">
        <v>-146276.70000000001</v>
      </c>
      <c r="O217" s="150">
        <f t="shared" si="3"/>
        <v>1</v>
      </c>
      <c r="P217" s="151"/>
      <c r="Q217" s="151"/>
    </row>
    <row r="218" spans="1:17" ht="20.100000000000001" hidden="1" customHeight="1">
      <c r="A218" s="141">
        <v>212</v>
      </c>
      <c r="B218" s="142" t="s">
        <v>1147</v>
      </c>
      <c r="C218" s="143" t="s">
        <v>1024</v>
      </c>
      <c r="D218" s="2795"/>
      <c r="E218" s="144"/>
      <c r="F218" s="144"/>
      <c r="G218" s="160">
        <v>1</v>
      </c>
      <c r="H218" s="144"/>
      <c r="I218" s="144"/>
      <c r="J218" s="359"/>
      <c r="K218" s="303"/>
      <c r="L218" s="153"/>
      <c r="M218" s="261" t="s">
        <v>50</v>
      </c>
      <c r="N218" s="267">
        <v>150</v>
      </c>
      <c r="O218" s="150">
        <f t="shared" si="3"/>
        <v>1</v>
      </c>
      <c r="P218" s="151"/>
      <c r="Q218" s="151"/>
    </row>
    <row r="219" spans="1:17" ht="20.100000000000001" hidden="1" customHeight="1">
      <c r="A219" s="141">
        <v>213</v>
      </c>
      <c r="B219" s="142" t="s">
        <v>1147</v>
      </c>
      <c r="C219" s="143" t="s">
        <v>1024</v>
      </c>
      <c r="D219" s="2795"/>
      <c r="E219" s="144"/>
      <c r="F219" s="144"/>
      <c r="G219" s="160"/>
      <c r="H219" s="144"/>
      <c r="I219" s="144"/>
      <c r="J219" s="359"/>
      <c r="K219" s="306"/>
      <c r="L219" s="153"/>
      <c r="M219" s="252" t="s">
        <v>1028</v>
      </c>
      <c r="N219" s="253"/>
      <c r="O219" s="150">
        <f t="shared" si="3"/>
        <v>0</v>
      </c>
      <c r="P219" s="151"/>
      <c r="Q219" s="151"/>
    </row>
    <row r="220" spans="1:17" ht="20.100000000000001" hidden="1" customHeight="1">
      <c r="A220" s="141">
        <v>214</v>
      </c>
      <c r="B220" s="142" t="s">
        <v>1147</v>
      </c>
      <c r="C220" s="143" t="s">
        <v>1024</v>
      </c>
      <c r="D220" s="2795"/>
      <c r="E220" s="144"/>
      <c r="F220" s="144"/>
      <c r="G220" s="160">
        <v>1</v>
      </c>
      <c r="H220" s="144"/>
      <c r="I220" s="144"/>
      <c r="J220" s="359"/>
      <c r="K220" s="219"/>
      <c r="L220" s="153"/>
      <c r="M220" s="261" t="s">
        <v>183</v>
      </c>
      <c r="N220" s="239">
        <v>-20.41</v>
      </c>
      <c r="O220" s="150">
        <f t="shared" si="3"/>
        <v>1</v>
      </c>
      <c r="P220" s="151"/>
      <c r="Q220" s="151"/>
    </row>
    <row r="221" spans="1:17" ht="20.100000000000001" hidden="1" customHeight="1">
      <c r="A221" s="141">
        <v>215</v>
      </c>
      <c r="B221" s="142" t="s">
        <v>1147</v>
      </c>
      <c r="C221" s="143" t="s">
        <v>1024</v>
      </c>
      <c r="D221" s="2795"/>
      <c r="E221" s="144"/>
      <c r="F221" s="144"/>
      <c r="G221" s="160"/>
      <c r="H221" s="144"/>
      <c r="I221" s="144"/>
      <c r="J221" s="282"/>
      <c r="K221" s="308"/>
      <c r="L221" s="153"/>
      <c r="M221" s="263" t="s">
        <v>1029</v>
      </c>
      <c r="N221" s="360"/>
      <c r="O221" s="150">
        <f t="shared" si="3"/>
        <v>0</v>
      </c>
      <c r="P221" s="151"/>
      <c r="Q221" s="151"/>
    </row>
    <row r="222" spans="1:17" ht="20.100000000000001" customHeight="1">
      <c r="A222" s="141">
        <v>216</v>
      </c>
      <c r="B222" s="142" t="s">
        <v>1147</v>
      </c>
      <c r="C222" s="143" t="s">
        <v>1024</v>
      </c>
      <c r="D222" s="2794"/>
      <c r="E222" s="144"/>
      <c r="F222" s="144"/>
      <c r="G222" s="144"/>
      <c r="H222" s="144"/>
      <c r="I222" s="144"/>
      <c r="J222" s="282"/>
      <c r="K222" s="232">
        <v>1</v>
      </c>
      <c r="L222" s="113"/>
      <c r="M222" s="276" t="s">
        <v>1148</v>
      </c>
      <c r="N222" s="239">
        <v>-77117.600000000006</v>
      </c>
      <c r="O222" s="150">
        <f t="shared" si="3"/>
        <v>1</v>
      </c>
      <c r="P222" s="151"/>
      <c r="Q222" s="151"/>
    </row>
    <row r="223" spans="1:17" ht="20.100000000000001" customHeight="1">
      <c r="A223" s="141">
        <v>217</v>
      </c>
      <c r="B223" s="142" t="s">
        <v>1147</v>
      </c>
      <c r="C223" s="143" t="s">
        <v>1024</v>
      </c>
      <c r="D223" s="182" t="s">
        <v>1076</v>
      </c>
      <c r="E223" s="144"/>
      <c r="F223" s="144"/>
      <c r="G223" s="160"/>
      <c r="H223" s="144"/>
      <c r="I223" s="144"/>
      <c r="J223" s="282"/>
      <c r="K223" s="232">
        <v>3</v>
      </c>
      <c r="L223" s="113"/>
      <c r="M223" s="361" t="s">
        <v>1061</v>
      </c>
      <c r="N223" s="239">
        <v>427527.06</v>
      </c>
      <c r="O223" s="150">
        <f t="shared" si="3"/>
        <v>3</v>
      </c>
      <c r="P223" s="151"/>
      <c r="Q223" s="151"/>
    </row>
    <row r="224" spans="1:17" ht="20.100000000000001" hidden="1" customHeight="1">
      <c r="A224" s="141">
        <v>218</v>
      </c>
      <c r="B224" s="142" t="s">
        <v>1147</v>
      </c>
      <c r="C224" s="143" t="s">
        <v>1024</v>
      </c>
      <c r="D224" s="2801" t="s">
        <v>33</v>
      </c>
      <c r="E224" s="144"/>
      <c r="F224" s="144"/>
      <c r="G224" s="144"/>
      <c r="H224" s="144">
        <v>64</v>
      </c>
      <c r="I224" s="144"/>
      <c r="J224" s="282"/>
      <c r="K224" s="312"/>
      <c r="L224" s="153"/>
      <c r="M224" s="246" t="s">
        <v>34</v>
      </c>
      <c r="N224" s="267">
        <v>0</v>
      </c>
      <c r="O224" s="150">
        <f t="shared" si="3"/>
        <v>64</v>
      </c>
      <c r="P224" s="151"/>
      <c r="Q224" s="151"/>
    </row>
    <row r="225" spans="1:17" ht="20.100000000000001" hidden="1" customHeight="1">
      <c r="A225" s="141">
        <v>219</v>
      </c>
      <c r="B225" s="142" t="s">
        <v>1147</v>
      </c>
      <c r="C225" s="143" t="s">
        <v>1024</v>
      </c>
      <c r="D225" s="2792"/>
      <c r="E225" s="144"/>
      <c r="F225" s="144"/>
      <c r="G225" s="144"/>
      <c r="H225" s="144"/>
      <c r="I225" s="144">
        <v>546</v>
      </c>
      <c r="J225" s="282"/>
      <c r="K225" s="358"/>
      <c r="L225" s="153"/>
      <c r="M225" s="246" t="s">
        <v>35</v>
      </c>
      <c r="N225" s="267">
        <v>460558.9</v>
      </c>
      <c r="O225" s="150">
        <f t="shared" si="3"/>
        <v>546</v>
      </c>
      <c r="P225" s="151"/>
      <c r="Q225" s="151"/>
    </row>
    <row r="226" spans="1:17" ht="20.100000000000001" hidden="1" customHeight="1">
      <c r="A226" s="141">
        <v>220</v>
      </c>
      <c r="B226" s="142" t="s">
        <v>1147</v>
      </c>
      <c r="C226" s="143" t="s">
        <v>1024</v>
      </c>
      <c r="D226" s="2793" t="s">
        <v>36</v>
      </c>
      <c r="E226" s="144"/>
      <c r="F226" s="144">
        <v>1472</v>
      </c>
      <c r="G226" s="144"/>
      <c r="H226" s="144"/>
      <c r="I226" s="144"/>
      <c r="J226" s="359"/>
      <c r="K226" s="358"/>
      <c r="L226" s="153"/>
      <c r="M226" s="246" t="s">
        <v>1149</v>
      </c>
      <c r="N226" s="267">
        <v>0</v>
      </c>
      <c r="O226" s="150">
        <f t="shared" si="3"/>
        <v>1472</v>
      </c>
      <c r="P226" s="151"/>
      <c r="Q226" s="151"/>
    </row>
    <row r="227" spans="1:17" ht="20.100000000000001" hidden="1" customHeight="1">
      <c r="A227" s="141">
        <v>221</v>
      </c>
      <c r="B227" s="142" t="s">
        <v>1147</v>
      </c>
      <c r="C227" s="143" t="s">
        <v>1024</v>
      </c>
      <c r="D227" s="2792"/>
      <c r="E227" s="144">
        <v>40</v>
      </c>
      <c r="F227" s="144"/>
      <c r="G227" s="144"/>
      <c r="H227" s="160"/>
      <c r="I227" s="144"/>
      <c r="J227" s="359"/>
      <c r="K227" s="146"/>
      <c r="L227" s="153"/>
      <c r="M227" s="246" t="s">
        <v>1150</v>
      </c>
      <c r="N227" s="267">
        <v>0</v>
      </c>
      <c r="O227" s="150">
        <f t="shared" si="3"/>
        <v>40</v>
      </c>
      <c r="P227" s="151"/>
      <c r="Q227" s="151"/>
    </row>
    <row r="228" spans="1:17" ht="20.100000000000001" customHeight="1">
      <c r="A228" s="141">
        <v>222</v>
      </c>
      <c r="B228" s="142" t="s">
        <v>1151</v>
      </c>
      <c r="C228" s="143" t="s">
        <v>1024</v>
      </c>
      <c r="D228" s="182" t="s">
        <v>1047</v>
      </c>
      <c r="E228" s="144"/>
      <c r="F228" s="144"/>
      <c r="G228" s="144"/>
      <c r="H228" s="144"/>
      <c r="I228" s="160"/>
      <c r="J228" s="359"/>
      <c r="K228" s="152">
        <v>1</v>
      </c>
      <c r="L228" s="153"/>
      <c r="M228" s="321" t="s">
        <v>1152</v>
      </c>
      <c r="N228" s="362">
        <v>53669.56</v>
      </c>
      <c r="O228" s="150">
        <f t="shared" si="3"/>
        <v>1</v>
      </c>
      <c r="P228" s="151"/>
      <c r="Q228" s="151"/>
    </row>
    <row r="229" spans="1:17" ht="20.100000000000001" hidden="1" customHeight="1">
      <c r="A229" s="141">
        <v>223</v>
      </c>
      <c r="B229" s="142" t="s">
        <v>1151</v>
      </c>
      <c r="C229" s="143" t="s">
        <v>1024</v>
      </c>
      <c r="D229" s="2793" t="s">
        <v>29</v>
      </c>
      <c r="E229" s="144"/>
      <c r="F229" s="160"/>
      <c r="G229" s="144"/>
      <c r="H229" s="144"/>
      <c r="I229" s="144"/>
      <c r="J229" s="359"/>
      <c r="K229" s="156"/>
      <c r="L229" s="153"/>
      <c r="M229" s="158" t="s">
        <v>1026</v>
      </c>
      <c r="N229" s="159"/>
      <c r="O229" s="150">
        <f t="shared" si="3"/>
        <v>0</v>
      </c>
      <c r="P229" s="151"/>
      <c r="Q229" s="151"/>
    </row>
    <row r="230" spans="1:17" ht="20.100000000000001" hidden="1" customHeight="1">
      <c r="A230" s="141">
        <v>224</v>
      </c>
      <c r="B230" s="142" t="s">
        <v>1151</v>
      </c>
      <c r="C230" s="143" t="s">
        <v>1024</v>
      </c>
      <c r="D230" s="2795"/>
      <c r="E230" s="160"/>
      <c r="F230" s="144"/>
      <c r="G230" s="144">
        <v>1</v>
      </c>
      <c r="H230" s="144"/>
      <c r="I230" s="144"/>
      <c r="J230" s="282"/>
      <c r="K230" s="152"/>
      <c r="L230" s="153"/>
      <c r="M230" s="161" t="s">
        <v>119</v>
      </c>
      <c r="N230" s="363">
        <v>2253181.92</v>
      </c>
      <c r="O230" s="150">
        <f t="shared" si="3"/>
        <v>1</v>
      </c>
      <c r="P230" s="151"/>
      <c r="Q230" s="151"/>
    </row>
    <row r="231" spans="1:17" ht="20.100000000000001" hidden="1" customHeight="1">
      <c r="A231" s="141">
        <v>225</v>
      </c>
      <c r="B231" s="142" t="s">
        <v>1151</v>
      </c>
      <c r="C231" s="143" t="s">
        <v>1024</v>
      </c>
      <c r="D231" s="2795"/>
      <c r="E231" s="144"/>
      <c r="F231" s="144"/>
      <c r="G231" s="144">
        <v>1</v>
      </c>
      <c r="H231" s="144"/>
      <c r="I231" s="144"/>
      <c r="J231" s="282"/>
      <c r="K231" s="152"/>
      <c r="L231" s="153"/>
      <c r="M231" s="161" t="s">
        <v>49</v>
      </c>
      <c r="N231" s="362">
        <v>-34060604.299999997</v>
      </c>
      <c r="O231" s="150">
        <f t="shared" si="3"/>
        <v>1</v>
      </c>
      <c r="P231" s="151"/>
      <c r="Q231" s="151"/>
    </row>
    <row r="232" spans="1:17" ht="20.100000000000001" hidden="1" customHeight="1">
      <c r="A232" s="141">
        <v>226</v>
      </c>
      <c r="B232" s="142" t="s">
        <v>1151</v>
      </c>
      <c r="C232" s="143" t="s">
        <v>1024</v>
      </c>
      <c r="D232" s="2795"/>
      <c r="E232" s="144"/>
      <c r="F232" s="144"/>
      <c r="G232" s="144">
        <v>1</v>
      </c>
      <c r="H232" s="144"/>
      <c r="I232" s="144"/>
      <c r="J232" s="359"/>
      <c r="K232" s="364"/>
      <c r="L232" s="153"/>
      <c r="M232" s="161" t="s">
        <v>32</v>
      </c>
      <c r="N232" s="365">
        <v>69.27</v>
      </c>
      <c r="O232" s="150">
        <f t="shared" si="3"/>
        <v>1</v>
      </c>
      <c r="P232" s="151"/>
      <c r="Q232" s="151"/>
    </row>
    <row r="233" spans="1:17" ht="20.100000000000001" hidden="1" customHeight="1">
      <c r="A233" s="141">
        <v>227</v>
      </c>
      <c r="B233" s="142" t="s">
        <v>1151</v>
      </c>
      <c r="C233" s="143" t="s">
        <v>1024</v>
      </c>
      <c r="D233" s="2795"/>
      <c r="E233" s="144"/>
      <c r="F233" s="144"/>
      <c r="G233" s="160">
        <v>1</v>
      </c>
      <c r="H233" s="144"/>
      <c r="I233" s="144"/>
      <c r="J233" s="359"/>
      <c r="K233" s="366"/>
      <c r="L233" s="153"/>
      <c r="M233" s="161" t="s">
        <v>1027</v>
      </c>
      <c r="N233" s="367">
        <v>86255.62</v>
      </c>
      <c r="O233" s="150">
        <f t="shared" si="3"/>
        <v>1</v>
      </c>
      <c r="P233" s="151"/>
      <c r="Q233" s="151"/>
    </row>
    <row r="234" spans="1:17" ht="20.100000000000001" hidden="1" customHeight="1">
      <c r="A234" s="141">
        <v>228</v>
      </c>
      <c r="B234" s="142" t="s">
        <v>1151</v>
      </c>
      <c r="C234" s="143" t="s">
        <v>1024</v>
      </c>
      <c r="D234" s="2795"/>
      <c r="E234" s="144"/>
      <c r="F234" s="144"/>
      <c r="G234" s="160">
        <v>1</v>
      </c>
      <c r="H234" s="144"/>
      <c r="I234" s="144"/>
      <c r="J234" s="359"/>
      <c r="K234" s="368"/>
      <c r="L234" s="153"/>
      <c r="M234" s="161" t="s">
        <v>279</v>
      </c>
      <c r="N234" s="369">
        <v>87.46</v>
      </c>
      <c r="O234" s="150">
        <f t="shared" si="3"/>
        <v>1</v>
      </c>
      <c r="P234" s="151"/>
      <c r="Q234" s="151"/>
    </row>
    <row r="235" spans="1:17" ht="20.100000000000001" hidden="1" customHeight="1">
      <c r="A235" s="141">
        <v>229</v>
      </c>
      <c r="B235" s="142" t="s">
        <v>1151</v>
      </c>
      <c r="C235" s="143" t="s">
        <v>1024</v>
      </c>
      <c r="D235" s="2795"/>
      <c r="E235" s="144"/>
      <c r="F235" s="144"/>
      <c r="G235" s="160"/>
      <c r="H235" s="144"/>
      <c r="I235" s="144"/>
      <c r="J235" s="359"/>
      <c r="K235" s="370"/>
      <c r="L235" s="153"/>
      <c r="M235" s="168" t="s">
        <v>1028</v>
      </c>
      <c r="N235" s="371"/>
      <c r="O235" s="150">
        <f t="shared" si="3"/>
        <v>0</v>
      </c>
      <c r="P235" s="151"/>
      <c r="Q235" s="151"/>
    </row>
    <row r="236" spans="1:17" ht="20.100000000000001" hidden="1" customHeight="1">
      <c r="A236" s="141">
        <v>230</v>
      </c>
      <c r="B236" s="142" t="s">
        <v>1151</v>
      </c>
      <c r="C236" s="143" t="s">
        <v>1024</v>
      </c>
      <c r="D236" s="2795"/>
      <c r="E236" s="144"/>
      <c r="F236" s="144"/>
      <c r="G236" s="160">
        <v>1</v>
      </c>
      <c r="H236" s="144"/>
      <c r="I236" s="144"/>
      <c r="J236" s="359"/>
      <c r="K236" s="368"/>
      <c r="L236" s="153"/>
      <c r="M236" s="161" t="s">
        <v>183</v>
      </c>
      <c r="N236" s="372">
        <v>33</v>
      </c>
      <c r="O236" s="150">
        <f t="shared" si="3"/>
        <v>1</v>
      </c>
      <c r="P236" s="151"/>
      <c r="Q236" s="151"/>
    </row>
    <row r="237" spans="1:17" ht="20.100000000000001" hidden="1" customHeight="1">
      <c r="A237" s="141">
        <v>231</v>
      </c>
      <c r="B237" s="142" t="s">
        <v>1151</v>
      </c>
      <c r="C237" s="143" t="s">
        <v>1024</v>
      </c>
      <c r="D237" s="2795"/>
      <c r="E237" s="144"/>
      <c r="F237" s="144"/>
      <c r="G237" s="160">
        <v>1</v>
      </c>
      <c r="H237" s="144"/>
      <c r="I237" s="144"/>
      <c r="J237" s="282"/>
      <c r="K237" s="178"/>
      <c r="L237" s="153"/>
      <c r="M237" s="174" t="s">
        <v>1098</v>
      </c>
      <c r="N237" s="373">
        <v>49</v>
      </c>
      <c r="O237" s="150">
        <f t="shared" si="3"/>
        <v>1</v>
      </c>
      <c r="P237" s="151"/>
      <c r="Q237" s="151"/>
    </row>
    <row r="238" spans="1:17" ht="20.100000000000001" hidden="1" customHeight="1">
      <c r="A238" s="141">
        <v>232</v>
      </c>
      <c r="B238" s="142" t="s">
        <v>1151</v>
      </c>
      <c r="C238" s="143" t="s">
        <v>1024</v>
      </c>
      <c r="D238" s="2795"/>
      <c r="E238" s="144"/>
      <c r="F238" s="144"/>
      <c r="G238" s="144"/>
      <c r="H238" s="144"/>
      <c r="I238" s="144"/>
      <c r="J238" s="282"/>
      <c r="K238" s="166"/>
      <c r="L238" s="153"/>
      <c r="M238" s="176" t="s">
        <v>1029</v>
      </c>
      <c r="N238" s="177"/>
      <c r="O238" s="150">
        <f t="shared" si="3"/>
        <v>0</v>
      </c>
      <c r="P238" s="151"/>
      <c r="Q238" s="151"/>
    </row>
    <row r="239" spans="1:17" ht="20.100000000000001" customHeight="1">
      <c r="A239" s="141">
        <v>233</v>
      </c>
      <c r="B239" s="142" t="s">
        <v>1151</v>
      </c>
      <c r="C239" s="143" t="s">
        <v>1024</v>
      </c>
      <c r="D239" s="2794"/>
      <c r="E239" s="144"/>
      <c r="F239" s="144"/>
      <c r="G239" s="144"/>
      <c r="H239" s="144"/>
      <c r="I239" s="144"/>
      <c r="J239" s="359"/>
      <c r="K239" s="178">
        <v>1</v>
      </c>
      <c r="L239" s="153"/>
      <c r="M239" s="180" t="s">
        <v>1153</v>
      </c>
      <c r="N239" s="374">
        <v>1348.54</v>
      </c>
      <c r="O239" s="150">
        <f t="shared" si="3"/>
        <v>1</v>
      </c>
      <c r="P239" s="151"/>
      <c r="Q239" s="151"/>
    </row>
    <row r="240" spans="1:17" ht="20.100000000000001" customHeight="1">
      <c r="A240" s="141">
        <v>234</v>
      </c>
      <c r="B240" s="142" t="s">
        <v>1151</v>
      </c>
      <c r="C240" s="143" t="s">
        <v>1024</v>
      </c>
      <c r="D240" s="182" t="s">
        <v>68</v>
      </c>
      <c r="E240" s="144"/>
      <c r="F240" s="144"/>
      <c r="G240" s="160"/>
      <c r="H240" s="144"/>
      <c r="I240" s="144"/>
      <c r="J240" s="359"/>
      <c r="K240" s="178">
        <v>1</v>
      </c>
      <c r="L240" s="153"/>
      <c r="M240" s="375" t="s">
        <v>1154</v>
      </c>
      <c r="N240" s="376">
        <v>20979.22</v>
      </c>
      <c r="O240" s="150">
        <f t="shared" si="3"/>
        <v>1</v>
      </c>
      <c r="P240" s="151"/>
      <c r="Q240" s="151"/>
    </row>
    <row r="241" spans="1:17" ht="20.100000000000001" hidden="1" customHeight="1">
      <c r="A241" s="141">
        <v>235</v>
      </c>
      <c r="B241" s="142" t="s">
        <v>1151</v>
      </c>
      <c r="C241" s="143" t="s">
        <v>1024</v>
      </c>
      <c r="D241" s="182" t="s">
        <v>33</v>
      </c>
      <c r="E241" s="144"/>
      <c r="F241" s="144"/>
      <c r="G241" s="160"/>
      <c r="H241" s="144"/>
      <c r="I241" s="144">
        <v>1936</v>
      </c>
      <c r="J241" s="282"/>
      <c r="K241" s="364"/>
      <c r="L241" s="153"/>
      <c r="M241" s="377" t="s">
        <v>35</v>
      </c>
      <c r="N241" s="378">
        <v>528529.62</v>
      </c>
      <c r="O241" s="150">
        <f t="shared" si="3"/>
        <v>1936</v>
      </c>
      <c r="P241" s="151"/>
      <c r="Q241" s="151"/>
    </row>
    <row r="242" spans="1:17" ht="20.100000000000001" hidden="1" customHeight="1">
      <c r="A242" s="141">
        <v>236</v>
      </c>
      <c r="B242" s="142" t="s">
        <v>1151</v>
      </c>
      <c r="C242" s="143" t="s">
        <v>1024</v>
      </c>
      <c r="D242" s="2793" t="s">
        <v>36</v>
      </c>
      <c r="E242" s="144"/>
      <c r="F242" s="144">
        <v>906</v>
      </c>
      <c r="G242" s="144"/>
      <c r="H242" s="144"/>
      <c r="I242" s="144"/>
      <c r="J242" s="282"/>
      <c r="K242" s="379"/>
      <c r="L242" s="153"/>
      <c r="M242" s="161" t="s">
        <v>1155</v>
      </c>
      <c r="N242" s="155">
        <v>0</v>
      </c>
      <c r="O242" s="150">
        <f t="shared" si="3"/>
        <v>906</v>
      </c>
      <c r="P242" s="151"/>
      <c r="Q242" s="151"/>
    </row>
    <row r="243" spans="1:17" ht="20.100000000000001" hidden="1" customHeight="1">
      <c r="A243" s="141">
        <v>237</v>
      </c>
      <c r="B243" s="142" t="s">
        <v>1151</v>
      </c>
      <c r="C243" s="143" t="s">
        <v>1024</v>
      </c>
      <c r="D243" s="2792"/>
      <c r="E243" s="144">
        <v>49</v>
      </c>
      <c r="F243" s="144"/>
      <c r="G243" s="144"/>
      <c r="H243" s="144"/>
      <c r="I243" s="144"/>
      <c r="J243" s="282"/>
      <c r="K243" s="364"/>
      <c r="L243" s="153"/>
      <c r="M243" s="161" t="s">
        <v>1156</v>
      </c>
      <c r="N243" s="155">
        <v>0</v>
      </c>
      <c r="O243" s="150">
        <f t="shared" si="3"/>
        <v>49</v>
      </c>
      <c r="P243" s="151"/>
      <c r="Q243" s="151"/>
    </row>
    <row r="244" spans="1:17" ht="20.100000000000001" customHeight="1">
      <c r="A244" s="141">
        <v>238</v>
      </c>
      <c r="B244" s="142" t="s">
        <v>1151</v>
      </c>
      <c r="C244" s="143" t="s">
        <v>1024</v>
      </c>
      <c r="D244" s="2793" t="s">
        <v>38</v>
      </c>
      <c r="E244" s="144"/>
      <c r="F244" s="144"/>
      <c r="G244" s="144"/>
      <c r="H244" s="144"/>
      <c r="I244" s="144"/>
      <c r="J244" s="359"/>
      <c r="K244" s="380">
        <v>2</v>
      </c>
      <c r="L244" s="153"/>
      <c r="M244" s="381" t="s">
        <v>1157</v>
      </c>
      <c r="N244" s="382">
        <f>363452+37000</f>
        <v>400452</v>
      </c>
      <c r="O244" s="150">
        <f t="shared" si="3"/>
        <v>2</v>
      </c>
      <c r="P244" s="151"/>
      <c r="Q244" s="151"/>
    </row>
    <row r="245" spans="1:17" ht="20.100000000000001" customHeight="1">
      <c r="A245" s="141">
        <v>239</v>
      </c>
      <c r="B245" s="142" t="s">
        <v>1151</v>
      </c>
      <c r="C245" s="143" t="s">
        <v>1024</v>
      </c>
      <c r="D245" s="2795"/>
      <c r="E245" s="144"/>
      <c r="F245" s="144"/>
      <c r="G245" s="144"/>
      <c r="H245" s="144"/>
      <c r="I245" s="160"/>
      <c r="J245" s="359"/>
      <c r="K245" s="380">
        <v>1</v>
      </c>
      <c r="L245" s="153"/>
      <c r="M245" s="381" t="s">
        <v>1158</v>
      </c>
      <c r="N245" s="382">
        <v>4000000</v>
      </c>
      <c r="O245" s="150">
        <f t="shared" si="3"/>
        <v>1</v>
      </c>
      <c r="P245" s="151"/>
      <c r="Q245" s="151"/>
    </row>
    <row r="246" spans="1:17" ht="20.100000000000001" customHeight="1">
      <c r="A246" s="141">
        <v>240</v>
      </c>
      <c r="B246" s="142" t="s">
        <v>1151</v>
      </c>
      <c r="C246" s="143" t="s">
        <v>1024</v>
      </c>
      <c r="D246" s="2795"/>
      <c r="E246" s="144"/>
      <c r="F246" s="160"/>
      <c r="G246" s="144"/>
      <c r="H246" s="144"/>
      <c r="I246" s="144"/>
      <c r="J246" s="359"/>
      <c r="K246" s="380">
        <v>1</v>
      </c>
      <c r="L246" s="153"/>
      <c r="M246" s="383" t="s">
        <v>1159</v>
      </c>
      <c r="N246" s="382">
        <v>250000</v>
      </c>
      <c r="O246" s="150">
        <f t="shared" si="3"/>
        <v>1</v>
      </c>
      <c r="P246" s="151"/>
      <c r="Q246" s="151"/>
    </row>
    <row r="247" spans="1:17" ht="20.100000000000001" customHeight="1">
      <c r="A247" s="141">
        <v>241</v>
      </c>
      <c r="B247" s="142" t="s">
        <v>1151</v>
      </c>
      <c r="C247" s="143" t="s">
        <v>1024</v>
      </c>
      <c r="D247" s="2795"/>
      <c r="E247" s="160"/>
      <c r="F247" s="144"/>
      <c r="G247" s="144"/>
      <c r="H247" s="144"/>
      <c r="I247" s="144"/>
      <c r="J247" s="282"/>
      <c r="K247" s="380">
        <v>2</v>
      </c>
      <c r="L247" s="153"/>
      <c r="M247" s="383" t="s">
        <v>1160</v>
      </c>
      <c r="N247" s="382">
        <v>4150000</v>
      </c>
      <c r="O247" s="150">
        <f t="shared" si="3"/>
        <v>2</v>
      </c>
      <c r="P247" s="151"/>
      <c r="Q247" s="151"/>
    </row>
    <row r="248" spans="1:17" ht="20.100000000000001" customHeight="1">
      <c r="A248" s="141">
        <v>242</v>
      </c>
      <c r="B248" s="142" t="s">
        <v>1151</v>
      </c>
      <c r="C248" s="143" t="s">
        <v>1024</v>
      </c>
      <c r="D248" s="2794"/>
      <c r="E248" s="144"/>
      <c r="F248" s="144"/>
      <c r="G248" s="144"/>
      <c r="H248" s="144"/>
      <c r="I248" s="144"/>
      <c r="J248" s="282"/>
      <c r="K248" s="380">
        <v>2</v>
      </c>
      <c r="L248" s="153"/>
      <c r="M248" s="384" t="s">
        <v>1161</v>
      </c>
      <c r="N248" s="382">
        <f>147547.83+75000</f>
        <v>222547.83</v>
      </c>
      <c r="O248" s="150">
        <f t="shared" si="3"/>
        <v>2</v>
      </c>
      <c r="P248" s="385"/>
      <c r="Q248" s="151"/>
    </row>
    <row r="249" spans="1:17" ht="20.100000000000001" hidden="1" customHeight="1">
      <c r="A249" s="141">
        <v>243</v>
      </c>
      <c r="B249" s="142"/>
      <c r="C249" s="143" t="s">
        <v>1024</v>
      </c>
      <c r="D249" s="182"/>
      <c r="E249" s="144"/>
      <c r="F249" s="144"/>
      <c r="G249" s="144"/>
      <c r="H249" s="144"/>
      <c r="I249" s="144"/>
      <c r="J249" s="282"/>
      <c r="K249" s="152"/>
      <c r="L249" s="153"/>
      <c r="M249" s="252" t="s">
        <v>1026</v>
      </c>
      <c r="N249" s="253"/>
      <c r="O249" s="150">
        <f t="shared" si="3"/>
        <v>0</v>
      </c>
      <c r="P249" s="151"/>
      <c r="Q249" s="151"/>
    </row>
    <row r="250" spans="1:17" ht="20.100000000000001" hidden="1" customHeight="1">
      <c r="A250" s="141">
        <v>244</v>
      </c>
      <c r="B250" s="142" t="s">
        <v>1162</v>
      </c>
      <c r="C250" s="143" t="s">
        <v>1024</v>
      </c>
      <c r="D250" s="2793" t="s">
        <v>29</v>
      </c>
      <c r="E250" s="386"/>
      <c r="F250" s="386"/>
      <c r="G250" s="160">
        <v>1</v>
      </c>
      <c r="H250" s="386"/>
      <c r="I250" s="386"/>
      <c r="J250" s="359"/>
      <c r="K250" s="223"/>
      <c r="L250" s="153"/>
      <c r="M250" s="261" t="s">
        <v>119</v>
      </c>
      <c r="N250" s="250">
        <v>-922143.18</v>
      </c>
      <c r="O250" s="150">
        <f t="shared" si="3"/>
        <v>1</v>
      </c>
      <c r="P250" s="151"/>
      <c r="Q250" s="151"/>
    </row>
    <row r="251" spans="1:17" ht="20.100000000000001" hidden="1" customHeight="1">
      <c r="A251" s="141">
        <v>245</v>
      </c>
      <c r="B251" s="142" t="s">
        <v>1162</v>
      </c>
      <c r="C251" s="143" t="s">
        <v>1024</v>
      </c>
      <c r="D251" s="2795"/>
      <c r="E251" s="386"/>
      <c r="F251" s="386"/>
      <c r="G251" s="160">
        <v>1</v>
      </c>
      <c r="H251" s="386"/>
      <c r="I251" s="386"/>
      <c r="J251" s="359"/>
      <c r="K251" s="223"/>
      <c r="L251" s="153"/>
      <c r="M251" s="261" t="s">
        <v>49</v>
      </c>
      <c r="N251" s="250">
        <v>70598500.680000007</v>
      </c>
      <c r="O251" s="150">
        <f t="shared" si="3"/>
        <v>1</v>
      </c>
      <c r="P251" s="151"/>
      <c r="Q251" s="151"/>
    </row>
    <row r="252" spans="1:17" ht="20.100000000000001" hidden="1" customHeight="1">
      <c r="A252" s="141">
        <v>246</v>
      </c>
      <c r="B252" s="142" t="s">
        <v>1162</v>
      </c>
      <c r="C252" s="143" t="s">
        <v>1024</v>
      </c>
      <c r="D252" s="2795"/>
      <c r="E252" s="386"/>
      <c r="F252" s="386"/>
      <c r="G252" s="160">
        <v>1</v>
      </c>
      <c r="H252" s="386"/>
      <c r="I252" s="386"/>
      <c r="J252" s="359"/>
      <c r="K252" s="223"/>
      <c r="L252" s="153"/>
      <c r="M252" s="261" t="s">
        <v>32</v>
      </c>
      <c r="N252" s="250">
        <v>0.2</v>
      </c>
      <c r="O252" s="150">
        <f t="shared" si="3"/>
        <v>1</v>
      </c>
      <c r="P252" s="151"/>
      <c r="Q252" s="151"/>
    </row>
    <row r="253" spans="1:17" ht="20.100000000000001" hidden="1" customHeight="1">
      <c r="A253" s="141">
        <v>247</v>
      </c>
      <c r="B253" s="142" t="s">
        <v>1162</v>
      </c>
      <c r="C253" s="143" t="s">
        <v>1024</v>
      </c>
      <c r="D253" s="2795"/>
      <c r="E253" s="386"/>
      <c r="F253" s="386"/>
      <c r="G253" s="160">
        <v>1</v>
      </c>
      <c r="H253" s="386"/>
      <c r="I253" s="386"/>
      <c r="J253" s="359"/>
      <c r="K253" s="232"/>
      <c r="L253" s="153"/>
      <c r="M253" s="261" t="s">
        <v>1027</v>
      </c>
      <c r="N253" s="250">
        <v>446994.06</v>
      </c>
      <c r="O253" s="150">
        <f t="shared" si="3"/>
        <v>1</v>
      </c>
      <c r="P253" s="151"/>
      <c r="Q253" s="151"/>
    </row>
    <row r="254" spans="1:17" ht="20.100000000000001" hidden="1" customHeight="1">
      <c r="A254" s="141">
        <v>248</v>
      </c>
      <c r="B254" s="142" t="s">
        <v>1162</v>
      </c>
      <c r="C254" s="143" t="s">
        <v>1024</v>
      </c>
      <c r="D254" s="2795"/>
      <c r="E254" s="386"/>
      <c r="F254" s="386"/>
      <c r="G254" s="160">
        <v>1</v>
      </c>
      <c r="H254" s="386"/>
      <c r="I254" s="386"/>
      <c r="J254" s="359"/>
      <c r="K254" s="387"/>
      <c r="L254" s="153"/>
      <c r="M254" s="261" t="s">
        <v>50</v>
      </c>
      <c r="N254" s="250">
        <v>100.26</v>
      </c>
      <c r="O254" s="150">
        <f t="shared" si="3"/>
        <v>1</v>
      </c>
      <c r="P254" s="151"/>
      <c r="Q254" s="151"/>
    </row>
    <row r="255" spans="1:17" ht="20.100000000000001" hidden="1" customHeight="1">
      <c r="A255" s="141">
        <v>249</v>
      </c>
      <c r="B255" s="142" t="s">
        <v>1162</v>
      </c>
      <c r="C255" s="143" t="s">
        <v>1024</v>
      </c>
      <c r="D255" s="2795"/>
      <c r="E255" s="386"/>
      <c r="F255" s="386"/>
      <c r="G255" s="160"/>
      <c r="H255" s="386"/>
      <c r="I255" s="386"/>
      <c r="J255" s="282"/>
      <c r="K255" s="306"/>
      <c r="L255" s="153"/>
      <c r="M255" s="252" t="s">
        <v>1163</v>
      </c>
      <c r="N255" s="253"/>
      <c r="O255" s="150">
        <f t="shared" si="3"/>
        <v>0</v>
      </c>
      <c r="P255" s="151"/>
      <c r="Q255" s="151"/>
    </row>
    <row r="256" spans="1:17" ht="20.100000000000001" hidden="1" customHeight="1">
      <c r="A256" s="141">
        <v>250</v>
      </c>
      <c r="B256" s="142" t="s">
        <v>1162</v>
      </c>
      <c r="C256" s="143" t="s">
        <v>1024</v>
      </c>
      <c r="D256" s="2795"/>
      <c r="E256" s="386"/>
      <c r="F256" s="386"/>
      <c r="G256" s="160">
        <v>1</v>
      </c>
      <c r="H256" s="386"/>
      <c r="I256" s="386"/>
      <c r="J256" s="359"/>
      <c r="K256" s="219"/>
      <c r="L256" s="153"/>
      <c r="M256" s="257" t="s">
        <v>844</v>
      </c>
      <c r="N256" s="250">
        <v>2202.48</v>
      </c>
      <c r="O256" s="150">
        <f t="shared" si="3"/>
        <v>1</v>
      </c>
      <c r="P256" s="151"/>
      <c r="Q256" s="151"/>
    </row>
    <row r="257" spans="1:17" ht="20.100000000000001" customHeight="1">
      <c r="A257" s="141">
        <v>251</v>
      </c>
      <c r="B257" s="142" t="s">
        <v>1162</v>
      </c>
      <c r="C257" s="143" t="s">
        <v>1024</v>
      </c>
      <c r="D257" s="2795"/>
      <c r="E257" s="386"/>
      <c r="F257" s="386"/>
      <c r="G257" s="160"/>
      <c r="H257" s="386"/>
      <c r="I257" s="386"/>
      <c r="J257" s="282"/>
      <c r="K257" s="387">
        <v>1</v>
      </c>
      <c r="L257" s="153"/>
      <c r="M257" s="261" t="s">
        <v>1164</v>
      </c>
      <c r="N257" s="250">
        <v>-1680</v>
      </c>
      <c r="O257" s="150">
        <f t="shared" si="3"/>
        <v>1</v>
      </c>
      <c r="P257" s="151"/>
      <c r="Q257" s="151"/>
    </row>
    <row r="258" spans="1:17" ht="20.100000000000001" hidden="1" customHeight="1">
      <c r="A258" s="141">
        <v>252</v>
      </c>
      <c r="B258" s="142" t="s">
        <v>1162</v>
      </c>
      <c r="C258" s="143" t="s">
        <v>1024</v>
      </c>
      <c r="D258" s="2795"/>
      <c r="E258" s="386"/>
      <c r="F258" s="386"/>
      <c r="G258" s="386"/>
      <c r="H258" s="386"/>
      <c r="I258" s="386"/>
      <c r="J258" s="282"/>
      <c r="K258" s="308"/>
      <c r="L258" s="153"/>
      <c r="M258" s="263" t="s">
        <v>1029</v>
      </c>
      <c r="N258" s="264"/>
      <c r="O258" s="150">
        <f t="shared" si="3"/>
        <v>0</v>
      </c>
      <c r="P258" s="151"/>
      <c r="Q258" s="151"/>
    </row>
    <row r="259" spans="1:17" ht="20.100000000000001" customHeight="1">
      <c r="A259" s="141">
        <v>253</v>
      </c>
      <c r="B259" s="142" t="s">
        <v>1162</v>
      </c>
      <c r="C259" s="143" t="s">
        <v>1024</v>
      </c>
      <c r="D259" s="2794"/>
      <c r="E259" s="386"/>
      <c r="F259" s="386"/>
      <c r="G259" s="160"/>
      <c r="H259" s="386"/>
      <c r="I259" s="386"/>
      <c r="J259" s="282"/>
      <c r="K259" s="232">
        <v>1</v>
      </c>
      <c r="L259" s="153"/>
      <c r="M259" s="276" t="s">
        <v>1165</v>
      </c>
      <c r="N259" s="250">
        <v>144144.38</v>
      </c>
      <c r="O259" s="150">
        <f t="shared" si="3"/>
        <v>1</v>
      </c>
      <c r="P259" s="151"/>
      <c r="Q259" s="151"/>
    </row>
    <row r="260" spans="1:17" ht="20.100000000000001" customHeight="1">
      <c r="A260" s="141">
        <v>254</v>
      </c>
      <c r="B260" s="142" t="s">
        <v>1162</v>
      </c>
      <c r="C260" s="143" t="s">
        <v>1024</v>
      </c>
      <c r="D260" s="182" t="s">
        <v>1076</v>
      </c>
      <c r="E260" s="386"/>
      <c r="F260" s="386"/>
      <c r="G260" s="386"/>
      <c r="H260" s="386"/>
      <c r="I260" s="386"/>
      <c r="J260" s="282"/>
      <c r="K260" s="232">
        <v>1</v>
      </c>
      <c r="L260" s="153"/>
      <c r="M260" s="292" t="s">
        <v>1061</v>
      </c>
      <c r="N260" s="271">
        <v>26924.22</v>
      </c>
      <c r="O260" s="150">
        <f t="shared" si="3"/>
        <v>1</v>
      </c>
      <c r="P260" s="151"/>
      <c r="Q260" s="151"/>
    </row>
    <row r="261" spans="1:17" ht="20.100000000000001" hidden="1" customHeight="1">
      <c r="A261" s="141">
        <v>255</v>
      </c>
      <c r="B261" s="142" t="s">
        <v>1162</v>
      </c>
      <c r="C261" s="143" t="s">
        <v>1024</v>
      </c>
      <c r="D261" s="2793" t="s">
        <v>33</v>
      </c>
      <c r="E261" s="386"/>
      <c r="F261" s="386"/>
      <c r="G261" s="386"/>
      <c r="H261" s="386">
        <v>7</v>
      </c>
      <c r="I261" s="386"/>
      <c r="J261" s="282"/>
      <c r="K261" s="232"/>
      <c r="L261" s="153"/>
      <c r="M261" s="261" t="s">
        <v>34</v>
      </c>
      <c r="N261" s="267">
        <v>0</v>
      </c>
      <c r="O261" s="150">
        <f t="shared" si="3"/>
        <v>7</v>
      </c>
      <c r="P261" s="151"/>
      <c r="Q261" s="151"/>
    </row>
    <row r="262" spans="1:17" ht="20.100000000000001" hidden="1" customHeight="1">
      <c r="A262" s="141">
        <v>256</v>
      </c>
      <c r="B262" s="142" t="s">
        <v>1162</v>
      </c>
      <c r="C262" s="143" t="s">
        <v>1024</v>
      </c>
      <c r="D262" s="2794"/>
      <c r="E262" s="386"/>
      <c r="F262" s="386"/>
      <c r="G262" s="386"/>
      <c r="H262" s="386"/>
      <c r="I262" s="386">
        <v>1260</v>
      </c>
      <c r="J262" s="359"/>
      <c r="K262" s="358"/>
      <c r="L262" s="153"/>
      <c r="M262" s="246" t="s">
        <v>35</v>
      </c>
      <c r="N262" s="271">
        <v>688647.95</v>
      </c>
      <c r="O262" s="150">
        <f t="shared" si="3"/>
        <v>1260</v>
      </c>
      <c r="P262" s="151"/>
      <c r="Q262" s="151"/>
    </row>
    <row r="263" spans="1:17" ht="20.100000000000001" hidden="1" customHeight="1">
      <c r="A263" s="141">
        <v>257</v>
      </c>
      <c r="B263" s="142" t="s">
        <v>1162</v>
      </c>
      <c r="C263" s="143" t="s">
        <v>1024</v>
      </c>
      <c r="D263" s="2793" t="s">
        <v>36</v>
      </c>
      <c r="E263" s="386"/>
      <c r="F263" s="386">
        <v>130</v>
      </c>
      <c r="G263" s="386"/>
      <c r="H263" s="160"/>
      <c r="I263" s="386"/>
      <c r="J263" s="359"/>
      <c r="K263" s="303"/>
      <c r="L263" s="153"/>
      <c r="M263" s="257" t="s">
        <v>1166</v>
      </c>
      <c r="N263" s="250">
        <v>0</v>
      </c>
      <c r="O263" s="150">
        <f t="shared" si="3"/>
        <v>130</v>
      </c>
      <c r="P263" s="151"/>
      <c r="Q263" s="151"/>
    </row>
    <row r="264" spans="1:17" ht="20.100000000000001" hidden="1" customHeight="1">
      <c r="A264" s="141">
        <v>258</v>
      </c>
      <c r="B264" s="142" t="s">
        <v>1162</v>
      </c>
      <c r="C264" s="143" t="s">
        <v>1024</v>
      </c>
      <c r="D264" s="2792"/>
      <c r="E264" s="386">
        <v>5</v>
      </c>
      <c r="F264" s="386"/>
      <c r="G264" s="386"/>
      <c r="H264" s="386"/>
      <c r="I264" s="160"/>
      <c r="J264" s="359"/>
      <c r="K264" s="303"/>
      <c r="L264" s="153"/>
      <c r="M264" s="257" t="s">
        <v>1167</v>
      </c>
      <c r="N264" s="250">
        <v>0</v>
      </c>
      <c r="O264" s="150">
        <f t="shared" si="3"/>
        <v>5</v>
      </c>
      <c r="P264" s="151"/>
      <c r="Q264" s="151"/>
    </row>
    <row r="265" spans="1:17" ht="20.100000000000001" customHeight="1">
      <c r="A265" s="141">
        <v>259</v>
      </c>
      <c r="B265" s="142" t="s">
        <v>1168</v>
      </c>
      <c r="C265" s="143" t="s">
        <v>1024</v>
      </c>
      <c r="D265" s="182" t="s">
        <v>103</v>
      </c>
      <c r="E265" s="386"/>
      <c r="F265" s="160"/>
      <c r="G265" s="386"/>
      <c r="H265" s="386"/>
      <c r="I265" s="386"/>
      <c r="J265" s="359">
        <v>1</v>
      </c>
      <c r="K265" s="2806"/>
      <c r="L265" s="2811"/>
      <c r="M265" s="2812" t="s">
        <v>1169</v>
      </c>
      <c r="N265" s="2813">
        <v>0</v>
      </c>
      <c r="O265" s="2810">
        <f t="shared" ref="O265:O328" si="4">E265+F265+G265+H265+I265+J265+K265</f>
        <v>1</v>
      </c>
      <c r="P265" s="151"/>
      <c r="Q265" s="151"/>
    </row>
    <row r="266" spans="1:17" ht="20.100000000000001" hidden="1" customHeight="1">
      <c r="A266" s="141">
        <v>260</v>
      </c>
      <c r="B266" s="142" t="s">
        <v>1168</v>
      </c>
      <c r="C266" s="143" t="s">
        <v>1024</v>
      </c>
      <c r="D266" s="2793" t="s">
        <v>29</v>
      </c>
      <c r="E266" s="160"/>
      <c r="F266" s="386"/>
      <c r="G266" s="386"/>
      <c r="H266" s="386"/>
      <c r="I266" s="386"/>
      <c r="J266" s="282"/>
      <c r="K266" s="344"/>
      <c r="L266" s="153"/>
      <c r="M266" s="389" t="s">
        <v>1026</v>
      </c>
      <c r="N266" s="390"/>
      <c r="O266" s="150">
        <f t="shared" si="4"/>
        <v>0</v>
      </c>
      <c r="P266" s="151"/>
      <c r="Q266" s="151"/>
    </row>
    <row r="267" spans="1:17" ht="20.100000000000001" hidden="1" customHeight="1">
      <c r="A267" s="141">
        <v>261</v>
      </c>
      <c r="B267" s="142" t="s">
        <v>1168</v>
      </c>
      <c r="C267" s="143" t="s">
        <v>1024</v>
      </c>
      <c r="D267" s="2795"/>
      <c r="E267" s="386"/>
      <c r="F267" s="386"/>
      <c r="G267" s="160">
        <v>1</v>
      </c>
      <c r="H267" s="386"/>
      <c r="I267" s="386"/>
      <c r="J267" s="282"/>
      <c r="K267" s="287"/>
      <c r="L267" s="153"/>
      <c r="M267" s="391" t="s">
        <v>1027</v>
      </c>
      <c r="N267" s="392">
        <v>61644.6</v>
      </c>
      <c r="O267" s="150">
        <f t="shared" si="4"/>
        <v>1</v>
      </c>
      <c r="P267" s="151"/>
      <c r="Q267" s="151"/>
    </row>
    <row r="268" spans="1:17" ht="20.100000000000001" hidden="1" customHeight="1">
      <c r="A268" s="141">
        <v>262</v>
      </c>
      <c r="B268" s="142" t="s">
        <v>1168</v>
      </c>
      <c r="C268" s="143" t="s">
        <v>1024</v>
      </c>
      <c r="D268" s="2794"/>
      <c r="E268" s="386"/>
      <c r="F268" s="386"/>
      <c r="G268" s="386"/>
      <c r="H268" s="386"/>
      <c r="I268" s="386"/>
      <c r="J268" s="282"/>
      <c r="K268" s="288"/>
      <c r="L268" s="393"/>
      <c r="M268" s="289" t="s">
        <v>1141</v>
      </c>
      <c r="N268" s="290"/>
      <c r="O268" s="150">
        <f t="shared" si="4"/>
        <v>0</v>
      </c>
      <c r="P268" s="394"/>
      <c r="Q268" s="394"/>
    </row>
    <row r="269" spans="1:17" ht="20.100000000000001" hidden="1" customHeight="1">
      <c r="A269" s="141">
        <v>263</v>
      </c>
      <c r="B269" s="142" t="s">
        <v>1168</v>
      </c>
      <c r="C269" s="143" t="s">
        <v>1024</v>
      </c>
      <c r="D269" s="2793" t="s">
        <v>33</v>
      </c>
      <c r="E269" s="386"/>
      <c r="F269" s="386"/>
      <c r="G269" s="386"/>
      <c r="H269" s="386">
        <v>18</v>
      </c>
      <c r="I269" s="386"/>
      <c r="J269" s="282"/>
      <c r="K269" s="350"/>
      <c r="L269" s="393"/>
      <c r="M269" s="395" t="s">
        <v>34</v>
      </c>
      <c r="N269" s="286">
        <v>0</v>
      </c>
      <c r="O269" s="150">
        <f t="shared" si="4"/>
        <v>18</v>
      </c>
      <c r="P269" s="394"/>
      <c r="Q269" s="394"/>
    </row>
    <row r="270" spans="1:17" ht="20.100000000000001" customHeight="1" thickBot="1">
      <c r="A270" s="141">
        <v>264</v>
      </c>
      <c r="B270" s="142" t="s">
        <v>1168</v>
      </c>
      <c r="C270" s="143" t="s">
        <v>1024</v>
      </c>
      <c r="D270" s="2794"/>
      <c r="E270" s="386"/>
      <c r="F270" s="386"/>
      <c r="G270" s="386"/>
      <c r="H270" s="386"/>
      <c r="I270" s="386"/>
      <c r="J270" s="396"/>
      <c r="K270" s="272">
        <v>4</v>
      </c>
      <c r="L270" s="393"/>
      <c r="M270" s="397" t="s">
        <v>1170</v>
      </c>
      <c r="N270" s="398">
        <v>0</v>
      </c>
      <c r="O270" s="150">
        <f t="shared" si="4"/>
        <v>4</v>
      </c>
      <c r="P270" s="394"/>
      <c r="Q270" s="394"/>
    </row>
    <row r="271" spans="1:17" ht="20.100000000000001" hidden="1" customHeight="1" thickBot="1">
      <c r="A271" s="141">
        <v>265</v>
      </c>
      <c r="B271" s="142" t="s">
        <v>1168</v>
      </c>
      <c r="C271" s="143" t="s">
        <v>1024</v>
      </c>
      <c r="D271" s="182" t="s">
        <v>36</v>
      </c>
      <c r="E271" s="386"/>
      <c r="F271" s="386">
        <v>100</v>
      </c>
      <c r="G271" s="386"/>
      <c r="H271" s="160"/>
      <c r="I271" s="386"/>
      <c r="J271" s="282"/>
      <c r="K271" s="399"/>
      <c r="L271" s="393"/>
      <c r="M271" s="391" t="s">
        <v>1171</v>
      </c>
      <c r="N271" s="388">
        <v>0</v>
      </c>
      <c r="O271" s="150">
        <f t="shared" si="4"/>
        <v>100</v>
      </c>
      <c r="P271" s="394"/>
      <c r="Q271" s="394"/>
    </row>
    <row r="272" spans="1:17" ht="20.100000000000001" customHeight="1" thickBot="1">
      <c r="A272" s="141">
        <v>266</v>
      </c>
      <c r="B272" s="142" t="s">
        <v>1168</v>
      </c>
      <c r="C272" s="143" t="s">
        <v>1024</v>
      </c>
      <c r="D272" s="182" t="s">
        <v>38</v>
      </c>
      <c r="E272" s="386"/>
      <c r="F272" s="386"/>
      <c r="G272" s="386"/>
      <c r="H272" s="386"/>
      <c r="I272" s="386"/>
      <c r="J272" s="282"/>
      <c r="K272" s="272">
        <v>1</v>
      </c>
      <c r="L272" s="393"/>
      <c r="M272" s="400" t="s">
        <v>1172</v>
      </c>
      <c r="N272" s="388">
        <v>1200000</v>
      </c>
      <c r="O272" s="150">
        <f t="shared" si="4"/>
        <v>1</v>
      </c>
      <c r="P272" s="394"/>
      <c r="Q272" s="394"/>
    </row>
    <row r="273" spans="1:17" ht="20.100000000000001" customHeight="1">
      <c r="A273" s="141">
        <v>267</v>
      </c>
      <c r="B273" s="142" t="s">
        <v>1173</v>
      </c>
      <c r="C273" s="143" t="s">
        <v>1024</v>
      </c>
      <c r="D273" s="182" t="s">
        <v>1047</v>
      </c>
      <c r="E273" s="386"/>
      <c r="F273" s="386"/>
      <c r="G273" s="386"/>
      <c r="H273" s="386"/>
      <c r="I273" s="386"/>
      <c r="J273" s="282"/>
      <c r="K273" s="152">
        <v>1</v>
      </c>
      <c r="L273" s="153"/>
      <c r="M273" s="161" t="s">
        <v>1174</v>
      </c>
      <c r="N273" s="401">
        <v>24250</v>
      </c>
      <c r="O273" s="150">
        <f t="shared" si="4"/>
        <v>1</v>
      </c>
      <c r="P273" s="394"/>
      <c r="Q273" s="394"/>
    </row>
    <row r="274" spans="1:17" ht="20.100000000000001" hidden="1" customHeight="1">
      <c r="A274" s="141">
        <v>268</v>
      </c>
      <c r="B274" s="142" t="s">
        <v>1173</v>
      </c>
      <c r="C274" s="143" t="s">
        <v>1024</v>
      </c>
      <c r="D274" s="2793" t="s">
        <v>29</v>
      </c>
      <c r="E274" s="144"/>
      <c r="F274" s="144"/>
      <c r="G274" s="144"/>
      <c r="H274" s="144"/>
      <c r="I274" s="144"/>
      <c r="J274" s="282"/>
      <c r="K274" s="156"/>
      <c r="L274" s="157"/>
      <c r="M274" s="158" t="s">
        <v>1026</v>
      </c>
      <c r="N274" s="159"/>
      <c r="O274" s="150">
        <f t="shared" si="4"/>
        <v>0</v>
      </c>
      <c r="P274" s="151"/>
      <c r="Q274" s="151"/>
    </row>
    <row r="275" spans="1:17" ht="20.100000000000001" hidden="1" customHeight="1">
      <c r="A275" s="141">
        <v>269</v>
      </c>
      <c r="B275" s="142" t="s">
        <v>1173</v>
      </c>
      <c r="C275" s="143" t="s">
        <v>1024</v>
      </c>
      <c r="D275" s="2795"/>
      <c r="E275" s="144"/>
      <c r="F275" s="144"/>
      <c r="G275" s="160">
        <v>1</v>
      </c>
      <c r="H275" s="144"/>
      <c r="I275" s="144"/>
      <c r="J275" s="359"/>
      <c r="K275" s="152"/>
      <c r="L275" s="153"/>
      <c r="M275" s="161" t="s">
        <v>119</v>
      </c>
      <c r="N275" s="155">
        <v>-1984514.14</v>
      </c>
      <c r="O275" s="150">
        <f t="shared" si="4"/>
        <v>1</v>
      </c>
      <c r="P275" s="151"/>
      <c r="Q275" s="151"/>
    </row>
    <row r="276" spans="1:17" ht="20.100000000000001" hidden="1" customHeight="1">
      <c r="A276" s="141">
        <v>270</v>
      </c>
      <c r="B276" s="142" t="s">
        <v>1173</v>
      </c>
      <c r="C276" s="143" t="s">
        <v>1024</v>
      </c>
      <c r="D276" s="2795"/>
      <c r="E276" s="144"/>
      <c r="F276" s="144"/>
      <c r="G276" s="160">
        <v>1</v>
      </c>
      <c r="H276" s="144"/>
      <c r="I276" s="144"/>
      <c r="J276" s="359"/>
      <c r="K276" s="152"/>
      <c r="L276" s="153"/>
      <c r="M276" s="161" t="s">
        <v>49</v>
      </c>
      <c r="N276" s="155">
        <v>-10987240.52</v>
      </c>
      <c r="O276" s="150">
        <f t="shared" si="4"/>
        <v>1</v>
      </c>
      <c r="P276" s="151"/>
      <c r="Q276" s="151"/>
    </row>
    <row r="277" spans="1:17" ht="20.100000000000001" hidden="1" customHeight="1">
      <c r="A277" s="141">
        <v>271</v>
      </c>
      <c r="B277" s="142" t="s">
        <v>1173</v>
      </c>
      <c r="C277" s="143" t="s">
        <v>1024</v>
      </c>
      <c r="D277" s="2795"/>
      <c r="E277" s="144"/>
      <c r="F277" s="144"/>
      <c r="G277" s="160">
        <v>1</v>
      </c>
      <c r="H277" s="144"/>
      <c r="I277" s="144"/>
      <c r="J277" s="359"/>
      <c r="K277" s="152"/>
      <c r="L277" s="153"/>
      <c r="M277" s="161" t="s">
        <v>32</v>
      </c>
      <c r="N277" s="162">
        <v>20.38</v>
      </c>
      <c r="O277" s="150">
        <f t="shared" si="4"/>
        <v>1</v>
      </c>
      <c r="P277" s="151"/>
      <c r="Q277" s="151"/>
    </row>
    <row r="278" spans="1:17" ht="20.100000000000001" hidden="1" customHeight="1">
      <c r="A278" s="141">
        <v>272</v>
      </c>
      <c r="B278" s="142" t="s">
        <v>1173</v>
      </c>
      <c r="C278" s="143" t="s">
        <v>1024</v>
      </c>
      <c r="D278" s="2795"/>
      <c r="E278" s="144"/>
      <c r="F278" s="144"/>
      <c r="G278" s="160">
        <v>1</v>
      </c>
      <c r="H278" s="144"/>
      <c r="I278" s="144"/>
      <c r="J278" s="359"/>
      <c r="K278" s="178"/>
      <c r="L278" s="179"/>
      <c r="M278" s="161" t="s">
        <v>207</v>
      </c>
      <c r="N278" s="186">
        <v>-498599.07</v>
      </c>
      <c r="O278" s="150">
        <f t="shared" si="4"/>
        <v>1</v>
      </c>
      <c r="P278" s="151"/>
      <c r="Q278" s="151"/>
    </row>
    <row r="279" spans="1:17" ht="20.100000000000001" hidden="1" customHeight="1">
      <c r="A279" s="141">
        <v>273</v>
      </c>
      <c r="B279" s="142" t="s">
        <v>1173</v>
      </c>
      <c r="C279" s="143" t="s">
        <v>1024</v>
      </c>
      <c r="D279" s="2795"/>
      <c r="E279" s="144"/>
      <c r="F279" s="144"/>
      <c r="G279" s="160"/>
      <c r="H279" s="144"/>
      <c r="I279" s="144"/>
      <c r="J279" s="282"/>
      <c r="K279" s="166"/>
      <c r="L279" s="167"/>
      <c r="M279" s="176" t="s">
        <v>1029</v>
      </c>
      <c r="N279" s="177"/>
      <c r="O279" s="150">
        <f t="shared" si="4"/>
        <v>0</v>
      </c>
      <c r="P279" s="151"/>
      <c r="Q279" s="151"/>
    </row>
    <row r="280" spans="1:17" ht="20.100000000000001" customHeight="1">
      <c r="A280" s="141">
        <v>274</v>
      </c>
      <c r="B280" s="142" t="s">
        <v>1173</v>
      </c>
      <c r="C280" s="143" t="s">
        <v>1024</v>
      </c>
      <c r="D280" s="2794"/>
      <c r="E280" s="144"/>
      <c r="F280" s="144"/>
      <c r="G280" s="144"/>
      <c r="H280" s="144"/>
      <c r="I280" s="144"/>
      <c r="J280" s="282"/>
      <c r="K280" s="163">
        <v>1</v>
      </c>
      <c r="L280" s="164"/>
      <c r="M280" s="402" t="s">
        <v>1175</v>
      </c>
      <c r="N280" s="104">
        <v>-12865233.73</v>
      </c>
      <c r="O280" s="150">
        <f t="shared" si="4"/>
        <v>1</v>
      </c>
      <c r="P280" s="151"/>
      <c r="Q280" s="151"/>
    </row>
    <row r="281" spans="1:17" ht="20.100000000000001" hidden="1" customHeight="1">
      <c r="A281" s="141">
        <v>275</v>
      </c>
      <c r="B281" s="142" t="s">
        <v>1173</v>
      </c>
      <c r="C281" s="143" t="s">
        <v>1024</v>
      </c>
      <c r="D281" s="2793" t="s">
        <v>33</v>
      </c>
      <c r="E281" s="144"/>
      <c r="F281" s="144"/>
      <c r="G281" s="144"/>
      <c r="H281" s="144">
        <v>120</v>
      </c>
      <c r="I281" s="144"/>
      <c r="J281" s="359"/>
      <c r="K281" s="163"/>
      <c r="L281" s="173"/>
      <c r="M281" s="377" t="s">
        <v>34</v>
      </c>
      <c r="N281" s="186">
        <v>0</v>
      </c>
      <c r="O281" s="150">
        <f t="shared" si="4"/>
        <v>120</v>
      </c>
      <c r="P281" s="151"/>
      <c r="Q281" s="151"/>
    </row>
    <row r="282" spans="1:17" ht="20.100000000000001" hidden="1" customHeight="1">
      <c r="A282" s="141">
        <v>276</v>
      </c>
      <c r="B282" s="142" t="s">
        <v>1173</v>
      </c>
      <c r="C282" s="143" t="s">
        <v>1024</v>
      </c>
      <c r="D282" s="2794"/>
      <c r="E282" s="144"/>
      <c r="F282" s="144"/>
      <c r="G282" s="144"/>
      <c r="H282" s="160"/>
      <c r="I282" s="144">
        <v>321</v>
      </c>
      <c r="J282" s="359"/>
      <c r="K282" s="403"/>
      <c r="L282" s="153"/>
      <c r="M282" s="377" t="s">
        <v>35</v>
      </c>
      <c r="N282" s="401">
        <v>1533347.35</v>
      </c>
      <c r="O282" s="150">
        <f t="shared" si="4"/>
        <v>321</v>
      </c>
      <c r="P282" s="151"/>
      <c r="Q282" s="151"/>
    </row>
    <row r="283" spans="1:17" ht="20.100000000000001" customHeight="1">
      <c r="A283" s="141">
        <v>277</v>
      </c>
      <c r="B283" s="142" t="s">
        <v>1173</v>
      </c>
      <c r="C283" s="143" t="s">
        <v>1024</v>
      </c>
      <c r="D283" s="182" t="s">
        <v>1176</v>
      </c>
      <c r="E283" s="144"/>
      <c r="F283" s="144"/>
      <c r="G283" s="144"/>
      <c r="H283" s="144"/>
      <c r="I283" s="160"/>
      <c r="J283" s="282"/>
      <c r="K283" s="403">
        <v>1</v>
      </c>
      <c r="L283" s="153"/>
      <c r="M283" s="404" t="s">
        <v>104</v>
      </c>
      <c r="N283" s="155">
        <v>0</v>
      </c>
      <c r="O283" s="150">
        <f t="shared" si="4"/>
        <v>1</v>
      </c>
      <c r="P283" s="151"/>
      <c r="Q283" s="151"/>
    </row>
    <row r="284" spans="1:17" ht="20.100000000000001" hidden="1" customHeight="1">
      <c r="A284" s="141">
        <v>278</v>
      </c>
      <c r="B284" s="142" t="s">
        <v>1173</v>
      </c>
      <c r="C284" s="143" t="s">
        <v>1024</v>
      </c>
      <c r="D284" s="2793" t="s">
        <v>36</v>
      </c>
      <c r="E284" s="144"/>
      <c r="F284" s="144">
        <v>557</v>
      </c>
      <c r="G284" s="144"/>
      <c r="H284" s="144"/>
      <c r="I284" s="144"/>
      <c r="J284" s="359"/>
      <c r="K284" s="403"/>
      <c r="L284" s="153"/>
      <c r="M284" s="377" t="s">
        <v>1177</v>
      </c>
      <c r="N284" s="155">
        <v>49734.53</v>
      </c>
      <c r="O284" s="150">
        <f t="shared" si="4"/>
        <v>557</v>
      </c>
      <c r="P284" s="151"/>
      <c r="Q284" s="151"/>
    </row>
    <row r="285" spans="1:17" ht="20.100000000000001" hidden="1" customHeight="1">
      <c r="A285" s="141">
        <v>279</v>
      </c>
      <c r="B285" s="142" t="s">
        <v>1173</v>
      </c>
      <c r="C285" s="143" t="s">
        <v>1024</v>
      </c>
      <c r="D285" s="2792"/>
      <c r="E285" s="144">
        <v>22</v>
      </c>
      <c r="F285" s="160"/>
      <c r="G285" s="144"/>
      <c r="H285" s="144"/>
      <c r="I285" s="144"/>
      <c r="J285" s="405"/>
      <c r="K285" s="406"/>
      <c r="L285" s="147"/>
      <c r="M285" s="161" t="s">
        <v>1178</v>
      </c>
      <c r="N285" s="186">
        <v>0</v>
      </c>
      <c r="O285" s="150">
        <f t="shared" si="4"/>
        <v>22</v>
      </c>
      <c r="P285" s="151"/>
      <c r="Q285" s="151"/>
    </row>
    <row r="286" spans="1:17" ht="20.100000000000001" customHeight="1">
      <c r="A286" s="141">
        <v>280</v>
      </c>
      <c r="B286" s="142" t="s">
        <v>1173</v>
      </c>
      <c r="C286" s="143" t="s">
        <v>1024</v>
      </c>
      <c r="D286" s="2793" t="s">
        <v>38</v>
      </c>
      <c r="E286" s="160"/>
      <c r="F286" s="144"/>
      <c r="G286" s="144"/>
      <c r="H286" s="144"/>
      <c r="I286" s="144"/>
      <c r="J286" s="282"/>
      <c r="K286" s="152">
        <v>1</v>
      </c>
      <c r="L286" s="407" t="s">
        <v>483</v>
      </c>
      <c r="M286" s="408" t="s">
        <v>1179</v>
      </c>
      <c r="N286" s="155">
        <v>5300</v>
      </c>
      <c r="O286" s="150">
        <f t="shared" si="4"/>
        <v>1</v>
      </c>
      <c r="P286" s="151"/>
      <c r="Q286" s="151"/>
    </row>
    <row r="287" spans="1:17" ht="20.100000000000001" customHeight="1">
      <c r="A287" s="141">
        <v>281</v>
      </c>
      <c r="B287" s="142" t="s">
        <v>1173</v>
      </c>
      <c r="C287" s="143" t="s">
        <v>1024</v>
      </c>
      <c r="D287" s="2795"/>
      <c r="E287" s="144"/>
      <c r="F287" s="144"/>
      <c r="G287" s="144"/>
      <c r="H287" s="144"/>
      <c r="I287" s="144"/>
      <c r="J287" s="282"/>
      <c r="K287" s="152">
        <v>1</v>
      </c>
      <c r="L287" s="407" t="s">
        <v>483</v>
      </c>
      <c r="M287" s="408" t="s">
        <v>1179</v>
      </c>
      <c r="N287" s="155">
        <v>15000</v>
      </c>
      <c r="O287" s="150">
        <f t="shared" si="4"/>
        <v>1</v>
      </c>
      <c r="P287" s="151"/>
      <c r="Q287" s="151"/>
    </row>
    <row r="288" spans="1:17" ht="20.100000000000001" customHeight="1">
      <c r="A288" s="141">
        <v>282</v>
      </c>
      <c r="B288" s="142" t="s">
        <v>1173</v>
      </c>
      <c r="C288" s="143" t="s">
        <v>1024</v>
      </c>
      <c r="D288" s="2795"/>
      <c r="E288" s="144"/>
      <c r="F288" s="144"/>
      <c r="G288" s="144"/>
      <c r="H288" s="144"/>
      <c r="I288" s="144"/>
      <c r="J288" s="145"/>
      <c r="K288" s="152">
        <v>1</v>
      </c>
      <c r="L288" s="407" t="s">
        <v>221</v>
      </c>
      <c r="M288" s="408" t="s">
        <v>1180</v>
      </c>
      <c r="N288" s="155">
        <v>30000</v>
      </c>
      <c r="O288" s="150">
        <f t="shared" si="4"/>
        <v>1</v>
      </c>
      <c r="P288" s="151"/>
      <c r="Q288" s="151"/>
    </row>
    <row r="289" spans="1:17" ht="20.100000000000001" customHeight="1">
      <c r="A289" s="141">
        <v>283</v>
      </c>
      <c r="B289" s="142" t="s">
        <v>1173</v>
      </c>
      <c r="C289" s="143" t="s">
        <v>1024</v>
      </c>
      <c r="D289" s="2795"/>
      <c r="E289" s="144"/>
      <c r="F289" s="144"/>
      <c r="G289" s="144"/>
      <c r="H289" s="144"/>
      <c r="I289" s="144"/>
      <c r="J289" s="145"/>
      <c r="K289" s="152">
        <v>1</v>
      </c>
      <c r="L289" s="407" t="s">
        <v>221</v>
      </c>
      <c r="M289" s="408" t="s">
        <v>1181</v>
      </c>
      <c r="N289" s="155">
        <v>29800</v>
      </c>
      <c r="O289" s="150">
        <f t="shared" si="4"/>
        <v>1</v>
      </c>
      <c r="P289" s="151"/>
      <c r="Q289" s="151"/>
    </row>
    <row r="290" spans="1:17" ht="20.100000000000001" customHeight="1">
      <c r="A290" s="141">
        <v>284</v>
      </c>
      <c r="B290" s="142" t="s">
        <v>1173</v>
      </c>
      <c r="C290" s="143" t="s">
        <v>1024</v>
      </c>
      <c r="D290" s="2794"/>
      <c r="E290" s="144"/>
      <c r="F290" s="144"/>
      <c r="G290" s="144"/>
      <c r="H290" s="144"/>
      <c r="I290" s="144"/>
      <c r="J290" s="145"/>
      <c r="K290" s="152">
        <v>1</v>
      </c>
      <c r="L290" s="407" t="s">
        <v>486</v>
      </c>
      <c r="M290" s="408" t="s">
        <v>1182</v>
      </c>
      <c r="N290" s="155">
        <v>20000</v>
      </c>
      <c r="O290" s="150">
        <f t="shared" si="4"/>
        <v>1</v>
      </c>
      <c r="P290" s="151">
        <v>1</v>
      </c>
      <c r="Q290" s="151"/>
    </row>
    <row r="291" spans="1:17" ht="20.100000000000001" customHeight="1">
      <c r="A291" s="141">
        <v>285</v>
      </c>
      <c r="B291" s="142" t="s">
        <v>1183</v>
      </c>
      <c r="C291" s="143" t="s">
        <v>1024</v>
      </c>
      <c r="D291" s="2801" t="s">
        <v>1184</v>
      </c>
      <c r="E291" s="144"/>
      <c r="F291" s="144"/>
      <c r="G291" s="160"/>
      <c r="H291" s="144"/>
      <c r="I291" s="144"/>
      <c r="J291" s="145"/>
      <c r="K291" s="223">
        <v>2</v>
      </c>
      <c r="L291" s="393">
        <v>44834</v>
      </c>
      <c r="M291" s="225" t="s">
        <v>1185</v>
      </c>
      <c r="N291" s="249">
        <v>76550</v>
      </c>
      <c r="O291" s="150">
        <f t="shared" si="4"/>
        <v>2</v>
      </c>
      <c r="P291" s="151"/>
      <c r="Q291" s="151"/>
    </row>
    <row r="292" spans="1:17" ht="20.100000000000001" customHeight="1">
      <c r="A292" s="141">
        <v>286</v>
      </c>
      <c r="B292" s="142" t="s">
        <v>1183</v>
      </c>
      <c r="C292" s="143" t="s">
        <v>1024</v>
      </c>
      <c r="D292" s="2800"/>
      <c r="E292" s="144"/>
      <c r="F292" s="144"/>
      <c r="G292" s="160"/>
      <c r="H292" s="144"/>
      <c r="I292" s="144"/>
      <c r="J292" s="145"/>
      <c r="K292" s="307">
        <v>1</v>
      </c>
      <c r="L292" s="393"/>
      <c r="M292" s="225" t="s">
        <v>1186</v>
      </c>
      <c r="N292" s="318">
        <v>3752</v>
      </c>
      <c r="O292" s="150">
        <f t="shared" si="4"/>
        <v>1</v>
      </c>
      <c r="P292" s="151"/>
      <c r="Q292" s="151"/>
    </row>
    <row r="293" spans="1:17" ht="20.100000000000001" customHeight="1">
      <c r="A293" s="141">
        <v>287</v>
      </c>
      <c r="B293" s="142" t="s">
        <v>1183</v>
      </c>
      <c r="C293" s="143" t="s">
        <v>1024</v>
      </c>
      <c r="D293" s="2792"/>
      <c r="E293" s="144"/>
      <c r="F293" s="144"/>
      <c r="G293" s="160"/>
      <c r="H293" s="144"/>
      <c r="I293" s="144"/>
      <c r="J293" s="145"/>
      <c r="K293" s="307">
        <v>1</v>
      </c>
      <c r="L293" s="409" t="s">
        <v>1187</v>
      </c>
      <c r="M293" s="225" t="s">
        <v>1188</v>
      </c>
      <c r="N293" s="108">
        <v>900</v>
      </c>
      <c r="O293" s="150">
        <f t="shared" si="4"/>
        <v>1</v>
      </c>
      <c r="P293" s="151"/>
      <c r="Q293" s="151"/>
    </row>
    <row r="294" spans="1:17" ht="20.100000000000001" hidden="1" customHeight="1">
      <c r="A294" s="141">
        <v>288</v>
      </c>
      <c r="B294" s="142" t="s">
        <v>1183</v>
      </c>
      <c r="C294" s="143" t="s">
        <v>1024</v>
      </c>
      <c r="D294" s="2793" t="s">
        <v>29</v>
      </c>
      <c r="E294" s="144"/>
      <c r="F294" s="144"/>
      <c r="G294" s="160"/>
      <c r="H294" s="144"/>
      <c r="I294" s="144"/>
      <c r="J294" s="145"/>
      <c r="K294" s="410"/>
      <c r="L294" s="411"/>
      <c r="M294" s="412" t="s">
        <v>1026</v>
      </c>
      <c r="N294" s="413"/>
      <c r="O294" s="150">
        <f t="shared" si="4"/>
        <v>0</v>
      </c>
      <c r="P294" s="151"/>
      <c r="Q294" s="151"/>
    </row>
    <row r="295" spans="1:17" ht="20.100000000000001" hidden="1" customHeight="1">
      <c r="A295" s="141">
        <v>289</v>
      </c>
      <c r="B295" s="142" t="s">
        <v>1183</v>
      </c>
      <c r="C295" s="143" t="s">
        <v>1024</v>
      </c>
      <c r="D295" s="2795"/>
      <c r="E295" s="144"/>
      <c r="F295" s="144"/>
      <c r="G295" s="160">
        <v>1</v>
      </c>
      <c r="H295" s="144"/>
      <c r="I295" s="144"/>
      <c r="J295" s="145"/>
      <c r="K295" s="307"/>
      <c r="L295" s="393"/>
      <c r="M295" s="246" t="s">
        <v>119</v>
      </c>
      <c r="N295" s="250">
        <v>-2700534.22</v>
      </c>
      <c r="O295" s="150">
        <f t="shared" si="4"/>
        <v>1</v>
      </c>
      <c r="P295" s="151"/>
      <c r="Q295" s="151"/>
    </row>
    <row r="296" spans="1:17" ht="20.100000000000001" hidden="1" customHeight="1">
      <c r="A296" s="141">
        <v>290</v>
      </c>
      <c r="B296" s="142" t="s">
        <v>1183</v>
      </c>
      <c r="C296" s="143" t="s">
        <v>1024</v>
      </c>
      <c r="D296" s="2795"/>
      <c r="E296" s="144"/>
      <c r="F296" s="144"/>
      <c r="G296" s="160">
        <v>1</v>
      </c>
      <c r="H296" s="144"/>
      <c r="I296" s="144"/>
      <c r="J296" s="145"/>
      <c r="K296" s="307"/>
      <c r="L296" s="393"/>
      <c r="M296" s="246" t="s">
        <v>49</v>
      </c>
      <c r="N296" s="250">
        <v>11309332.67</v>
      </c>
      <c r="O296" s="150">
        <f t="shared" si="4"/>
        <v>1</v>
      </c>
      <c r="P296" s="151"/>
      <c r="Q296" s="151"/>
    </row>
    <row r="297" spans="1:17" ht="20.100000000000001" hidden="1" customHeight="1">
      <c r="A297" s="141">
        <v>291</v>
      </c>
      <c r="B297" s="142" t="s">
        <v>1183</v>
      </c>
      <c r="C297" s="143" t="s">
        <v>1024</v>
      </c>
      <c r="D297" s="2795"/>
      <c r="E297" s="144"/>
      <c r="F297" s="144"/>
      <c r="G297" s="160">
        <v>1</v>
      </c>
      <c r="H297" s="144"/>
      <c r="I297" s="144"/>
      <c r="J297" s="145"/>
      <c r="K297" s="223"/>
      <c r="L297" s="414"/>
      <c r="M297" s="261" t="s">
        <v>32</v>
      </c>
      <c r="N297" s="108">
        <v>0.78</v>
      </c>
      <c r="O297" s="150">
        <f t="shared" si="4"/>
        <v>1</v>
      </c>
      <c r="P297" s="151"/>
      <c r="Q297" s="151"/>
    </row>
    <row r="298" spans="1:17" ht="20.100000000000001" hidden="1" customHeight="1">
      <c r="A298" s="141">
        <v>292</v>
      </c>
      <c r="B298" s="142" t="s">
        <v>1183</v>
      </c>
      <c r="C298" s="143" t="s">
        <v>1024</v>
      </c>
      <c r="D298" s="2795"/>
      <c r="E298" s="144"/>
      <c r="F298" s="144"/>
      <c r="G298" s="160">
        <v>1</v>
      </c>
      <c r="H298" s="144"/>
      <c r="I298" s="144"/>
      <c r="J298" s="145"/>
      <c r="K298" s="415"/>
      <c r="L298" s="416"/>
      <c r="M298" s="246" t="s">
        <v>207</v>
      </c>
      <c r="N298" s="267">
        <v>-43742.14</v>
      </c>
      <c r="O298" s="150">
        <f t="shared" si="4"/>
        <v>1</v>
      </c>
      <c r="P298" s="151"/>
      <c r="Q298" s="151"/>
    </row>
    <row r="299" spans="1:17" ht="20.100000000000001" hidden="1" customHeight="1">
      <c r="A299" s="141">
        <v>293</v>
      </c>
      <c r="B299" s="142" t="s">
        <v>1183</v>
      </c>
      <c r="C299" s="143" t="s">
        <v>1024</v>
      </c>
      <c r="D299" s="2795"/>
      <c r="E299" s="144"/>
      <c r="F299" s="144"/>
      <c r="G299" s="144"/>
      <c r="H299" s="144"/>
      <c r="I299" s="144"/>
      <c r="J299" s="145"/>
      <c r="K299" s="410"/>
      <c r="L299" s="411"/>
      <c r="M299" s="412" t="s">
        <v>1028</v>
      </c>
      <c r="N299" s="413"/>
      <c r="O299" s="150">
        <f t="shared" si="4"/>
        <v>0</v>
      </c>
      <c r="P299" s="151"/>
      <c r="Q299" s="151"/>
    </row>
    <row r="300" spans="1:17" ht="20.100000000000001" hidden="1" customHeight="1">
      <c r="A300" s="141">
        <v>294</v>
      </c>
      <c r="B300" s="142" t="s">
        <v>1183</v>
      </c>
      <c r="C300" s="143" t="s">
        <v>1024</v>
      </c>
      <c r="D300" s="2795"/>
      <c r="E300" s="144"/>
      <c r="F300" s="144"/>
      <c r="G300" s="160">
        <v>1</v>
      </c>
      <c r="H300" s="144"/>
      <c r="I300" s="144"/>
      <c r="J300" s="145"/>
      <c r="K300" s="417"/>
      <c r="L300" s="418"/>
      <c r="M300" s="261" t="s">
        <v>675</v>
      </c>
      <c r="N300" s="239">
        <v>10</v>
      </c>
      <c r="O300" s="150">
        <f t="shared" si="4"/>
        <v>1</v>
      </c>
      <c r="P300" s="151"/>
      <c r="Q300" s="151"/>
    </row>
    <row r="301" spans="1:17" ht="20.100000000000001" hidden="1" customHeight="1">
      <c r="A301" s="141">
        <v>295</v>
      </c>
      <c r="B301" s="142" t="s">
        <v>1183</v>
      </c>
      <c r="C301" s="143" t="s">
        <v>1024</v>
      </c>
      <c r="D301" s="2795"/>
      <c r="E301" s="144"/>
      <c r="F301" s="144"/>
      <c r="G301" s="160">
        <v>1</v>
      </c>
      <c r="H301" s="144"/>
      <c r="I301" s="144"/>
      <c r="J301" s="145"/>
      <c r="K301" s="417"/>
      <c r="L301" s="418"/>
      <c r="M301" s="261" t="s">
        <v>1069</v>
      </c>
      <c r="N301" s="239">
        <v>50</v>
      </c>
      <c r="O301" s="150">
        <f t="shared" si="4"/>
        <v>1</v>
      </c>
      <c r="P301" s="151"/>
      <c r="Q301" s="151"/>
    </row>
    <row r="302" spans="1:17" ht="20.100000000000001" customHeight="1">
      <c r="A302" s="141">
        <v>296</v>
      </c>
      <c r="B302" s="142" t="s">
        <v>1183</v>
      </c>
      <c r="C302" s="143" t="s">
        <v>1024</v>
      </c>
      <c r="D302" s="2794"/>
      <c r="E302" s="144"/>
      <c r="F302" s="144"/>
      <c r="G302" s="144"/>
      <c r="H302" s="144"/>
      <c r="I302" s="144"/>
      <c r="J302" s="145"/>
      <c r="K302" s="417">
        <v>1</v>
      </c>
      <c r="L302" s="418"/>
      <c r="M302" s="261" t="s">
        <v>1189</v>
      </c>
      <c r="N302" s="239">
        <v>46904.63</v>
      </c>
      <c r="O302" s="150">
        <f t="shared" si="4"/>
        <v>1</v>
      </c>
      <c r="P302" s="151"/>
      <c r="Q302" s="151"/>
    </row>
    <row r="303" spans="1:17" ht="20.100000000000001" hidden="1" customHeight="1">
      <c r="A303" s="141">
        <v>297</v>
      </c>
      <c r="B303" s="142" t="s">
        <v>1183</v>
      </c>
      <c r="C303" s="143" t="s">
        <v>1024</v>
      </c>
      <c r="D303" s="2793" t="s">
        <v>1105</v>
      </c>
      <c r="E303" s="144"/>
      <c r="F303" s="144"/>
      <c r="G303" s="144"/>
      <c r="H303" s="160"/>
      <c r="I303" s="144"/>
      <c r="J303" s="145"/>
      <c r="K303" s="410"/>
      <c r="L303" s="411"/>
      <c r="M303" s="412" t="s">
        <v>1029</v>
      </c>
      <c r="N303" s="413"/>
      <c r="O303" s="150">
        <f t="shared" si="4"/>
        <v>0</v>
      </c>
      <c r="P303" s="151"/>
      <c r="Q303" s="151"/>
    </row>
    <row r="304" spans="1:17" ht="20.100000000000001" customHeight="1">
      <c r="A304" s="141">
        <v>298</v>
      </c>
      <c r="B304" s="142" t="s">
        <v>1183</v>
      </c>
      <c r="C304" s="143" t="s">
        <v>1024</v>
      </c>
      <c r="D304" s="2794"/>
      <c r="E304" s="144"/>
      <c r="F304" s="144"/>
      <c r="G304" s="144"/>
      <c r="H304" s="144"/>
      <c r="I304" s="160"/>
      <c r="J304" s="145"/>
      <c r="K304" s="417">
        <v>4</v>
      </c>
      <c r="L304" s="419"/>
      <c r="M304" s="420" t="s">
        <v>1105</v>
      </c>
      <c r="N304" s="296">
        <v>200867.5</v>
      </c>
      <c r="O304" s="150">
        <f t="shared" si="4"/>
        <v>4</v>
      </c>
      <c r="P304" s="151"/>
      <c r="Q304" s="151"/>
    </row>
    <row r="305" spans="1:17" ht="20.100000000000001" hidden="1" customHeight="1">
      <c r="A305" s="141">
        <v>299</v>
      </c>
      <c r="B305" s="142" t="s">
        <v>1183</v>
      </c>
      <c r="C305" s="143" t="s">
        <v>1024</v>
      </c>
      <c r="D305" s="182"/>
      <c r="E305" s="144"/>
      <c r="F305" s="144"/>
      <c r="G305" s="144"/>
      <c r="H305" s="144"/>
      <c r="I305" s="144"/>
      <c r="J305" s="145"/>
      <c r="K305" s="410"/>
      <c r="L305" s="411"/>
      <c r="M305" s="412" t="s">
        <v>1078</v>
      </c>
      <c r="N305" s="413"/>
      <c r="O305" s="150">
        <f t="shared" si="4"/>
        <v>0</v>
      </c>
      <c r="P305" s="151"/>
      <c r="Q305" s="151"/>
    </row>
    <row r="306" spans="1:17" ht="20.100000000000001" hidden="1" customHeight="1">
      <c r="A306" s="141">
        <v>300</v>
      </c>
      <c r="B306" s="142" t="s">
        <v>1183</v>
      </c>
      <c r="C306" s="143" t="s">
        <v>1024</v>
      </c>
      <c r="D306" s="2793" t="s">
        <v>33</v>
      </c>
      <c r="E306" s="144"/>
      <c r="F306" s="160"/>
      <c r="G306" s="144"/>
      <c r="H306" s="144">
        <v>235</v>
      </c>
      <c r="I306" s="144"/>
      <c r="J306" s="145"/>
      <c r="K306" s="421"/>
      <c r="L306" s="419"/>
      <c r="M306" s="231" t="s">
        <v>34</v>
      </c>
      <c r="N306" s="222">
        <v>0</v>
      </c>
      <c r="O306" s="150">
        <f t="shared" si="4"/>
        <v>235</v>
      </c>
      <c r="P306" s="151"/>
      <c r="Q306" s="151"/>
    </row>
    <row r="307" spans="1:17" ht="20.100000000000001" hidden="1" customHeight="1">
      <c r="A307" s="141">
        <v>301</v>
      </c>
      <c r="B307" s="142" t="s">
        <v>1183</v>
      </c>
      <c r="C307" s="143" t="s">
        <v>1024</v>
      </c>
      <c r="D307" s="2794"/>
      <c r="E307" s="144"/>
      <c r="F307" s="144"/>
      <c r="G307" s="144"/>
      <c r="H307" s="144"/>
      <c r="I307" s="144">
        <v>3296</v>
      </c>
      <c r="J307" s="145"/>
      <c r="K307" s="422"/>
      <c r="L307" s="393"/>
      <c r="M307" s="231" t="s">
        <v>35</v>
      </c>
      <c r="N307" s="423">
        <v>2613424.2000000002</v>
      </c>
      <c r="O307" s="150">
        <f t="shared" si="4"/>
        <v>3296</v>
      </c>
      <c r="P307" s="151"/>
      <c r="Q307" s="151"/>
    </row>
    <row r="308" spans="1:17" ht="20.100000000000001" customHeight="1">
      <c r="A308" s="141">
        <v>302</v>
      </c>
      <c r="B308" s="142" t="s">
        <v>1183</v>
      </c>
      <c r="C308" s="143" t="s">
        <v>1024</v>
      </c>
      <c r="D308" s="2792" t="s">
        <v>1190</v>
      </c>
      <c r="E308" s="144"/>
      <c r="F308" s="144"/>
      <c r="G308" s="144"/>
      <c r="H308" s="144"/>
      <c r="I308" s="144"/>
      <c r="J308" s="145"/>
      <c r="K308" s="307">
        <v>5</v>
      </c>
      <c r="L308" s="393"/>
      <c r="M308" s="231" t="s">
        <v>196</v>
      </c>
      <c r="N308" s="222">
        <v>0</v>
      </c>
      <c r="O308" s="150">
        <f t="shared" si="4"/>
        <v>5</v>
      </c>
      <c r="P308" s="151">
        <v>5</v>
      </c>
      <c r="Q308" s="151"/>
    </row>
    <row r="309" spans="1:17" ht="20.100000000000001" hidden="1" customHeight="1">
      <c r="A309" s="141">
        <v>303</v>
      </c>
      <c r="B309" s="142" t="s">
        <v>1183</v>
      </c>
      <c r="C309" s="143" t="s">
        <v>1024</v>
      </c>
      <c r="D309" s="182" t="s">
        <v>36</v>
      </c>
      <c r="E309" s="144"/>
      <c r="F309" s="144">
        <v>211</v>
      </c>
      <c r="G309" s="160"/>
      <c r="H309" s="144"/>
      <c r="I309" s="144"/>
      <c r="J309" s="145"/>
      <c r="K309" s="307"/>
      <c r="L309" s="393"/>
      <c r="M309" s="231" t="s">
        <v>1191</v>
      </c>
      <c r="N309" s="250">
        <v>211</v>
      </c>
      <c r="O309" s="150">
        <f t="shared" si="4"/>
        <v>211</v>
      </c>
      <c r="P309" s="151"/>
      <c r="Q309" s="151"/>
    </row>
    <row r="310" spans="1:17" ht="20.100000000000001" customHeight="1">
      <c r="A310" s="141">
        <v>304</v>
      </c>
      <c r="B310" s="142" t="s">
        <v>1192</v>
      </c>
      <c r="C310" s="143" t="s">
        <v>1024</v>
      </c>
      <c r="D310" s="182" t="s">
        <v>1132</v>
      </c>
      <c r="E310" s="144"/>
      <c r="F310" s="144"/>
      <c r="G310" s="160"/>
      <c r="H310" s="144"/>
      <c r="I310" s="144"/>
      <c r="J310" s="145"/>
      <c r="K310" s="424">
        <v>1</v>
      </c>
      <c r="L310" s="425"/>
      <c r="M310" s="426" t="s">
        <v>1193</v>
      </c>
      <c r="N310" s="107">
        <v>-40047.14</v>
      </c>
      <c r="O310" s="150">
        <f t="shared" si="4"/>
        <v>1</v>
      </c>
      <c r="P310" s="151"/>
      <c r="Q310" s="151"/>
    </row>
    <row r="311" spans="1:17" ht="20.100000000000001" hidden="1" customHeight="1">
      <c r="A311" s="141">
        <v>305</v>
      </c>
      <c r="B311" s="142" t="s">
        <v>1192</v>
      </c>
      <c r="C311" s="143" t="s">
        <v>1024</v>
      </c>
      <c r="D311" s="2793" t="s">
        <v>29</v>
      </c>
      <c r="E311" s="144"/>
      <c r="F311" s="144"/>
      <c r="G311" s="160"/>
      <c r="H311" s="144"/>
      <c r="I311" s="144"/>
      <c r="J311" s="145"/>
      <c r="K311" s="427"/>
      <c r="L311" s="428"/>
      <c r="M311" s="429" t="s">
        <v>1026</v>
      </c>
      <c r="N311" s="430"/>
      <c r="O311" s="150">
        <f t="shared" si="4"/>
        <v>0</v>
      </c>
      <c r="P311" s="151"/>
      <c r="Q311" s="151"/>
    </row>
    <row r="312" spans="1:17" ht="20.100000000000001" hidden="1" customHeight="1">
      <c r="A312" s="141">
        <v>306</v>
      </c>
      <c r="B312" s="142" t="s">
        <v>1192</v>
      </c>
      <c r="C312" s="143" t="s">
        <v>1024</v>
      </c>
      <c r="D312" s="2795"/>
      <c r="E312" s="144"/>
      <c r="F312" s="144"/>
      <c r="G312" s="160">
        <v>1</v>
      </c>
      <c r="H312" s="144"/>
      <c r="I312" s="144"/>
      <c r="J312" s="145"/>
      <c r="K312" s="431"/>
      <c r="L312" s="432"/>
      <c r="M312" s="321" t="s">
        <v>119</v>
      </c>
      <c r="N312" s="433">
        <v>-1752818.17</v>
      </c>
      <c r="O312" s="150">
        <f t="shared" si="4"/>
        <v>1</v>
      </c>
      <c r="P312" s="151"/>
      <c r="Q312" s="151"/>
    </row>
    <row r="313" spans="1:17" ht="20.100000000000001" hidden="1" customHeight="1">
      <c r="A313" s="141">
        <v>307</v>
      </c>
      <c r="B313" s="142" t="s">
        <v>1192</v>
      </c>
      <c r="C313" s="143" t="s">
        <v>1024</v>
      </c>
      <c r="D313" s="2795"/>
      <c r="E313" s="144"/>
      <c r="F313" s="144"/>
      <c r="G313" s="160">
        <v>1</v>
      </c>
      <c r="H313" s="144"/>
      <c r="I313" s="144"/>
      <c r="J313" s="145"/>
      <c r="K313" s="431"/>
      <c r="L313" s="432"/>
      <c r="M313" s="321" t="s">
        <v>49</v>
      </c>
      <c r="N313" s="434">
        <v>-147652.01999999999</v>
      </c>
      <c r="O313" s="150">
        <f t="shared" si="4"/>
        <v>1</v>
      </c>
      <c r="P313" s="151"/>
      <c r="Q313" s="151"/>
    </row>
    <row r="314" spans="1:17" ht="20.100000000000001" hidden="1" customHeight="1">
      <c r="A314" s="141">
        <v>308</v>
      </c>
      <c r="B314" s="142" t="s">
        <v>1192</v>
      </c>
      <c r="C314" s="143" t="s">
        <v>1024</v>
      </c>
      <c r="D314" s="2795"/>
      <c r="E314" s="144"/>
      <c r="F314" s="144"/>
      <c r="G314" s="160">
        <v>1</v>
      </c>
      <c r="H314" s="144"/>
      <c r="I314" s="144"/>
      <c r="J314" s="145"/>
      <c r="K314" s="431"/>
      <c r="L314" s="432"/>
      <c r="M314" s="321" t="s">
        <v>32</v>
      </c>
      <c r="N314" s="434">
        <v>0.13</v>
      </c>
      <c r="O314" s="150">
        <f t="shared" si="4"/>
        <v>1</v>
      </c>
      <c r="P314" s="151"/>
      <c r="Q314" s="151"/>
    </row>
    <row r="315" spans="1:17" ht="20.100000000000001" hidden="1" customHeight="1">
      <c r="A315" s="141">
        <v>309</v>
      </c>
      <c r="B315" s="142" t="s">
        <v>1192</v>
      </c>
      <c r="C315" s="143" t="s">
        <v>1024</v>
      </c>
      <c r="D315" s="2795"/>
      <c r="E315" s="144"/>
      <c r="F315" s="144"/>
      <c r="G315" s="160">
        <v>1</v>
      </c>
      <c r="H315" s="144"/>
      <c r="I315" s="144"/>
      <c r="J315" s="145"/>
      <c r="K315" s="435"/>
      <c r="L315" s="436"/>
      <c r="M315" s="321" t="s">
        <v>207</v>
      </c>
      <c r="N315" s="437">
        <v>-104167.59</v>
      </c>
      <c r="O315" s="150">
        <f t="shared" si="4"/>
        <v>1</v>
      </c>
      <c r="P315" s="151"/>
      <c r="Q315" s="151"/>
    </row>
    <row r="316" spans="1:17" ht="20.100000000000001" customHeight="1">
      <c r="A316" s="141">
        <v>310</v>
      </c>
      <c r="B316" s="142" t="s">
        <v>1192</v>
      </c>
      <c r="C316" s="143" t="s">
        <v>1024</v>
      </c>
      <c r="D316" s="2795"/>
      <c r="E316" s="438"/>
      <c r="F316" s="144"/>
      <c r="G316" s="144"/>
      <c r="H316" s="144"/>
      <c r="I316" s="144"/>
      <c r="J316" s="145"/>
      <c r="K316" s="439">
        <v>1</v>
      </c>
      <c r="L316" s="440"/>
      <c r="M316" s="441" t="s">
        <v>1194</v>
      </c>
      <c r="N316" s="442">
        <v>1974400.05</v>
      </c>
      <c r="O316" s="150">
        <f t="shared" si="4"/>
        <v>1</v>
      </c>
      <c r="P316" s="151"/>
      <c r="Q316" s="151"/>
    </row>
    <row r="317" spans="1:17" ht="20.100000000000001" hidden="1" customHeight="1">
      <c r="A317" s="141">
        <v>311</v>
      </c>
      <c r="B317" s="142" t="s">
        <v>1192</v>
      </c>
      <c r="C317" s="143" t="s">
        <v>1024</v>
      </c>
      <c r="D317" s="2795"/>
      <c r="E317" s="144"/>
      <c r="F317" s="144"/>
      <c r="G317" s="144"/>
      <c r="H317" s="160"/>
      <c r="I317" s="144"/>
      <c r="J317" s="145"/>
      <c r="K317" s="427"/>
      <c r="L317" s="428"/>
      <c r="M317" s="429" t="s">
        <v>1028</v>
      </c>
      <c r="N317" s="430"/>
      <c r="O317" s="150">
        <f t="shared" si="4"/>
        <v>0</v>
      </c>
      <c r="P317" s="151"/>
      <c r="Q317" s="151"/>
    </row>
    <row r="318" spans="1:17" ht="20.100000000000001" hidden="1" customHeight="1">
      <c r="A318" s="141">
        <v>312</v>
      </c>
      <c r="B318" s="142" t="s">
        <v>1192</v>
      </c>
      <c r="C318" s="143" t="s">
        <v>1024</v>
      </c>
      <c r="D318" s="2795"/>
      <c r="E318" s="144"/>
      <c r="F318" s="144"/>
      <c r="G318" s="160">
        <v>1</v>
      </c>
      <c r="H318" s="144"/>
      <c r="I318" s="160"/>
      <c r="J318" s="145"/>
      <c r="K318" s="439"/>
      <c r="L318" s="440"/>
      <c r="M318" s="443" t="s">
        <v>1195</v>
      </c>
      <c r="N318" s="442">
        <v>26</v>
      </c>
      <c r="O318" s="150">
        <f t="shared" si="4"/>
        <v>1</v>
      </c>
      <c r="P318" s="151"/>
      <c r="Q318" s="151"/>
    </row>
    <row r="319" spans="1:17" ht="20.100000000000001" hidden="1" customHeight="1">
      <c r="A319" s="141">
        <v>313</v>
      </c>
      <c r="B319" s="142" t="s">
        <v>1192</v>
      </c>
      <c r="C319" s="143" t="s">
        <v>1024</v>
      </c>
      <c r="D319" s="2795"/>
      <c r="E319" s="144"/>
      <c r="F319" s="160"/>
      <c r="G319" s="160">
        <v>1</v>
      </c>
      <c r="H319" s="144"/>
      <c r="I319" s="144"/>
      <c r="J319" s="145"/>
      <c r="K319" s="439"/>
      <c r="L319" s="440"/>
      <c r="M319" s="443" t="s">
        <v>1098</v>
      </c>
      <c r="N319" s="442">
        <v>26</v>
      </c>
      <c r="O319" s="150">
        <f t="shared" si="4"/>
        <v>1</v>
      </c>
      <c r="P319" s="151"/>
      <c r="Q319" s="151"/>
    </row>
    <row r="320" spans="1:17" ht="20.100000000000001" hidden="1" customHeight="1">
      <c r="A320" s="141">
        <v>314</v>
      </c>
      <c r="B320" s="142" t="s">
        <v>1192</v>
      </c>
      <c r="C320" s="143" t="s">
        <v>1024</v>
      </c>
      <c r="D320" s="2795"/>
      <c r="E320" s="160"/>
      <c r="F320" s="144"/>
      <c r="G320" s="144"/>
      <c r="H320" s="144"/>
      <c r="I320" s="144"/>
      <c r="J320" s="145"/>
      <c r="K320" s="427"/>
      <c r="L320" s="428"/>
      <c r="M320" s="429" t="s">
        <v>1029</v>
      </c>
      <c r="N320" s="430"/>
      <c r="O320" s="150">
        <f t="shared" si="4"/>
        <v>0</v>
      </c>
      <c r="P320" s="151"/>
      <c r="Q320" s="151"/>
    </row>
    <row r="321" spans="1:17" ht="20.100000000000001" customHeight="1">
      <c r="A321" s="141">
        <v>315</v>
      </c>
      <c r="B321" s="142" t="s">
        <v>1192</v>
      </c>
      <c r="C321" s="143" t="s">
        <v>1024</v>
      </c>
      <c r="D321" s="2794"/>
      <c r="E321" s="144"/>
      <c r="F321" s="144"/>
      <c r="G321" s="144"/>
      <c r="H321" s="144"/>
      <c r="I321" s="144"/>
      <c r="J321" s="145"/>
      <c r="K321" s="439">
        <v>1</v>
      </c>
      <c r="L321" s="440"/>
      <c r="M321" s="444" t="s">
        <v>1196</v>
      </c>
      <c r="N321" s="107">
        <v>-1300</v>
      </c>
      <c r="O321" s="150">
        <f t="shared" si="4"/>
        <v>1</v>
      </c>
      <c r="P321" s="256"/>
      <c r="Q321" s="256"/>
    </row>
    <row r="322" spans="1:17" ht="20.100000000000001" customHeight="1">
      <c r="A322" s="141">
        <v>316</v>
      </c>
      <c r="B322" s="142" t="s">
        <v>1192</v>
      </c>
      <c r="C322" s="143" t="s">
        <v>1024</v>
      </c>
      <c r="D322" s="182"/>
      <c r="E322" s="144"/>
      <c r="F322" s="144"/>
      <c r="G322" s="160"/>
      <c r="H322" s="144"/>
      <c r="I322" s="144"/>
      <c r="J322" s="145"/>
      <c r="K322" s="445">
        <v>109</v>
      </c>
      <c r="L322" s="436"/>
      <c r="M322" s="446" t="s">
        <v>1197</v>
      </c>
      <c r="N322" s="447">
        <v>0</v>
      </c>
      <c r="O322" s="150">
        <f t="shared" si="4"/>
        <v>109</v>
      </c>
      <c r="P322" s="256"/>
      <c r="Q322" s="256"/>
    </row>
    <row r="323" spans="1:17" ht="20.100000000000001" hidden="1" customHeight="1">
      <c r="A323" s="141">
        <v>317</v>
      </c>
      <c r="B323" s="142" t="s">
        <v>1192</v>
      </c>
      <c r="C323" s="143" t="s">
        <v>1024</v>
      </c>
      <c r="D323" s="2793" t="s">
        <v>33</v>
      </c>
      <c r="E323" s="144"/>
      <c r="F323" s="144"/>
      <c r="G323" s="160"/>
      <c r="H323" s="144">
        <v>420</v>
      </c>
      <c r="I323" s="144"/>
      <c r="J323" s="145"/>
      <c r="K323" s="439"/>
      <c r="L323" s="436"/>
      <c r="M323" s="446" t="s">
        <v>34</v>
      </c>
      <c r="N323" s="448">
        <v>0</v>
      </c>
      <c r="O323" s="150">
        <f t="shared" si="4"/>
        <v>420</v>
      </c>
      <c r="P323" s="256"/>
      <c r="Q323" s="256"/>
    </row>
    <row r="324" spans="1:17" ht="20.100000000000001" hidden="1" customHeight="1">
      <c r="A324" s="141">
        <v>318</v>
      </c>
      <c r="B324" s="142" t="s">
        <v>1192</v>
      </c>
      <c r="C324" s="143" t="s">
        <v>1024</v>
      </c>
      <c r="D324" s="2794"/>
      <c r="E324" s="144"/>
      <c r="F324" s="144"/>
      <c r="G324" s="160"/>
      <c r="H324" s="144"/>
      <c r="I324" s="144">
        <v>2576</v>
      </c>
      <c r="J324" s="145"/>
      <c r="K324" s="424"/>
      <c r="L324" s="432"/>
      <c r="M324" s="446" t="s">
        <v>35</v>
      </c>
      <c r="N324" s="449">
        <v>836758.87</v>
      </c>
      <c r="O324" s="150">
        <f t="shared" si="4"/>
        <v>2576</v>
      </c>
      <c r="P324" s="256"/>
      <c r="Q324" s="256"/>
    </row>
    <row r="325" spans="1:17" ht="20.100000000000001" hidden="1" customHeight="1">
      <c r="A325" s="141">
        <v>319</v>
      </c>
      <c r="B325" s="142" t="s">
        <v>1192</v>
      </c>
      <c r="C325" s="143" t="s">
        <v>1024</v>
      </c>
      <c r="D325" s="2793" t="s">
        <v>36</v>
      </c>
      <c r="E325" s="144"/>
      <c r="F325" s="144">
        <v>197</v>
      </c>
      <c r="G325" s="160"/>
      <c r="H325" s="144"/>
      <c r="I325" s="144"/>
      <c r="J325" s="145"/>
      <c r="K325" s="424"/>
      <c r="L325" s="425"/>
      <c r="M325" s="161" t="s">
        <v>1198</v>
      </c>
      <c r="N325" s="107">
        <v>0</v>
      </c>
      <c r="O325" s="150">
        <f t="shared" si="4"/>
        <v>197</v>
      </c>
      <c r="P325" s="256"/>
      <c r="Q325" s="256"/>
    </row>
    <row r="326" spans="1:17" ht="20.100000000000001" hidden="1" customHeight="1">
      <c r="A326" s="141">
        <v>320</v>
      </c>
      <c r="B326" s="142" t="s">
        <v>1192</v>
      </c>
      <c r="C326" s="143" t="s">
        <v>1024</v>
      </c>
      <c r="D326" s="2792"/>
      <c r="E326" s="144">
        <v>8</v>
      </c>
      <c r="F326" s="144"/>
      <c r="G326" s="160"/>
      <c r="H326" s="144"/>
      <c r="I326" s="144"/>
      <c r="J326" s="145"/>
      <c r="K326" s="450"/>
      <c r="L326" s="451"/>
      <c r="M326" s="333" t="s">
        <v>1199</v>
      </c>
      <c r="N326" s="452">
        <v>0</v>
      </c>
      <c r="O326" s="150">
        <f t="shared" si="4"/>
        <v>8</v>
      </c>
      <c r="P326" s="256"/>
      <c r="Q326" s="256"/>
    </row>
    <row r="327" spans="1:17" ht="20.100000000000001" hidden="1" customHeight="1">
      <c r="A327" s="141">
        <v>321</v>
      </c>
      <c r="B327" s="142" t="s">
        <v>1200</v>
      </c>
      <c r="C327" s="143" t="s">
        <v>1024</v>
      </c>
      <c r="D327" s="2793" t="s">
        <v>29</v>
      </c>
      <c r="E327" s="144"/>
      <c r="F327" s="144"/>
      <c r="G327" s="144"/>
      <c r="H327" s="144"/>
      <c r="I327" s="144"/>
      <c r="J327" s="145"/>
      <c r="K327" s="453"/>
      <c r="L327" s="454"/>
      <c r="M327" s="455" t="s">
        <v>1026</v>
      </c>
      <c r="N327" s="456"/>
      <c r="O327" s="150">
        <f t="shared" si="4"/>
        <v>0</v>
      </c>
      <c r="P327" s="256"/>
      <c r="Q327" s="256"/>
    </row>
    <row r="328" spans="1:17" ht="20.100000000000001" hidden="1" customHeight="1">
      <c r="A328" s="141">
        <v>322</v>
      </c>
      <c r="B328" s="142" t="s">
        <v>1200</v>
      </c>
      <c r="C328" s="143" t="s">
        <v>1024</v>
      </c>
      <c r="D328" s="2795"/>
      <c r="E328" s="144"/>
      <c r="F328" s="144"/>
      <c r="G328" s="160">
        <v>1</v>
      </c>
      <c r="H328" s="144"/>
      <c r="I328" s="144"/>
      <c r="J328" s="145"/>
      <c r="K328" s="152"/>
      <c r="L328" s="153"/>
      <c r="M328" s="161" t="s">
        <v>119</v>
      </c>
      <c r="N328" s="155">
        <v>-1750802.51</v>
      </c>
      <c r="O328" s="150">
        <f t="shared" si="4"/>
        <v>1</v>
      </c>
      <c r="P328" s="256"/>
      <c r="Q328" s="256"/>
    </row>
    <row r="329" spans="1:17" ht="20.100000000000001" hidden="1" customHeight="1">
      <c r="A329" s="141">
        <v>323</v>
      </c>
      <c r="B329" s="142" t="s">
        <v>1200</v>
      </c>
      <c r="C329" s="143" t="s">
        <v>1024</v>
      </c>
      <c r="D329" s="2795"/>
      <c r="E329" s="144"/>
      <c r="F329" s="144"/>
      <c r="G329" s="160">
        <v>1</v>
      </c>
      <c r="H329" s="144"/>
      <c r="I329" s="144"/>
      <c r="J329" s="145"/>
      <c r="K329" s="152"/>
      <c r="L329" s="153"/>
      <c r="M329" s="161" t="s">
        <v>49</v>
      </c>
      <c r="N329" s="102">
        <v>-5098164.99</v>
      </c>
      <c r="O329" s="150">
        <f t="shared" ref="O329:O392" si="5">E329+F329+G329+H329+I329+J329+K329</f>
        <v>1</v>
      </c>
      <c r="P329" s="256"/>
      <c r="Q329" s="256"/>
    </row>
    <row r="330" spans="1:17" ht="20.100000000000001" hidden="1" customHeight="1">
      <c r="A330" s="141">
        <v>324</v>
      </c>
      <c r="B330" s="142" t="s">
        <v>1200</v>
      </c>
      <c r="C330" s="143" t="s">
        <v>1024</v>
      </c>
      <c r="D330" s="2795"/>
      <c r="E330" s="144"/>
      <c r="F330" s="144"/>
      <c r="G330" s="160">
        <v>1</v>
      </c>
      <c r="H330" s="144"/>
      <c r="I330" s="144"/>
      <c r="J330" s="145"/>
      <c r="K330" s="152"/>
      <c r="L330" s="153"/>
      <c r="M330" s="161" t="s">
        <v>32</v>
      </c>
      <c r="N330" s="181">
        <v>0.21</v>
      </c>
      <c r="O330" s="150">
        <f t="shared" si="5"/>
        <v>1</v>
      </c>
      <c r="P330" s="256"/>
      <c r="Q330" s="256"/>
    </row>
    <row r="331" spans="1:17" ht="20.100000000000001" hidden="1" customHeight="1">
      <c r="A331" s="141">
        <v>325</v>
      </c>
      <c r="B331" s="142" t="s">
        <v>1200</v>
      </c>
      <c r="C331" s="143" t="s">
        <v>1024</v>
      </c>
      <c r="D331" s="2795"/>
      <c r="E331" s="144"/>
      <c r="F331" s="144"/>
      <c r="G331" s="160">
        <v>1</v>
      </c>
      <c r="H331" s="144"/>
      <c r="I331" s="144"/>
      <c r="J331" s="145"/>
      <c r="K331" s="178"/>
      <c r="L331" s="179"/>
      <c r="M331" s="161" t="s">
        <v>1027</v>
      </c>
      <c r="N331" s="186">
        <v>17947.87</v>
      </c>
      <c r="O331" s="150">
        <f t="shared" si="5"/>
        <v>1</v>
      </c>
      <c r="P331" s="256"/>
      <c r="Q331" s="256"/>
    </row>
    <row r="332" spans="1:17" ht="20.100000000000001" hidden="1" customHeight="1">
      <c r="A332" s="141">
        <v>326</v>
      </c>
      <c r="B332" s="142" t="s">
        <v>1200</v>
      </c>
      <c r="C332" s="143" t="s">
        <v>1024</v>
      </c>
      <c r="D332" s="2795"/>
      <c r="E332" s="144"/>
      <c r="F332" s="144"/>
      <c r="G332" s="160">
        <v>1</v>
      </c>
      <c r="H332" s="144"/>
      <c r="I332" s="144"/>
      <c r="J332" s="145"/>
      <c r="K332" s="172"/>
      <c r="L332" s="173"/>
      <c r="M332" s="333" t="s">
        <v>50</v>
      </c>
      <c r="N332" s="457">
        <v>50.57</v>
      </c>
      <c r="O332" s="150">
        <f t="shared" si="5"/>
        <v>1</v>
      </c>
      <c r="P332" s="256"/>
      <c r="Q332" s="256"/>
    </row>
    <row r="333" spans="1:17" ht="20.100000000000001" hidden="1" customHeight="1">
      <c r="A333" s="141">
        <v>327</v>
      </c>
      <c r="B333" s="142" t="s">
        <v>1200</v>
      </c>
      <c r="C333" s="143" t="s">
        <v>1024</v>
      </c>
      <c r="D333" s="2795"/>
      <c r="E333" s="144"/>
      <c r="F333" s="144"/>
      <c r="G333" s="144"/>
      <c r="H333" s="144"/>
      <c r="I333" s="144"/>
      <c r="J333" s="145"/>
      <c r="K333" s="458"/>
      <c r="L333" s="459"/>
      <c r="M333" s="460" t="s">
        <v>1029</v>
      </c>
      <c r="N333" s="461"/>
      <c r="O333" s="150">
        <f t="shared" si="5"/>
        <v>0</v>
      </c>
      <c r="P333" s="256"/>
      <c r="Q333" s="256"/>
    </row>
    <row r="334" spans="1:17" ht="20.100000000000001" customHeight="1">
      <c r="A334" s="141">
        <v>328</v>
      </c>
      <c r="B334" s="142" t="s">
        <v>1200</v>
      </c>
      <c r="C334" s="143" t="s">
        <v>1024</v>
      </c>
      <c r="D334" s="2795"/>
      <c r="E334" s="144"/>
      <c r="F334" s="144"/>
      <c r="G334" s="144"/>
      <c r="H334" s="160"/>
      <c r="I334" s="144"/>
      <c r="J334" s="145"/>
      <c r="K334" s="178">
        <v>1</v>
      </c>
      <c r="L334" s="179"/>
      <c r="M334" s="462" t="s">
        <v>1201</v>
      </c>
      <c r="N334" s="463">
        <v>17300</v>
      </c>
      <c r="O334" s="150">
        <f t="shared" si="5"/>
        <v>1</v>
      </c>
      <c r="P334" s="256"/>
      <c r="Q334" s="256"/>
    </row>
    <row r="335" spans="1:17" ht="20.100000000000001" hidden="1" customHeight="1">
      <c r="A335" s="141">
        <v>329</v>
      </c>
      <c r="B335" s="142" t="s">
        <v>1200</v>
      </c>
      <c r="C335" s="143" t="s">
        <v>1024</v>
      </c>
      <c r="D335" s="2794"/>
      <c r="E335" s="144"/>
      <c r="F335" s="144"/>
      <c r="G335" s="144"/>
      <c r="H335" s="144"/>
      <c r="I335" s="160"/>
      <c r="J335" s="145"/>
      <c r="K335" s="464"/>
      <c r="L335" s="459"/>
      <c r="M335" s="465" t="s">
        <v>1078</v>
      </c>
      <c r="N335" s="325"/>
      <c r="O335" s="150">
        <f t="shared" si="5"/>
        <v>0</v>
      </c>
      <c r="P335" s="256"/>
      <c r="Q335" s="256"/>
    </row>
    <row r="336" spans="1:17" ht="20.100000000000001" hidden="1" customHeight="1">
      <c r="A336" s="141">
        <v>330</v>
      </c>
      <c r="B336" s="142" t="s">
        <v>1200</v>
      </c>
      <c r="C336" s="143" t="s">
        <v>1024</v>
      </c>
      <c r="D336" s="2793" t="s">
        <v>33</v>
      </c>
      <c r="E336" s="144"/>
      <c r="F336" s="144"/>
      <c r="G336" s="144"/>
      <c r="H336" s="144">
        <v>124</v>
      </c>
      <c r="I336" s="144"/>
      <c r="J336" s="145"/>
      <c r="K336" s="178"/>
      <c r="L336" s="179"/>
      <c r="M336" s="377" t="s">
        <v>34</v>
      </c>
      <c r="N336" s="186">
        <v>0</v>
      </c>
      <c r="O336" s="150">
        <f t="shared" si="5"/>
        <v>124</v>
      </c>
      <c r="P336" s="256"/>
      <c r="Q336" s="256"/>
    </row>
    <row r="337" spans="1:17" ht="20.100000000000001" hidden="1" customHeight="1">
      <c r="A337" s="141">
        <v>331</v>
      </c>
      <c r="B337" s="142" t="s">
        <v>1200</v>
      </c>
      <c r="C337" s="143" t="s">
        <v>1024</v>
      </c>
      <c r="D337" s="2794"/>
      <c r="E337" s="144"/>
      <c r="F337" s="160"/>
      <c r="G337" s="144"/>
      <c r="H337" s="144"/>
      <c r="I337" s="144">
        <v>1344</v>
      </c>
      <c r="J337" s="145"/>
      <c r="K337" s="152"/>
      <c r="L337" s="153"/>
      <c r="M337" s="377" t="s">
        <v>35</v>
      </c>
      <c r="N337" s="466">
        <v>1755192.23</v>
      </c>
      <c r="O337" s="150">
        <f t="shared" si="5"/>
        <v>1344</v>
      </c>
      <c r="P337" s="256"/>
      <c r="Q337" s="256"/>
    </row>
    <row r="338" spans="1:17" ht="20.100000000000001" customHeight="1">
      <c r="A338" s="141">
        <v>332</v>
      </c>
      <c r="B338" s="142" t="s">
        <v>1200</v>
      </c>
      <c r="C338" s="143" t="s">
        <v>1024</v>
      </c>
      <c r="D338" s="182" t="s">
        <v>1202</v>
      </c>
      <c r="E338" s="160"/>
      <c r="F338" s="144"/>
      <c r="G338" s="144"/>
      <c r="H338" s="144"/>
      <c r="I338" s="144"/>
      <c r="J338" s="145"/>
      <c r="K338" s="152">
        <v>3</v>
      </c>
      <c r="L338" s="153"/>
      <c r="M338" s="467" t="s">
        <v>196</v>
      </c>
      <c r="N338" s="155">
        <v>0</v>
      </c>
      <c r="O338" s="150">
        <f t="shared" si="5"/>
        <v>3</v>
      </c>
      <c r="P338" s="256"/>
      <c r="Q338" s="256"/>
    </row>
    <row r="339" spans="1:17" ht="20.100000000000001" hidden="1" customHeight="1">
      <c r="A339" s="141">
        <v>333</v>
      </c>
      <c r="B339" s="142" t="s">
        <v>1200</v>
      </c>
      <c r="C339" s="143" t="s">
        <v>1024</v>
      </c>
      <c r="D339" s="2793" t="s">
        <v>36</v>
      </c>
      <c r="E339" s="144"/>
      <c r="F339" s="144">
        <v>301</v>
      </c>
      <c r="G339" s="144"/>
      <c r="H339" s="144"/>
      <c r="I339" s="144"/>
      <c r="J339" s="145"/>
      <c r="K339" s="152"/>
      <c r="L339" s="153"/>
      <c r="M339" s="161" t="s">
        <v>1203</v>
      </c>
      <c r="N339" s="155">
        <v>0</v>
      </c>
      <c r="O339" s="150">
        <f t="shared" si="5"/>
        <v>301</v>
      </c>
      <c r="P339" s="151"/>
      <c r="Q339" s="151"/>
    </row>
    <row r="340" spans="1:17" ht="20.100000000000001" hidden="1" customHeight="1">
      <c r="A340" s="141">
        <v>334</v>
      </c>
      <c r="B340" s="142" t="s">
        <v>1200</v>
      </c>
      <c r="C340" s="143" t="s">
        <v>1024</v>
      </c>
      <c r="D340" s="2792"/>
      <c r="E340" s="144">
        <v>10</v>
      </c>
      <c r="F340" s="144"/>
      <c r="G340" s="144"/>
      <c r="H340" s="144"/>
      <c r="I340" s="144"/>
      <c r="J340" s="145"/>
      <c r="K340" s="152"/>
      <c r="L340" s="153"/>
      <c r="M340" s="161" t="s">
        <v>1204</v>
      </c>
      <c r="N340" s="155">
        <v>0</v>
      </c>
      <c r="O340" s="150">
        <f t="shared" si="5"/>
        <v>10</v>
      </c>
      <c r="P340" s="151"/>
      <c r="Q340" s="151"/>
    </row>
    <row r="341" spans="1:17" ht="20.100000000000001" customHeight="1">
      <c r="A341" s="141">
        <v>335</v>
      </c>
      <c r="B341" s="142" t="s">
        <v>1205</v>
      </c>
      <c r="C341" s="143" t="s">
        <v>1024</v>
      </c>
      <c r="D341" s="182" t="s">
        <v>1047</v>
      </c>
      <c r="E341" s="144"/>
      <c r="F341" s="144"/>
      <c r="G341" s="160"/>
      <c r="H341" s="144"/>
      <c r="I341" s="144"/>
      <c r="J341" s="145"/>
      <c r="K341" s="468">
        <v>1</v>
      </c>
      <c r="L341" s="469"/>
      <c r="M341" s="470" t="s">
        <v>1206</v>
      </c>
      <c r="N341" s="155">
        <v>25675.84</v>
      </c>
      <c r="O341" s="150">
        <f t="shared" si="5"/>
        <v>1</v>
      </c>
      <c r="P341" s="151"/>
      <c r="Q341" s="151"/>
    </row>
    <row r="342" spans="1:17" ht="20.100000000000001" hidden="1" customHeight="1">
      <c r="A342" s="141">
        <v>336</v>
      </c>
      <c r="B342" s="142" t="s">
        <v>1205</v>
      </c>
      <c r="C342" s="143" t="s">
        <v>1024</v>
      </c>
      <c r="D342" s="2793" t="s">
        <v>29</v>
      </c>
      <c r="E342" s="144"/>
      <c r="F342" s="144"/>
      <c r="G342" s="160"/>
      <c r="H342" s="144"/>
      <c r="I342" s="144"/>
      <c r="J342" s="145"/>
      <c r="K342" s="471"/>
      <c r="L342" s="472"/>
      <c r="M342" s="473" t="s">
        <v>1026</v>
      </c>
      <c r="N342" s="159"/>
      <c r="O342" s="150">
        <f t="shared" si="5"/>
        <v>0</v>
      </c>
      <c r="P342" s="151"/>
      <c r="Q342" s="151"/>
    </row>
    <row r="343" spans="1:17" ht="20.100000000000001" hidden="1" customHeight="1">
      <c r="A343" s="141">
        <v>337</v>
      </c>
      <c r="B343" s="142" t="s">
        <v>1205</v>
      </c>
      <c r="C343" s="143" t="s">
        <v>1024</v>
      </c>
      <c r="D343" s="2795"/>
      <c r="E343" s="144"/>
      <c r="F343" s="144"/>
      <c r="G343" s="160">
        <v>1</v>
      </c>
      <c r="H343" s="144"/>
      <c r="I343" s="144"/>
      <c r="J343" s="145"/>
      <c r="K343" s="468"/>
      <c r="L343" s="469"/>
      <c r="M343" s="474" t="s">
        <v>119</v>
      </c>
      <c r="N343" s="155">
        <v>-4123656.37</v>
      </c>
      <c r="O343" s="150">
        <f t="shared" si="5"/>
        <v>1</v>
      </c>
      <c r="P343" s="151"/>
      <c r="Q343" s="151"/>
    </row>
    <row r="344" spans="1:17" ht="20.100000000000001" hidden="1" customHeight="1">
      <c r="A344" s="141">
        <v>338</v>
      </c>
      <c r="B344" s="142" t="s">
        <v>1205</v>
      </c>
      <c r="C344" s="143" t="s">
        <v>1024</v>
      </c>
      <c r="D344" s="2795"/>
      <c r="E344" s="144"/>
      <c r="F344" s="144"/>
      <c r="G344" s="160">
        <v>1</v>
      </c>
      <c r="H344" s="144"/>
      <c r="I344" s="144"/>
      <c r="J344" s="145"/>
      <c r="K344" s="468"/>
      <c r="L344" s="469"/>
      <c r="M344" s="474" t="s">
        <v>49</v>
      </c>
      <c r="N344" s="175">
        <v>-14363033.83</v>
      </c>
      <c r="O344" s="150">
        <f t="shared" si="5"/>
        <v>1</v>
      </c>
      <c r="P344" s="151"/>
      <c r="Q344" s="151"/>
    </row>
    <row r="345" spans="1:17" ht="20.100000000000001" hidden="1" customHeight="1">
      <c r="A345" s="141">
        <v>339</v>
      </c>
      <c r="B345" s="142" t="s">
        <v>1205</v>
      </c>
      <c r="C345" s="143" t="s">
        <v>1024</v>
      </c>
      <c r="D345" s="2795"/>
      <c r="E345" s="144"/>
      <c r="F345" s="144"/>
      <c r="G345" s="160">
        <v>1</v>
      </c>
      <c r="H345" s="144"/>
      <c r="I345" s="144"/>
      <c r="J345" s="145"/>
      <c r="K345" s="468"/>
      <c r="L345" s="469"/>
      <c r="M345" s="474" t="s">
        <v>32</v>
      </c>
      <c r="N345" s="162">
        <v>0.43</v>
      </c>
      <c r="O345" s="150">
        <f t="shared" si="5"/>
        <v>1</v>
      </c>
      <c r="P345" s="151"/>
      <c r="Q345" s="151"/>
    </row>
    <row r="346" spans="1:17" ht="20.100000000000001" hidden="1" customHeight="1">
      <c r="A346" s="141">
        <v>340</v>
      </c>
      <c r="B346" s="142" t="s">
        <v>1205</v>
      </c>
      <c r="C346" s="143" t="s">
        <v>1024</v>
      </c>
      <c r="D346" s="2795"/>
      <c r="E346" s="144"/>
      <c r="F346" s="144"/>
      <c r="G346" s="160">
        <v>1</v>
      </c>
      <c r="H346" s="144"/>
      <c r="I346" s="144"/>
      <c r="J346" s="145"/>
      <c r="K346" s="475"/>
      <c r="L346" s="476"/>
      <c r="M346" s="477" t="s">
        <v>1027</v>
      </c>
      <c r="N346" s="478">
        <v>43530.26</v>
      </c>
      <c r="O346" s="150">
        <f t="shared" si="5"/>
        <v>1</v>
      </c>
      <c r="P346" s="151"/>
      <c r="Q346" s="151"/>
    </row>
    <row r="347" spans="1:17" ht="20.100000000000001" hidden="1" customHeight="1">
      <c r="A347" s="141">
        <v>341</v>
      </c>
      <c r="B347" s="142" t="s">
        <v>1205</v>
      </c>
      <c r="C347" s="143" t="s">
        <v>1024</v>
      </c>
      <c r="D347" s="2795"/>
      <c r="E347" s="144"/>
      <c r="F347" s="144"/>
      <c r="G347" s="160">
        <v>1</v>
      </c>
      <c r="H347" s="144"/>
      <c r="I347" s="144"/>
      <c r="J347" s="145"/>
      <c r="K347" s="479"/>
      <c r="L347" s="480"/>
      <c r="M347" s="474" t="s">
        <v>50</v>
      </c>
      <c r="N347" s="186">
        <v>6</v>
      </c>
      <c r="O347" s="150">
        <f t="shared" si="5"/>
        <v>1</v>
      </c>
      <c r="P347" s="151"/>
      <c r="Q347" s="151"/>
    </row>
    <row r="348" spans="1:17" ht="20.100000000000001" hidden="1" customHeight="1">
      <c r="A348" s="141">
        <v>342</v>
      </c>
      <c r="B348" s="142" t="s">
        <v>1205</v>
      </c>
      <c r="C348" s="143" t="s">
        <v>1024</v>
      </c>
      <c r="D348" s="2795"/>
      <c r="E348" s="144"/>
      <c r="F348" s="144"/>
      <c r="G348" s="144"/>
      <c r="H348" s="144"/>
      <c r="I348" s="144"/>
      <c r="J348" s="145"/>
      <c r="K348" s="481"/>
      <c r="L348" s="482"/>
      <c r="M348" s="483" t="s">
        <v>1141</v>
      </c>
      <c r="N348" s="371"/>
      <c r="O348" s="150">
        <f t="shared" si="5"/>
        <v>0</v>
      </c>
      <c r="P348" s="151"/>
      <c r="Q348" s="151"/>
    </row>
    <row r="349" spans="1:17" ht="20.100000000000001" customHeight="1">
      <c r="A349" s="141">
        <v>343</v>
      </c>
      <c r="B349" s="142" t="s">
        <v>1205</v>
      </c>
      <c r="C349" s="143" t="s">
        <v>1024</v>
      </c>
      <c r="D349" s="2795"/>
      <c r="E349" s="144"/>
      <c r="F349" s="144"/>
      <c r="G349" s="144"/>
      <c r="H349" s="144"/>
      <c r="I349" s="144"/>
      <c r="J349" s="145"/>
      <c r="K349" s="484">
        <v>1</v>
      </c>
      <c r="L349" s="485"/>
      <c r="M349" s="486" t="s">
        <v>1207</v>
      </c>
      <c r="N349" s="487">
        <v>63304</v>
      </c>
      <c r="O349" s="150">
        <f t="shared" si="5"/>
        <v>1</v>
      </c>
      <c r="P349" s="151"/>
      <c r="Q349" s="151"/>
    </row>
    <row r="350" spans="1:17" ht="20.100000000000001" hidden="1" customHeight="1">
      <c r="A350" s="141">
        <v>344</v>
      </c>
      <c r="B350" s="142" t="s">
        <v>1205</v>
      </c>
      <c r="C350" s="143" t="s">
        <v>1024</v>
      </c>
      <c r="D350" s="2795"/>
      <c r="E350" s="144"/>
      <c r="F350" s="144"/>
      <c r="G350" s="160"/>
      <c r="H350" s="144"/>
      <c r="I350" s="144"/>
      <c r="J350" s="145"/>
      <c r="K350" s="471"/>
      <c r="L350" s="472"/>
      <c r="M350" s="473" t="s">
        <v>1028</v>
      </c>
      <c r="N350" s="159"/>
      <c r="O350" s="150">
        <f t="shared" si="5"/>
        <v>0</v>
      </c>
      <c r="P350" s="151"/>
      <c r="Q350" s="151"/>
    </row>
    <row r="351" spans="1:17" ht="20.100000000000001" hidden="1" customHeight="1">
      <c r="A351" s="141">
        <v>345</v>
      </c>
      <c r="B351" s="142" t="s">
        <v>1205</v>
      </c>
      <c r="C351" s="143" t="s">
        <v>1024</v>
      </c>
      <c r="D351" s="2795"/>
      <c r="E351" s="144"/>
      <c r="F351" s="144"/>
      <c r="G351" s="160">
        <v>1</v>
      </c>
      <c r="H351" s="144"/>
      <c r="I351" s="144"/>
      <c r="J351" s="145"/>
      <c r="K351" s="488"/>
      <c r="L351" s="489"/>
      <c r="M351" s="490" t="s">
        <v>1208</v>
      </c>
      <c r="N351" s="491">
        <v>75.5</v>
      </c>
      <c r="O351" s="150">
        <f t="shared" si="5"/>
        <v>1</v>
      </c>
      <c r="P351" s="151"/>
      <c r="Q351" s="151"/>
    </row>
    <row r="352" spans="1:17" ht="20.100000000000001" hidden="1" customHeight="1">
      <c r="A352" s="141">
        <v>346</v>
      </c>
      <c r="B352" s="142" t="s">
        <v>1205</v>
      </c>
      <c r="C352" s="143" t="s">
        <v>1024</v>
      </c>
      <c r="D352" s="2795"/>
      <c r="E352" s="144"/>
      <c r="F352" s="144"/>
      <c r="G352" s="160">
        <v>1</v>
      </c>
      <c r="H352" s="144"/>
      <c r="I352" s="144"/>
      <c r="J352" s="145"/>
      <c r="K352" s="492"/>
      <c r="L352" s="493"/>
      <c r="M352" s="494" t="s">
        <v>1098</v>
      </c>
      <c r="N352" s="495">
        <v>75.5</v>
      </c>
      <c r="O352" s="150">
        <f t="shared" si="5"/>
        <v>1</v>
      </c>
      <c r="P352" s="151"/>
      <c r="Q352" s="151"/>
    </row>
    <row r="353" spans="1:17" ht="20.100000000000001" hidden="1" customHeight="1">
      <c r="A353" s="141">
        <v>347</v>
      </c>
      <c r="B353" s="142" t="s">
        <v>1205</v>
      </c>
      <c r="C353" s="143" t="s">
        <v>1024</v>
      </c>
      <c r="D353" s="2795"/>
      <c r="E353" s="144"/>
      <c r="F353" s="144"/>
      <c r="G353" s="144"/>
      <c r="H353" s="144"/>
      <c r="I353" s="144"/>
      <c r="J353" s="145"/>
      <c r="K353" s="496"/>
      <c r="L353" s="497"/>
      <c r="M353" s="473" t="s">
        <v>1029</v>
      </c>
      <c r="N353" s="498"/>
      <c r="O353" s="150">
        <f t="shared" si="5"/>
        <v>0</v>
      </c>
      <c r="P353" s="151"/>
      <c r="Q353" s="151"/>
    </row>
    <row r="354" spans="1:17" ht="20.100000000000001" customHeight="1">
      <c r="A354" s="141">
        <v>348</v>
      </c>
      <c r="B354" s="142" t="s">
        <v>1205</v>
      </c>
      <c r="C354" s="143" t="s">
        <v>1024</v>
      </c>
      <c r="D354" s="2795"/>
      <c r="E354" s="144"/>
      <c r="F354" s="144"/>
      <c r="G354" s="144"/>
      <c r="H354" s="144"/>
      <c r="I354" s="144"/>
      <c r="J354" s="145"/>
      <c r="K354" s="468">
        <v>1</v>
      </c>
      <c r="L354" s="469"/>
      <c r="M354" s="474" t="s">
        <v>1209</v>
      </c>
      <c r="N354" s="162">
        <v>-2050</v>
      </c>
      <c r="O354" s="150">
        <f t="shared" si="5"/>
        <v>1</v>
      </c>
      <c r="P354" s="151"/>
      <c r="Q354" s="151"/>
    </row>
    <row r="355" spans="1:17" ht="20.100000000000001" customHeight="1">
      <c r="A355" s="141">
        <v>349</v>
      </c>
      <c r="B355" s="142" t="s">
        <v>1205</v>
      </c>
      <c r="C355" s="143" t="s">
        <v>1024</v>
      </c>
      <c r="D355" s="2795"/>
      <c r="E355" s="144"/>
      <c r="F355" s="144"/>
      <c r="G355" s="144"/>
      <c r="H355" s="144"/>
      <c r="I355" s="144"/>
      <c r="J355" s="145"/>
      <c r="K355" s="499">
        <v>1</v>
      </c>
      <c r="L355" s="500"/>
      <c r="M355" s="501" t="s">
        <v>1210</v>
      </c>
      <c r="N355" s="502">
        <v>-1600</v>
      </c>
      <c r="O355" s="150">
        <f t="shared" si="5"/>
        <v>1</v>
      </c>
      <c r="P355" s="151"/>
      <c r="Q355" s="151"/>
    </row>
    <row r="356" spans="1:17" ht="20.100000000000001" customHeight="1">
      <c r="A356" s="141">
        <v>350</v>
      </c>
      <c r="B356" s="142" t="s">
        <v>1205</v>
      </c>
      <c r="C356" s="143" t="s">
        <v>1024</v>
      </c>
      <c r="D356" s="2795"/>
      <c r="E356" s="144"/>
      <c r="F356" s="144"/>
      <c r="G356" s="144"/>
      <c r="H356" s="144"/>
      <c r="I356" s="144"/>
      <c r="J356" s="145"/>
      <c r="K356" s="479">
        <v>1</v>
      </c>
      <c r="L356" s="480"/>
      <c r="M356" s="503" t="s">
        <v>1211</v>
      </c>
      <c r="N356" s="162">
        <v>-373352</v>
      </c>
      <c r="O356" s="150">
        <f t="shared" si="5"/>
        <v>1</v>
      </c>
      <c r="P356" s="151"/>
      <c r="Q356" s="151"/>
    </row>
    <row r="357" spans="1:17" ht="20.100000000000001" customHeight="1">
      <c r="A357" s="141">
        <v>351</v>
      </c>
      <c r="B357" s="142" t="s">
        <v>1205</v>
      </c>
      <c r="C357" s="143" t="s">
        <v>1024</v>
      </c>
      <c r="D357" s="2795"/>
      <c r="E357" s="144"/>
      <c r="F357" s="144"/>
      <c r="G357" s="144"/>
      <c r="H357" s="144"/>
      <c r="I357" s="144"/>
      <c r="J357" s="145"/>
      <c r="K357" s="479">
        <v>1</v>
      </c>
      <c r="L357" s="480"/>
      <c r="M357" s="503" t="s">
        <v>1212</v>
      </c>
      <c r="N357" s="162">
        <v>7892.32</v>
      </c>
      <c r="O357" s="150">
        <f t="shared" si="5"/>
        <v>1</v>
      </c>
      <c r="P357" s="151"/>
      <c r="Q357" s="151"/>
    </row>
    <row r="358" spans="1:17" ht="20.100000000000001" customHeight="1">
      <c r="A358" s="141">
        <v>352</v>
      </c>
      <c r="B358" s="142" t="s">
        <v>1205</v>
      </c>
      <c r="C358" s="143" t="s">
        <v>1024</v>
      </c>
      <c r="D358" s="2794"/>
      <c r="E358" s="144"/>
      <c r="F358" s="144"/>
      <c r="G358" s="144"/>
      <c r="H358" s="160"/>
      <c r="I358" s="144"/>
      <c r="J358" s="145"/>
      <c r="K358" s="479">
        <v>1</v>
      </c>
      <c r="L358" s="480"/>
      <c r="M358" s="503" t="s">
        <v>1213</v>
      </c>
      <c r="N358" s="162">
        <v>707.14</v>
      </c>
      <c r="O358" s="150">
        <f t="shared" si="5"/>
        <v>1</v>
      </c>
      <c r="P358" s="151"/>
      <c r="Q358" s="151"/>
    </row>
    <row r="359" spans="1:17" ht="20.100000000000001" hidden="1" customHeight="1">
      <c r="A359" s="141">
        <v>353</v>
      </c>
      <c r="B359" s="142" t="s">
        <v>1205</v>
      </c>
      <c r="C359" s="143" t="s">
        <v>1024</v>
      </c>
      <c r="D359" s="2793" t="s">
        <v>33</v>
      </c>
      <c r="E359" s="144"/>
      <c r="F359" s="144"/>
      <c r="G359" s="144"/>
      <c r="H359" s="144">
        <v>59</v>
      </c>
      <c r="I359" s="160"/>
      <c r="J359" s="145"/>
      <c r="K359" s="492"/>
      <c r="L359" s="500"/>
      <c r="M359" s="504" t="s">
        <v>34</v>
      </c>
      <c r="N359" s="186">
        <v>0</v>
      </c>
      <c r="O359" s="150">
        <f t="shared" si="5"/>
        <v>59</v>
      </c>
      <c r="P359" s="151"/>
      <c r="Q359" s="151"/>
    </row>
    <row r="360" spans="1:17" ht="20.100000000000001" hidden="1" customHeight="1">
      <c r="A360" s="141">
        <v>354</v>
      </c>
      <c r="B360" s="142" t="s">
        <v>1205</v>
      </c>
      <c r="C360" s="143" t="s">
        <v>1024</v>
      </c>
      <c r="D360" s="2794"/>
      <c r="E360" s="144"/>
      <c r="F360" s="160"/>
      <c r="G360" s="144"/>
      <c r="H360" s="144"/>
      <c r="I360" s="144">
        <v>5081</v>
      </c>
      <c r="J360" s="145"/>
      <c r="K360" s="468"/>
      <c r="L360" s="480"/>
      <c r="M360" s="504" t="s">
        <v>35</v>
      </c>
      <c r="N360" s="466">
        <v>4367647.5599999996</v>
      </c>
      <c r="O360" s="150">
        <f t="shared" si="5"/>
        <v>5081</v>
      </c>
      <c r="P360" s="151"/>
      <c r="Q360" s="151"/>
    </row>
    <row r="361" spans="1:17" ht="20.100000000000001" hidden="1" customHeight="1">
      <c r="A361" s="141">
        <v>355</v>
      </c>
      <c r="B361" s="142" t="s">
        <v>1205</v>
      </c>
      <c r="C361" s="143" t="s">
        <v>1024</v>
      </c>
      <c r="D361" s="2793" t="s">
        <v>36</v>
      </c>
      <c r="E361" s="160"/>
      <c r="F361" s="144">
        <v>9</v>
      </c>
      <c r="G361" s="144"/>
      <c r="H361" s="144"/>
      <c r="I361" s="144"/>
      <c r="J361" s="145"/>
      <c r="K361" s="505"/>
      <c r="L361" s="469"/>
      <c r="M361" s="474" t="s">
        <v>1214</v>
      </c>
      <c r="N361" s="186">
        <v>0</v>
      </c>
      <c r="O361" s="150">
        <f t="shared" si="5"/>
        <v>9</v>
      </c>
      <c r="P361" s="151"/>
      <c r="Q361" s="151"/>
    </row>
    <row r="362" spans="1:17" ht="20.100000000000001" hidden="1" customHeight="1">
      <c r="A362" s="141">
        <v>356</v>
      </c>
      <c r="B362" s="142" t="s">
        <v>1205</v>
      </c>
      <c r="C362" s="143" t="s">
        <v>1024</v>
      </c>
      <c r="D362" s="2792"/>
      <c r="E362" s="506">
        <v>64</v>
      </c>
      <c r="F362" s="506"/>
      <c r="G362" s="506"/>
      <c r="H362" s="506"/>
      <c r="I362" s="506"/>
      <c r="J362" s="507"/>
      <c r="K362" s="505"/>
      <c r="L362" s="469"/>
      <c r="M362" s="508" t="s">
        <v>1215</v>
      </c>
      <c r="N362" s="466">
        <v>0</v>
      </c>
      <c r="O362" s="150">
        <f t="shared" si="5"/>
        <v>64</v>
      </c>
      <c r="P362" s="151"/>
      <c r="Q362" s="151"/>
    </row>
    <row r="363" spans="1:17" ht="20.100000000000001" customHeight="1">
      <c r="A363" s="141">
        <v>357</v>
      </c>
      <c r="B363" s="142" t="s">
        <v>1216</v>
      </c>
      <c r="C363" s="143" t="s">
        <v>1024</v>
      </c>
      <c r="D363" s="182" t="s">
        <v>1047</v>
      </c>
      <c r="E363" s="506"/>
      <c r="F363" s="506"/>
      <c r="G363" s="506"/>
      <c r="H363" s="506"/>
      <c r="I363" s="509"/>
      <c r="J363" s="282"/>
      <c r="K363" s="319">
        <v>1</v>
      </c>
      <c r="L363" s="510"/>
      <c r="M363" s="276" t="s">
        <v>1217</v>
      </c>
      <c r="N363" s="320">
        <f>-71406.98</f>
        <v>-71406.98</v>
      </c>
      <c r="O363" s="150">
        <f t="shared" si="5"/>
        <v>1</v>
      </c>
      <c r="P363" s="151"/>
      <c r="Q363" s="151"/>
    </row>
    <row r="364" spans="1:17" ht="20.100000000000001" customHeight="1">
      <c r="A364" s="141">
        <v>358</v>
      </c>
      <c r="B364" s="142" t="s">
        <v>1216</v>
      </c>
      <c r="C364" s="143" t="s">
        <v>1024</v>
      </c>
      <c r="D364" s="182" t="s">
        <v>103</v>
      </c>
      <c r="E364" s="506"/>
      <c r="F364" s="506"/>
      <c r="G364" s="506"/>
      <c r="H364" s="506"/>
      <c r="I364" s="506"/>
      <c r="J364" s="507">
        <v>5</v>
      </c>
      <c r="K364" s="2814"/>
      <c r="L364" s="2815"/>
      <c r="M364" s="2816" t="s">
        <v>1218</v>
      </c>
      <c r="N364" s="2817">
        <v>402.5</v>
      </c>
      <c r="O364" s="150">
        <f t="shared" si="5"/>
        <v>5</v>
      </c>
      <c r="P364" s="151"/>
      <c r="Q364" s="151"/>
    </row>
    <row r="365" spans="1:17" ht="20.100000000000001" hidden="1" customHeight="1">
      <c r="A365" s="141">
        <v>359</v>
      </c>
      <c r="B365" s="142" t="s">
        <v>1216</v>
      </c>
      <c r="C365" s="143" t="s">
        <v>1024</v>
      </c>
      <c r="D365" s="2793" t="s">
        <v>29</v>
      </c>
      <c r="E365" s="506"/>
      <c r="F365" s="506"/>
      <c r="G365" s="160"/>
      <c r="H365" s="506"/>
      <c r="I365" s="506"/>
      <c r="J365" s="507"/>
      <c r="K365" s="227"/>
      <c r="L365" s="511"/>
      <c r="M365" s="512" t="s">
        <v>1026</v>
      </c>
      <c r="N365" s="230"/>
      <c r="O365" s="150">
        <f t="shared" si="5"/>
        <v>0</v>
      </c>
      <c r="P365" s="151"/>
      <c r="Q365" s="151"/>
    </row>
    <row r="366" spans="1:17" ht="20.100000000000001" hidden="1" customHeight="1">
      <c r="A366" s="141">
        <v>360</v>
      </c>
      <c r="B366" s="142" t="s">
        <v>1216</v>
      </c>
      <c r="C366" s="143" t="s">
        <v>1024</v>
      </c>
      <c r="D366" s="2795"/>
      <c r="E366" s="506"/>
      <c r="F366" s="506"/>
      <c r="G366" s="160">
        <v>1</v>
      </c>
      <c r="H366" s="506"/>
      <c r="I366" s="506"/>
      <c r="J366" s="507"/>
      <c r="K366" s="223"/>
      <c r="L366" s="414"/>
      <c r="M366" s="261" t="s">
        <v>119</v>
      </c>
      <c r="N366" s="108">
        <v>-3974398.26</v>
      </c>
      <c r="O366" s="150">
        <f t="shared" si="5"/>
        <v>1</v>
      </c>
      <c r="P366" s="151"/>
      <c r="Q366" s="151"/>
    </row>
    <row r="367" spans="1:17" ht="20.100000000000001" hidden="1" customHeight="1">
      <c r="A367" s="141">
        <v>361</v>
      </c>
      <c r="B367" s="142" t="s">
        <v>1216</v>
      </c>
      <c r="C367" s="143" t="s">
        <v>1024</v>
      </c>
      <c r="D367" s="2795"/>
      <c r="E367" s="506"/>
      <c r="F367" s="506"/>
      <c r="G367" s="160">
        <v>1</v>
      </c>
      <c r="H367" s="506"/>
      <c r="I367" s="506"/>
      <c r="J367" s="507"/>
      <c r="K367" s="223"/>
      <c r="L367" s="414"/>
      <c r="M367" s="261" t="s">
        <v>49</v>
      </c>
      <c r="N367" s="108">
        <v>-53558840.350000001</v>
      </c>
      <c r="O367" s="150">
        <f t="shared" si="5"/>
        <v>1</v>
      </c>
      <c r="P367" s="151"/>
      <c r="Q367" s="151"/>
    </row>
    <row r="368" spans="1:17" ht="20.100000000000001" hidden="1" customHeight="1">
      <c r="A368" s="141">
        <v>362</v>
      </c>
      <c r="B368" s="142" t="s">
        <v>1216</v>
      </c>
      <c r="C368" s="143" t="s">
        <v>1024</v>
      </c>
      <c r="D368" s="2795"/>
      <c r="E368" s="506"/>
      <c r="F368" s="506"/>
      <c r="G368" s="160">
        <v>1</v>
      </c>
      <c r="H368" s="506"/>
      <c r="I368" s="506"/>
      <c r="J368" s="507"/>
      <c r="K368" s="232"/>
      <c r="L368" s="418"/>
      <c r="M368" s="261" t="s">
        <v>1219</v>
      </c>
      <c r="N368" s="108">
        <v>112658.01</v>
      </c>
      <c r="O368" s="150">
        <f t="shared" si="5"/>
        <v>1</v>
      </c>
      <c r="P368" s="151"/>
      <c r="Q368" s="151"/>
    </row>
    <row r="369" spans="1:17" ht="20.100000000000001" customHeight="1">
      <c r="A369" s="141">
        <v>363</v>
      </c>
      <c r="B369" s="142" t="s">
        <v>1216</v>
      </c>
      <c r="C369" s="143" t="s">
        <v>1024</v>
      </c>
      <c r="D369" s="2795"/>
      <c r="E369" s="506"/>
      <c r="F369" s="506"/>
      <c r="G369" s="506"/>
      <c r="H369" s="506"/>
      <c r="I369" s="506"/>
      <c r="J369" s="507"/>
      <c r="K369" s="232">
        <v>1</v>
      </c>
      <c r="L369" s="418"/>
      <c r="M369" s="261" t="s">
        <v>1220</v>
      </c>
      <c r="N369" s="108">
        <v>9857529.6600000001</v>
      </c>
      <c r="O369" s="150">
        <f t="shared" si="5"/>
        <v>1</v>
      </c>
      <c r="P369" s="151"/>
      <c r="Q369" s="151"/>
    </row>
    <row r="370" spans="1:17" ht="20.100000000000001" hidden="1" customHeight="1">
      <c r="A370" s="141">
        <v>364</v>
      </c>
      <c r="B370" s="142" t="s">
        <v>1216</v>
      </c>
      <c r="C370" s="143" t="s">
        <v>1024</v>
      </c>
      <c r="D370" s="2795"/>
      <c r="E370" s="506"/>
      <c r="F370" s="506"/>
      <c r="G370" s="160"/>
      <c r="H370" s="506"/>
      <c r="I370" s="506"/>
      <c r="J370" s="507"/>
      <c r="K370" s="234"/>
      <c r="L370" s="513"/>
      <c r="M370" s="259" t="s">
        <v>1028</v>
      </c>
      <c r="N370" s="514"/>
      <c r="O370" s="150">
        <f t="shared" si="5"/>
        <v>0</v>
      </c>
      <c r="P370" s="151"/>
      <c r="Q370" s="151"/>
    </row>
    <row r="371" spans="1:17" ht="20.100000000000001" hidden="1" customHeight="1">
      <c r="A371" s="141">
        <v>365</v>
      </c>
      <c r="B371" s="142" t="s">
        <v>1216</v>
      </c>
      <c r="C371" s="143" t="s">
        <v>1024</v>
      </c>
      <c r="D371" s="2795"/>
      <c r="E371" s="506"/>
      <c r="F371" s="506"/>
      <c r="G371" s="160">
        <v>1</v>
      </c>
      <c r="H371" s="506"/>
      <c r="I371" s="506"/>
      <c r="J371" s="507"/>
      <c r="K371" s="232"/>
      <c r="L371" s="418"/>
      <c r="M371" s="261" t="s">
        <v>886</v>
      </c>
      <c r="N371" s="296">
        <v>83.25</v>
      </c>
      <c r="O371" s="150">
        <f t="shared" si="5"/>
        <v>1</v>
      </c>
      <c r="P371" s="151"/>
      <c r="Q371" s="151"/>
    </row>
    <row r="372" spans="1:17" ht="20.100000000000001" hidden="1" customHeight="1">
      <c r="A372" s="141">
        <v>366</v>
      </c>
      <c r="B372" s="142" t="s">
        <v>1216</v>
      </c>
      <c r="C372" s="143" t="s">
        <v>1024</v>
      </c>
      <c r="D372" s="2795"/>
      <c r="E372" s="506"/>
      <c r="F372" s="506"/>
      <c r="G372" s="160">
        <v>1</v>
      </c>
      <c r="H372" s="506"/>
      <c r="I372" s="506"/>
      <c r="J372" s="507"/>
      <c r="K372" s="232"/>
      <c r="L372" s="418">
        <v>46234</v>
      </c>
      <c r="M372" s="261" t="s">
        <v>183</v>
      </c>
      <c r="N372" s="108">
        <v>24487.75</v>
      </c>
      <c r="O372" s="150">
        <f t="shared" si="5"/>
        <v>1</v>
      </c>
      <c r="P372" s="151"/>
      <c r="Q372" s="151"/>
    </row>
    <row r="373" spans="1:17" ht="20.100000000000001" hidden="1" customHeight="1">
      <c r="A373" s="141">
        <v>367</v>
      </c>
      <c r="B373" s="142" t="s">
        <v>1216</v>
      </c>
      <c r="C373" s="143" t="s">
        <v>1024</v>
      </c>
      <c r="D373" s="2795"/>
      <c r="E373" s="506"/>
      <c r="F373" s="506"/>
      <c r="G373" s="506"/>
      <c r="H373" s="506"/>
      <c r="I373" s="506"/>
      <c r="J373" s="507"/>
      <c r="K373" s="234"/>
      <c r="L373" s="513"/>
      <c r="M373" s="515" t="s">
        <v>1141</v>
      </c>
      <c r="N373" s="516"/>
      <c r="O373" s="150">
        <f t="shared" si="5"/>
        <v>0</v>
      </c>
      <c r="P373" s="151"/>
      <c r="Q373" s="151"/>
    </row>
    <row r="374" spans="1:17" ht="20.100000000000001" customHeight="1">
      <c r="A374" s="141">
        <v>368</v>
      </c>
      <c r="B374" s="142" t="s">
        <v>1216</v>
      </c>
      <c r="C374" s="143" t="s">
        <v>1024</v>
      </c>
      <c r="D374" s="2795"/>
      <c r="E374" s="506"/>
      <c r="F374" s="506"/>
      <c r="G374" s="506"/>
      <c r="H374" s="506"/>
      <c r="I374" s="506"/>
      <c r="J374" s="507"/>
      <c r="K374" s="517">
        <v>1</v>
      </c>
      <c r="L374" s="418">
        <v>45089</v>
      </c>
      <c r="M374" s="292" t="s">
        <v>1221</v>
      </c>
      <c r="N374" s="518">
        <v>1015.01</v>
      </c>
      <c r="O374" s="150">
        <f t="shared" si="5"/>
        <v>1</v>
      </c>
      <c r="P374" s="151"/>
      <c r="Q374" s="151"/>
    </row>
    <row r="375" spans="1:17" ht="20.100000000000001" hidden="1" customHeight="1">
      <c r="A375" s="141">
        <v>369</v>
      </c>
      <c r="B375" s="142" t="s">
        <v>1216</v>
      </c>
      <c r="C375" s="143" t="s">
        <v>1024</v>
      </c>
      <c r="D375" s="2795"/>
      <c r="E375" s="506"/>
      <c r="F375" s="506"/>
      <c r="G375" s="506"/>
      <c r="H375" s="506"/>
      <c r="I375" s="506"/>
      <c r="J375" s="507"/>
      <c r="K375" s="234"/>
      <c r="L375" s="513"/>
      <c r="M375" s="293" t="s">
        <v>1029</v>
      </c>
      <c r="N375" s="519"/>
      <c r="O375" s="150">
        <f t="shared" si="5"/>
        <v>0</v>
      </c>
      <c r="P375" s="151"/>
      <c r="Q375" s="151"/>
    </row>
    <row r="376" spans="1:17" ht="20.100000000000001" customHeight="1">
      <c r="A376" s="141">
        <v>370</v>
      </c>
      <c r="B376" s="142" t="s">
        <v>1216</v>
      </c>
      <c r="C376" s="143" t="s">
        <v>1024</v>
      </c>
      <c r="D376" s="2795"/>
      <c r="E376" s="506"/>
      <c r="F376" s="506"/>
      <c r="G376" s="506"/>
      <c r="H376" s="506"/>
      <c r="I376" s="506"/>
      <c r="J376" s="507"/>
      <c r="K376" s="232">
        <v>1</v>
      </c>
      <c r="L376" s="418">
        <v>46129</v>
      </c>
      <c r="M376" s="520" t="s">
        <v>1222</v>
      </c>
      <c r="N376" s="521">
        <v>-5900</v>
      </c>
      <c r="O376" s="150">
        <f t="shared" si="5"/>
        <v>1</v>
      </c>
      <c r="P376" s="151"/>
      <c r="Q376" s="151"/>
    </row>
    <row r="377" spans="1:17" ht="20.100000000000001" customHeight="1">
      <c r="A377" s="141">
        <v>371</v>
      </c>
      <c r="B377" s="142" t="s">
        <v>1216</v>
      </c>
      <c r="C377" s="143" t="s">
        <v>1024</v>
      </c>
      <c r="D377" s="2795"/>
      <c r="E377" s="506"/>
      <c r="F377" s="506"/>
      <c r="G377" s="506"/>
      <c r="H377" s="506"/>
      <c r="I377" s="506"/>
      <c r="J377" s="507"/>
      <c r="K377" s="232">
        <v>1</v>
      </c>
      <c r="L377" s="418">
        <v>45089</v>
      </c>
      <c r="M377" s="520" t="s">
        <v>1223</v>
      </c>
      <c r="N377" s="521">
        <v>1000</v>
      </c>
      <c r="O377" s="150">
        <f t="shared" si="5"/>
        <v>1</v>
      </c>
      <c r="P377" s="151"/>
      <c r="Q377" s="151"/>
    </row>
    <row r="378" spans="1:17" ht="20.100000000000001" customHeight="1">
      <c r="A378" s="141">
        <v>372</v>
      </c>
      <c r="B378" s="142" t="s">
        <v>1216</v>
      </c>
      <c r="C378" s="143" t="s">
        <v>1024</v>
      </c>
      <c r="D378" s="2795"/>
      <c r="E378" s="506"/>
      <c r="F378" s="506"/>
      <c r="G378" s="506"/>
      <c r="H378" s="506"/>
      <c r="I378" s="506"/>
      <c r="J378" s="507"/>
      <c r="K378" s="219">
        <v>1</v>
      </c>
      <c r="L378" s="418">
        <v>45317</v>
      </c>
      <c r="M378" s="304" t="s">
        <v>1224</v>
      </c>
      <c r="N378" s="222">
        <v>-137428.88</v>
      </c>
      <c r="O378" s="150">
        <f t="shared" si="5"/>
        <v>1</v>
      </c>
      <c r="P378" s="151"/>
      <c r="Q378" s="151"/>
    </row>
    <row r="379" spans="1:17" ht="20.100000000000001" customHeight="1">
      <c r="A379" s="141">
        <v>373</v>
      </c>
      <c r="B379" s="142" t="s">
        <v>1216</v>
      </c>
      <c r="C379" s="143" t="s">
        <v>1024</v>
      </c>
      <c r="D379" s="2794"/>
      <c r="E379" s="506"/>
      <c r="F379" s="506"/>
      <c r="G379" s="506"/>
      <c r="H379" s="506"/>
      <c r="I379" s="506"/>
      <c r="J379" s="507"/>
      <c r="K379" s="219">
        <v>1</v>
      </c>
      <c r="L379" s="418">
        <v>45993</v>
      </c>
      <c r="M379" s="522" t="s">
        <v>1225</v>
      </c>
      <c r="N379" s="523">
        <v>490.89</v>
      </c>
      <c r="O379" s="150">
        <f t="shared" si="5"/>
        <v>1</v>
      </c>
      <c r="P379" s="151"/>
      <c r="Q379" s="151"/>
    </row>
    <row r="380" spans="1:17" ht="20.100000000000001" customHeight="1">
      <c r="A380" s="141">
        <v>374</v>
      </c>
      <c r="B380" s="142" t="s">
        <v>1216</v>
      </c>
      <c r="C380" s="143" t="s">
        <v>1024</v>
      </c>
      <c r="D380" s="182" t="s">
        <v>68</v>
      </c>
      <c r="E380" s="506"/>
      <c r="F380" s="506"/>
      <c r="G380" s="506"/>
      <c r="H380" s="506"/>
      <c r="I380" s="506"/>
      <c r="J380" s="507"/>
      <c r="K380" s="232">
        <v>6</v>
      </c>
      <c r="L380" s="418"/>
      <c r="M380" s="361" t="s">
        <v>1061</v>
      </c>
      <c r="N380" s="239">
        <v>969120.56</v>
      </c>
      <c r="O380" s="150">
        <f t="shared" si="5"/>
        <v>6</v>
      </c>
      <c r="P380" s="151"/>
      <c r="Q380" s="151"/>
    </row>
    <row r="381" spans="1:17" ht="20.100000000000001" hidden="1" customHeight="1">
      <c r="A381" s="141">
        <v>375</v>
      </c>
      <c r="B381" s="142" t="s">
        <v>1216</v>
      </c>
      <c r="C381" s="143" t="s">
        <v>1024</v>
      </c>
      <c r="D381" s="2793" t="s">
        <v>33</v>
      </c>
      <c r="E381" s="506"/>
      <c r="F381" s="506"/>
      <c r="G381" s="506"/>
      <c r="H381" s="160"/>
      <c r="I381" s="506"/>
      <c r="J381" s="507"/>
      <c r="K381" s="288"/>
      <c r="L381" s="524"/>
      <c r="M381" s="525" t="s">
        <v>1078</v>
      </c>
      <c r="N381" s="526"/>
      <c r="O381" s="150">
        <f t="shared" si="5"/>
        <v>0</v>
      </c>
      <c r="P381" s="151"/>
      <c r="Q381" s="151"/>
    </row>
    <row r="382" spans="1:17" ht="20.100000000000001" hidden="1" customHeight="1">
      <c r="A382" s="141">
        <v>376</v>
      </c>
      <c r="B382" s="142" t="s">
        <v>1216</v>
      </c>
      <c r="C382" s="143" t="s">
        <v>1024</v>
      </c>
      <c r="D382" s="2795"/>
      <c r="E382" s="506"/>
      <c r="F382" s="506"/>
      <c r="G382" s="506"/>
      <c r="H382" s="506">
        <v>306</v>
      </c>
      <c r="I382" s="160"/>
      <c r="J382" s="507"/>
      <c r="K382" s="223"/>
      <c r="L382" s="418"/>
      <c r="M382" s="261" t="s">
        <v>34</v>
      </c>
      <c r="N382" s="239">
        <v>0</v>
      </c>
      <c r="O382" s="150">
        <f t="shared" si="5"/>
        <v>306</v>
      </c>
      <c r="P382" s="151"/>
      <c r="Q382" s="151"/>
    </row>
    <row r="383" spans="1:17" ht="20.100000000000001" hidden="1" customHeight="1">
      <c r="A383" s="141">
        <v>377</v>
      </c>
      <c r="B383" s="142" t="s">
        <v>1216</v>
      </c>
      <c r="C383" s="143" t="s">
        <v>1024</v>
      </c>
      <c r="D383" s="2794"/>
      <c r="E383" s="506"/>
      <c r="F383" s="160"/>
      <c r="G383" s="506"/>
      <c r="H383" s="506"/>
      <c r="I383" s="506">
        <v>7072</v>
      </c>
      <c r="J383" s="507"/>
      <c r="K383" s="223"/>
      <c r="L383" s="414"/>
      <c r="M383" s="261" t="s">
        <v>35</v>
      </c>
      <c r="N383" s="318">
        <v>6877346.0099999998</v>
      </c>
      <c r="O383" s="150">
        <f t="shared" si="5"/>
        <v>7072</v>
      </c>
      <c r="P383" s="151"/>
      <c r="Q383" s="151"/>
    </row>
    <row r="384" spans="1:17" ht="20.100000000000001" customHeight="1">
      <c r="A384" s="141">
        <v>378</v>
      </c>
      <c r="B384" s="142" t="s">
        <v>1216</v>
      </c>
      <c r="C384" s="143" t="s">
        <v>1024</v>
      </c>
      <c r="D384" s="182" t="s">
        <v>1226</v>
      </c>
      <c r="E384" s="160"/>
      <c r="F384" s="506"/>
      <c r="G384" s="506"/>
      <c r="H384" s="506"/>
      <c r="I384" s="506"/>
      <c r="J384" s="507"/>
      <c r="K384" s="223">
        <v>3</v>
      </c>
      <c r="L384" s="414"/>
      <c r="M384" s="225" t="s">
        <v>1227</v>
      </c>
      <c r="N384" s="108">
        <v>0</v>
      </c>
      <c r="O384" s="150">
        <f t="shared" si="5"/>
        <v>3</v>
      </c>
      <c r="P384" s="151"/>
      <c r="Q384" s="151"/>
    </row>
    <row r="385" spans="1:17" ht="20.100000000000001" hidden="1" customHeight="1">
      <c r="A385" s="141">
        <v>379</v>
      </c>
      <c r="B385" s="142" t="s">
        <v>1216</v>
      </c>
      <c r="C385" s="143" t="s">
        <v>1024</v>
      </c>
      <c r="D385" s="2793" t="s">
        <v>36</v>
      </c>
      <c r="E385" s="506"/>
      <c r="F385" s="506">
        <v>977</v>
      </c>
      <c r="G385" s="506"/>
      <c r="H385" s="506"/>
      <c r="I385" s="506"/>
      <c r="J385" s="507"/>
      <c r="K385" s="417"/>
      <c r="L385" s="414"/>
      <c r="M385" s="261" t="s">
        <v>1228</v>
      </c>
      <c r="N385" s="108">
        <v>0</v>
      </c>
      <c r="O385" s="150">
        <f t="shared" si="5"/>
        <v>977</v>
      </c>
      <c r="P385" s="151"/>
      <c r="Q385" s="151"/>
    </row>
    <row r="386" spans="1:17" ht="20.100000000000001" hidden="1" customHeight="1">
      <c r="A386" s="141">
        <v>380</v>
      </c>
      <c r="B386" s="142" t="s">
        <v>1216</v>
      </c>
      <c r="C386" s="143" t="s">
        <v>1024</v>
      </c>
      <c r="D386" s="2792"/>
      <c r="E386" s="506">
        <v>222</v>
      </c>
      <c r="F386" s="506"/>
      <c r="G386" s="506"/>
      <c r="H386" s="506"/>
      <c r="I386" s="506"/>
      <c r="J386" s="507"/>
      <c r="K386" s="223"/>
      <c r="L386" s="414"/>
      <c r="M386" s="261" t="s">
        <v>1229</v>
      </c>
      <c r="N386" s="108">
        <v>0</v>
      </c>
      <c r="O386" s="150">
        <f t="shared" si="5"/>
        <v>222</v>
      </c>
      <c r="P386" s="151"/>
      <c r="Q386" s="151"/>
    </row>
    <row r="387" spans="1:17" ht="20.100000000000001" customHeight="1">
      <c r="A387" s="141">
        <v>381</v>
      </c>
      <c r="B387" s="142" t="s">
        <v>1216</v>
      </c>
      <c r="C387" s="143" t="s">
        <v>1024</v>
      </c>
      <c r="D387" s="182" t="s">
        <v>38</v>
      </c>
      <c r="E387" s="144"/>
      <c r="F387" s="144"/>
      <c r="G387" s="144"/>
      <c r="H387" s="144"/>
      <c r="I387" s="348"/>
      <c r="J387" s="282"/>
      <c r="K387" s="319">
        <v>1</v>
      </c>
      <c r="L387" s="527">
        <v>46225</v>
      </c>
      <c r="M387" s="528" t="s">
        <v>1230</v>
      </c>
      <c r="N387" s="529">
        <v>10000</v>
      </c>
      <c r="O387" s="150">
        <f t="shared" si="5"/>
        <v>1</v>
      </c>
      <c r="P387" s="151"/>
      <c r="Q387" s="151"/>
    </row>
    <row r="388" spans="1:17" ht="20.100000000000001" customHeight="1">
      <c r="A388" s="141">
        <v>382</v>
      </c>
      <c r="B388" s="142" t="s">
        <v>1231</v>
      </c>
      <c r="C388" s="143" t="s">
        <v>1024</v>
      </c>
      <c r="D388" s="2793" t="s">
        <v>1232</v>
      </c>
      <c r="E388" s="144"/>
      <c r="F388" s="144"/>
      <c r="G388" s="144"/>
      <c r="H388" s="144"/>
      <c r="I388" s="144"/>
      <c r="J388" s="145"/>
      <c r="K388" s="530">
        <v>1</v>
      </c>
      <c r="L388" s="531" t="s">
        <v>1233</v>
      </c>
      <c r="M388" s="276" t="s">
        <v>1234</v>
      </c>
      <c r="N388" s="204">
        <v>-401097</v>
      </c>
      <c r="O388" s="150">
        <f t="shared" si="5"/>
        <v>1</v>
      </c>
      <c r="P388" s="151"/>
      <c r="Q388" s="151"/>
    </row>
    <row r="389" spans="1:17" ht="20.100000000000001" customHeight="1">
      <c r="A389" s="141">
        <v>383</v>
      </c>
      <c r="B389" s="142" t="s">
        <v>1231</v>
      </c>
      <c r="C389" s="143" t="s">
        <v>1024</v>
      </c>
      <c r="D389" s="2794"/>
      <c r="E389" s="144"/>
      <c r="F389" s="144"/>
      <c r="G389" s="160"/>
      <c r="H389" s="144"/>
      <c r="I389" s="144"/>
      <c r="J389" s="145"/>
      <c r="K389" s="223">
        <v>1</v>
      </c>
      <c r="L389" s="532" t="s">
        <v>100</v>
      </c>
      <c r="M389" s="276" t="s">
        <v>1235</v>
      </c>
      <c r="N389" s="204">
        <v>262426.33</v>
      </c>
      <c r="O389" s="150">
        <f t="shared" si="5"/>
        <v>1</v>
      </c>
      <c r="P389" s="151"/>
      <c r="Q389" s="151"/>
    </row>
    <row r="390" spans="1:17" ht="20.100000000000001" customHeight="1">
      <c r="A390" s="141">
        <v>384</v>
      </c>
      <c r="B390" s="142" t="s">
        <v>1231</v>
      </c>
      <c r="C390" s="143" t="s">
        <v>1024</v>
      </c>
      <c r="D390" s="182" t="s">
        <v>103</v>
      </c>
      <c r="E390" s="144"/>
      <c r="F390" s="144"/>
      <c r="G390" s="160"/>
      <c r="H390" s="144"/>
      <c r="I390" s="144"/>
      <c r="J390" s="145">
        <v>325</v>
      </c>
      <c r="K390" s="223"/>
      <c r="L390" s="533"/>
      <c r="M390" s="534" t="s">
        <v>1236</v>
      </c>
      <c r="N390" s="108">
        <v>-13475.5</v>
      </c>
      <c r="O390" s="150">
        <f t="shared" si="5"/>
        <v>325</v>
      </c>
      <c r="P390" s="151"/>
      <c r="Q390" s="151"/>
    </row>
    <row r="391" spans="1:17" ht="20.100000000000001" hidden="1" customHeight="1">
      <c r="A391" s="141">
        <v>385</v>
      </c>
      <c r="B391" s="142" t="s">
        <v>1231</v>
      </c>
      <c r="C391" s="143" t="s">
        <v>1024</v>
      </c>
      <c r="D391" s="182"/>
      <c r="E391" s="144"/>
      <c r="F391" s="144"/>
      <c r="G391" s="160"/>
      <c r="H391" s="144"/>
      <c r="I391" s="144"/>
      <c r="J391" s="145"/>
      <c r="K391" s="306"/>
      <c r="L391" s="535"/>
      <c r="M391" s="252" t="s">
        <v>1026</v>
      </c>
      <c r="N391" s="253"/>
      <c r="O391" s="150">
        <f t="shared" si="5"/>
        <v>0</v>
      </c>
      <c r="P391" s="151"/>
      <c r="Q391" s="151"/>
    </row>
    <row r="392" spans="1:17" ht="20.100000000000001" hidden="1" customHeight="1">
      <c r="A392" s="141">
        <v>386</v>
      </c>
      <c r="B392" s="142" t="s">
        <v>1231</v>
      </c>
      <c r="C392" s="143" t="s">
        <v>1024</v>
      </c>
      <c r="D392" s="2793" t="s">
        <v>29</v>
      </c>
      <c r="E392" s="144"/>
      <c r="F392" s="144"/>
      <c r="G392" s="160">
        <v>1</v>
      </c>
      <c r="H392" s="144"/>
      <c r="I392" s="144"/>
      <c r="J392" s="145"/>
      <c r="K392" s="307"/>
      <c r="L392" s="532"/>
      <c r="M392" s="246" t="s">
        <v>119</v>
      </c>
      <c r="N392" s="108">
        <v>-2081307.41</v>
      </c>
      <c r="O392" s="150">
        <f t="shared" si="5"/>
        <v>1</v>
      </c>
      <c r="P392" s="151"/>
      <c r="Q392" s="151"/>
    </row>
    <row r="393" spans="1:17" ht="20.100000000000001" hidden="1" customHeight="1">
      <c r="A393" s="141">
        <v>387</v>
      </c>
      <c r="B393" s="142" t="s">
        <v>1231</v>
      </c>
      <c r="C393" s="143" t="s">
        <v>1024</v>
      </c>
      <c r="D393" s="2795"/>
      <c r="E393" s="144"/>
      <c r="F393" s="144"/>
      <c r="G393" s="160">
        <v>1</v>
      </c>
      <c r="H393" s="144"/>
      <c r="I393" s="144"/>
      <c r="J393" s="145"/>
      <c r="K393" s="307"/>
      <c r="L393" s="532"/>
      <c r="M393" s="246" t="s">
        <v>49</v>
      </c>
      <c r="N393" s="255">
        <v>-237382546.19999999</v>
      </c>
      <c r="O393" s="150">
        <f t="shared" ref="O393:O456" si="6">E393+F393+G393+H393+I393+J393+K393</f>
        <v>1</v>
      </c>
      <c r="P393" s="151"/>
      <c r="Q393" s="151"/>
    </row>
    <row r="394" spans="1:17" ht="20.100000000000001" hidden="1" customHeight="1">
      <c r="A394" s="141">
        <v>388</v>
      </c>
      <c r="B394" s="142" t="s">
        <v>1231</v>
      </c>
      <c r="C394" s="143" t="s">
        <v>1024</v>
      </c>
      <c r="D394" s="2795"/>
      <c r="E394" s="144"/>
      <c r="F394" s="144"/>
      <c r="G394" s="160">
        <v>1</v>
      </c>
      <c r="H394" s="144"/>
      <c r="I394" s="144"/>
      <c r="J394" s="145"/>
      <c r="K394" s="307"/>
      <c r="L394" s="532"/>
      <c r="M394" s="246" t="s">
        <v>32</v>
      </c>
      <c r="N394" s="255">
        <v>42736.98</v>
      </c>
      <c r="O394" s="150">
        <f t="shared" si="6"/>
        <v>1</v>
      </c>
      <c r="P394" s="151"/>
      <c r="Q394" s="151"/>
    </row>
    <row r="395" spans="1:17" ht="20.100000000000001" hidden="1" customHeight="1">
      <c r="A395" s="141">
        <v>389</v>
      </c>
      <c r="B395" s="142" t="s">
        <v>1231</v>
      </c>
      <c r="C395" s="143" t="s">
        <v>1024</v>
      </c>
      <c r="D395" s="2795"/>
      <c r="E395" s="506"/>
      <c r="F395" s="506"/>
      <c r="G395" s="160">
        <v>1</v>
      </c>
      <c r="H395" s="506"/>
      <c r="I395" s="506"/>
      <c r="J395" s="507"/>
      <c r="K395" s="312"/>
      <c r="L395" s="536"/>
      <c r="M395" s="257" t="s">
        <v>207</v>
      </c>
      <c r="N395" s="537">
        <v>36060.32</v>
      </c>
      <c r="O395" s="150">
        <f t="shared" si="6"/>
        <v>1</v>
      </c>
      <c r="P395" s="151"/>
      <c r="Q395" s="151"/>
    </row>
    <row r="396" spans="1:17" ht="20.100000000000001" hidden="1" customHeight="1">
      <c r="A396" s="141">
        <v>390</v>
      </c>
      <c r="B396" s="142" t="s">
        <v>1231</v>
      </c>
      <c r="C396" s="143" t="s">
        <v>1024</v>
      </c>
      <c r="D396" s="2795"/>
      <c r="E396" s="144"/>
      <c r="F396" s="144"/>
      <c r="G396" s="160">
        <v>1</v>
      </c>
      <c r="H396" s="144"/>
      <c r="I396" s="144"/>
      <c r="J396" s="145"/>
      <c r="K396" s="312"/>
      <c r="L396" s="532"/>
      <c r="M396" s="246" t="s">
        <v>50</v>
      </c>
      <c r="N396" s="267">
        <v>20111.400000000001</v>
      </c>
      <c r="O396" s="150">
        <f t="shared" si="6"/>
        <v>1</v>
      </c>
      <c r="P396" s="151"/>
      <c r="Q396" s="151"/>
    </row>
    <row r="397" spans="1:17" ht="20.100000000000001" hidden="1" customHeight="1">
      <c r="A397" s="141">
        <v>391</v>
      </c>
      <c r="B397" s="142" t="s">
        <v>1231</v>
      </c>
      <c r="C397" s="143" t="s">
        <v>1024</v>
      </c>
      <c r="D397" s="2795"/>
      <c r="E397" s="506"/>
      <c r="F397" s="506"/>
      <c r="G397" s="506"/>
      <c r="H397" s="506"/>
      <c r="I397" s="506"/>
      <c r="J397" s="507"/>
      <c r="K397" s="234"/>
      <c r="L397" s="538"/>
      <c r="M397" s="259" t="s">
        <v>1028</v>
      </c>
      <c r="N397" s="236"/>
      <c r="O397" s="150">
        <f t="shared" si="6"/>
        <v>0</v>
      </c>
      <c r="P397" s="151"/>
      <c r="Q397" s="151"/>
    </row>
    <row r="398" spans="1:17" ht="20.100000000000001" hidden="1" customHeight="1">
      <c r="A398" s="141">
        <v>392</v>
      </c>
      <c r="B398" s="142" t="s">
        <v>1231</v>
      </c>
      <c r="C398" s="143" t="s">
        <v>1024</v>
      </c>
      <c r="D398" s="2795"/>
      <c r="E398" s="144"/>
      <c r="F398" s="144"/>
      <c r="G398" s="160">
        <v>1</v>
      </c>
      <c r="H398" s="144"/>
      <c r="I398" s="144"/>
      <c r="J398" s="145"/>
      <c r="K398" s="232"/>
      <c r="L398" s="533"/>
      <c r="M398" s="261" t="s">
        <v>1237</v>
      </c>
      <c r="N398" s="239">
        <v>137.77000000000001</v>
      </c>
      <c r="O398" s="150">
        <f t="shared" si="6"/>
        <v>1</v>
      </c>
      <c r="P398" s="151"/>
      <c r="Q398" s="151"/>
    </row>
    <row r="399" spans="1:17" ht="20.100000000000001" hidden="1" customHeight="1">
      <c r="A399" s="141">
        <v>393</v>
      </c>
      <c r="B399" s="142" t="s">
        <v>1231</v>
      </c>
      <c r="C399" s="143" t="s">
        <v>1024</v>
      </c>
      <c r="D399" s="2795"/>
      <c r="E399" s="144"/>
      <c r="F399" s="144"/>
      <c r="G399" s="144"/>
      <c r="H399" s="144"/>
      <c r="I399" s="144"/>
      <c r="J399" s="145"/>
      <c r="K399" s="308"/>
      <c r="L399" s="539"/>
      <c r="M399" s="289" t="s">
        <v>1141</v>
      </c>
      <c r="N399" s="309"/>
      <c r="O399" s="150">
        <f t="shared" si="6"/>
        <v>0</v>
      </c>
      <c r="P399" s="151"/>
      <c r="Q399" s="151"/>
    </row>
    <row r="400" spans="1:17" ht="20.100000000000001" customHeight="1">
      <c r="A400" s="141">
        <v>394</v>
      </c>
      <c r="B400" s="142" t="s">
        <v>1231</v>
      </c>
      <c r="C400" s="143" t="s">
        <v>1024</v>
      </c>
      <c r="D400" s="2795"/>
      <c r="E400" s="144"/>
      <c r="F400" s="144"/>
      <c r="G400" s="144"/>
      <c r="H400" s="144"/>
      <c r="I400" s="144"/>
      <c r="J400" s="145"/>
      <c r="K400" s="232">
        <v>10</v>
      </c>
      <c r="L400" s="418" t="s">
        <v>1238</v>
      </c>
      <c r="M400" s="292" t="s">
        <v>1239</v>
      </c>
      <c r="N400" s="540">
        <v>1584102.75</v>
      </c>
      <c r="O400" s="150">
        <f t="shared" si="6"/>
        <v>10</v>
      </c>
      <c r="P400" s="151"/>
      <c r="Q400" s="151"/>
    </row>
    <row r="401" spans="1:17" ht="20.100000000000001" hidden="1" customHeight="1">
      <c r="A401" s="141">
        <v>395</v>
      </c>
      <c r="B401" s="142" t="s">
        <v>1231</v>
      </c>
      <c r="C401" s="143" t="s">
        <v>1024</v>
      </c>
      <c r="D401" s="2795"/>
      <c r="E401" s="144"/>
      <c r="F401" s="144"/>
      <c r="G401" s="144"/>
      <c r="H401" s="144"/>
      <c r="I401" s="144"/>
      <c r="J401" s="145"/>
      <c r="K401" s="308"/>
      <c r="L401" s="539"/>
      <c r="M401" s="263" t="s">
        <v>1029</v>
      </c>
      <c r="N401" s="264"/>
      <c r="O401" s="150">
        <f t="shared" si="6"/>
        <v>0</v>
      </c>
      <c r="P401" s="151"/>
      <c r="Q401" s="151"/>
    </row>
    <row r="402" spans="1:17" ht="20.100000000000001" customHeight="1">
      <c r="A402" s="141">
        <v>396</v>
      </c>
      <c r="B402" s="142" t="s">
        <v>1231</v>
      </c>
      <c r="C402" s="143" t="s">
        <v>1024</v>
      </c>
      <c r="D402" s="2795"/>
      <c r="E402" s="144"/>
      <c r="F402" s="144"/>
      <c r="G402" s="144"/>
      <c r="H402" s="144"/>
      <c r="I402" s="144"/>
      <c r="J402" s="145"/>
      <c r="K402" s="219">
        <v>1</v>
      </c>
      <c r="L402" s="220" t="s">
        <v>1240</v>
      </c>
      <c r="M402" s="2818" t="s">
        <v>1241</v>
      </c>
      <c r="N402" s="541">
        <v>-98134.21</v>
      </c>
      <c r="O402" s="150">
        <f t="shared" si="6"/>
        <v>1</v>
      </c>
      <c r="P402" s="151"/>
      <c r="Q402" s="151"/>
    </row>
    <row r="403" spans="1:17" ht="20.100000000000001" customHeight="1">
      <c r="A403" s="141">
        <v>397</v>
      </c>
      <c r="B403" s="142" t="s">
        <v>1231</v>
      </c>
      <c r="C403" s="143" t="s">
        <v>1024</v>
      </c>
      <c r="D403" s="2795"/>
      <c r="E403" s="506"/>
      <c r="F403" s="506"/>
      <c r="G403" s="506"/>
      <c r="H403" s="506"/>
      <c r="I403" s="506"/>
      <c r="J403" s="507"/>
      <c r="K403" s="312">
        <v>1</v>
      </c>
      <c r="L403" s="532"/>
      <c r="M403" s="276" t="s">
        <v>1242</v>
      </c>
      <c r="N403" s="267">
        <v>-6945.4</v>
      </c>
      <c r="O403" s="150">
        <f t="shared" si="6"/>
        <v>1</v>
      </c>
      <c r="P403" s="151"/>
      <c r="Q403" s="151"/>
    </row>
    <row r="404" spans="1:17" ht="20.100000000000001" customHeight="1">
      <c r="A404" s="141">
        <v>398</v>
      </c>
      <c r="B404" s="142" t="s">
        <v>1231</v>
      </c>
      <c r="C404" s="143" t="s">
        <v>1024</v>
      </c>
      <c r="D404" s="2795"/>
      <c r="E404" s="144"/>
      <c r="F404" s="144"/>
      <c r="G404" s="144"/>
      <c r="H404" s="160"/>
      <c r="I404" s="144"/>
      <c r="J404" s="145"/>
      <c r="K404" s="312">
        <v>2</v>
      </c>
      <c r="L404" s="532"/>
      <c r="M404" s="226" t="s">
        <v>1243</v>
      </c>
      <c r="N404" s="267">
        <v>-46123.58</v>
      </c>
      <c r="O404" s="150">
        <f t="shared" si="6"/>
        <v>2</v>
      </c>
      <c r="P404" s="151"/>
      <c r="Q404" s="151"/>
    </row>
    <row r="405" spans="1:17" ht="20.100000000000001" customHeight="1">
      <c r="A405" s="141">
        <v>399</v>
      </c>
      <c r="B405" s="142" t="s">
        <v>1231</v>
      </c>
      <c r="C405" s="143" t="s">
        <v>1024</v>
      </c>
      <c r="D405" s="2795"/>
      <c r="E405" s="144"/>
      <c r="F405" s="144"/>
      <c r="G405" s="144"/>
      <c r="H405" s="144"/>
      <c r="I405" s="160"/>
      <c r="J405" s="145"/>
      <c r="K405" s="312">
        <v>1</v>
      </c>
      <c r="L405" s="532"/>
      <c r="M405" s="276" t="s">
        <v>1244</v>
      </c>
      <c r="N405" s="267">
        <v>24504.13</v>
      </c>
      <c r="O405" s="150">
        <f t="shared" si="6"/>
        <v>1</v>
      </c>
      <c r="P405" s="151"/>
      <c r="Q405" s="151"/>
    </row>
    <row r="406" spans="1:17" ht="20.100000000000001" customHeight="1">
      <c r="A406" s="141">
        <v>400</v>
      </c>
      <c r="B406" s="142" t="s">
        <v>1231</v>
      </c>
      <c r="C406" s="143" t="s">
        <v>1024</v>
      </c>
      <c r="D406" s="2794"/>
      <c r="E406" s="506"/>
      <c r="F406" s="506"/>
      <c r="G406" s="506"/>
      <c r="H406" s="506"/>
      <c r="I406" s="506"/>
      <c r="J406" s="507"/>
      <c r="K406" s="232">
        <v>29</v>
      </c>
      <c r="L406" s="532"/>
      <c r="M406" s="226" t="s">
        <v>1245</v>
      </c>
      <c r="N406" s="239">
        <v>65036.56</v>
      </c>
      <c r="O406" s="150">
        <f t="shared" si="6"/>
        <v>29</v>
      </c>
      <c r="P406" s="151"/>
      <c r="Q406" s="151"/>
    </row>
    <row r="407" spans="1:17" ht="20.100000000000001" customHeight="1">
      <c r="A407" s="141">
        <v>401</v>
      </c>
      <c r="B407" s="142" t="s">
        <v>1231</v>
      </c>
      <c r="C407" s="143" t="s">
        <v>1024</v>
      </c>
      <c r="D407" s="182" t="s">
        <v>1105</v>
      </c>
      <c r="E407" s="144"/>
      <c r="F407" s="160"/>
      <c r="G407" s="144"/>
      <c r="H407" s="144"/>
      <c r="I407" s="144"/>
      <c r="J407" s="145"/>
      <c r="K407" s="232">
        <v>5</v>
      </c>
      <c r="L407" s="532" t="s">
        <v>100</v>
      </c>
      <c r="M407" s="361" t="s">
        <v>1061</v>
      </c>
      <c r="N407" s="239">
        <v>5633815.7199999997</v>
      </c>
      <c r="O407" s="150">
        <f t="shared" si="6"/>
        <v>5</v>
      </c>
      <c r="P407" s="151"/>
      <c r="Q407" s="151"/>
    </row>
    <row r="408" spans="1:17" ht="20.100000000000001" hidden="1" customHeight="1">
      <c r="A408" s="141">
        <v>402</v>
      </c>
      <c r="B408" s="142" t="s">
        <v>1231</v>
      </c>
      <c r="C408" s="143" t="s">
        <v>1024</v>
      </c>
      <c r="D408" s="2793" t="s">
        <v>33</v>
      </c>
      <c r="E408" s="160"/>
      <c r="F408" s="144"/>
      <c r="G408" s="144"/>
      <c r="H408" s="144">
        <v>428</v>
      </c>
      <c r="I408" s="144"/>
      <c r="J408" s="145"/>
      <c r="K408" s="232"/>
      <c r="L408" s="532"/>
      <c r="M408" s="246" t="s">
        <v>1246</v>
      </c>
      <c r="N408" s="267">
        <v>0</v>
      </c>
      <c r="O408" s="150">
        <f t="shared" si="6"/>
        <v>428</v>
      </c>
      <c r="P408" s="151"/>
      <c r="Q408" s="151"/>
    </row>
    <row r="409" spans="1:17" ht="20.100000000000001" hidden="1" customHeight="1">
      <c r="A409" s="141">
        <v>403</v>
      </c>
      <c r="B409" s="142" t="s">
        <v>1231</v>
      </c>
      <c r="C409" s="143" t="s">
        <v>1024</v>
      </c>
      <c r="D409" s="2794"/>
      <c r="E409" s="144"/>
      <c r="F409" s="144"/>
      <c r="G409" s="144"/>
      <c r="H409" s="144"/>
      <c r="I409" s="144">
        <v>4990</v>
      </c>
      <c r="J409" s="145"/>
      <c r="K409" s="542"/>
      <c r="L409" s="532" t="s">
        <v>100</v>
      </c>
      <c r="M409" s="246" t="s">
        <v>35</v>
      </c>
      <c r="N409" s="204">
        <v>16701962.699999999</v>
      </c>
      <c r="O409" s="150">
        <f t="shared" si="6"/>
        <v>4990</v>
      </c>
      <c r="P409" s="151"/>
      <c r="Q409" s="151"/>
    </row>
    <row r="410" spans="1:17" ht="20.100000000000001" hidden="1" customHeight="1">
      <c r="A410" s="141">
        <v>404</v>
      </c>
      <c r="B410" s="142" t="s">
        <v>1231</v>
      </c>
      <c r="C410" s="143" t="s">
        <v>1024</v>
      </c>
      <c r="D410" s="2793" t="s">
        <v>36</v>
      </c>
      <c r="E410" s="144"/>
      <c r="F410" s="144">
        <v>108</v>
      </c>
      <c r="G410" s="144"/>
      <c r="H410" s="144"/>
      <c r="I410" s="144"/>
      <c r="J410" s="145"/>
      <c r="K410" s="307"/>
      <c r="L410" s="532" t="s">
        <v>100</v>
      </c>
      <c r="M410" s="246" t="s">
        <v>1247</v>
      </c>
      <c r="N410" s="250">
        <v>0</v>
      </c>
      <c r="O410" s="150">
        <f t="shared" si="6"/>
        <v>108</v>
      </c>
      <c r="P410" s="151"/>
      <c r="Q410" s="151"/>
    </row>
    <row r="411" spans="1:17" ht="20.100000000000001" hidden="1" customHeight="1">
      <c r="A411" s="141">
        <v>405</v>
      </c>
      <c r="B411" s="142" t="s">
        <v>1231</v>
      </c>
      <c r="C411" s="143" t="s">
        <v>1024</v>
      </c>
      <c r="D411" s="2792"/>
      <c r="E411" s="144">
        <v>19</v>
      </c>
      <c r="F411" s="144"/>
      <c r="G411" s="144"/>
      <c r="H411" s="144"/>
      <c r="I411" s="144"/>
      <c r="J411" s="145"/>
      <c r="K411" s="307"/>
      <c r="L411" s="532" t="s">
        <v>100</v>
      </c>
      <c r="M411" s="246" t="s">
        <v>1248</v>
      </c>
      <c r="N411" s="250">
        <v>0</v>
      </c>
      <c r="O411" s="150">
        <f t="shared" si="6"/>
        <v>19</v>
      </c>
      <c r="P411" s="151"/>
      <c r="Q411" s="151"/>
    </row>
    <row r="412" spans="1:17" ht="20.100000000000001" customHeight="1">
      <c r="A412" s="141">
        <v>406</v>
      </c>
      <c r="B412" s="142" t="s">
        <v>1249</v>
      </c>
      <c r="C412" s="143" t="s">
        <v>1024</v>
      </c>
      <c r="D412" s="2793" t="s">
        <v>1250</v>
      </c>
      <c r="E412" s="144"/>
      <c r="F412" s="144"/>
      <c r="G412" s="160"/>
      <c r="H412" s="144"/>
      <c r="I412" s="144"/>
      <c r="J412" s="145"/>
      <c r="K412" s="307">
        <v>1</v>
      </c>
      <c r="L412" s="393" t="s">
        <v>1251</v>
      </c>
      <c r="M412" s="543" t="s">
        <v>1252</v>
      </c>
      <c r="N412" s="250">
        <v>2000</v>
      </c>
      <c r="O412" s="150">
        <f t="shared" si="6"/>
        <v>1</v>
      </c>
      <c r="P412" s="151"/>
      <c r="Q412" s="151"/>
    </row>
    <row r="413" spans="1:17" ht="20.100000000000001" customHeight="1">
      <c r="A413" s="141">
        <v>407</v>
      </c>
      <c r="B413" s="142" t="s">
        <v>1249</v>
      </c>
      <c r="C413" s="143" t="s">
        <v>1024</v>
      </c>
      <c r="D413" s="2794"/>
      <c r="E413" s="144"/>
      <c r="F413" s="144"/>
      <c r="G413" s="160"/>
      <c r="H413" s="144"/>
      <c r="I413" s="144"/>
      <c r="J413" s="145"/>
      <c r="K413" s="358">
        <v>1</v>
      </c>
      <c r="L413" s="544"/>
      <c r="M413" s="226" t="s">
        <v>1253</v>
      </c>
      <c r="N413" s="250">
        <v>225654.22</v>
      </c>
      <c r="O413" s="150">
        <f t="shared" si="6"/>
        <v>1</v>
      </c>
      <c r="P413" s="151"/>
      <c r="Q413" s="151"/>
    </row>
    <row r="414" spans="1:17" ht="20.100000000000001" hidden="1" customHeight="1">
      <c r="A414" s="141">
        <v>408</v>
      </c>
      <c r="B414" s="142" t="s">
        <v>1249</v>
      </c>
      <c r="C414" s="143" t="s">
        <v>1024</v>
      </c>
      <c r="D414" s="2793" t="s">
        <v>29</v>
      </c>
      <c r="E414" s="144"/>
      <c r="F414" s="144"/>
      <c r="G414" s="160"/>
      <c r="H414" s="144"/>
      <c r="I414" s="144"/>
      <c r="J414" s="145"/>
      <c r="K414" s="306"/>
      <c r="L414" s="535"/>
      <c r="M414" s="252" t="s">
        <v>1026</v>
      </c>
      <c r="N414" s="250"/>
      <c r="O414" s="150">
        <f t="shared" si="6"/>
        <v>0</v>
      </c>
      <c r="P414" s="151"/>
      <c r="Q414" s="151"/>
    </row>
    <row r="415" spans="1:17" ht="20.100000000000001" hidden="1" customHeight="1">
      <c r="A415" s="141">
        <v>409</v>
      </c>
      <c r="B415" s="142" t="s">
        <v>1249</v>
      </c>
      <c r="C415" s="143" t="s">
        <v>1024</v>
      </c>
      <c r="D415" s="2795"/>
      <c r="E415" s="144"/>
      <c r="F415" s="144"/>
      <c r="G415" s="160">
        <v>1</v>
      </c>
      <c r="H415" s="144"/>
      <c r="I415" s="144"/>
      <c r="J415" s="145"/>
      <c r="K415" s="307"/>
      <c r="L415" s="409"/>
      <c r="M415" s="246" t="s">
        <v>119</v>
      </c>
      <c r="N415" s="250">
        <v>-427324.48</v>
      </c>
      <c r="O415" s="150">
        <f t="shared" si="6"/>
        <v>1</v>
      </c>
      <c r="P415" s="151"/>
      <c r="Q415" s="151"/>
    </row>
    <row r="416" spans="1:17" ht="20.100000000000001" hidden="1" customHeight="1">
      <c r="A416" s="141">
        <v>410</v>
      </c>
      <c r="B416" s="142" t="s">
        <v>1249</v>
      </c>
      <c r="C416" s="143" t="s">
        <v>1024</v>
      </c>
      <c r="D416" s="2795"/>
      <c r="E416" s="144"/>
      <c r="F416" s="144"/>
      <c r="G416" s="160">
        <v>1</v>
      </c>
      <c r="H416" s="144"/>
      <c r="I416" s="144"/>
      <c r="J416" s="145"/>
      <c r="K416" s="307"/>
      <c r="L416" s="409"/>
      <c r="M416" s="246" t="s">
        <v>49</v>
      </c>
      <c r="N416" s="250">
        <f>-1590389939</f>
        <v>-1590389939</v>
      </c>
      <c r="O416" s="150">
        <f t="shared" si="6"/>
        <v>1</v>
      </c>
      <c r="P416" s="151"/>
      <c r="Q416" s="151"/>
    </row>
    <row r="417" spans="1:17" ht="20.100000000000001" hidden="1" customHeight="1">
      <c r="A417" s="141">
        <v>411</v>
      </c>
      <c r="B417" s="142" t="s">
        <v>1249</v>
      </c>
      <c r="C417" s="143" t="s">
        <v>1024</v>
      </c>
      <c r="D417" s="2795"/>
      <c r="E417" s="144"/>
      <c r="F417" s="144"/>
      <c r="G417" s="160">
        <v>1</v>
      </c>
      <c r="H417" s="144"/>
      <c r="I417" s="144"/>
      <c r="J417" s="145"/>
      <c r="K417" s="307"/>
      <c r="L417" s="416"/>
      <c r="M417" s="246" t="s">
        <v>1027</v>
      </c>
      <c r="N417" s="250">
        <v>501775.06</v>
      </c>
      <c r="O417" s="150">
        <f t="shared" si="6"/>
        <v>1</v>
      </c>
      <c r="P417" s="151"/>
      <c r="Q417" s="151"/>
    </row>
    <row r="418" spans="1:17" ht="20.100000000000001" customHeight="1">
      <c r="A418" s="141">
        <v>412</v>
      </c>
      <c r="B418" s="142" t="s">
        <v>1249</v>
      </c>
      <c r="C418" s="143" t="s">
        <v>1024</v>
      </c>
      <c r="D418" s="2795"/>
      <c r="E418" s="144"/>
      <c r="F418" s="144"/>
      <c r="G418" s="144"/>
      <c r="H418" s="144"/>
      <c r="I418" s="144"/>
      <c r="J418" s="145"/>
      <c r="K418" s="307">
        <v>1</v>
      </c>
      <c r="L418" s="545" t="s">
        <v>1254</v>
      </c>
      <c r="M418" s="246" t="s">
        <v>1255</v>
      </c>
      <c r="N418" s="250">
        <v>3298093.26</v>
      </c>
      <c r="O418" s="150">
        <f t="shared" si="6"/>
        <v>1</v>
      </c>
      <c r="P418" s="546"/>
      <c r="Q418" s="546"/>
    </row>
    <row r="419" spans="1:17" ht="20.100000000000001" hidden="1" customHeight="1">
      <c r="A419" s="141">
        <v>413</v>
      </c>
      <c r="B419" s="142" t="s">
        <v>1249</v>
      </c>
      <c r="C419" s="143" t="s">
        <v>1024</v>
      </c>
      <c r="D419" s="2795"/>
      <c r="E419" s="144"/>
      <c r="F419" s="144"/>
      <c r="G419" s="160">
        <v>1</v>
      </c>
      <c r="H419" s="144"/>
      <c r="I419" s="144"/>
      <c r="J419" s="145"/>
      <c r="K419" s="307"/>
      <c r="L419" s="409"/>
      <c r="M419" s="246" t="s">
        <v>708</v>
      </c>
      <c r="N419" s="250">
        <v>-118.76</v>
      </c>
      <c r="O419" s="150">
        <f t="shared" si="6"/>
        <v>1</v>
      </c>
      <c r="P419" s="546"/>
      <c r="Q419" s="546"/>
    </row>
    <row r="420" spans="1:17" ht="20.100000000000001" hidden="1" customHeight="1">
      <c r="A420" s="141">
        <v>414</v>
      </c>
      <c r="B420" s="142" t="s">
        <v>1249</v>
      </c>
      <c r="C420" s="143" t="s">
        <v>1024</v>
      </c>
      <c r="D420" s="2795"/>
      <c r="E420" s="506"/>
      <c r="F420" s="506"/>
      <c r="G420" s="160">
        <v>1</v>
      </c>
      <c r="H420" s="506"/>
      <c r="I420" s="506"/>
      <c r="J420" s="507"/>
      <c r="K420" s="307"/>
      <c r="L420" s="409"/>
      <c r="M420" s="246" t="s">
        <v>901</v>
      </c>
      <c r="N420" s="250">
        <v>12700.19</v>
      </c>
      <c r="O420" s="150">
        <f t="shared" si="6"/>
        <v>1</v>
      </c>
      <c r="P420" s="546"/>
      <c r="Q420" s="546"/>
    </row>
    <row r="421" spans="1:17" ht="20.100000000000001" customHeight="1">
      <c r="A421" s="141">
        <v>415</v>
      </c>
      <c r="B421" s="142" t="s">
        <v>1249</v>
      </c>
      <c r="C421" s="143" t="s">
        <v>1024</v>
      </c>
      <c r="D421" s="2795"/>
      <c r="E421" s="144"/>
      <c r="F421" s="144"/>
      <c r="G421" s="144"/>
      <c r="H421" s="144"/>
      <c r="I421" s="144"/>
      <c r="J421" s="145"/>
      <c r="K421" s="307">
        <v>1</v>
      </c>
      <c r="L421" s="545" t="s">
        <v>1256</v>
      </c>
      <c r="M421" s="226" t="s">
        <v>1257</v>
      </c>
      <c r="N421" s="250">
        <v>391680.11</v>
      </c>
      <c r="O421" s="150">
        <f t="shared" si="6"/>
        <v>1</v>
      </c>
      <c r="P421" s="546"/>
      <c r="Q421" s="546"/>
    </row>
    <row r="422" spans="1:17" ht="20.100000000000001" customHeight="1">
      <c r="A422" s="141">
        <v>416</v>
      </c>
      <c r="B422" s="142" t="s">
        <v>1249</v>
      </c>
      <c r="C422" s="143" t="s">
        <v>1024</v>
      </c>
      <c r="D422" s="2795"/>
      <c r="E422" s="144"/>
      <c r="F422" s="144"/>
      <c r="G422" s="160"/>
      <c r="H422" s="144"/>
      <c r="I422" s="144"/>
      <c r="J422" s="145"/>
      <c r="K422" s="307">
        <v>1</v>
      </c>
      <c r="L422" s="545" t="s">
        <v>1256</v>
      </c>
      <c r="M422" s="226" t="s">
        <v>1258</v>
      </c>
      <c r="N422" s="250">
        <v>1021.73</v>
      </c>
      <c r="O422" s="150">
        <f t="shared" si="6"/>
        <v>1</v>
      </c>
      <c r="P422" s="546"/>
      <c r="Q422" s="546"/>
    </row>
    <row r="423" spans="1:17" ht="20.100000000000001" hidden="1" customHeight="1">
      <c r="A423" s="141">
        <v>417</v>
      </c>
      <c r="B423" s="142" t="s">
        <v>1249</v>
      </c>
      <c r="C423" s="143" t="s">
        <v>1024</v>
      </c>
      <c r="D423" s="2795"/>
      <c r="E423" s="144"/>
      <c r="F423" s="144"/>
      <c r="G423" s="144"/>
      <c r="H423" s="144"/>
      <c r="I423" s="144"/>
      <c r="J423" s="145"/>
      <c r="K423" s="306"/>
      <c r="L423" s="539"/>
      <c r="M423" s="252" t="s">
        <v>1259</v>
      </c>
      <c r="N423" s="250"/>
      <c r="O423" s="150">
        <f t="shared" si="6"/>
        <v>0</v>
      </c>
      <c r="P423" s="151"/>
      <c r="Q423" s="151"/>
    </row>
    <row r="424" spans="1:17" ht="20.100000000000001" hidden="1" customHeight="1">
      <c r="A424" s="141">
        <v>418</v>
      </c>
      <c r="B424" s="142" t="s">
        <v>1249</v>
      </c>
      <c r="C424" s="143" t="s">
        <v>1024</v>
      </c>
      <c r="D424" s="2795"/>
      <c r="E424" s="144"/>
      <c r="F424" s="144"/>
      <c r="G424" s="160">
        <v>1</v>
      </c>
      <c r="H424" s="144"/>
      <c r="I424" s="144"/>
      <c r="J424" s="145"/>
      <c r="K424" s="307"/>
      <c r="L424" s="416" t="s">
        <v>741</v>
      </c>
      <c r="M424" s="246" t="s">
        <v>1069</v>
      </c>
      <c r="N424" s="250">
        <v>8.5</v>
      </c>
      <c r="O424" s="150">
        <f t="shared" si="6"/>
        <v>1</v>
      </c>
      <c r="P424" s="546"/>
      <c r="Q424" s="546"/>
    </row>
    <row r="425" spans="1:17" ht="20.100000000000001" customHeight="1">
      <c r="A425" s="141">
        <v>419</v>
      </c>
      <c r="B425" s="142" t="s">
        <v>1249</v>
      </c>
      <c r="C425" s="143" t="s">
        <v>1024</v>
      </c>
      <c r="D425" s="2795"/>
      <c r="E425" s="144"/>
      <c r="F425" s="144"/>
      <c r="G425" s="144"/>
      <c r="H425" s="144"/>
      <c r="I425" s="144"/>
      <c r="J425" s="145"/>
      <c r="K425" s="307">
        <v>1</v>
      </c>
      <c r="L425" s="416"/>
      <c r="M425" s="246" t="s">
        <v>1260</v>
      </c>
      <c r="N425" s="250">
        <v>-2398.9299999999998</v>
      </c>
      <c r="O425" s="150">
        <f t="shared" si="6"/>
        <v>1</v>
      </c>
      <c r="P425" s="546"/>
      <c r="Q425" s="546"/>
    </row>
    <row r="426" spans="1:17" ht="20.100000000000001" hidden="1" customHeight="1">
      <c r="A426" s="141">
        <v>420</v>
      </c>
      <c r="B426" s="142" t="s">
        <v>1249</v>
      </c>
      <c r="C426" s="143" t="s">
        <v>1024</v>
      </c>
      <c r="D426" s="2795"/>
      <c r="E426" s="144"/>
      <c r="F426" s="144"/>
      <c r="G426" s="160">
        <v>1</v>
      </c>
      <c r="H426" s="144"/>
      <c r="I426" s="144"/>
      <c r="J426" s="145"/>
      <c r="K426" s="307"/>
      <c r="L426" s="547">
        <v>46149</v>
      </c>
      <c r="M426" s="246" t="s">
        <v>675</v>
      </c>
      <c r="N426" s="548">
        <v>39466.589999999997</v>
      </c>
      <c r="O426" s="150">
        <f t="shared" si="6"/>
        <v>1</v>
      </c>
      <c r="P426" s="151"/>
      <c r="Q426" s="151"/>
    </row>
    <row r="427" spans="1:17" ht="20.100000000000001" customHeight="1">
      <c r="A427" s="141">
        <v>421</v>
      </c>
      <c r="B427" s="142" t="s">
        <v>1249</v>
      </c>
      <c r="C427" s="143" t="s">
        <v>1024</v>
      </c>
      <c r="D427" s="2795"/>
      <c r="E427" s="144"/>
      <c r="F427" s="144"/>
      <c r="G427" s="144"/>
      <c r="H427" s="144"/>
      <c r="I427" s="144"/>
      <c r="J427" s="145"/>
      <c r="K427" s="307">
        <v>1</v>
      </c>
      <c r="L427" s="416"/>
      <c r="M427" s="246" t="s">
        <v>1102</v>
      </c>
      <c r="N427" s="250">
        <v>-6657893.4199999999</v>
      </c>
      <c r="O427" s="150">
        <f t="shared" si="6"/>
        <v>1</v>
      </c>
      <c r="P427" s="151"/>
      <c r="Q427" s="151"/>
    </row>
    <row r="428" spans="1:17" ht="20.100000000000001" hidden="1" customHeight="1">
      <c r="A428" s="141">
        <v>422</v>
      </c>
      <c r="B428" s="142" t="s">
        <v>1249</v>
      </c>
      <c r="C428" s="143" t="s">
        <v>1024</v>
      </c>
      <c r="D428" s="2795"/>
      <c r="E428" s="144"/>
      <c r="F428" s="144"/>
      <c r="G428" s="144"/>
      <c r="H428" s="144"/>
      <c r="I428" s="144"/>
      <c r="J428" s="145"/>
      <c r="K428" s="307"/>
      <c r="L428" s="539"/>
      <c r="M428" s="549" t="s">
        <v>1261</v>
      </c>
      <c r="N428" s="250"/>
      <c r="O428" s="150">
        <f t="shared" si="6"/>
        <v>0</v>
      </c>
      <c r="P428" s="151"/>
      <c r="Q428" s="151"/>
    </row>
    <row r="429" spans="1:17" ht="20.100000000000001" customHeight="1">
      <c r="A429" s="141">
        <v>423</v>
      </c>
      <c r="B429" s="142" t="s">
        <v>1249</v>
      </c>
      <c r="C429" s="143" t="s">
        <v>1024</v>
      </c>
      <c r="D429" s="2795"/>
      <c r="E429" s="144"/>
      <c r="F429" s="144"/>
      <c r="G429" s="144"/>
      <c r="H429" s="144"/>
      <c r="I429" s="144"/>
      <c r="J429" s="145"/>
      <c r="K429" s="307">
        <v>1</v>
      </c>
      <c r="L429" s="550"/>
      <c r="M429" s="246" t="s">
        <v>1262</v>
      </c>
      <c r="N429" s="250">
        <v>4000.01</v>
      </c>
      <c r="O429" s="150">
        <f t="shared" si="6"/>
        <v>1</v>
      </c>
      <c r="P429" s="151"/>
      <c r="Q429" s="151"/>
    </row>
    <row r="430" spans="1:17" ht="20.100000000000001" hidden="1" customHeight="1">
      <c r="A430" s="141">
        <v>424</v>
      </c>
      <c r="B430" s="142" t="s">
        <v>1249</v>
      </c>
      <c r="C430" s="143" t="s">
        <v>1024</v>
      </c>
      <c r="D430" s="2795"/>
      <c r="E430" s="144"/>
      <c r="F430" s="144"/>
      <c r="G430" s="144"/>
      <c r="H430" s="144"/>
      <c r="I430" s="144"/>
      <c r="J430" s="145"/>
      <c r="K430" s="307"/>
      <c r="L430" s="539"/>
      <c r="M430" s="263" t="s">
        <v>1029</v>
      </c>
      <c r="N430" s="250"/>
      <c r="O430" s="150">
        <f t="shared" si="6"/>
        <v>0</v>
      </c>
      <c r="P430" s="546"/>
      <c r="Q430" s="546"/>
    </row>
    <row r="431" spans="1:17" ht="20.100000000000001" customHeight="1">
      <c r="A431" s="141">
        <v>425</v>
      </c>
      <c r="B431" s="142" t="s">
        <v>1249</v>
      </c>
      <c r="C431" s="143" t="s">
        <v>1024</v>
      </c>
      <c r="D431" s="2795"/>
      <c r="E431" s="144"/>
      <c r="F431" s="144"/>
      <c r="G431" s="144"/>
      <c r="H431" s="144"/>
      <c r="I431" s="144"/>
      <c r="J431" s="145"/>
      <c r="K431" s="358">
        <v>1</v>
      </c>
      <c r="L431" s="416" t="s">
        <v>1263</v>
      </c>
      <c r="M431" s="226" t="s">
        <v>1264</v>
      </c>
      <c r="N431" s="271">
        <v>-54133.07</v>
      </c>
      <c r="O431" s="150">
        <f t="shared" si="6"/>
        <v>1</v>
      </c>
      <c r="P431" s="546"/>
      <c r="Q431" s="546"/>
    </row>
    <row r="432" spans="1:17" ht="20.100000000000001" customHeight="1">
      <c r="A432" s="141">
        <v>426</v>
      </c>
      <c r="B432" s="142" t="s">
        <v>1249</v>
      </c>
      <c r="C432" s="143" t="s">
        <v>1024</v>
      </c>
      <c r="D432" s="2795"/>
      <c r="E432" s="144"/>
      <c r="F432" s="144"/>
      <c r="G432" s="144"/>
      <c r="H432" s="144"/>
      <c r="I432" s="144"/>
      <c r="J432" s="145"/>
      <c r="K432" s="358">
        <v>1</v>
      </c>
      <c r="L432" s="416"/>
      <c r="M432" s="226" t="s">
        <v>1265</v>
      </c>
      <c r="N432" s="271">
        <v>-200</v>
      </c>
      <c r="O432" s="150">
        <f t="shared" si="6"/>
        <v>1</v>
      </c>
      <c r="P432" s="546"/>
      <c r="Q432" s="546"/>
    </row>
    <row r="433" spans="1:17" ht="20.100000000000001" customHeight="1">
      <c r="A433" s="141">
        <v>427</v>
      </c>
      <c r="B433" s="142" t="s">
        <v>1249</v>
      </c>
      <c r="C433" s="143" t="s">
        <v>1024</v>
      </c>
      <c r="D433" s="2795"/>
      <c r="E433" s="144"/>
      <c r="F433" s="144"/>
      <c r="G433" s="144"/>
      <c r="H433" s="144"/>
      <c r="I433" s="144"/>
      <c r="J433" s="145"/>
      <c r="K433" s="358">
        <v>1</v>
      </c>
      <c r="L433" s="416"/>
      <c r="M433" s="226" t="s">
        <v>1266</v>
      </c>
      <c r="N433" s="271">
        <f>-31820.42</f>
        <v>-31820.42</v>
      </c>
      <c r="O433" s="150">
        <f t="shared" si="6"/>
        <v>1</v>
      </c>
      <c r="P433" s="546"/>
      <c r="Q433" s="546"/>
    </row>
    <row r="434" spans="1:17" ht="20.100000000000001" customHeight="1">
      <c r="A434" s="141">
        <v>428</v>
      </c>
      <c r="B434" s="142" t="s">
        <v>1249</v>
      </c>
      <c r="C434" s="143" t="s">
        <v>1024</v>
      </c>
      <c r="D434" s="2795"/>
      <c r="E434" s="144"/>
      <c r="F434" s="144"/>
      <c r="G434" s="144"/>
      <c r="H434" s="144"/>
      <c r="I434" s="144"/>
      <c r="J434" s="145"/>
      <c r="K434" s="358">
        <v>1</v>
      </c>
      <c r="L434" s="416" t="s">
        <v>1267</v>
      </c>
      <c r="M434" s="226" t="s">
        <v>1268</v>
      </c>
      <c r="N434" s="271">
        <v>-94205.2</v>
      </c>
      <c r="O434" s="150">
        <f t="shared" si="6"/>
        <v>1</v>
      </c>
      <c r="P434" s="546"/>
      <c r="Q434" s="546"/>
    </row>
    <row r="435" spans="1:17" ht="20.100000000000001" customHeight="1">
      <c r="A435" s="141">
        <v>429</v>
      </c>
      <c r="B435" s="142" t="s">
        <v>1249</v>
      </c>
      <c r="C435" s="143" t="s">
        <v>1024</v>
      </c>
      <c r="D435" s="2795"/>
      <c r="E435" s="144"/>
      <c r="F435" s="144"/>
      <c r="G435" s="144"/>
      <c r="H435" s="144"/>
      <c r="I435" s="144"/>
      <c r="J435" s="145"/>
      <c r="K435" s="307">
        <v>1</v>
      </c>
      <c r="L435" s="551">
        <v>45663</v>
      </c>
      <c r="M435" s="246" t="s">
        <v>1269</v>
      </c>
      <c r="N435" s="250">
        <v>-842237</v>
      </c>
      <c r="O435" s="150">
        <f t="shared" si="6"/>
        <v>1</v>
      </c>
      <c r="P435" s="546"/>
      <c r="Q435" s="546"/>
    </row>
    <row r="436" spans="1:17" ht="20.100000000000001" customHeight="1">
      <c r="A436" s="141">
        <v>430</v>
      </c>
      <c r="B436" s="142" t="s">
        <v>1249</v>
      </c>
      <c r="C436" s="143" t="s">
        <v>1024</v>
      </c>
      <c r="D436" s="2795"/>
      <c r="E436" s="144"/>
      <c r="F436" s="144"/>
      <c r="G436" s="144"/>
      <c r="H436" s="144"/>
      <c r="I436" s="144"/>
      <c r="J436" s="145"/>
      <c r="K436" s="307">
        <v>1</v>
      </c>
      <c r="L436" s="551" t="s">
        <v>1270</v>
      </c>
      <c r="M436" s="226" t="s">
        <v>1271</v>
      </c>
      <c r="N436" s="250">
        <v>1000</v>
      </c>
      <c r="O436" s="150">
        <f t="shared" si="6"/>
        <v>1</v>
      </c>
      <c r="P436" s="546"/>
      <c r="Q436" s="546"/>
    </row>
    <row r="437" spans="1:17" ht="20.100000000000001" customHeight="1">
      <c r="A437" s="141">
        <v>431</v>
      </c>
      <c r="B437" s="142" t="s">
        <v>1249</v>
      </c>
      <c r="C437" s="143" t="s">
        <v>1024</v>
      </c>
      <c r="D437" s="2795"/>
      <c r="E437" s="144"/>
      <c r="F437" s="144"/>
      <c r="G437" s="144"/>
      <c r="H437" s="144"/>
      <c r="I437" s="144"/>
      <c r="J437" s="145"/>
      <c r="K437" s="307">
        <v>1</v>
      </c>
      <c r="L437" s="551" t="s">
        <v>1272</v>
      </c>
      <c r="M437" s="226" t="s">
        <v>1273</v>
      </c>
      <c r="N437" s="250">
        <v>51.15</v>
      </c>
      <c r="O437" s="150">
        <f t="shared" si="6"/>
        <v>1</v>
      </c>
      <c r="P437" s="546"/>
      <c r="Q437" s="546"/>
    </row>
    <row r="438" spans="1:17" ht="20.100000000000001" customHeight="1">
      <c r="A438" s="141">
        <v>432</v>
      </c>
      <c r="B438" s="142" t="s">
        <v>1249</v>
      </c>
      <c r="C438" s="143" t="s">
        <v>1024</v>
      </c>
      <c r="D438" s="2795"/>
      <c r="E438" s="144"/>
      <c r="F438" s="144"/>
      <c r="G438" s="144"/>
      <c r="H438" s="144"/>
      <c r="I438" s="144"/>
      <c r="J438" s="145"/>
      <c r="K438" s="307">
        <v>1</v>
      </c>
      <c r="L438" s="551" t="s">
        <v>1274</v>
      </c>
      <c r="M438" s="226" t="s">
        <v>1275</v>
      </c>
      <c r="N438" s="250">
        <v>4200</v>
      </c>
      <c r="O438" s="150">
        <f t="shared" si="6"/>
        <v>1</v>
      </c>
      <c r="P438" s="546"/>
      <c r="Q438" s="546"/>
    </row>
    <row r="439" spans="1:17" ht="20.100000000000001" customHeight="1">
      <c r="A439" s="141">
        <v>433</v>
      </c>
      <c r="B439" s="142" t="s">
        <v>1249</v>
      </c>
      <c r="C439" s="143" t="s">
        <v>1024</v>
      </c>
      <c r="D439" s="2795"/>
      <c r="E439" s="144"/>
      <c r="F439" s="144"/>
      <c r="G439" s="144"/>
      <c r="H439" s="144"/>
      <c r="I439" s="144"/>
      <c r="J439" s="145"/>
      <c r="K439" s="307">
        <v>1</v>
      </c>
      <c r="L439" s="551">
        <v>46057</v>
      </c>
      <c r="M439" s="226" t="s">
        <v>1276</v>
      </c>
      <c r="N439" s="250">
        <v>13589.82</v>
      </c>
      <c r="O439" s="150">
        <f t="shared" si="6"/>
        <v>1</v>
      </c>
      <c r="P439" s="151"/>
      <c r="Q439" s="151"/>
    </row>
    <row r="440" spans="1:17" ht="20.100000000000001" customHeight="1">
      <c r="A440" s="141">
        <v>434</v>
      </c>
      <c r="B440" s="142" t="s">
        <v>1249</v>
      </c>
      <c r="C440" s="143" t="s">
        <v>1024</v>
      </c>
      <c r="D440" s="2795"/>
      <c r="E440" s="144"/>
      <c r="F440" s="144"/>
      <c r="G440" s="144"/>
      <c r="H440" s="144"/>
      <c r="I440" s="144"/>
      <c r="J440" s="145"/>
      <c r="K440" s="307">
        <v>1</v>
      </c>
      <c r="L440" s="551">
        <v>45968</v>
      </c>
      <c r="M440" s="226" t="s">
        <v>1277</v>
      </c>
      <c r="N440" s="250">
        <v>1597.83</v>
      </c>
      <c r="O440" s="150">
        <f t="shared" si="6"/>
        <v>1</v>
      </c>
      <c r="P440" s="151"/>
      <c r="Q440" s="151"/>
    </row>
    <row r="441" spans="1:17" ht="20.100000000000001" customHeight="1">
      <c r="A441" s="141">
        <v>435</v>
      </c>
      <c r="B441" s="142" t="s">
        <v>1249</v>
      </c>
      <c r="C441" s="143" t="s">
        <v>1024</v>
      </c>
      <c r="D441" s="2795"/>
      <c r="E441" s="144"/>
      <c r="F441" s="144"/>
      <c r="G441" s="144"/>
      <c r="H441" s="144"/>
      <c r="I441" s="144"/>
      <c r="J441" s="145"/>
      <c r="K441" s="307">
        <v>1</v>
      </c>
      <c r="L441" s="551" t="s">
        <v>1256</v>
      </c>
      <c r="M441" s="226" t="s">
        <v>1278</v>
      </c>
      <c r="N441" s="250">
        <v>28100</v>
      </c>
      <c r="O441" s="150">
        <f t="shared" si="6"/>
        <v>1</v>
      </c>
      <c r="P441" s="151"/>
      <c r="Q441" s="151"/>
    </row>
    <row r="442" spans="1:17" ht="20.100000000000001" customHeight="1">
      <c r="A442" s="141">
        <v>436</v>
      </c>
      <c r="B442" s="142" t="s">
        <v>1249</v>
      </c>
      <c r="C442" s="143" t="s">
        <v>1024</v>
      </c>
      <c r="D442" s="2795"/>
      <c r="E442" s="144"/>
      <c r="F442" s="144"/>
      <c r="G442" s="144"/>
      <c r="H442" s="160"/>
      <c r="I442" s="144"/>
      <c r="J442" s="145"/>
      <c r="K442" s="307">
        <v>1</v>
      </c>
      <c r="L442" s="551" t="s">
        <v>816</v>
      </c>
      <c r="M442" s="226" t="s">
        <v>1279</v>
      </c>
      <c r="N442" s="250">
        <v>450000</v>
      </c>
      <c r="O442" s="150">
        <f t="shared" si="6"/>
        <v>1</v>
      </c>
      <c r="P442" s="546"/>
      <c r="Q442" s="546"/>
    </row>
    <row r="443" spans="1:17" ht="20.100000000000001" customHeight="1">
      <c r="A443" s="141">
        <v>437</v>
      </c>
      <c r="B443" s="142" t="s">
        <v>1249</v>
      </c>
      <c r="C443" s="143" t="s">
        <v>1024</v>
      </c>
      <c r="D443" s="2795"/>
      <c r="E443" s="144"/>
      <c r="F443" s="144"/>
      <c r="G443" s="144"/>
      <c r="H443" s="144"/>
      <c r="I443" s="160"/>
      <c r="J443" s="145"/>
      <c r="K443" s="307">
        <v>1</v>
      </c>
      <c r="L443" s="551" t="s">
        <v>1280</v>
      </c>
      <c r="M443" s="226" t="s">
        <v>1281</v>
      </c>
      <c r="N443" s="250">
        <v>721.78</v>
      </c>
      <c r="O443" s="150">
        <f t="shared" si="6"/>
        <v>1</v>
      </c>
      <c r="P443" s="546"/>
      <c r="Q443" s="546"/>
    </row>
    <row r="444" spans="1:17" ht="20.100000000000001" customHeight="1">
      <c r="A444" s="141">
        <v>438</v>
      </c>
      <c r="B444" s="142" t="s">
        <v>1249</v>
      </c>
      <c r="C444" s="143" t="s">
        <v>1024</v>
      </c>
      <c r="D444" s="2794"/>
      <c r="E444" s="144"/>
      <c r="F444" s="144"/>
      <c r="G444" s="144"/>
      <c r="H444" s="144"/>
      <c r="I444" s="144"/>
      <c r="J444" s="145"/>
      <c r="K444" s="358">
        <v>1</v>
      </c>
      <c r="L444" s="416" t="s">
        <v>1282</v>
      </c>
      <c r="M444" s="226" t="s">
        <v>1283</v>
      </c>
      <c r="N444" s="271">
        <v>2251.31</v>
      </c>
      <c r="O444" s="150">
        <f t="shared" si="6"/>
        <v>1</v>
      </c>
      <c r="P444" s="151"/>
      <c r="Q444" s="151"/>
    </row>
    <row r="445" spans="1:17" ht="20.100000000000001" customHeight="1">
      <c r="A445" s="141">
        <v>439</v>
      </c>
      <c r="B445" s="142" t="s">
        <v>1249</v>
      </c>
      <c r="C445" s="143" t="s">
        <v>1024</v>
      </c>
      <c r="D445" s="182" t="s">
        <v>1105</v>
      </c>
      <c r="E445" s="144"/>
      <c r="F445" s="160"/>
      <c r="G445" s="144"/>
      <c r="H445" s="144"/>
      <c r="I445" s="144"/>
      <c r="J445" s="145"/>
      <c r="K445" s="358">
        <v>10</v>
      </c>
      <c r="L445" s="416"/>
      <c r="M445" s="226" t="s">
        <v>1061</v>
      </c>
      <c r="N445" s="271">
        <v>17992668.850000001</v>
      </c>
      <c r="O445" s="150">
        <f t="shared" si="6"/>
        <v>10</v>
      </c>
      <c r="P445" s="151"/>
      <c r="Q445" s="151"/>
    </row>
    <row r="446" spans="1:17" ht="20.100000000000001" customHeight="1">
      <c r="A446" s="141">
        <v>440</v>
      </c>
      <c r="B446" s="142" t="s">
        <v>1249</v>
      </c>
      <c r="C446" s="143" t="s">
        <v>1024</v>
      </c>
      <c r="D446" s="2801" t="s">
        <v>33</v>
      </c>
      <c r="E446" s="160"/>
      <c r="F446" s="144"/>
      <c r="G446" s="144"/>
      <c r="H446" s="144"/>
      <c r="I446" s="144"/>
      <c r="J446" s="145"/>
      <c r="K446" s="307">
        <v>60</v>
      </c>
      <c r="L446" s="552" t="s">
        <v>1284</v>
      </c>
      <c r="M446" s="246" t="s">
        <v>1285</v>
      </c>
      <c r="N446" s="250">
        <f>60*50</f>
        <v>3000</v>
      </c>
      <c r="O446" s="150">
        <f t="shared" si="6"/>
        <v>60</v>
      </c>
      <c r="P446" s="151"/>
      <c r="Q446" s="151"/>
    </row>
    <row r="447" spans="1:17" ht="20.100000000000001" hidden="1" customHeight="1">
      <c r="A447" s="141">
        <v>441</v>
      </c>
      <c r="B447" s="142" t="s">
        <v>1249</v>
      </c>
      <c r="C447" s="143" t="s">
        <v>1024</v>
      </c>
      <c r="D447" s="2800"/>
      <c r="E447" s="144"/>
      <c r="F447" s="144"/>
      <c r="G447" s="144"/>
      <c r="H447" s="144">
        <v>149</v>
      </c>
      <c r="I447" s="144"/>
      <c r="J447" s="145"/>
      <c r="K447" s="312"/>
      <c r="L447" s="416"/>
      <c r="M447" s="246" t="s">
        <v>34</v>
      </c>
      <c r="N447" s="250">
        <f>K447*50</f>
        <v>0</v>
      </c>
      <c r="O447" s="150">
        <f t="shared" si="6"/>
        <v>149</v>
      </c>
      <c r="P447" s="151"/>
      <c r="Q447" s="151"/>
    </row>
    <row r="448" spans="1:17" ht="20.100000000000001" hidden="1" customHeight="1">
      <c r="A448" s="141">
        <v>442</v>
      </c>
      <c r="B448" s="142" t="s">
        <v>1249</v>
      </c>
      <c r="C448" s="143" t="s">
        <v>1024</v>
      </c>
      <c r="D448" s="2792"/>
      <c r="E448" s="144"/>
      <c r="F448" s="144"/>
      <c r="G448" s="144"/>
      <c r="H448" s="144"/>
      <c r="I448" s="144">
        <v>7604</v>
      </c>
      <c r="J448" s="145"/>
      <c r="K448" s="307"/>
      <c r="L448" s="547" t="s">
        <v>1286</v>
      </c>
      <c r="M448" s="246" t="s">
        <v>35</v>
      </c>
      <c r="N448" s="271">
        <v>16646249.35</v>
      </c>
      <c r="O448" s="150">
        <f t="shared" si="6"/>
        <v>7604</v>
      </c>
      <c r="P448" s="151"/>
      <c r="Q448" s="151"/>
    </row>
    <row r="449" spans="1:17" ht="20.100000000000001" customHeight="1">
      <c r="A449" s="141">
        <v>443</v>
      </c>
      <c r="B449" s="142" t="s">
        <v>1249</v>
      </c>
      <c r="C449" s="143" t="s">
        <v>1024</v>
      </c>
      <c r="D449" s="182" t="s">
        <v>1063</v>
      </c>
      <c r="E449" s="144"/>
      <c r="F449" s="144"/>
      <c r="G449" s="144"/>
      <c r="H449" s="144"/>
      <c r="I449" s="144"/>
      <c r="J449" s="145"/>
      <c r="K449" s="307">
        <v>1</v>
      </c>
      <c r="L449" s="393"/>
      <c r="M449" s="246" t="s">
        <v>1287</v>
      </c>
      <c r="N449" s="250">
        <v>-427324.48</v>
      </c>
      <c r="O449" s="150">
        <f t="shared" si="6"/>
        <v>1</v>
      </c>
      <c r="P449" s="151"/>
      <c r="Q449" s="151"/>
    </row>
    <row r="450" spans="1:17" ht="20.100000000000001" hidden="1" customHeight="1">
      <c r="A450" s="141">
        <v>444</v>
      </c>
      <c r="B450" s="142" t="s">
        <v>1249</v>
      </c>
      <c r="C450" s="143" t="s">
        <v>1024</v>
      </c>
      <c r="D450" s="2793" t="s">
        <v>36</v>
      </c>
      <c r="E450" s="144"/>
      <c r="F450" s="144">
        <v>942</v>
      </c>
      <c r="G450" s="144"/>
      <c r="H450" s="144"/>
      <c r="I450" s="160"/>
      <c r="J450" s="145"/>
      <c r="K450" s="307"/>
      <c r="L450" s="544"/>
      <c r="M450" s="246" t="s">
        <v>1288</v>
      </c>
      <c r="N450" s="250">
        <f>K450*100</f>
        <v>0</v>
      </c>
      <c r="O450" s="150">
        <f t="shared" si="6"/>
        <v>942</v>
      </c>
      <c r="P450" s="151"/>
      <c r="Q450" s="151"/>
    </row>
    <row r="451" spans="1:17" ht="20.100000000000001" hidden="1" customHeight="1">
      <c r="A451" s="141">
        <v>445</v>
      </c>
      <c r="B451" s="142" t="s">
        <v>1249</v>
      </c>
      <c r="C451" s="143" t="s">
        <v>1024</v>
      </c>
      <c r="D451" s="2792"/>
      <c r="E451" s="144">
        <v>164</v>
      </c>
      <c r="F451" s="144"/>
      <c r="G451" s="144"/>
      <c r="H451" s="144"/>
      <c r="I451" s="144"/>
      <c r="J451" s="145"/>
      <c r="K451" s="307"/>
      <c r="L451" s="544"/>
      <c r="M451" s="246" t="s">
        <v>1289</v>
      </c>
      <c r="N451" s="250"/>
      <c r="O451" s="150">
        <f t="shared" si="6"/>
        <v>164</v>
      </c>
      <c r="P451" s="151"/>
      <c r="Q451" s="151"/>
    </row>
    <row r="452" spans="1:17" ht="20.100000000000001" customHeight="1">
      <c r="A452" s="141">
        <v>446</v>
      </c>
      <c r="B452" s="142" t="s">
        <v>1249</v>
      </c>
      <c r="C452" s="143" t="s">
        <v>1024</v>
      </c>
      <c r="D452" s="182" t="s">
        <v>1105</v>
      </c>
      <c r="E452" s="144"/>
      <c r="F452" s="144"/>
      <c r="G452" s="160"/>
      <c r="H452" s="144"/>
      <c r="I452" s="144"/>
      <c r="J452" s="145"/>
      <c r="K452" s="307">
        <v>2</v>
      </c>
      <c r="L452" s="416"/>
      <c r="M452" s="2819" t="s">
        <v>1290</v>
      </c>
      <c r="N452" s="250">
        <v>3136</v>
      </c>
      <c r="O452" s="150">
        <f t="shared" si="6"/>
        <v>2</v>
      </c>
      <c r="P452" s="151"/>
      <c r="Q452" s="151"/>
    </row>
    <row r="453" spans="1:17" ht="20.100000000000001" customHeight="1">
      <c r="A453" s="141">
        <v>447</v>
      </c>
      <c r="B453" s="142" t="s">
        <v>1291</v>
      </c>
      <c r="C453" s="143" t="s">
        <v>1024</v>
      </c>
      <c r="D453" s="182" t="s">
        <v>1232</v>
      </c>
      <c r="E453" s="144"/>
      <c r="F453" s="144"/>
      <c r="G453" s="160"/>
      <c r="H453" s="144"/>
      <c r="I453" s="144"/>
      <c r="J453" s="145"/>
      <c r="K453" s="406">
        <v>1</v>
      </c>
      <c r="L453" s="147"/>
      <c r="M453" s="330" t="s">
        <v>1292</v>
      </c>
      <c r="N453" s="457">
        <v>56379.6</v>
      </c>
      <c r="O453" s="150">
        <f t="shared" si="6"/>
        <v>1</v>
      </c>
      <c r="P453" s="151"/>
      <c r="Q453" s="151"/>
    </row>
    <row r="454" spans="1:17" ht="20.100000000000001" hidden="1" customHeight="1">
      <c r="A454" s="141">
        <v>448</v>
      </c>
      <c r="B454" s="142" t="s">
        <v>1291</v>
      </c>
      <c r="C454" s="143" t="s">
        <v>1024</v>
      </c>
      <c r="D454" s="182" t="s">
        <v>103</v>
      </c>
      <c r="E454" s="506"/>
      <c r="F454" s="506"/>
      <c r="G454" s="160"/>
      <c r="H454" s="506"/>
      <c r="I454" s="506"/>
      <c r="J454" s="507">
        <v>31</v>
      </c>
      <c r="K454" s="152"/>
      <c r="L454" s="153"/>
      <c r="M454" s="553" t="s">
        <v>1293</v>
      </c>
      <c r="N454" s="186">
        <v>0</v>
      </c>
      <c r="O454" s="150">
        <f t="shared" si="6"/>
        <v>31</v>
      </c>
      <c r="P454" s="151"/>
      <c r="Q454" s="151"/>
    </row>
    <row r="455" spans="1:17" ht="20.100000000000001" hidden="1" customHeight="1">
      <c r="A455" s="141">
        <v>449</v>
      </c>
      <c r="B455" s="142" t="s">
        <v>1291</v>
      </c>
      <c r="C455" s="143" t="s">
        <v>1024</v>
      </c>
      <c r="D455" s="2793" t="s">
        <v>29</v>
      </c>
      <c r="E455" s="506"/>
      <c r="F455" s="506"/>
      <c r="G455" s="160"/>
      <c r="H455" s="506"/>
      <c r="I455" s="506"/>
      <c r="J455" s="507"/>
      <c r="K455" s="156"/>
      <c r="L455" s="157"/>
      <c r="M455" s="158" t="s">
        <v>1294</v>
      </c>
      <c r="N455" s="159"/>
      <c r="O455" s="150">
        <f t="shared" si="6"/>
        <v>0</v>
      </c>
      <c r="P455" s="151"/>
      <c r="Q455" s="151"/>
    </row>
    <row r="456" spans="1:17" ht="20.100000000000001" hidden="1" customHeight="1">
      <c r="A456" s="141">
        <v>450</v>
      </c>
      <c r="B456" s="142" t="s">
        <v>1291</v>
      </c>
      <c r="C456" s="143" t="s">
        <v>1024</v>
      </c>
      <c r="D456" s="2795"/>
      <c r="E456" s="144"/>
      <c r="F456" s="144"/>
      <c r="G456" s="160">
        <v>1</v>
      </c>
      <c r="H456" s="144"/>
      <c r="I456" s="144"/>
      <c r="J456" s="145"/>
      <c r="K456" s="403"/>
      <c r="L456" s="153"/>
      <c r="M456" s="161" t="s">
        <v>119</v>
      </c>
      <c r="N456" s="331">
        <v>-2294300.9700000002</v>
      </c>
      <c r="O456" s="150">
        <f t="shared" si="6"/>
        <v>1</v>
      </c>
      <c r="P456" s="151"/>
      <c r="Q456" s="151"/>
    </row>
    <row r="457" spans="1:17" ht="20.100000000000001" hidden="1" customHeight="1">
      <c r="A457" s="141">
        <v>451</v>
      </c>
      <c r="B457" s="142" t="s">
        <v>1291</v>
      </c>
      <c r="C457" s="143" t="s">
        <v>1024</v>
      </c>
      <c r="D457" s="2795"/>
      <c r="E457" s="506"/>
      <c r="F457" s="506"/>
      <c r="G457" s="160">
        <v>1</v>
      </c>
      <c r="H457" s="506"/>
      <c r="I457" s="506"/>
      <c r="J457" s="507"/>
      <c r="K457" s="152"/>
      <c r="L457" s="153"/>
      <c r="M457" s="161" t="s">
        <v>49</v>
      </c>
      <c r="N457" s="331">
        <v>0</v>
      </c>
      <c r="O457" s="150">
        <f t="shared" ref="O457:O520" si="7">E457+F457+G457+H457+I457+J457+K457</f>
        <v>1</v>
      </c>
      <c r="P457" s="151"/>
      <c r="Q457" s="151"/>
    </row>
    <row r="458" spans="1:17" ht="20.100000000000001" hidden="1" customHeight="1">
      <c r="A458" s="141">
        <v>452</v>
      </c>
      <c r="B458" s="142" t="s">
        <v>1291</v>
      </c>
      <c r="C458" s="143" t="s">
        <v>1024</v>
      </c>
      <c r="D458" s="2795"/>
      <c r="E458" s="506"/>
      <c r="F458" s="506"/>
      <c r="G458" s="160">
        <v>1</v>
      </c>
      <c r="H458" s="506"/>
      <c r="I458" s="506"/>
      <c r="J458" s="507"/>
      <c r="K458" s="403"/>
      <c r="L458" s="113"/>
      <c r="M458" s="165" t="s">
        <v>32</v>
      </c>
      <c r="N458" s="331">
        <v>1129335.72</v>
      </c>
      <c r="O458" s="150">
        <f t="shared" si="7"/>
        <v>1</v>
      </c>
      <c r="P458" s="151"/>
      <c r="Q458" s="151"/>
    </row>
    <row r="459" spans="1:17" ht="20.100000000000001" hidden="1" customHeight="1">
      <c r="A459" s="141">
        <v>453</v>
      </c>
      <c r="B459" s="142" t="s">
        <v>1291</v>
      </c>
      <c r="C459" s="143" t="s">
        <v>1024</v>
      </c>
      <c r="D459" s="2795"/>
      <c r="E459" s="506"/>
      <c r="F459" s="506"/>
      <c r="G459" s="160">
        <v>1</v>
      </c>
      <c r="H459" s="506"/>
      <c r="I459" s="506"/>
      <c r="J459" s="507"/>
      <c r="K459" s="163"/>
      <c r="L459" s="164"/>
      <c r="M459" s="165" t="s">
        <v>1027</v>
      </c>
      <c r="N459" s="331">
        <v>715720.35</v>
      </c>
      <c r="O459" s="150">
        <f t="shared" si="7"/>
        <v>1</v>
      </c>
      <c r="P459" s="151"/>
      <c r="Q459" s="151"/>
    </row>
    <row r="460" spans="1:17" ht="20.100000000000001" hidden="1" customHeight="1">
      <c r="A460" s="141">
        <v>454</v>
      </c>
      <c r="B460" s="142" t="s">
        <v>1291</v>
      </c>
      <c r="C460" s="143" t="s">
        <v>1024</v>
      </c>
      <c r="D460" s="2795"/>
      <c r="E460" s="506"/>
      <c r="F460" s="506"/>
      <c r="G460" s="506"/>
      <c r="H460" s="506"/>
      <c r="I460" s="506"/>
      <c r="J460" s="507"/>
      <c r="K460" s="166"/>
      <c r="L460" s="167"/>
      <c r="M460" s="176" t="s">
        <v>1029</v>
      </c>
      <c r="N460" s="177"/>
      <c r="O460" s="150">
        <f t="shared" si="7"/>
        <v>0</v>
      </c>
      <c r="P460" s="151"/>
      <c r="Q460" s="151"/>
    </row>
    <row r="461" spans="1:17" ht="20.100000000000001" customHeight="1">
      <c r="A461" s="141">
        <v>455</v>
      </c>
      <c r="B461" s="142" t="s">
        <v>1291</v>
      </c>
      <c r="C461" s="143" t="s">
        <v>1024</v>
      </c>
      <c r="D461" s="2795"/>
      <c r="E461" s="506"/>
      <c r="F461" s="506"/>
      <c r="G461" s="506"/>
      <c r="H461" s="506"/>
      <c r="I461" s="506"/>
      <c r="J461" s="507"/>
      <c r="K461" s="178">
        <v>1</v>
      </c>
      <c r="L461" s="164" t="s">
        <v>1295</v>
      </c>
      <c r="M461" s="180" t="s">
        <v>1296</v>
      </c>
      <c r="N461" s="463">
        <v>-4639985</v>
      </c>
      <c r="O461" s="150">
        <f t="shared" si="7"/>
        <v>1</v>
      </c>
      <c r="P461" s="151"/>
      <c r="Q461" s="151"/>
    </row>
    <row r="462" spans="1:17" ht="20.100000000000001" customHeight="1">
      <c r="A462" s="141">
        <v>456</v>
      </c>
      <c r="B462" s="142" t="s">
        <v>1291</v>
      </c>
      <c r="C462" s="143" t="s">
        <v>1024</v>
      </c>
      <c r="D462" s="2795"/>
      <c r="E462" s="506"/>
      <c r="F462" s="506"/>
      <c r="G462" s="506"/>
      <c r="H462" s="506"/>
      <c r="I462" s="506"/>
      <c r="J462" s="507"/>
      <c r="K462" s="163">
        <v>1</v>
      </c>
      <c r="L462" s="164">
        <v>45700</v>
      </c>
      <c r="M462" s="165" t="s">
        <v>1297</v>
      </c>
      <c r="N462" s="104">
        <v>-4950</v>
      </c>
      <c r="O462" s="150">
        <f t="shared" si="7"/>
        <v>1</v>
      </c>
      <c r="P462" s="151"/>
      <c r="Q462" s="151"/>
    </row>
    <row r="463" spans="1:17" ht="20.100000000000001" customHeight="1">
      <c r="A463" s="141">
        <v>457</v>
      </c>
      <c r="B463" s="142" t="s">
        <v>1291</v>
      </c>
      <c r="C463" s="143" t="s">
        <v>1024</v>
      </c>
      <c r="D463" s="2795"/>
      <c r="E463" s="506"/>
      <c r="F463" s="506"/>
      <c r="G463" s="506"/>
      <c r="H463" s="506"/>
      <c r="I463" s="506"/>
      <c r="J463" s="507"/>
      <c r="K463" s="172">
        <v>1</v>
      </c>
      <c r="L463" s="173" t="s">
        <v>76</v>
      </c>
      <c r="M463" s="333" t="s">
        <v>1298</v>
      </c>
      <c r="N463" s="457">
        <v>3500</v>
      </c>
      <c r="O463" s="150">
        <f t="shared" si="7"/>
        <v>1</v>
      </c>
      <c r="P463" s="151"/>
      <c r="Q463" s="151"/>
    </row>
    <row r="464" spans="1:17" ht="20.100000000000001" customHeight="1">
      <c r="A464" s="141">
        <v>458</v>
      </c>
      <c r="B464" s="142" t="s">
        <v>1291</v>
      </c>
      <c r="C464" s="143" t="s">
        <v>1024</v>
      </c>
      <c r="D464" s="2795"/>
      <c r="E464" s="506"/>
      <c r="F464" s="506"/>
      <c r="G464" s="160"/>
      <c r="H464" s="506"/>
      <c r="I464" s="506"/>
      <c r="J464" s="507"/>
      <c r="K464" s="172">
        <v>1</v>
      </c>
      <c r="L464" s="173" t="s">
        <v>76</v>
      </c>
      <c r="M464" s="333" t="s">
        <v>1299</v>
      </c>
      <c r="N464" s="554">
        <v>3702.41</v>
      </c>
      <c r="O464" s="150">
        <f t="shared" si="7"/>
        <v>1</v>
      </c>
      <c r="P464" s="151"/>
      <c r="Q464" s="151"/>
    </row>
    <row r="465" spans="1:17" ht="20.100000000000001" hidden="1" customHeight="1">
      <c r="A465" s="141">
        <v>459</v>
      </c>
      <c r="B465" s="142" t="s">
        <v>1291</v>
      </c>
      <c r="C465" s="143" t="s">
        <v>1024</v>
      </c>
      <c r="D465" s="2795"/>
      <c r="E465" s="506"/>
      <c r="F465" s="506"/>
      <c r="G465" s="506"/>
      <c r="H465" s="506"/>
      <c r="I465" s="506"/>
      <c r="J465" s="507"/>
      <c r="K465" s="370"/>
      <c r="L465" s="555"/>
      <c r="M465" s="465" t="s">
        <v>1028</v>
      </c>
      <c r="N465" s="556"/>
      <c r="O465" s="150">
        <f t="shared" si="7"/>
        <v>0</v>
      </c>
      <c r="P465" s="151"/>
      <c r="Q465" s="151"/>
    </row>
    <row r="466" spans="1:17" ht="20.100000000000001" hidden="1" customHeight="1">
      <c r="A466" s="141">
        <v>460</v>
      </c>
      <c r="B466" s="142" t="s">
        <v>1291</v>
      </c>
      <c r="C466" s="143" t="s">
        <v>1024</v>
      </c>
      <c r="D466" s="2795"/>
      <c r="E466" s="506"/>
      <c r="F466" s="506"/>
      <c r="G466" s="160">
        <v>1</v>
      </c>
      <c r="H466" s="506"/>
      <c r="I466" s="506"/>
      <c r="J466" s="507"/>
      <c r="K466" s="163"/>
      <c r="L466" s="557"/>
      <c r="M466" s="165" t="s">
        <v>183</v>
      </c>
      <c r="N466" s="104">
        <v>19485.22</v>
      </c>
      <c r="O466" s="150">
        <f t="shared" si="7"/>
        <v>1</v>
      </c>
      <c r="P466" s="151"/>
      <c r="Q466" s="151"/>
    </row>
    <row r="467" spans="1:17" ht="20.100000000000001" customHeight="1">
      <c r="A467" s="141">
        <v>461</v>
      </c>
      <c r="B467" s="142" t="s">
        <v>1291</v>
      </c>
      <c r="C467" s="143" t="s">
        <v>1024</v>
      </c>
      <c r="D467" s="2794"/>
      <c r="E467" s="506"/>
      <c r="F467" s="506"/>
      <c r="G467" s="506"/>
      <c r="H467" s="160"/>
      <c r="I467" s="506"/>
      <c r="J467" s="507"/>
      <c r="K467" s="163">
        <v>1</v>
      </c>
      <c r="L467" s="557"/>
      <c r="M467" s="165" t="s">
        <v>1102</v>
      </c>
      <c r="N467" s="104">
        <v>-22845</v>
      </c>
      <c r="O467" s="150">
        <f t="shared" si="7"/>
        <v>1</v>
      </c>
      <c r="P467" s="151"/>
      <c r="Q467" s="151"/>
    </row>
    <row r="468" spans="1:17" ht="20.100000000000001" customHeight="1">
      <c r="A468" s="141">
        <v>462</v>
      </c>
      <c r="B468" s="142" t="s">
        <v>1291</v>
      </c>
      <c r="C468" s="143" t="s">
        <v>1024</v>
      </c>
      <c r="D468" s="182" t="s">
        <v>1105</v>
      </c>
      <c r="E468" s="506"/>
      <c r="F468" s="506"/>
      <c r="G468" s="506"/>
      <c r="H468" s="506"/>
      <c r="I468" s="160"/>
      <c r="J468" s="507"/>
      <c r="K468" s="172">
        <v>3</v>
      </c>
      <c r="L468" s="173"/>
      <c r="M468" s="375" t="s">
        <v>1300</v>
      </c>
      <c r="N468" s="558">
        <v>18614804.350000001</v>
      </c>
      <c r="O468" s="150">
        <f t="shared" si="7"/>
        <v>3</v>
      </c>
      <c r="P468" s="151"/>
      <c r="Q468" s="151"/>
    </row>
    <row r="469" spans="1:17" ht="20.100000000000001" hidden="1" customHeight="1">
      <c r="A469" s="141">
        <v>463</v>
      </c>
      <c r="B469" s="142" t="s">
        <v>1291</v>
      </c>
      <c r="C469" s="143" t="s">
        <v>1024</v>
      </c>
      <c r="D469" s="2793" t="s">
        <v>33</v>
      </c>
      <c r="E469" s="144"/>
      <c r="F469" s="144"/>
      <c r="G469" s="144"/>
      <c r="H469" s="144">
        <v>57</v>
      </c>
      <c r="I469" s="144"/>
      <c r="J469" s="145"/>
      <c r="K469" s="172"/>
      <c r="L469" s="173"/>
      <c r="M469" s="559" t="s">
        <v>34</v>
      </c>
      <c r="N469" s="104">
        <v>0</v>
      </c>
      <c r="O469" s="150">
        <f t="shared" si="7"/>
        <v>57</v>
      </c>
      <c r="P469" s="151"/>
      <c r="Q469" s="151"/>
    </row>
    <row r="470" spans="1:17" ht="20.100000000000001" hidden="1" customHeight="1">
      <c r="A470" s="141">
        <v>464</v>
      </c>
      <c r="B470" s="142" t="s">
        <v>1291</v>
      </c>
      <c r="C470" s="143" t="s">
        <v>1024</v>
      </c>
      <c r="D470" s="2794"/>
      <c r="E470" s="144"/>
      <c r="F470" s="160"/>
      <c r="G470" s="144"/>
      <c r="H470" s="144"/>
      <c r="I470" s="144">
        <v>3651</v>
      </c>
      <c r="J470" s="145"/>
      <c r="K470" s="326"/>
      <c r="L470" s="407"/>
      <c r="M470" s="559" t="s">
        <v>35</v>
      </c>
      <c r="N470" s="332">
        <v>7940056.4400000004</v>
      </c>
      <c r="O470" s="150">
        <f t="shared" si="7"/>
        <v>3651</v>
      </c>
      <c r="P470" s="151"/>
      <c r="Q470" s="151"/>
    </row>
    <row r="471" spans="1:17" ht="20.100000000000001" hidden="1" customHeight="1">
      <c r="A471" s="141">
        <v>465</v>
      </c>
      <c r="B471" s="142" t="s">
        <v>1291</v>
      </c>
      <c r="C471" s="143" t="s">
        <v>1024</v>
      </c>
      <c r="D471" s="2793" t="s">
        <v>36</v>
      </c>
      <c r="E471" s="160"/>
      <c r="F471" s="144">
        <v>410</v>
      </c>
      <c r="G471" s="144"/>
      <c r="H471" s="144"/>
      <c r="I471" s="144"/>
      <c r="J471" s="145"/>
      <c r="K471" s="152"/>
      <c r="L471" s="153"/>
      <c r="M471" s="161" t="s">
        <v>1301</v>
      </c>
      <c r="N471" s="155">
        <v>0</v>
      </c>
      <c r="O471" s="150">
        <f t="shared" si="7"/>
        <v>410</v>
      </c>
      <c r="P471" s="151"/>
      <c r="Q471" s="151"/>
    </row>
    <row r="472" spans="1:17" ht="20.100000000000001" hidden="1" customHeight="1">
      <c r="A472" s="141">
        <v>466</v>
      </c>
      <c r="B472" s="142" t="s">
        <v>1291</v>
      </c>
      <c r="C472" s="143" t="s">
        <v>1024</v>
      </c>
      <c r="D472" s="2792"/>
      <c r="E472" s="170">
        <v>324</v>
      </c>
      <c r="F472" s="170"/>
      <c r="G472" s="170"/>
      <c r="H472" s="170"/>
      <c r="I472" s="170"/>
      <c r="J472" s="171"/>
      <c r="K472" s="152"/>
      <c r="L472" s="153"/>
      <c r="M472" s="161" t="s">
        <v>1302</v>
      </c>
      <c r="N472" s="155">
        <v>0</v>
      </c>
      <c r="O472" s="150">
        <f t="shared" si="7"/>
        <v>324</v>
      </c>
      <c r="P472" s="151"/>
      <c r="Q472" s="151"/>
    </row>
    <row r="473" spans="1:17" ht="20.100000000000001" customHeight="1">
      <c r="A473" s="141">
        <v>467</v>
      </c>
      <c r="B473" s="142" t="s">
        <v>1303</v>
      </c>
      <c r="C473" s="143" t="s">
        <v>1024</v>
      </c>
      <c r="D473" s="182" t="s">
        <v>1232</v>
      </c>
      <c r="E473" s="144"/>
      <c r="F473" s="144"/>
      <c r="G473" s="144"/>
      <c r="H473" s="144"/>
      <c r="I473" s="144"/>
      <c r="J473" s="145"/>
      <c r="K473" s="190">
        <v>1</v>
      </c>
      <c r="L473" s="407"/>
      <c r="M473" s="330" t="s">
        <v>1304</v>
      </c>
      <c r="N473" s="560">
        <v>9418.59</v>
      </c>
      <c r="O473" s="150">
        <f t="shared" si="7"/>
        <v>1</v>
      </c>
      <c r="P473" s="151"/>
      <c r="Q473" s="151"/>
    </row>
    <row r="474" spans="1:17" ht="20.100000000000001" hidden="1" customHeight="1">
      <c r="A474" s="141">
        <v>468</v>
      </c>
      <c r="B474" s="142" t="s">
        <v>1303</v>
      </c>
      <c r="C474" s="143" t="s">
        <v>1024</v>
      </c>
      <c r="D474" s="2793" t="s">
        <v>29</v>
      </c>
      <c r="E474" s="144"/>
      <c r="F474" s="144"/>
      <c r="G474" s="160"/>
      <c r="H474" s="144"/>
      <c r="I474" s="144"/>
      <c r="J474" s="145"/>
      <c r="K474" s="561"/>
      <c r="L474" s="454"/>
      <c r="M474" s="455" t="s">
        <v>1026</v>
      </c>
      <c r="N474" s="562"/>
      <c r="O474" s="150">
        <f t="shared" si="7"/>
        <v>0</v>
      </c>
      <c r="P474" s="151"/>
      <c r="Q474" s="151"/>
    </row>
    <row r="475" spans="1:17" ht="20.100000000000001" hidden="1" customHeight="1">
      <c r="A475" s="141">
        <v>469</v>
      </c>
      <c r="B475" s="142" t="s">
        <v>1303</v>
      </c>
      <c r="C475" s="143" t="s">
        <v>1024</v>
      </c>
      <c r="D475" s="2795"/>
      <c r="E475" s="144"/>
      <c r="F475" s="144"/>
      <c r="G475" s="160">
        <v>1</v>
      </c>
      <c r="H475" s="144"/>
      <c r="I475" s="144"/>
      <c r="J475" s="145"/>
      <c r="K475" s="190"/>
      <c r="L475" s="407"/>
      <c r="M475" s="333" t="s">
        <v>119</v>
      </c>
      <c r="N475" s="193">
        <v>-653491.99</v>
      </c>
      <c r="O475" s="150">
        <f t="shared" si="7"/>
        <v>1</v>
      </c>
      <c r="P475" s="151"/>
      <c r="Q475" s="151"/>
    </row>
    <row r="476" spans="1:17" ht="20.100000000000001" hidden="1" customHeight="1">
      <c r="A476" s="141">
        <v>470</v>
      </c>
      <c r="B476" s="142" t="s">
        <v>1303</v>
      </c>
      <c r="C476" s="143" t="s">
        <v>1024</v>
      </c>
      <c r="D476" s="2795"/>
      <c r="E476" s="144"/>
      <c r="F476" s="144"/>
      <c r="G476" s="160">
        <v>1</v>
      </c>
      <c r="H476" s="144"/>
      <c r="I476" s="144"/>
      <c r="J476" s="145"/>
      <c r="K476" s="190"/>
      <c r="L476" s="407"/>
      <c r="M476" s="333" t="s">
        <v>49</v>
      </c>
      <c r="N476" s="193">
        <v>-4012856.51</v>
      </c>
      <c r="O476" s="150">
        <f t="shared" si="7"/>
        <v>1</v>
      </c>
      <c r="P476" s="151"/>
      <c r="Q476" s="151"/>
    </row>
    <row r="477" spans="1:17" ht="20.100000000000001" hidden="1" customHeight="1">
      <c r="A477" s="141">
        <v>471</v>
      </c>
      <c r="B477" s="142" t="s">
        <v>1303</v>
      </c>
      <c r="C477" s="143" t="s">
        <v>1024</v>
      </c>
      <c r="D477" s="2795"/>
      <c r="E477" s="144"/>
      <c r="F477" s="144"/>
      <c r="G477" s="160">
        <v>1</v>
      </c>
      <c r="H477" s="144"/>
      <c r="I477" s="144"/>
      <c r="J477" s="145"/>
      <c r="K477" s="190"/>
      <c r="L477" s="173"/>
      <c r="M477" s="333" t="s">
        <v>32</v>
      </c>
      <c r="N477" s="193">
        <v>-0.36</v>
      </c>
      <c r="O477" s="150">
        <f t="shared" si="7"/>
        <v>1</v>
      </c>
      <c r="P477" s="151"/>
      <c r="Q477" s="151"/>
    </row>
    <row r="478" spans="1:17" ht="20.100000000000001" hidden="1" customHeight="1">
      <c r="A478" s="141">
        <v>472</v>
      </c>
      <c r="B478" s="142" t="s">
        <v>1303</v>
      </c>
      <c r="C478" s="143" t="s">
        <v>1024</v>
      </c>
      <c r="D478" s="2795"/>
      <c r="E478" s="144"/>
      <c r="F478" s="144"/>
      <c r="G478" s="160">
        <v>1</v>
      </c>
      <c r="H478" s="144"/>
      <c r="I478" s="144"/>
      <c r="J478" s="145"/>
      <c r="K478" s="172"/>
      <c r="L478" s="173"/>
      <c r="M478" s="333" t="s">
        <v>207</v>
      </c>
      <c r="N478" s="457">
        <v>-48858.71</v>
      </c>
      <c r="O478" s="150">
        <f t="shared" si="7"/>
        <v>1</v>
      </c>
      <c r="P478" s="151"/>
      <c r="Q478" s="151"/>
    </row>
    <row r="479" spans="1:17" ht="20.100000000000001" hidden="1" customHeight="1">
      <c r="A479" s="141">
        <v>473</v>
      </c>
      <c r="B479" s="142" t="s">
        <v>1303</v>
      </c>
      <c r="C479" s="143" t="s">
        <v>1024</v>
      </c>
      <c r="D479" s="2795"/>
      <c r="E479" s="144"/>
      <c r="F479" s="144"/>
      <c r="G479" s="160"/>
      <c r="H479" s="144"/>
      <c r="I479" s="144"/>
      <c r="J479" s="145"/>
      <c r="K479" s="563"/>
      <c r="L479" s="459"/>
      <c r="M479" s="564" t="s">
        <v>1028</v>
      </c>
      <c r="N479" s="325"/>
      <c r="O479" s="150">
        <f t="shared" si="7"/>
        <v>0</v>
      </c>
      <c r="P479" s="565"/>
      <c r="Q479" s="565"/>
    </row>
    <row r="480" spans="1:17" ht="20.100000000000001" hidden="1" customHeight="1">
      <c r="A480" s="141">
        <v>474</v>
      </c>
      <c r="B480" s="142" t="s">
        <v>1303</v>
      </c>
      <c r="C480" s="143" t="s">
        <v>1024</v>
      </c>
      <c r="D480" s="2795"/>
      <c r="E480" s="144"/>
      <c r="F480" s="144"/>
      <c r="G480" s="160">
        <v>1</v>
      </c>
      <c r="H480" s="144"/>
      <c r="I480" s="144"/>
      <c r="J480" s="145"/>
      <c r="K480" s="445"/>
      <c r="L480" s="566"/>
      <c r="M480" s="333" t="s">
        <v>1069</v>
      </c>
      <c r="N480" s="567">
        <v>166.5</v>
      </c>
      <c r="O480" s="150">
        <f t="shared" si="7"/>
        <v>1</v>
      </c>
      <c r="P480" s="565"/>
      <c r="Q480" s="565"/>
    </row>
    <row r="481" spans="1:17" ht="20.100000000000001" hidden="1" customHeight="1">
      <c r="A481" s="141">
        <v>475</v>
      </c>
      <c r="B481" s="142" t="s">
        <v>1303</v>
      </c>
      <c r="C481" s="143" t="s">
        <v>1024</v>
      </c>
      <c r="D481" s="2795"/>
      <c r="E481" s="144"/>
      <c r="F481" s="144"/>
      <c r="G481" s="160">
        <v>1</v>
      </c>
      <c r="H481" s="144"/>
      <c r="I481" s="144"/>
      <c r="J481" s="145"/>
      <c r="K481" s="445"/>
      <c r="L481" s="566"/>
      <c r="M481" s="333" t="s">
        <v>183</v>
      </c>
      <c r="N481" s="567">
        <v>158.5</v>
      </c>
      <c r="O481" s="150">
        <f t="shared" si="7"/>
        <v>1</v>
      </c>
      <c r="P481" s="151"/>
      <c r="Q481" s="151"/>
    </row>
    <row r="482" spans="1:17" ht="20.100000000000001" hidden="1" customHeight="1">
      <c r="A482" s="141">
        <v>476</v>
      </c>
      <c r="B482" s="142" t="s">
        <v>1303</v>
      </c>
      <c r="C482" s="143" t="s">
        <v>1024</v>
      </c>
      <c r="D482" s="2795"/>
      <c r="E482" s="170"/>
      <c r="F482" s="170"/>
      <c r="G482" s="170"/>
      <c r="H482" s="170"/>
      <c r="I482" s="170"/>
      <c r="J482" s="171"/>
      <c r="K482" s="458"/>
      <c r="L482" s="459"/>
      <c r="M482" s="460" t="s">
        <v>1029</v>
      </c>
      <c r="N482" s="325"/>
      <c r="O482" s="150">
        <f t="shared" si="7"/>
        <v>0</v>
      </c>
      <c r="P482" s="151"/>
      <c r="Q482" s="151"/>
    </row>
    <row r="483" spans="1:17" ht="20.100000000000001" customHeight="1">
      <c r="A483" s="141">
        <v>477</v>
      </c>
      <c r="B483" s="142" t="s">
        <v>1303</v>
      </c>
      <c r="C483" s="143" t="s">
        <v>1024</v>
      </c>
      <c r="D483" s="2794"/>
      <c r="E483" s="170"/>
      <c r="F483" s="170"/>
      <c r="G483" s="170"/>
      <c r="H483" s="170"/>
      <c r="I483" s="170"/>
      <c r="J483" s="171"/>
      <c r="K483" s="568">
        <v>1</v>
      </c>
      <c r="L483" s="173"/>
      <c r="M483" s="569" t="s">
        <v>1305</v>
      </c>
      <c r="N483" s="457">
        <v>2900</v>
      </c>
      <c r="O483" s="150">
        <f t="shared" si="7"/>
        <v>1</v>
      </c>
      <c r="P483" s="151"/>
      <c r="Q483" s="151"/>
    </row>
    <row r="484" spans="1:17" ht="20.100000000000001" hidden="1" customHeight="1">
      <c r="A484" s="141">
        <v>478</v>
      </c>
      <c r="B484" s="142" t="s">
        <v>1303</v>
      </c>
      <c r="C484" s="143" t="s">
        <v>1024</v>
      </c>
      <c r="D484" s="182" t="s">
        <v>33</v>
      </c>
      <c r="E484" s="170"/>
      <c r="F484" s="170"/>
      <c r="G484" s="170"/>
      <c r="H484" s="170"/>
      <c r="I484" s="170">
        <v>3359</v>
      </c>
      <c r="J484" s="171"/>
      <c r="K484" s="172"/>
      <c r="L484" s="407"/>
      <c r="M484" s="570" t="s">
        <v>35</v>
      </c>
      <c r="N484" s="560">
        <v>1805330.69</v>
      </c>
      <c r="O484" s="150">
        <f t="shared" si="7"/>
        <v>3359</v>
      </c>
      <c r="P484" s="151"/>
      <c r="Q484" s="151"/>
    </row>
    <row r="485" spans="1:17" ht="20.100000000000001" customHeight="1">
      <c r="A485" s="141">
        <v>479</v>
      </c>
      <c r="B485" s="142" t="s">
        <v>1303</v>
      </c>
      <c r="C485" s="143" t="s">
        <v>1024</v>
      </c>
      <c r="D485" s="182" t="s">
        <v>1306</v>
      </c>
      <c r="E485" s="144"/>
      <c r="F485" s="144"/>
      <c r="G485" s="144"/>
      <c r="H485" s="144"/>
      <c r="I485" s="144"/>
      <c r="J485" s="145"/>
      <c r="K485" s="172">
        <v>4</v>
      </c>
      <c r="L485" s="407"/>
      <c r="M485" s="323" t="s">
        <v>196</v>
      </c>
      <c r="N485" s="193">
        <v>0</v>
      </c>
      <c r="O485" s="150">
        <f t="shared" si="7"/>
        <v>4</v>
      </c>
      <c r="P485" s="151"/>
      <c r="Q485" s="151"/>
    </row>
    <row r="486" spans="1:17" ht="20.100000000000001" customHeight="1">
      <c r="A486" s="141">
        <v>480</v>
      </c>
      <c r="B486" s="142" t="s">
        <v>1303</v>
      </c>
      <c r="C486" s="143" t="s">
        <v>1024</v>
      </c>
      <c r="D486" s="182" t="s">
        <v>1307</v>
      </c>
      <c r="E486" s="144"/>
      <c r="F486" s="144"/>
      <c r="G486" s="144"/>
      <c r="H486" s="160"/>
      <c r="I486" s="144"/>
      <c r="J486" s="145"/>
      <c r="K486" s="571">
        <v>1</v>
      </c>
      <c r="L486" s="407"/>
      <c r="M486" s="572" t="s">
        <v>1308</v>
      </c>
      <c r="N486" s="573"/>
      <c r="O486" s="150">
        <f t="shared" si="7"/>
        <v>1</v>
      </c>
      <c r="P486" s="151"/>
      <c r="Q486" s="151"/>
    </row>
    <row r="487" spans="1:17" ht="20.100000000000001" hidden="1" customHeight="1">
      <c r="A487" s="141">
        <v>481</v>
      </c>
      <c r="B487" s="142" t="s">
        <v>1303</v>
      </c>
      <c r="C487" s="143" t="s">
        <v>1024</v>
      </c>
      <c r="D487" s="2793" t="s">
        <v>36</v>
      </c>
      <c r="E487" s="144"/>
      <c r="F487" s="144">
        <v>198</v>
      </c>
      <c r="G487" s="144"/>
      <c r="H487" s="144"/>
      <c r="I487" s="160"/>
      <c r="J487" s="145"/>
      <c r="K487" s="190"/>
      <c r="L487" s="407"/>
      <c r="M487" s="333" t="s">
        <v>1309</v>
      </c>
      <c r="N487" s="193">
        <v>0</v>
      </c>
      <c r="O487" s="150">
        <f t="shared" si="7"/>
        <v>198</v>
      </c>
      <c r="P487" s="151"/>
      <c r="Q487" s="151"/>
    </row>
    <row r="488" spans="1:17" ht="20.100000000000001" hidden="1" customHeight="1">
      <c r="A488" s="141">
        <v>482</v>
      </c>
      <c r="B488" s="142" t="s">
        <v>1303</v>
      </c>
      <c r="C488" s="143" t="s">
        <v>1024</v>
      </c>
      <c r="D488" s="2792"/>
      <c r="E488" s="144">
        <v>43</v>
      </c>
      <c r="F488" s="144"/>
      <c r="G488" s="144"/>
      <c r="H488" s="144"/>
      <c r="I488" s="144"/>
      <c r="J488" s="145"/>
      <c r="K488" s="190"/>
      <c r="L488" s="407"/>
      <c r="M488" s="333" t="s">
        <v>1310</v>
      </c>
      <c r="N488" s="193">
        <v>0</v>
      </c>
      <c r="O488" s="150">
        <f t="shared" si="7"/>
        <v>43</v>
      </c>
      <c r="P488" s="151"/>
      <c r="Q488" s="151"/>
    </row>
    <row r="489" spans="1:17" ht="20.100000000000001" customHeight="1">
      <c r="A489" s="141">
        <v>483</v>
      </c>
      <c r="B489" s="142" t="s">
        <v>1303</v>
      </c>
      <c r="C489" s="143" t="s">
        <v>1024</v>
      </c>
      <c r="D489" s="2793" t="s">
        <v>1232</v>
      </c>
      <c r="E489" s="144"/>
      <c r="F489" s="144"/>
      <c r="G489" s="144"/>
      <c r="H489" s="144"/>
      <c r="I489" s="144"/>
      <c r="J489" s="145"/>
      <c r="K489" s="152">
        <v>1</v>
      </c>
      <c r="L489" s="153" t="s">
        <v>1311</v>
      </c>
      <c r="M489" s="161" t="s">
        <v>1312</v>
      </c>
      <c r="N489" s="434">
        <v>2500</v>
      </c>
      <c r="O489" s="150">
        <f t="shared" si="7"/>
        <v>1</v>
      </c>
      <c r="P489" s="151"/>
      <c r="Q489" s="151"/>
    </row>
    <row r="490" spans="1:17" ht="20.100000000000001" customHeight="1">
      <c r="A490" s="141">
        <v>484</v>
      </c>
      <c r="B490" s="142" t="s">
        <v>1313</v>
      </c>
      <c r="C490" s="143" t="s">
        <v>1024</v>
      </c>
      <c r="D490" s="2794"/>
      <c r="E490" s="144"/>
      <c r="F490" s="144"/>
      <c r="G490" s="144"/>
      <c r="H490" s="144"/>
      <c r="I490" s="144"/>
      <c r="J490" s="145"/>
      <c r="K490" s="152">
        <v>1</v>
      </c>
      <c r="L490" s="153" t="s">
        <v>1311</v>
      </c>
      <c r="M490" s="321" t="s">
        <v>1314</v>
      </c>
      <c r="N490" s="434">
        <v>-695028.28</v>
      </c>
      <c r="O490" s="150">
        <f t="shared" si="7"/>
        <v>1</v>
      </c>
      <c r="P490" s="151"/>
      <c r="Q490" s="151"/>
    </row>
    <row r="491" spans="1:17" ht="20.100000000000001" hidden="1" customHeight="1">
      <c r="A491" s="141">
        <v>485</v>
      </c>
      <c r="B491" s="142" t="s">
        <v>1313</v>
      </c>
      <c r="C491" s="143" t="s">
        <v>1024</v>
      </c>
      <c r="D491" s="2801" t="s">
        <v>29</v>
      </c>
      <c r="E491" s="144"/>
      <c r="F491" s="160"/>
      <c r="G491" s="144"/>
      <c r="H491" s="144"/>
      <c r="I491" s="144"/>
      <c r="J491" s="145"/>
      <c r="K491" s="156"/>
      <c r="L491" s="157"/>
      <c r="M491" s="158" t="s">
        <v>1026</v>
      </c>
      <c r="N491" s="574"/>
      <c r="O491" s="150">
        <f t="shared" si="7"/>
        <v>0</v>
      </c>
      <c r="P491" s="151"/>
      <c r="Q491" s="151"/>
    </row>
    <row r="492" spans="1:17" ht="20.100000000000001" hidden="1" customHeight="1">
      <c r="A492" s="141">
        <v>486</v>
      </c>
      <c r="B492" s="142" t="s">
        <v>1313</v>
      </c>
      <c r="C492" s="143" t="s">
        <v>1024</v>
      </c>
      <c r="D492" s="2800"/>
      <c r="E492" s="160"/>
      <c r="F492" s="144"/>
      <c r="G492" s="160">
        <v>1</v>
      </c>
      <c r="H492" s="144"/>
      <c r="I492" s="144"/>
      <c r="J492" s="145"/>
      <c r="K492" s="152"/>
      <c r="L492" s="153" t="s">
        <v>1311</v>
      </c>
      <c r="M492" s="161" t="s">
        <v>119</v>
      </c>
      <c r="N492" s="434">
        <v>-2998785.04</v>
      </c>
      <c r="O492" s="150">
        <f t="shared" si="7"/>
        <v>1</v>
      </c>
      <c r="P492" s="151"/>
      <c r="Q492" s="151"/>
    </row>
    <row r="493" spans="1:17" ht="20.100000000000001" hidden="1" customHeight="1">
      <c r="A493" s="141">
        <v>487</v>
      </c>
      <c r="B493" s="142" t="s">
        <v>1313</v>
      </c>
      <c r="C493" s="143" t="s">
        <v>1024</v>
      </c>
      <c r="D493" s="2800"/>
      <c r="E493" s="170"/>
      <c r="F493" s="170"/>
      <c r="G493" s="160">
        <v>1</v>
      </c>
      <c r="H493" s="170"/>
      <c r="I493" s="170"/>
      <c r="J493" s="171"/>
      <c r="K493" s="152"/>
      <c r="L493" s="153" t="s">
        <v>1311</v>
      </c>
      <c r="M493" s="161" t="s">
        <v>49</v>
      </c>
      <c r="N493" s="434">
        <v>-104538318.90000001</v>
      </c>
      <c r="O493" s="150">
        <f t="shared" si="7"/>
        <v>1</v>
      </c>
      <c r="P493" s="151"/>
      <c r="Q493" s="151"/>
    </row>
    <row r="494" spans="1:17" ht="20.100000000000001" hidden="1" customHeight="1">
      <c r="A494" s="141">
        <v>488</v>
      </c>
      <c r="B494" s="142" t="s">
        <v>1313</v>
      </c>
      <c r="C494" s="143" t="s">
        <v>1024</v>
      </c>
      <c r="D494" s="2800"/>
      <c r="E494" s="170"/>
      <c r="F494" s="170"/>
      <c r="G494" s="160">
        <v>1</v>
      </c>
      <c r="H494" s="170"/>
      <c r="I494" s="170"/>
      <c r="J494" s="171"/>
      <c r="K494" s="152"/>
      <c r="L494" s="153" t="s">
        <v>1311</v>
      </c>
      <c r="M494" s="161" t="s">
        <v>32</v>
      </c>
      <c r="N494" s="575">
        <v>0.43</v>
      </c>
      <c r="O494" s="150">
        <f t="shared" si="7"/>
        <v>1</v>
      </c>
      <c r="P494" s="151"/>
      <c r="Q494" s="151"/>
    </row>
    <row r="495" spans="1:17" ht="20.100000000000001" hidden="1" customHeight="1">
      <c r="A495" s="141">
        <v>489</v>
      </c>
      <c r="B495" s="142" t="s">
        <v>1313</v>
      </c>
      <c r="C495" s="143" t="s">
        <v>1024</v>
      </c>
      <c r="D495" s="2800"/>
      <c r="E495" s="170"/>
      <c r="F495" s="170"/>
      <c r="G495" s="160">
        <v>1</v>
      </c>
      <c r="H495" s="170"/>
      <c r="I495" s="170"/>
      <c r="J495" s="171"/>
      <c r="K495" s="178"/>
      <c r="L495" s="179" t="s">
        <v>1311</v>
      </c>
      <c r="M495" s="161" t="s">
        <v>1219</v>
      </c>
      <c r="N495" s="437">
        <v>244258.24</v>
      </c>
      <c r="O495" s="150">
        <f t="shared" si="7"/>
        <v>1</v>
      </c>
      <c r="P495" s="151"/>
      <c r="Q495" s="151"/>
    </row>
    <row r="496" spans="1:17" ht="20.100000000000001" hidden="1" customHeight="1">
      <c r="A496" s="141">
        <v>490</v>
      </c>
      <c r="B496" s="142" t="s">
        <v>1313</v>
      </c>
      <c r="C496" s="143" t="s">
        <v>1024</v>
      </c>
      <c r="D496" s="2800"/>
      <c r="E496" s="170"/>
      <c r="F496" s="170"/>
      <c r="G496" s="160">
        <v>1</v>
      </c>
      <c r="H496" s="170"/>
      <c r="I496" s="170"/>
      <c r="J496" s="171"/>
      <c r="K496" s="178"/>
      <c r="L496" s="179" t="s">
        <v>1311</v>
      </c>
      <c r="M496" s="161" t="s">
        <v>1315</v>
      </c>
      <c r="N496" s="437">
        <v>50.27</v>
      </c>
      <c r="O496" s="150">
        <f t="shared" si="7"/>
        <v>1</v>
      </c>
      <c r="P496" s="151"/>
      <c r="Q496" s="151"/>
    </row>
    <row r="497" spans="1:17" ht="20.100000000000001" customHeight="1">
      <c r="A497" s="141">
        <v>491</v>
      </c>
      <c r="B497" s="142" t="s">
        <v>1313</v>
      </c>
      <c r="C497" s="143" t="s">
        <v>1024</v>
      </c>
      <c r="D497" s="2800"/>
      <c r="E497" s="170"/>
      <c r="F497" s="170"/>
      <c r="G497" s="160"/>
      <c r="H497" s="170"/>
      <c r="I497" s="170"/>
      <c r="J497" s="171"/>
      <c r="K497" s="178">
        <v>1</v>
      </c>
      <c r="L497" s="179" t="s">
        <v>1311</v>
      </c>
      <c r="M497" s="576" t="s">
        <v>1102</v>
      </c>
      <c r="N497" s="437">
        <v>-9685445.2699999996</v>
      </c>
      <c r="O497" s="150">
        <f t="shared" si="7"/>
        <v>1</v>
      </c>
      <c r="P497" s="151"/>
      <c r="Q497" s="151"/>
    </row>
    <row r="498" spans="1:17" ht="20.100000000000001" hidden="1" customHeight="1">
      <c r="A498" s="141">
        <v>492</v>
      </c>
      <c r="B498" s="142" t="s">
        <v>1313</v>
      </c>
      <c r="C498" s="143" t="s">
        <v>1024</v>
      </c>
      <c r="D498" s="2800"/>
      <c r="E498" s="170"/>
      <c r="F498" s="170"/>
      <c r="G498" s="160"/>
      <c r="H498" s="170"/>
      <c r="I498" s="170"/>
      <c r="J498" s="171"/>
      <c r="K498" s="166"/>
      <c r="L498" s="167"/>
      <c r="M498" s="176" t="s">
        <v>1029</v>
      </c>
      <c r="N498" s="177"/>
      <c r="O498" s="150">
        <f t="shared" si="7"/>
        <v>0</v>
      </c>
      <c r="P498" s="151"/>
      <c r="Q498" s="151"/>
    </row>
    <row r="499" spans="1:17" ht="20.100000000000001" customHeight="1">
      <c r="A499" s="141">
        <v>493</v>
      </c>
      <c r="B499" s="142" t="s">
        <v>1313</v>
      </c>
      <c r="C499" s="143" t="s">
        <v>1024</v>
      </c>
      <c r="D499" s="2800"/>
      <c r="E499" s="170"/>
      <c r="F499" s="170"/>
      <c r="G499" s="160"/>
      <c r="H499" s="170"/>
      <c r="I499" s="170"/>
      <c r="J499" s="171"/>
      <c r="K499" s="577">
        <v>1</v>
      </c>
      <c r="L499" s="173" t="s">
        <v>1316</v>
      </c>
      <c r="M499" s="578" t="s">
        <v>1317</v>
      </c>
      <c r="N499" s="579">
        <v>-45267.38</v>
      </c>
      <c r="O499" s="150">
        <f t="shared" si="7"/>
        <v>1</v>
      </c>
      <c r="P499" s="151"/>
      <c r="Q499" s="151"/>
    </row>
    <row r="500" spans="1:17" ht="20.100000000000001" customHeight="1">
      <c r="A500" s="141">
        <v>494</v>
      </c>
      <c r="B500" s="142" t="s">
        <v>1313</v>
      </c>
      <c r="C500" s="143" t="s">
        <v>1024</v>
      </c>
      <c r="D500" s="2800"/>
      <c r="E500" s="170"/>
      <c r="F500" s="170"/>
      <c r="G500" s="170"/>
      <c r="H500" s="170"/>
      <c r="I500" s="170"/>
      <c r="J500" s="171"/>
      <c r="K500" s="577">
        <v>1</v>
      </c>
      <c r="L500" s="173" t="s">
        <v>1318</v>
      </c>
      <c r="M500" s="578" t="s">
        <v>1319</v>
      </c>
      <c r="N500" s="579">
        <v>-3000</v>
      </c>
      <c r="O500" s="150">
        <f t="shared" si="7"/>
        <v>1</v>
      </c>
      <c r="P500" s="151"/>
      <c r="Q500" s="151"/>
    </row>
    <row r="501" spans="1:17" ht="20.100000000000001" customHeight="1">
      <c r="A501" s="141">
        <v>495</v>
      </c>
      <c r="B501" s="142" t="s">
        <v>1313</v>
      </c>
      <c r="C501" s="143" t="s">
        <v>1024</v>
      </c>
      <c r="D501" s="2800"/>
      <c r="E501" s="170"/>
      <c r="F501" s="170"/>
      <c r="G501" s="170"/>
      <c r="H501" s="170"/>
      <c r="I501" s="170"/>
      <c r="J501" s="171"/>
      <c r="K501" s="580">
        <v>1</v>
      </c>
      <c r="L501" s="173" t="s">
        <v>1320</v>
      </c>
      <c r="M501" s="581" t="s">
        <v>1321</v>
      </c>
      <c r="N501" s="582">
        <v>-11104.49</v>
      </c>
      <c r="O501" s="150">
        <f t="shared" si="7"/>
        <v>1</v>
      </c>
      <c r="P501" s="151"/>
      <c r="Q501" s="151"/>
    </row>
    <row r="502" spans="1:17" ht="20.100000000000001" customHeight="1">
      <c r="A502" s="141">
        <v>496</v>
      </c>
      <c r="B502" s="142" t="s">
        <v>1313</v>
      </c>
      <c r="C502" s="143" t="s">
        <v>1024</v>
      </c>
      <c r="D502" s="2792"/>
      <c r="E502" s="170"/>
      <c r="F502" s="170"/>
      <c r="G502" s="170"/>
      <c r="H502" s="170"/>
      <c r="I502" s="170"/>
      <c r="J502" s="171"/>
      <c r="K502" s="172">
        <v>1</v>
      </c>
      <c r="L502" s="583" t="s">
        <v>1311</v>
      </c>
      <c r="M502" s="569" t="s">
        <v>1322</v>
      </c>
      <c r="N502" s="584">
        <v>2495</v>
      </c>
      <c r="O502" s="150">
        <f t="shared" si="7"/>
        <v>1</v>
      </c>
      <c r="P502" s="151"/>
      <c r="Q502" s="151"/>
    </row>
    <row r="503" spans="1:17" ht="20.100000000000001" customHeight="1">
      <c r="A503" s="141">
        <v>497</v>
      </c>
      <c r="B503" s="142" t="s">
        <v>1313</v>
      </c>
      <c r="C503" s="143" t="s">
        <v>1024</v>
      </c>
      <c r="D503" s="182" t="s">
        <v>1105</v>
      </c>
      <c r="E503" s="170"/>
      <c r="F503" s="170"/>
      <c r="G503" s="160"/>
      <c r="H503" s="170"/>
      <c r="I503" s="170"/>
      <c r="J503" s="171"/>
      <c r="K503" s="172">
        <v>1</v>
      </c>
      <c r="L503" s="147" t="s">
        <v>1311</v>
      </c>
      <c r="M503" s="375" t="s">
        <v>1061</v>
      </c>
      <c r="N503" s="567">
        <v>415389.67</v>
      </c>
      <c r="O503" s="150">
        <f t="shared" si="7"/>
        <v>1</v>
      </c>
      <c r="P503" s="151"/>
      <c r="Q503" s="151"/>
    </row>
    <row r="504" spans="1:17" ht="20.100000000000001" hidden="1" customHeight="1">
      <c r="A504" s="141">
        <v>498</v>
      </c>
      <c r="B504" s="142" t="s">
        <v>1313</v>
      </c>
      <c r="C504" s="143" t="s">
        <v>1024</v>
      </c>
      <c r="D504" s="2793" t="s">
        <v>33</v>
      </c>
      <c r="E504" s="170"/>
      <c r="F504" s="170"/>
      <c r="G504" s="170"/>
      <c r="H504" s="170">
        <v>301</v>
      </c>
      <c r="I504" s="170"/>
      <c r="J504" s="171"/>
      <c r="K504" s="172"/>
      <c r="L504" s="173"/>
      <c r="M504" s="377" t="s">
        <v>34</v>
      </c>
      <c r="N504" s="437">
        <v>0</v>
      </c>
      <c r="O504" s="150">
        <f t="shared" si="7"/>
        <v>301</v>
      </c>
      <c r="P504" s="151"/>
      <c r="Q504" s="151"/>
    </row>
    <row r="505" spans="1:17" ht="20.100000000000001" hidden="1" customHeight="1">
      <c r="A505" s="141">
        <v>499</v>
      </c>
      <c r="B505" s="142" t="s">
        <v>1313</v>
      </c>
      <c r="C505" s="143" t="s">
        <v>1024</v>
      </c>
      <c r="D505" s="2794"/>
      <c r="E505" s="170"/>
      <c r="F505" s="170"/>
      <c r="G505" s="170"/>
      <c r="H505" s="170"/>
      <c r="I505" s="170">
        <v>3241</v>
      </c>
      <c r="J505" s="171"/>
      <c r="K505" s="152"/>
      <c r="L505" s="153" t="s">
        <v>1311</v>
      </c>
      <c r="M505" s="377" t="s">
        <v>35</v>
      </c>
      <c r="N505" s="433">
        <v>6971094.54</v>
      </c>
      <c r="O505" s="150">
        <f t="shared" si="7"/>
        <v>3241</v>
      </c>
      <c r="P505" s="151"/>
      <c r="Q505" s="151"/>
    </row>
    <row r="506" spans="1:17" ht="20.100000000000001" hidden="1" customHeight="1">
      <c r="A506" s="141">
        <v>500</v>
      </c>
      <c r="B506" s="142" t="s">
        <v>1313</v>
      </c>
      <c r="C506" s="143" t="s">
        <v>1024</v>
      </c>
      <c r="D506" s="2793" t="s">
        <v>36</v>
      </c>
      <c r="E506" s="170"/>
      <c r="F506" s="170">
        <v>968</v>
      </c>
      <c r="G506" s="170"/>
      <c r="H506" s="170"/>
      <c r="I506" s="170"/>
      <c r="J506" s="171"/>
      <c r="K506" s="152"/>
      <c r="L506" s="153"/>
      <c r="M506" s="161" t="s">
        <v>1323</v>
      </c>
      <c r="N506" s="434">
        <v>0</v>
      </c>
      <c r="O506" s="150">
        <f t="shared" si="7"/>
        <v>968</v>
      </c>
      <c r="P506" s="151"/>
      <c r="Q506" s="151"/>
    </row>
    <row r="507" spans="1:17" ht="20.100000000000001" hidden="1" customHeight="1">
      <c r="A507" s="141">
        <v>501</v>
      </c>
      <c r="B507" s="142" t="s">
        <v>1313</v>
      </c>
      <c r="C507" s="143" t="s">
        <v>1024</v>
      </c>
      <c r="D507" s="2792"/>
      <c r="E507" s="170">
        <v>11</v>
      </c>
      <c r="F507" s="170"/>
      <c r="G507" s="170"/>
      <c r="H507" s="170"/>
      <c r="I507" s="170"/>
      <c r="J507" s="171"/>
      <c r="K507" s="152"/>
      <c r="L507" s="153"/>
      <c r="M507" s="161" t="s">
        <v>1324</v>
      </c>
      <c r="N507" s="434">
        <v>0</v>
      </c>
      <c r="O507" s="150">
        <f t="shared" si="7"/>
        <v>11</v>
      </c>
      <c r="P507" s="151"/>
      <c r="Q507" s="151"/>
    </row>
    <row r="508" spans="1:17" ht="20.100000000000001" customHeight="1">
      <c r="A508" s="141">
        <v>502</v>
      </c>
      <c r="B508" s="142" t="s">
        <v>1325</v>
      </c>
      <c r="C508" s="143" t="s">
        <v>1024</v>
      </c>
      <c r="D508" s="2793" t="s">
        <v>1232</v>
      </c>
      <c r="E508" s="170"/>
      <c r="F508" s="170"/>
      <c r="G508" s="170"/>
      <c r="H508" s="170"/>
      <c r="I508" s="170"/>
      <c r="J508" s="171"/>
      <c r="K508" s="326">
        <v>1</v>
      </c>
      <c r="L508" s="407"/>
      <c r="M508" s="333" t="s">
        <v>1326</v>
      </c>
      <c r="N508" s="175">
        <v>-14798</v>
      </c>
      <c r="O508" s="150">
        <f t="shared" si="7"/>
        <v>1</v>
      </c>
      <c r="P508" s="151"/>
      <c r="Q508" s="151"/>
    </row>
    <row r="509" spans="1:17" ht="20.100000000000001" customHeight="1">
      <c r="A509" s="141">
        <v>503</v>
      </c>
      <c r="B509" s="142" t="s">
        <v>1325</v>
      </c>
      <c r="C509" s="143" t="s">
        <v>1024</v>
      </c>
      <c r="D509" s="2794"/>
      <c r="E509" s="170"/>
      <c r="F509" s="170"/>
      <c r="G509" s="170"/>
      <c r="H509" s="170"/>
      <c r="I509" s="170"/>
      <c r="J509" s="171"/>
      <c r="K509" s="326">
        <v>1</v>
      </c>
      <c r="L509" s="407"/>
      <c r="M509" s="330" t="s">
        <v>1327</v>
      </c>
      <c r="N509" s="175">
        <v>29002</v>
      </c>
      <c r="O509" s="150">
        <f t="shared" si="7"/>
        <v>1</v>
      </c>
      <c r="P509" s="151"/>
      <c r="Q509" s="151"/>
    </row>
    <row r="510" spans="1:17" ht="20.100000000000001" hidden="1" customHeight="1">
      <c r="A510" s="141">
        <v>504</v>
      </c>
      <c r="B510" s="142" t="s">
        <v>1325</v>
      </c>
      <c r="C510" s="143" t="s">
        <v>1024</v>
      </c>
      <c r="D510" s="2793" t="s">
        <v>29</v>
      </c>
      <c r="E510" s="170"/>
      <c r="F510" s="170"/>
      <c r="G510" s="170"/>
      <c r="H510" s="170"/>
      <c r="I510" s="170"/>
      <c r="J510" s="171"/>
      <c r="K510" s="156"/>
      <c r="L510" s="157"/>
      <c r="M510" s="158" t="s">
        <v>1026</v>
      </c>
      <c r="N510" s="159"/>
      <c r="O510" s="150">
        <f t="shared" si="7"/>
        <v>0</v>
      </c>
      <c r="P510" s="151"/>
      <c r="Q510" s="151"/>
    </row>
    <row r="511" spans="1:17" ht="20.100000000000001" hidden="1" customHeight="1">
      <c r="A511" s="141">
        <v>505</v>
      </c>
      <c r="B511" s="142" t="s">
        <v>1325</v>
      </c>
      <c r="C511" s="143" t="s">
        <v>1024</v>
      </c>
      <c r="D511" s="2795"/>
      <c r="E511" s="170"/>
      <c r="F511" s="170"/>
      <c r="G511" s="160">
        <v>1</v>
      </c>
      <c r="H511" s="160"/>
      <c r="I511" s="170"/>
      <c r="J511" s="171"/>
      <c r="K511" s="326"/>
      <c r="L511" s="407"/>
      <c r="M511" s="333" t="s">
        <v>119</v>
      </c>
      <c r="N511" s="175">
        <v>-3020707.45</v>
      </c>
      <c r="O511" s="150">
        <f t="shared" si="7"/>
        <v>1</v>
      </c>
      <c r="P511" s="151"/>
      <c r="Q511" s="151"/>
    </row>
    <row r="512" spans="1:17" ht="20.100000000000001" hidden="1" customHeight="1">
      <c r="A512" s="141">
        <v>506</v>
      </c>
      <c r="B512" s="142" t="s">
        <v>1325</v>
      </c>
      <c r="C512" s="143" t="s">
        <v>1024</v>
      </c>
      <c r="D512" s="2795"/>
      <c r="E512" s="170"/>
      <c r="F512" s="170"/>
      <c r="G512" s="160">
        <v>1</v>
      </c>
      <c r="H512" s="170"/>
      <c r="I512" s="160"/>
      <c r="J512" s="171"/>
      <c r="K512" s="326"/>
      <c r="L512" s="407"/>
      <c r="M512" s="333" t="s">
        <v>49</v>
      </c>
      <c r="N512" s="175">
        <v>-122500711.7</v>
      </c>
      <c r="O512" s="150">
        <f t="shared" si="7"/>
        <v>1</v>
      </c>
      <c r="P512" s="151"/>
      <c r="Q512" s="151"/>
    </row>
    <row r="513" spans="1:17" ht="20.100000000000001" hidden="1" customHeight="1">
      <c r="A513" s="141">
        <v>507</v>
      </c>
      <c r="B513" s="142" t="s">
        <v>1325</v>
      </c>
      <c r="C513" s="143" t="s">
        <v>1024</v>
      </c>
      <c r="D513" s="2795"/>
      <c r="E513" s="170"/>
      <c r="F513" s="160"/>
      <c r="G513" s="160">
        <v>1</v>
      </c>
      <c r="H513" s="170"/>
      <c r="I513" s="170"/>
      <c r="J513" s="171"/>
      <c r="K513" s="326"/>
      <c r="L513" s="407"/>
      <c r="M513" s="333" t="s">
        <v>32</v>
      </c>
      <c r="N513" s="502">
        <v>174.87</v>
      </c>
      <c r="O513" s="150">
        <f t="shared" si="7"/>
        <v>1</v>
      </c>
      <c r="P513" s="151"/>
      <c r="Q513" s="151"/>
    </row>
    <row r="514" spans="1:17" ht="20.100000000000001" hidden="1" customHeight="1">
      <c r="A514" s="141">
        <v>508</v>
      </c>
      <c r="B514" s="142" t="s">
        <v>1325</v>
      </c>
      <c r="C514" s="143" t="s">
        <v>1024</v>
      </c>
      <c r="D514" s="2795"/>
      <c r="E514" s="160"/>
      <c r="F514" s="170"/>
      <c r="G514" s="160">
        <v>1</v>
      </c>
      <c r="H514" s="170"/>
      <c r="I514" s="170"/>
      <c r="J514" s="171"/>
      <c r="K514" s="172"/>
      <c r="L514" s="173"/>
      <c r="M514" s="333" t="s">
        <v>207</v>
      </c>
      <c r="N514" s="186">
        <v>-94168.36</v>
      </c>
      <c r="O514" s="150">
        <f t="shared" si="7"/>
        <v>1</v>
      </c>
      <c r="P514" s="151"/>
      <c r="Q514" s="151"/>
    </row>
    <row r="515" spans="1:17" ht="20.100000000000001" hidden="1" customHeight="1">
      <c r="A515" s="141">
        <v>509</v>
      </c>
      <c r="B515" s="142" t="s">
        <v>1325</v>
      </c>
      <c r="C515" s="143" t="s">
        <v>1024</v>
      </c>
      <c r="D515" s="2795"/>
      <c r="E515" s="170"/>
      <c r="F515" s="170"/>
      <c r="G515" s="170"/>
      <c r="H515" s="170"/>
      <c r="I515" s="170"/>
      <c r="J515" s="171"/>
      <c r="K515" s="166"/>
      <c r="L515" s="167"/>
      <c r="M515" s="168" t="s">
        <v>1028</v>
      </c>
      <c r="N515" s="585"/>
      <c r="O515" s="150">
        <f t="shared" si="7"/>
        <v>0</v>
      </c>
      <c r="P515" s="151"/>
      <c r="Q515" s="151"/>
    </row>
    <row r="516" spans="1:17" ht="20.100000000000001" customHeight="1">
      <c r="A516" s="141">
        <v>510</v>
      </c>
      <c r="B516" s="142" t="s">
        <v>1325</v>
      </c>
      <c r="C516" s="143" t="s">
        <v>1024</v>
      </c>
      <c r="D516" s="2795"/>
      <c r="E516" s="170"/>
      <c r="F516" s="170"/>
      <c r="G516" s="170"/>
      <c r="H516" s="170"/>
      <c r="I516" s="170"/>
      <c r="J516" s="171"/>
      <c r="K516" s="172">
        <v>1</v>
      </c>
      <c r="L516" s="407"/>
      <c r="M516" s="586" t="s">
        <v>1328</v>
      </c>
      <c r="N516" s="457">
        <v>-13544.71</v>
      </c>
      <c r="O516" s="150">
        <f t="shared" si="7"/>
        <v>1</v>
      </c>
      <c r="P516" s="151"/>
      <c r="Q516" s="151"/>
    </row>
    <row r="517" spans="1:17" ht="20.100000000000001" customHeight="1">
      <c r="A517" s="141">
        <v>511</v>
      </c>
      <c r="B517" s="142" t="s">
        <v>1325</v>
      </c>
      <c r="C517" s="143" t="s">
        <v>1024</v>
      </c>
      <c r="D517" s="2795"/>
      <c r="E517" s="587"/>
      <c r="F517" s="587"/>
      <c r="G517" s="587"/>
      <c r="H517" s="587"/>
      <c r="I517" s="587"/>
      <c r="J517" s="588"/>
      <c r="K517" s="577">
        <v>1</v>
      </c>
      <c r="L517" s="407">
        <v>20230403</v>
      </c>
      <c r="M517" s="589" t="s">
        <v>1189</v>
      </c>
      <c r="N517" s="590">
        <v>1778.03</v>
      </c>
      <c r="O517" s="150">
        <f t="shared" si="7"/>
        <v>1</v>
      </c>
      <c r="P517" s="196"/>
      <c r="Q517" s="196"/>
    </row>
    <row r="518" spans="1:17" ht="20.100000000000001" hidden="1" customHeight="1">
      <c r="A518" s="141">
        <v>512</v>
      </c>
      <c r="B518" s="142" t="s">
        <v>1325</v>
      </c>
      <c r="C518" s="143" t="s">
        <v>1024</v>
      </c>
      <c r="D518" s="2795"/>
      <c r="E518" s="591"/>
      <c r="F518" s="591"/>
      <c r="G518" s="591"/>
      <c r="H518" s="591"/>
      <c r="I518" s="591"/>
      <c r="J518" s="592"/>
      <c r="K518" s="166"/>
      <c r="L518" s="167"/>
      <c r="M518" s="168" t="s">
        <v>1141</v>
      </c>
      <c r="N518" s="371"/>
      <c r="O518" s="150">
        <f t="shared" si="7"/>
        <v>0</v>
      </c>
      <c r="P518" s="196"/>
      <c r="Q518" s="196"/>
    </row>
    <row r="519" spans="1:17" ht="20.100000000000001" customHeight="1">
      <c r="A519" s="141">
        <v>513</v>
      </c>
      <c r="B519" s="142" t="s">
        <v>1325</v>
      </c>
      <c r="C519" s="143" t="s">
        <v>1024</v>
      </c>
      <c r="D519" s="2795"/>
      <c r="E519" s="587"/>
      <c r="F519" s="587"/>
      <c r="G519" s="587"/>
      <c r="H519" s="587"/>
      <c r="I519" s="587"/>
      <c r="J519" s="588"/>
      <c r="K519" s="172">
        <v>1</v>
      </c>
      <c r="L519" s="173">
        <v>44470</v>
      </c>
      <c r="M519" s="174" t="s">
        <v>1329</v>
      </c>
      <c r="N519" s="593">
        <v>-279256.17</v>
      </c>
      <c r="O519" s="150">
        <f t="shared" si="7"/>
        <v>1</v>
      </c>
      <c r="P519" s="196"/>
      <c r="Q519" s="196"/>
    </row>
    <row r="520" spans="1:17" ht="20.100000000000001" hidden="1" customHeight="1">
      <c r="A520" s="141">
        <v>514</v>
      </c>
      <c r="B520" s="142" t="s">
        <v>1325</v>
      </c>
      <c r="C520" s="143" t="s">
        <v>1024</v>
      </c>
      <c r="D520" s="2795"/>
      <c r="E520" s="587"/>
      <c r="F520" s="587"/>
      <c r="G520" s="160"/>
      <c r="H520" s="587"/>
      <c r="I520" s="587"/>
      <c r="J520" s="588"/>
      <c r="K520" s="166"/>
      <c r="L520" s="167"/>
      <c r="M520" s="176" t="s">
        <v>1029</v>
      </c>
      <c r="N520" s="177"/>
      <c r="O520" s="150">
        <f t="shared" si="7"/>
        <v>0</v>
      </c>
      <c r="P520" s="196"/>
      <c r="Q520" s="196"/>
    </row>
    <row r="521" spans="1:17" ht="20.100000000000001" customHeight="1">
      <c r="A521" s="141">
        <v>515</v>
      </c>
      <c r="B521" s="142" t="s">
        <v>1325</v>
      </c>
      <c r="C521" s="143" t="s">
        <v>1024</v>
      </c>
      <c r="D521" s="2795"/>
      <c r="E521" s="587"/>
      <c r="F521" s="587"/>
      <c r="G521" s="160"/>
      <c r="H521" s="587"/>
      <c r="I521" s="587"/>
      <c r="J521" s="588"/>
      <c r="K521" s="172">
        <v>1</v>
      </c>
      <c r="L521" s="173">
        <v>44470</v>
      </c>
      <c r="M521" s="569" t="s">
        <v>1330</v>
      </c>
      <c r="N521" s="331">
        <v>-81869.539999999994</v>
      </c>
      <c r="O521" s="150">
        <f t="shared" ref="O521:O584" si="8">E521+F521+G521+H521+I521+J521+K521</f>
        <v>1</v>
      </c>
      <c r="P521" s="196"/>
      <c r="Q521" s="196"/>
    </row>
    <row r="522" spans="1:17" ht="20.100000000000001" customHeight="1">
      <c r="A522" s="141">
        <v>516</v>
      </c>
      <c r="B522" s="142" t="s">
        <v>1325</v>
      </c>
      <c r="C522" s="143" t="s">
        <v>1024</v>
      </c>
      <c r="D522" s="2795"/>
      <c r="E522" s="587"/>
      <c r="F522" s="587"/>
      <c r="G522" s="160"/>
      <c r="H522" s="587"/>
      <c r="I522" s="587"/>
      <c r="J522" s="588"/>
      <c r="K522" s="172">
        <v>1</v>
      </c>
      <c r="L522" s="173">
        <v>43481</v>
      </c>
      <c r="M522" s="569" t="s">
        <v>1331</v>
      </c>
      <c r="N522" s="584">
        <v>6019.67</v>
      </c>
      <c r="O522" s="150">
        <f t="shared" si="8"/>
        <v>1</v>
      </c>
      <c r="P522" s="196"/>
      <c r="Q522" s="196"/>
    </row>
    <row r="523" spans="1:17" ht="20.100000000000001" customHeight="1">
      <c r="A523" s="141">
        <v>517</v>
      </c>
      <c r="B523" s="142" t="s">
        <v>1325</v>
      </c>
      <c r="C523" s="143" t="s">
        <v>1024</v>
      </c>
      <c r="D523" s="2794"/>
      <c r="E523" s="587"/>
      <c r="F523" s="587"/>
      <c r="G523" s="160"/>
      <c r="H523" s="587"/>
      <c r="I523" s="587"/>
      <c r="J523" s="588"/>
      <c r="K523" s="172">
        <v>8</v>
      </c>
      <c r="L523" s="173">
        <v>42379</v>
      </c>
      <c r="M523" s="569" t="s">
        <v>1332</v>
      </c>
      <c r="N523" s="584">
        <v>11900.32</v>
      </c>
      <c r="O523" s="150">
        <f t="shared" si="8"/>
        <v>8</v>
      </c>
      <c r="P523" s="196"/>
      <c r="Q523" s="196"/>
    </row>
    <row r="524" spans="1:17" ht="20.100000000000001" customHeight="1">
      <c r="A524" s="141">
        <v>518</v>
      </c>
      <c r="B524" s="142" t="s">
        <v>1325</v>
      </c>
      <c r="C524" s="143" t="s">
        <v>1024</v>
      </c>
      <c r="D524" s="182" t="s">
        <v>1105</v>
      </c>
      <c r="E524" s="587"/>
      <c r="F524" s="587"/>
      <c r="G524" s="587"/>
      <c r="H524" s="587"/>
      <c r="I524" s="587"/>
      <c r="J524" s="588"/>
      <c r="K524" s="172">
        <v>4</v>
      </c>
      <c r="L524" s="173"/>
      <c r="M524" s="375" t="s">
        <v>1061</v>
      </c>
      <c r="N524" s="457">
        <v>447467.88</v>
      </c>
      <c r="O524" s="150">
        <f t="shared" si="8"/>
        <v>4</v>
      </c>
      <c r="P524" s="196"/>
      <c r="Q524" s="196"/>
    </row>
    <row r="525" spans="1:17" ht="20.100000000000001" hidden="1" customHeight="1">
      <c r="A525" s="141">
        <v>519</v>
      </c>
      <c r="B525" s="142" t="s">
        <v>1325</v>
      </c>
      <c r="C525" s="143" t="s">
        <v>1024</v>
      </c>
      <c r="D525" s="182" t="s">
        <v>33</v>
      </c>
      <c r="E525" s="587"/>
      <c r="F525" s="587"/>
      <c r="G525" s="587"/>
      <c r="H525" s="587"/>
      <c r="I525" s="587">
        <v>3610</v>
      </c>
      <c r="J525" s="588"/>
      <c r="K525" s="326"/>
      <c r="L525" s="407"/>
      <c r="M525" s="570" t="s">
        <v>35</v>
      </c>
      <c r="N525" s="332">
        <v>11410823.720000001</v>
      </c>
      <c r="O525" s="150">
        <f t="shared" si="8"/>
        <v>3610</v>
      </c>
      <c r="P525" s="196"/>
      <c r="Q525" s="196"/>
    </row>
    <row r="526" spans="1:17" ht="20.100000000000001" customHeight="1">
      <c r="A526" s="141">
        <v>520</v>
      </c>
      <c r="B526" s="142" t="s">
        <v>1333</v>
      </c>
      <c r="C526" s="143" t="s">
        <v>1024</v>
      </c>
      <c r="D526" s="2793" t="s">
        <v>1232</v>
      </c>
      <c r="E526" s="587"/>
      <c r="F526" s="587"/>
      <c r="G526" s="160"/>
      <c r="H526" s="587"/>
      <c r="I526" s="587"/>
      <c r="J526" s="588"/>
      <c r="K526" s="594">
        <v>1</v>
      </c>
      <c r="L526" s="595"/>
      <c r="M526" s="596" t="s">
        <v>1334</v>
      </c>
      <c r="N526" s="597">
        <v>10800</v>
      </c>
      <c r="O526" s="150">
        <f t="shared" si="8"/>
        <v>1</v>
      </c>
      <c r="P526" s="196"/>
      <c r="Q526" s="196"/>
    </row>
    <row r="527" spans="1:17" ht="20.100000000000001" customHeight="1">
      <c r="A527" s="141">
        <v>521</v>
      </c>
      <c r="B527" s="142" t="s">
        <v>1333</v>
      </c>
      <c r="C527" s="143" t="s">
        <v>1024</v>
      </c>
      <c r="D527" s="2794"/>
      <c r="E527" s="587"/>
      <c r="F527" s="587"/>
      <c r="G527" s="160"/>
      <c r="H527" s="587"/>
      <c r="I527" s="587"/>
      <c r="J527" s="588"/>
      <c r="K527" s="594">
        <v>1</v>
      </c>
      <c r="L527" s="595">
        <v>46234</v>
      </c>
      <c r="M527" s="598" t="s">
        <v>1335</v>
      </c>
      <c r="N527" s="599">
        <v>-23514.02</v>
      </c>
      <c r="O527" s="150">
        <f t="shared" si="8"/>
        <v>1</v>
      </c>
      <c r="P527" s="196"/>
      <c r="Q527" s="196"/>
    </row>
    <row r="528" spans="1:17" ht="20.100000000000001" hidden="1" customHeight="1">
      <c r="A528" s="141">
        <v>522</v>
      </c>
      <c r="B528" s="142" t="s">
        <v>1333</v>
      </c>
      <c r="C528" s="143" t="s">
        <v>1024</v>
      </c>
      <c r="D528" s="2793" t="s">
        <v>29</v>
      </c>
      <c r="E528" s="587"/>
      <c r="F528" s="587"/>
      <c r="G528" s="587"/>
      <c r="H528" s="587"/>
      <c r="I528" s="587"/>
      <c r="J528" s="588"/>
      <c r="K528" s="600"/>
      <c r="L528" s="601"/>
      <c r="M528" s="602" t="s">
        <v>1026</v>
      </c>
      <c r="N528" s="603"/>
      <c r="O528" s="150">
        <f t="shared" si="8"/>
        <v>0</v>
      </c>
      <c r="P528" s="213"/>
      <c r="Q528" s="213"/>
    </row>
    <row r="529" spans="1:17" ht="20.100000000000001" hidden="1" customHeight="1">
      <c r="A529" s="141">
        <v>523</v>
      </c>
      <c r="B529" s="142" t="s">
        <v>1333</v>
      </c>
      <c r="C529" s="143" t="s">
        <v>1024</v>
      </c>
      <c r="D529" s="2795"/>
      <c r="E529" s="587"/>
      <c r="F529" s="587"/>
      <c r="G529" s="160">
        <v>1</v>
      </c>
      <c r="H529" s="587"/>
      <c r="I529" s="587"/>
      <c r="J529" s="588"/>
      <c r="K529" s="594"/>
      <c r="L529" s="595"/>
      <c r="M529" s="596" t="s">
        <v>119</v>
      </c>
      <c r="N529" s="597">
        <v>-2599710.56</v>
      </c>
      <c r="O529" s="150">
        <f t="shared" si="8"/>
        <v>1</v>
      </c>
      <c r="P529" s="196"/>
      <c r="Q529" s="196"/>
    </row>
    <row r="530" spans="1:17" ht="20.100000000000001" hidden="1" customHeight="1">
      <c r="A530" s="141">
        <v>524</v>
      </c>
      <c r="B530" s="142" t="s">
        <v>1333</v>
      </c>
      <c r="C530" s="143" t="s">
        <v>1024</v>
      </c>
      <c r="D530" s="2795"/>
      <c r="E530" s="587"/>
      <c r="F530" s="587"/>
      <c r="G530" s="160">
        <v>1</v>
      </c>
      <c r="H530" s="587"/>
      <c r="I530" s="587"/>
      <c r="J530" s="588"/>
      <c r="K530" s="594"/>
      <c r="L530" s="595"/>
      <c r="M530" s="596" t="s">
        <v>1049</v>
      </c>
      <c r="N530" s="597">
        <v>-31618225.170000002</v>
      </c>
      <c r="O530" s="150">
        <f t="shared" si="8"/>
        <v>1</v>
      </c>
      <c r="P530" s="196"/>
      <c r="Q530" s="196"/>
    </row>
    <row r="531" spans="1:17" ht="20.100000000000001" hidden="1" customHeight="1">
      <c r="A531" s="141">
        <v>525</v>
      </c>
      <c r="B531" s="142" t="s">
        <v>1333</v>
      </c>
      <c r="C531" s="143" t="s">
        <v>1024</v>
      </c>
      <c r="D531" s="2795"/>
      <c r="E531" s="591"/>
      <c r="F531" s="591"/>
      <c r="G531" s="160">
        <v>1</v>
      </c>
      <c r="H531" s="591"/>
      <c r="I531" s="591"/>
      <c r="J531" s="592"/>
      <c r="K531" s="594"/>
      <c r="L531" s="595"/>
      <c r="M531" s="596" t="s">
        <v>32</v>
      </c>
      <c r="N531" s="597">
        <v>0.5</v>
      </c>
      <c r="O531" s="150">
        <f t="shared" si="8"/>
        <v>1</v>
      </c>
      <c r="P531" s="196"/>
      <c r="Q531" s="196"/>
    </row>
    <row r="532" spans="1:17" ht="20.100000000000001" hidden="1" customHeight="1">
      <c r="A532" s="141">
        <v>526</v>
      </c>
      <c r="B532" s="142" t="s">
        <v>1333</v>
      </c>
      <c r="C532" s="143" t="s">
        <v>1024</v>
      </c>
      <c r="D532" s="2795"/>
      <c r="E532" s="591"/>
      <c r="F532" s="591"/>
      <c r="G532" s="160">
        <v>1</v>
      </c>
      <c r="H532" s="591"/>
      <c r="I532" s="591"/>
      <c r="J532" s="592"/>
      <c r="K532" s="604"/>
      <c r="L532" s="605"/>
      <c r="M532" s="596" t="s">
        <v>1336</v>
      </c>
      <c r="N532" s="606">
        <v>79484.429999999993</v>
      </c>
      <c r="O532" s="150">
        <f t="shared" si="8"/>
        <v>1</v>
      </c>
      <c r="P532" s="196"/>
      <c r="Q532" s="196"/>
    </row>
    <row r="533" spans="1:17" ht="20.100000000000001" customHeight="1">
      <c r="A533" s="141">
        <v>527</v>
      </c>
      <c r="B533" s="142" t="s">
        <v>1333</v>
      </c>
      <c r="C533" s="143" t="s">
        <v>1024</v>
      </c>
      <c r="D533" s="2795"/>
      <c r="E533" s="591"/>
      <c r="F533" s="591"/>
      <c r="G533" s="591"/>
      <c r="H533" s="160"/>
      <c r="I533" s="591"/>
      <c r="J533" s="592"/>
      <c r="K533" s="604">
        <v>1</v>
      </c>
      <c r="L533" s="605"/>
      <c r="M533" s="596" t="s">
        <v>1337</v>
      </c>
      <c r="N533" s="607">
        <v>-1187.5899999999999</v>
      </c>
      <c r="O533" s="150">
        <f t="shared" si="8"/>
        <v>1</v>
      </c>
      <c r="P533" s="218"/>
      <c r="Q533" s="218"/>
    </row>
    <row r="534" spans="1:17" ht="20.100000000000001" hidden="1" customHeight="1">
      <c r="A534" s="141">
        <v>528</v>
      </c>
      <c r="B534" s="142" t="s">
        <v>1333</v>
      </c>
      <c r="C534" s="143" t="s">
        <v>1024</v>
      </c>
      <c r="D534" s="2795"/>
      <c r="E534" s="587"/>
      <c r="F534" s="587"/>
      <c r="G534" s="587"/>
      <c r="H534" s="587"/>
      <c r="I534" s="160"/>
      <c r="J534" s="588"/>
      <c r="K534" s="608"/>
      <c r="L534" s="609"/>
      <c r="M534" s="610" t="s">
        <v>1028</v>
      </c>
      <c r="N534" s="597"/>
      <c r="O534" s="150">
        <f t="shared" si="8"/>
        <v>0</v>
      </c>
      <c r="P534" s="196"/>
      <c r="Q534" s="196"/>
    </row>
    <row r="535" spans="1:17" ht="20.100000000000001" hidden="1" customHeight="1">
      <c r="A535" s="141">
        <v>529</v>
      </c>
      <c r="B535" s="142" t="s">
        <v>1333</v>
      </c>
      <c r="C535" s="143" t="s">
        <v>1024</v>
      </c>
      <c r="D535" s="2795"/>
      <c r="E535" s="591"/>
      <c r="F535" s="160"/>
      <c r="G535" s="160">
        <v>1</v>
      </c>
      <c r="H535" s="591"/>
      <c r="I535" s="591"/>
      <c r="J535" s="592"/>
      <c r="K535" s="604"/>
      <c r="L535" s="605"/>
      <c r="M535" s="596" t="s">
        <v>844</v>
      </c>
      <c r="N535" s="597">
        <v>38</v>
      </c>
      <c r="O535" s="150">
        <f t="shared" si="8"/>
        <v>1</v>
      </c>
      <c r="P535" s="196"/>
      <c r="Q535" s="196"/>
    </row>
    <row r="536" spans="1:17" ht="20.100000000000001" hidden="1" customHeight="1">
      <c r="A536" s="141">
        <v>530</v>
      </c>
      <c r="B536" s="142" t="s">
        <v>1333</v>
      </c>
      <c r="C536" s="143" t="s">
        <v>1024</v>
      </c>
      <c r="D536" s="2795"/>
      <c r="E536" s="160"/>
      <c r="F536" s="591"/>
      <c r="G536" s="160">
        <v>1</v>
      </c>
      <c r="H536" s="591"/>
      <c r="I536" s="591"/>
      <c r="J536" s="592"/>
      <c r="K536" s="604"/>
      <c r="L536" s="605"/>
      <c r="M536" s="611" t="s">
        <v>1338</v>
      </c>
      <c r="N536" s="607">
        <v>26</v>
      </c>
      <c r="O536" s="150">
        <f t="shared" si="8"/>
        <v>1</v>
      </c>
      <c r="P536" s="196"/>
      <c r="Q536" s="196"/>
    </row>
    <row r="537" spans="1:17" ht="20.100000000000001" customHeight="1">
      <c r="A537" s="141">
        <v>531</v>
      </c>
      <c r="B537" s="142" t="s">
        <v>1333</v>
      </c>
      <c r="C537" s="143" t="s">
        <v>1024</v>
      </c>
      <c r="D537" s="2795"/>
      <c r="E537" s="144"/>
      <c r="F537" s="144"/>
      <c r="G537" s="144"/>
      <c r="H537" s="144"/>
      <c r="I537" s="144"/>
      <c r="J537" s="145"/>
      <c r="K537" s="604">
        <v>0</v>
      </c>
      <c r="L537" s="605"/>
      <c r="M537" s="612" t="s">
        <v>1029</v>
      </c>
      <c r="N537" s="607">
        <v>0</v>
      </c>
      <c r="O537" s="150">
        <f t="shared" si="8"/>
        <v>0</v>
      </c>
      <c r="P537" s="151"/>
      <c r="Q537" s="151"/>
    </row>
    <row r="538" spans="1:17" ht="20.100000000000001" customHeight="1">
      <c r="A538" s="141">
        <v>532</v>
      </c>
      <c r="B538" s="142" t="s">
        <v>1333</v>
      </c>
      <c r="C538" s="143" t="s">
        <v>1024</v>
      </c>
      <c r="D538" s="2795"/>
      <c r="E538" s="144"/>
      <c r="F538" s="144"/>
      <c r="G538" s="144"/>
      <c r="H538" s="144"/>
      <c r="I538" s="144"/>
      <c r="J538" s="145"/>
      <c r="K538" s="613">
        <v>1</v>
      </c>
      <c r="L538" s="605">
        <v>44417</v>
      </c>
      <c r="M538" s="598" t="s">
        <v>1339</v>
      </c>
      <c r="N538" s="614">
        <v>-715017.66</v>
      </c>
      <c r="O538" s="150">
        <f t="shared" si="8"/>
        <v>1</v>
      </c>
      <c r="P538" s="151"/>
      <c r="Q538" s="151"/>
    </row>
    <row r="539" spans="1:17" ht="20.100000000000001" customHeight="1">
      <c r="A539" s="141">
        <v>533</v>
      </c>
      <c r="B539" s="142" t="s">
        <v>1333</v>
      </c>
      <c r="C539" s="143" t="s">
        <v>1024</v>
      </c>
      <c r="D539" s="2795"/>
      <c r="E539" s="144"/>
      <c r="F539" s="144"/>
      <c r="G539" s="160"/>
      <c r="H539" s="144"/>
      <c r="I539" s="144"/>
      <c r="J539" s="145"/>
      <c r="K539" s="613">
        <v>1</v>
      </c>
      <c r="L539" s="605">
        <v>46234</v>
      </c>
      <c r="M539" s="598" t="s">
        <v>1340</v>
      </c>
      <c r="N539" s="607">
        <v>3450</v>
      </c>
      <c r="O539" s="150">
        <f t="shared" si="8"/>
        <v>1</v>
      </c>
      <c r="P539" s="151"/>
      <c r="Q539" s="151"/>
    </row>
    <row r="540" spans="1:17" ht="20.100000000000001" customHeight="1">
      <c r="A540" s="141">
        <v>534</v>
      </c>
      <c r="B540" s="142" t="s">
        <v>1333</v>
      </c>
      <c r="C540" s="143" t="s">
        <v>1024</v>
      </c>
      <c r="D540" s="2795"/>
      <c r="E540" s="144"/>
      <c r="F540" s="144"/>
      <c r="G540" s="160"/>
      <c r="H540" s="144"/>
      <c r="I540" s="144"/>
      <c r="J540" s="145"/>
      <c r="K540" s="604">
        <v>1</v>
      </c>
      <c r="L540" s="605">
        <v>43641</v>
      </c>
      <c r="M540" s="598" t="s">
        <v>1341</v>
      </c>
      <c r="N540" s="606">
        <v>25233.72</v>
      </c>
      <c r="O540" s="150">
        <f t="shared" si="8"/>
        <v>1</v>
      </c>
      <c r="P540" s="151"/>
      <c r="Q540" s="151"/>
    </row>
    <row r="541" spans="1:17" ht="20.100000000000001" customHeight="1">
      <c r="A541" s="141">
        <v>535</v>
      </c>
      <c r="B541" s="142" t="s">
        <v>1333</v>
      </c>
      <c r="C541" s="143" t="s">
        <v>1024</v>
      </c>
      <c r="D541" s="2795"/>
      <c r="E541" s="144"/>
      <c r="F541" s="144"/>
      <c r="G541" s="160"/>
      <c r="H541" s="144"/>
      <c r="I541" s="144"/>
      <c r="J541" s="145"/>
      <c r="K541" s="604">
        <v>1</v>
      </c>
      <c r="L541" s="605"/>
      <c r="M541" s="596" t="s">
        <v>1342</v>
      </c>
      <c r="N541" s="607">
        <v>-800</v>
      </c>
      <c r="O541" s="150">
        <f t="shared" si="8"/>
        <v>1</v>
      </c>
      <c r="P541" s="151"/>
      <c r="Q541" s="151"/>
    </row>
    <row r="542" spans="1:17" ht="20.100000000000001" customHeight="1">
      <c r="A542" s="141">
        <v>536</v>
      </c>
      <c r="B542" s="142" t="s">
        <v>1333</v>
      </c>
      <c r="C542" s="143" t="s">
        <v>1024</v>
      </c>
      <c r="D542" s="2794"/>
      <c r="E542" s="170"/>
      <c r="F542" s="170"/>
      <c r="G542" s="160"/>
      <c r="H542" s="170"/>
      <c r="I542" s="170"/>
      <c r="J542" s="171"/>
      <c r="K542" s="604">
        <v>1</v>
      </c>
      <c r="L542" s="605"/>
      <c r="M542" s="596" t="s">
        <v>1343</v>
      </c>
      <c r="N542" s="607">
        <v>14400</v>
      </c>
      <c r="O542" s="150">
        <f t="shared" si="8"/>
        <v>1</v>
      </c>
      <c r="P542" s="151"/>
      <c r="Q542" s="151"/>
    </row>
    <row r="543" spans="1:17" ht="20.100000000000001" hidden="1" customHeight="1">
      <c r="A543" s="141">
        <v>537</v>
      </c>
      <c r="B543" s="142" t="s">
        <v>1333</v>
      </c>
      <c r="C543" s="143" t="s">
        <v>1024</v>
      </c>
      <c r="D543" s="182" t="s">
        <v>1105</v>
      </c>
      <c r="E543" s="144"/>
      <c r="F543" s="144"/>
      <c r="G543" s="144"/>
      <c r="H543" s="144"/>
      <c r="I543" s="144"/>
      <c r="J543" s="145"/>
      <c r="K543" s="615"/>
      <c r="L543" s="605"/>
      <c r="M543" s="616" t="s">
        <v>1061</v>
      </c>
      <c r="N543" s="617"/>
      <c r="O543" s="150">
        <f t="shared" si="8"/>
        <v>0</v>
      </c>
      <c r="P543" s="151"/>
      <c r="Q543" s="151"/>
    </row>
    <row r="544" spans="1:17" ht="20.100000000000001" hidden="1" customHeight="1">
      <c r="A544" s="141">
        <v>538</v>
      </c>
      <c r="B544" s="142" t="s">
        <v>1333</v>
      </c>
      <c r="C544" s="143" t="s">
        <v>1024</v>
      </c>
      <c r="D544" s="2793" t="s">
        <v>33</v>
      </c>
      <c r="E544" s="144"/>
      <c r="F544" s="144"/>
      <c r="G544" s="160"/>
      <c r="H544" s="144">
        <v>156</v>
      </c>
      <c r="I544" s="144"/>
      <c r="J544" s="145"/>
      <c r="K544" s="445"/>
      <c r="L544" s="566"/>
      <c r="M544" s="618" t="s">
        <v>1062</v>
      </c>
      <c r="N544" s="619">
        <v>0</v>
      </c>
      <c r="O544" s="150">
        <f t="shared" si="8"/>
        <v>156</v>
      </c>
      <c r="P544" s="151"/>
      <c r="Q544" s="151"/>
    </row>
    <row r="545" spans="1:17" ht="20.100000000000001" hidden="1" customHeight="1">
      <c r="A545" s="141">
        <v>539</v>
      </c>
      <c r="B545" s="142" t="s">
        <v>1333</v>
      </c>
      <c r="C545" s="143" t="s">
        <v>1024</v>
      </c>
      <c r="D545" s="2794"/>
      <c r="E545" s="170"/>
      <c r="F545" s="170"/>
      <c r="G545" s="160"/>
      <c r="H545" s="170"/>
      <c r="I545" s="170">
        <v>6183</v>
      </c>
      <c r="J545" s="171"/>
      <c r="K545" s="604"/>
      <c r="L545" s="605"/>
      <c r="M545" s="596" t="s">
        <v>35</v>
      </c>
      <c r="N545" s="466">
        <v>3128280.43</v>
      </c>
      <c r="O545" s="150">
        <f t="shared" si="8"/>
        <v>6183</v>
      </c>
      <c r="P545" s="151"/>
      <c r="Q545" s="151"/>
    </row>
    <row r="546" spans="1:17" ht="20.100000000000001" customHeight="1">
      <c r="A546" s="141">
        <v>540</v>
      </c>
      <c r="B546" s="142" t="s">
        <v>1333</v>
      </c>
      <c r="C546" s="143" t="s">
        <v>1024</v>
      </c>
      <c r="D546" s="182" t="s">
        <v>195</v>
      </c>
      <c r="E546" s="170"/>
      <c r="F546" s="170"/>
      <c r="G546" s="170"/>
      <c r="H546" s="170"/>
      <c r="I546" s="170"/>
      <c r="J546" s="171"/>
      <c r="K546" s="613">
        <v>0</v>
      </c>
      <c r="L546" s="605"/>
      <c r="M546" s="596" t="s">
        <v>1344</v>
      </c>
      <c r="N546" s="607">
        <v>0</v>
      </c>
      <c r="O546" s="150">
        <f t="shared" si="8"/>
        <v>0</v>
      </c>
      <c r="P546" s="151"/>
      <c r="Q546" s="151"/>
    </row>
    <row r="547" spans="1:17" ht="20.100000000000001" hidden="1" customHeight="1">
      <c r="A547" s="141">
        <v>541</v>
      </c>
      <c r="B547" s="142" t="s">
        <v>1333</v>
      </c>
      <c r="C547" s="143" t="s">
        <v>1024</v>
      </c>
      <c r="D547" s="2793" t="s">
        <v>36</v>
      </c>
      <c r="E547" s="144"/>
      <c r="F547" s="144">
        <v>944</v>
      </c>
      <c r="G547" s="144"/>
      <c r="H547" s="144"/>
      <c r="I547" s="144"/>
      <c r="J547" s="145"/>
      <c r="K547" s="604"/>
      <c r="L547" s="605"/>
      <c r="M547" s="596" t="s">
        <v>1345</v>
      </c>
      <c r="N547" s="607">
        <v>0</v>
      </c>
      <c r="O547" s="150">
        <f t="shared" si="8"/>
        <v>944</v>
      </c>
      <c r="P547" s="151"/>
      <c r="Q547" s="151"/>
    </row>
    <row r="548" spans="1:17" ht="20.100000000000001" hidden="1" customHeight="1">
      <c r="A548" s="141">
        <v>542</v>
      </c>
      <c r="B548" s="142" t="s">
        <v>1333</v>
      </c>
      <c r="C548" s="143" t="s">
        <v>1024</v>
      </c>
      <c r="D548" s="2792"/>
      <c r="E548" s="144">
        <v>202</v>
      </c>
      <c r="F548" s="144"/>
      <c r="G548" s="144"/>
      <c r="H548" s="144"/>
      <c r="I548" s="144"/>
      <c r="J548" s="145"/>
      <c r="K548" s="604"/>
      <c r="L548" s="605"/>
      <c r="M548" s="596" t="s">
        <v>1346</v>
      </c>
      <c r="N548" s="607">
        <v>0</v>
      </c>
      <c r="O548" s="150">
        <f t="shared" si="8"/>
        <v>202</v>
      </c>
      <c r="P548" s="151"/>
      <c r="Q548" s="151"/>
    </row>
    <row r="549" spans="1:17" ht="20.100000000000001" customHeight="1">
      <c r="A549" s="141">
        <v>543</v>
      </c>
      <c r="B549" s="142" t="s">
        <v>1347</v>
      </c>
      <c r="C549" s="143" t="s">
        <v>1024</v>
      </c>
      <c r="D549" s="182" t="s">
        <v>1232</v>
      </c>
      <c r="E549" s="144"/>
      <c r="F549" s="144"/>
      <c r="G549" s="144"/>
      <c r="H549" s="144"/>
      <c r="I549" s="144"/>
      <c r="J549" s="145"/>
      <c r="K549" s="152">
        <v>1</v>
      </c>
      <c r="L549" s="153"/>
      <c r="M549" s="321" t="s">
        <v>1348</v>
      </c>
      <c r="N549" s="155">
        <v>-8251.06</v>
      </c>
      <c r="O549" s="150">
        <f t="shared" si="8"/>
        <v>1</v>
      </c>
      <c r="P549" s="151"/>
      <c r="Q549" s="151"/>
    </row>
    <row r="550" spans="1:17" ht="20.100000000000001" hidden="1" customHeight="1">
      <c r="A550" s="141">
        <v>544</v>
      </c>
      <c r="B550" s="142" t="s">
        <v>1347</v>
      </c>
      <c r="C550" s="143" t="s">
        <v>1024</v>
      </c>
      <c r="D550" s="2793" t="s">
        <v>29</v>
      </c>
      <c r="E550" s="170"/>
      <c r="F550" s="170"/>
      <c r="G550" s="170"/>
      <c r="H550" s="170"/>
      <c r="I550" s="170"/>
      <c r="J550" s="171"/>
      <c r="K550" s="620"/>
      <c r="L550" s="621"/>
      <c r="M550" s="622" t="s">
        <v>1026</v>
      </c>
      <c r="N550" s="623"/>
      <c r="O550" s="150">
        <f t="shared" si="8"/>
        <v>0</v>
      </c>
      <c r="P550" s="151"/>
      <c r="Q550" s="151"/>
    </row>
    <row r="551" spans="1:17" ht="20.100000000000001" hidden="1" customHeight="1">
      <c r="A551" s="141">
        <v>545</v>
      </c>
      <c r="B551" s="142" t="s">
        <v>1347</v>
      </c>
      <c r="C551" s="143" t="s">
        <v>1024</v>
      </c>
      <c r="D551" s="2795"/>
      <c r="E551" s="170"/>
      <c r="F551" s="170"/>
      <c r="G551" s="160">
        <v>1</v>
      </c>
      <c r="H551" s="160"/>
      <c r="I551" s="170"/>
      <c r="J551" s="171"/>
      <c r="K551" s="403"/>
      <c r="L551" s="113"/>
      <c r="M551" s="165" t="s">
        <v>119</v>
      </c>
      <c r="N551" s="102">
        <v>-2136406.92</v>
      </c>
      <c r="O551" s="150">
        <f t="shared" si="8"/>
        <v>1</v>
      </c>
      <c r="P551" s="151"/>
      <c r="Q551" s="151"/>
    </row>
    <row r="552" spans="1:17" ht="20.100000000000001" hidden="1" customHeight="1">
      <c r="A552" s="141">
        <v>546</v>
      </c>
      <c r="B552" s="142" t="s">
        <v>1347</v>
      </c>
      <c r="C552" s="143" t="s">
        <v>1024</v>
      </c>
      <c r="D552" s="2795"/>
      <c r="E552" s="144"/>
      <c r="F552" s="144"/>
      <c r="G552" s="160">
        <v>1</v>
      </c>
      <c r="H552" s="144"/>
      <c r="I552" s="160"/>
      <c r="J552" s="145"/>
      <c r="K552" s="403"/>
      <c r="L552" s="113"/>
      <c r="M552" s="165" t="s">
        <v>49</v>
      </c>
      <c r="N552" s="102">
        <v>79153026.519999996</v>
      </c>
      <c r="O552" s="150">
        <f t="shared" si="8"/>
        <v>1</v>
      </c>
      <c r="P552" s="151"/>
      <c r="Q552" s="151"/>
    </row>
    <row r="553" spans="1:17" ht="20.100000000000001" hidden="1" customHeight="1">
      <c r="A553" s="141">
        <v>547</v>
      </c>
      <c r="B553" s="142" t="s">
        <v>1347</v>
      </c>
      <c r="C553" s="143" t="s">
        <v>1024</v>
      </c>
      <c r="D553" s="2795"/>
      <c r="E553" s="144"/>
      <c r="F553" s="144"/>
      <c r="G553" s="160">
        <v>1</v>
      </c>
      <c r="H553" s="144"/>
      <c r="I553" s="144"/>
      <c r="J553" s="145"/>
      <c r="K553" s="403"/>
      <c r="L553" s="113"/>
      <c r="M553" s="165" t="s">
        <v>32</v>
      </c>
      <c r="N553" s="624">
        <v>0.43</v>
      </c>
      <c r="O553" s="150">
        <f t="shared" si="8"/>
        <v>1</v>
      </c>
      <c r="P553" s="151"/>
      <c r="Q553" s="151"/>
    </row>
    <row r="554" spans="1:17" ht="20.100000000000001" hidden="1" customHeight="1">
      <c r="A554" s="141">
        <v>548</v>
      </c>
      <c r="B554" s="142" t="s">
        <v>1347</v>
      </c>
      <c r="C554" s="143" t="s">
        <v>1024</v>
      </c>
      <c r="D554" s="2795"/>
      <c r="E554" s="144"/>
      <c r="F554" s="160"/>
      <c r="G554" s="160">
        <v>1</v>
      </c>
      <c r="H554" s="144"/>
      <c r="I554" s="144"/>
      <c r="J554" s="145"/>
      <c r="K554" s="172"/>
      <c r="L554" s="625"/>
      <c r="M554" s="333" t="s">
        <v>1027</v>
      </c>
      <c r="N554" s="457">
        <v>75306.929999999993</v>
      </c>
      <c r="O554" s="150">
        <f t="shared" si="8"/>
        <v>1</v>
      </c>
      <c r="P554" s="151"/>
      <c r="Q554" s="151"/>
    </row>
    <row r="555" spans="1:17" ht="20.100000000000001" hidden="1" customHeight="1">
      <c r="A555" s="141">
        <v>549</v>
      </c>
      <c r="B555" s="142" t="s">
        <v>1347</v>
      </c>
      <c r="C555" s="143" t="s">
        <v>1024</v>
      </c>
      <c r="D555" s="2795"/>
      <c r="E555" s="160"/>
      <c r="F555" s="144"/>
      <c r="G555" s="144"/>
      <c r="H555" s="144"/>
      <c r="I555" s="144"/>
      <c r="J555" s="145"/>
      <c r="K555" s="626"/>
      <c r="L555" s="627"/>
      <c r="M555" s="628" t="s">
        <v>1028</v>
      </c>
      <c r="N555" s="629"/>
      <c r="O555" s="150">
        <f t="shared" si="8"/>
        <v>0</v>
      </c>
      <c r="P555" s="151"/>
      <c r="Q555" s="151"/>
    </row>
    <row r="556" spans="1:17" ht="20.100000000000001" hidden="1" customHeight="1">
      <c r="A556" s="141">
        <v>550</v>
      </c>
      <c r="B556" s="142" t="s">
        <v>1347</v>
      </c>
      <c r="C556" s="143" t="s">
        <v>1024</v>
      </c>
      <c r="D556" s="2795"/>
      <c r="E556" s="144"/>
      <c r="F556" s="144"/>
      <c r="G556" s="160">
        <v>1</v>
      </c>
      <c r="H556" s="144"/>
      <c r="I556" s="144"/>
      <c r="J556" s="145"/>
      <c r="K556" s="163"/>
      <c r="L556" s="164"/>
      <c r="M556" s="165" t="s">
        <v>1349</v>
      </c>
      <c r="N556" s="104">
        <v>20.260000000000002</v>
      </c>
      <c r="O556" s="150">
        <f t="shared" si="8"/>
        <v>1</v>
      </c>
      <c r="P556" s="151"/>
      <c r="Q556" s="151"/>
    </row>
    <row r="557" spans="1:17" ht="20.100000000000001" hidden="1" customHeight="1">
      <c r="A557" s="141">
        <v>551</v>
      </c>
      <c r="B557" s="142" t="s">
        <v>1347</v>
      </c>
      <c r="C557" s="143" t="s">
        <v>1024</v>
      </c>
      <c r="D557" s="2795"/>
      <c r="E557" s="144"/>
      <c r="F557" s="144"/>
      <c r="G557" s="160">
        <v>1</v>
      </c>
      <c r="H557" s="144"/>
      <c r="I557" s="144"/>
      <c r="J557" s="145"/>
      <c r="K557" s="172"/>
      <c r="L557" s="173"/>
      <c r="M557" s="333" t="s">
        <v>183</v>
      </c>
      <c r="N557" s="457">
        <v>134.66999999999999</v>
      </c>
      <c r="O557" s="150">
        <f t="shared" si="8"/>
        <v>1</v>
      </c>
      <c r="P557" s="151"/>
      <c r="Q557" s="151"/>
    </row>
    <row r="558" spans="1:17" ht="20.100000000000001" customHeight="1">
      <c r="A558" s="141">
        <v>552</v>
      </c>
      <c r="B558" s="142" t="s">
        <v>1347</v>
      </c>
      <c r="C558" s="143" t="s">
        <v>1024</v>
      </c>
      <c r="D558" s="2795"/>
      <c r="E558" s="144"/>
      <c r="F558" s="144"/>
      <c r="G558" s="160"/>
      <c r="H558" s="144"/>
      <c r="I558" s="144"/>
      <c r="J558" s="145"/>
      <c r="K558" s="172">
        <v>1</v>
      </c>
      <c r="L558" s="173"/>
      <c r="M558" s="333" t="s">
        <v>1350</v>
      </c>
      <c r="N558" s="457">
        <v>1041.1099999999999</v>
      </c>
      <c r="O558" s="150">
        <f t="shared" si="8"/>
        <v>1</v>
      </c>
      <c r="P558" s="151"/>
      <c r="Q558" s="151"/>
    </row>
    <row r="559" spans="1:17" ht="20.100000000000001" hidden="1" customHeight="1">
      <c r="A559" s="141">
        <v>553</v>
      </c>
      <c r="B559" s="142" t="s">
        <v>1347</v>
      </c>
      <c r="C559" s="143" t="s">
        <v>1024</v>
      </c>
      <c r="D559" s="2795"/>
      <c r="E559" s="144"/>
      <c r="F559" s="144"/>
      <c r="G559" s="160"/>
      <c r="H559" s="144"/>
      <c r="I559" s="144"/>
      <c r="J559" s="145"/>
      <c r="K559" s="630"/>
      <c r="L559" s="631"/>
      <c r="M559" s="628" t="s">
        <v>1141</v>
      </c>
      <c r="N559" s="632"/>
      <c r="O559" s="150">
        <f t="shared" si="8"/>
        <v>0</v>
      </c>
      <c r="P559" s="151"/>
      <c r="Q559" s="151"/>
    </row>
    <row r="560" spans="1:17" ht="20.100000000000001" customHeight="1">
      <c r="A560" s="141">
        <v>554</v>
      </c>
      <c r="B560" s="142" t="s">
        <v>1347</v>
      </c>
      <c r="C560" s="143" t="s">
        <v>1024</v>
      </c>
      <c r="D560" s="2795"/>
      <c r="E560" s="144"/>
      <c r="F560" s="144"/>
      <c r="G560" s="160"/>
      <c r="H560" s="144"/>
      <c r="I560" s="144"/>
      <c r="J560" s="145"/>
      <c r="K560" s="172">
        <v>1</v>
      </c>
      <c r="L560" s="173"/>
      <c r="M560" s="174" t="s">
        <v>1351</v>
      </c>
      <c r="N560" s="593">
        <v>100000</v>
      </c>
      <c r="O560" s="150">
        <f t="shared" si="8"/>
        <v>1</v>
      </c>
      <c r="P560" s="151"/>
      <c r="Q560" s="151"/>
    </row>
    <row r="561" spans="1:17" ht="20.100000000000001" hidden="1" customHeight="1">
      <c r="A561" s="141">
        <v>555</v>
      </c>
      <c r="B561" s="142" t="s">
        <v>1347</v>
      </c>
      <c r="C561" s="143" t="s">
        <v>1024</v>
      </c>
      <c r="D561" s="2795"/>
      <c r="E561" s="144"/>
      <c r="F561" s="144"/>
      <c r="G561" s="144"/>
      <c r="H561" s="144"/>
      <c r="I561" s="144"/>
      <c r="J561" s="145"/>
      <c r="K561" s="630"/>
      <c r="L561" s="631"/>
      <c r="M561" s="633" t="s">
        <v>1029</v>
      </c>
      <c r="N561" s="634"/>
      <c r="O561" s="150">
        <f t="shared" si="8"/>
        <v>0</v>
      </c>
      <c r="P561" s="151"/>
      <c r="Q561" s="151"/>
    </row>
    <row r="562" spans="1:17" ht="20.100000000000001" customHeight="1">
      <c r="A562" s="141">
        <v>556</v>
      </c>
      <c r="B562" s="142" t="s">
        <v>1347</v>
      </c>
      <c r="C562" s="143" t="s">
        <v>1024</v>
      </c>
      <c r="D562" s="2794"/>
      <c r="E562" s="144"/>
      <c r="F562" s="144"/>
      <c r="G562" s="144"/>
      <c r="H562" s="144"/>
      <c r="I562" s="144"/>
      <c r="J562" s="145"/>
      <c r="K562" s="163">
        <v>1</v>
      </c>
      <c r="L562" s="164"/>
      <c r="M562" s="402" t="s">
        <v>167</v>
      </c>
      <c r="N562" s="635" t="s">
        <v>1352</v>
      </c>
      <c r="O562" s="150">
        <f t="shared" si="8"/>
        <v>1</v>
      </c>
      <c r="P562" s="151"/>
      <c r="Q562" s="151"/>
    </row>
    <row r="563" spans="1:17" ht="20.100000000000001" customHeight="1">
      <c r="A563" s="141">
        <v>557</v>
      </c>
      <c r="B563" s="142" t="s">
        <v>1347</v>
      </c>
      <c r="C563" s="143" t="s">
        <v>1024</v>
      </c>
      <c r="D563" s="182" t="s">
        <v>1105</v>
      </c>
      <c r="E563" s="144"/>
      <c r="F563" s="144"/>
      <c r="G563" s="144"/>
      <c r="H563" s="160"/>
      <c r="I563" s="144"/>
      <c r="J563" s="145"/>
      <c r="K563" s="636">
        <v>3</v>
      </c>
      <c r="L563" s="183"/>
      <c r="M563" s="375" t="s">
        <v>1061</v>
      </c>
      <c r="N563" s="457">
        <v>18550530.68</v>
      </c>
      <c r="O563" s="150">
        <f t="shared" si="8"/>
        <v>3</v>
      </c>
      <c r="P563" s="151"/>
      <c r="Q563" s="151"/>
    </row>
    <row r="564" spans="1:17" ht="20.100000000000001" hidden="1" customHeight="1">
      <c r="A564" s="141">
        <v>558</v>
      </c>
      <c r="B564" s="142" t="s">
        <v>1347</v>
      </c>
      <c r="C564" s="143" t="s">
        <v>1024</v>
      </c>
      <c r="D564" s="2793" t="s">
        <v>33</v>
      </c>
      <c r="E564" s="144"/>
      <c r="F564" s="144"/>
      <c r="G564" s="144"/>
      <c r="H564" s="144">
        <v>177</v>
      </c>
      <c r="I564" s="160"/>
      <c r="J564" s="145"/>
      <c r="K564" s="172"/>
      <c r="L564" s="173"/>
      <c r="M564" s="570" t="s">
        <v>34</v>
      </c>
      <c r="N564" s="457">
        <v>0</v>
      </c>
      <c r="O564" s="150">
        <f t="shared" si="8"/>
        <v>177</v>
      </c>
      <c r="P564" s="151"/>
      <c r="Q564" s="151"/>
    </row>
    <row r="565" spans="1:17" ht="20.100000000000001" hidden="1" customHeight="1">
      <c r="A565" s="141">
        <v>559</v>
      </c>
      <c r="B565" s="142" t="s">
        <v>1347</v>
      </c>
      <c r="C565" s="143" t="s">
        <v>1024</v>
      </c>
      <c r="D565" s="2794"/>
      <c r="E565" s="144"/>
      <c r="F565" s="144"/>
      <c r="G565" s="144"/>
      <c r="H565" s="144"/>
      <c r="I565" s="144">
        <v>1250</v>
      </c>
      <c r="J565" s="145"/>
      <c r="K565" s="403"/>
      <c r="L565" s="113"/>
      <c r="M565" s="559" t="s">
        <v>35</v>
      </c>
      <c r="N565" s="637">
        <v>808894.79</v>
      </c>
      <c r="O565" s="150">
        <f t="shared" si="8"/>
        <v>1250</v>
      </c>
      <c r="P565" s="151"/>
      <c r="Q565" s="151"/>
    </row>
    <row r="566" spans="1:17" ht="20.100000000000001" customHeight="1">
      <c r="A566" s="141">
        <v>560</v>
      </c>
      <c r="B566" s="142" t="s">
        <v>1347</v>
      </c>
      <c r="C566" s="143" t="s">
        <v>1024</v>
      </c>
      <c r="D566" s="182" t="s">
        <v>291</v>
      </c>
      <c r="E566" s="144"/>
      <c r="F566" s="160"/>
      <c r="G566" s="144"/>
      <c r="H566" s="144"/>
      <c r="I566" s="144"/>
      <c r="J566" s="145"/>
      <c r="K566" s="403">
        <v>3</v>
      </c>
      <c r="L566" s="113"/>
      <c r="M566" s="559" t="s">
        <v>196</v>
      </c>
      <c r="N566" s="104">
        <v>0</v>
      </c>
      <c r="O566" s="150">
        <f t="shared" si="8"/>
        <v>3</v>
      </c>
      <c r="P566" s="151"/>
      <c r="Q566" s="151"/>
    </row>
    <row r="567" spans="1:17" ht="20.100000000000001" hidden="1" customHeight="1">
      <c r="A567" s="141">
        <v>561</v>
      </c>
      <c r="B567" s="142" t="s">
        <v>1347</v>
      </c>
      <c r="C567" s="143" t="s">
        <v>1024</v>
      </c>
      <c r="D567" s="2793" t="s">
        <v>36</v>
      </c>
      <c r="E567" s="160"/>
      <c r="F567" s="144">
        <v>346</v>
      </c>
      <c r="G567" s="144"/>
      <c r="H567" s="144"/>
      <c r="I567" s="144"/>
      <c r="J567" s="145"/>
      <c r="K567" s="403"/>
      <c r="L567" s="113"/>
      <c r="M567" s="165" t="s">
        <v>1353</v>
      </c>
      <c r="N567" s="102">
        <v>0</v>
      </c>
      <c r="O567" s="150">
        <f t="shared" si="8"/>
        <v>346</v>
      </c>
      <c r="P567" s="151"/>
      <c r="Q567" s="151"/>
    </row>
    <row r="568" spans="1:17" ht="20.100000000000001" hidden="1" customHeight="1">
      <c r="A568" s="141">
        <v>562</v>
      </c>
      <c r="B568" s="142" t="s">
        <v>1347</v>
      </c>
      <c r="C568" s="143" t="s">
        <v>1024</v>
      </c>
      <c r="D568" s="2792"/>
      <c r="E568" s="144">
        <v>14</v>
      </c>
      <c r="F568" s="144"/>
      <c r="G568" s="144"/>
      <c r="H568" s="144"/>
      <c r="I568" s="144"/>
      <c r="J568" s="145"/>
      <c r="K568" s="403"/>
      <c r="L568" s="113"/>
      <c r="M568" s="165" t="s">
        <v>1354</v>
      </c>
      <c r="N568" s="102">
        <v>0</v>
      </c>
      <c r="O568" s="150">
        <f t="shared" si="8"/>
        <v>14</v>
      </c>
      <c r="P568" s="151"/>
      <c r="Q568" s="151"/>
    </row>
    <row r="569" spans="1:17" ht="20.100000000000001" hidden="1" customHeight="1">
      <c r="A569" s="141">
        <v>563</v>
      </c>
      <c r="B569" s="142" t="s">
        <v>1355</v>
      </c>
      <c r="C569" s="143" t="s">
        <v>1024</v>
      </c>
      <c r="D569" s="182"/>
      <c r="E569" s="144"/>
      <c r="F569" s="144"/>
      <c r="G569" s="144"/>
      <c r="H569" s="144"/>
      <c r="I569" s="144"/>
      <c r="J569" s="145"/>
      <c r="K569" s="638"/>
      <c r="L569" s="639"/>
      <c r="M569" s="640" t="s">
        <v>1026</v>
      </c>
      <c r="N569" s="253"/>
      <c r="O569" s="150">
        <f t="shared" si="8"/>
        <v>0</v>
      </c>
      <c r="P569" s="151"/>
      <c r="Q569" s="151"/>
    </row>
    <row r="570" spans="1:17" ht="20.100000000000001" hidden="1" customHeight="1">
      <c r="A570" s="141">
        <v>564</v>
      </c>
      <c r="B570" s="142" t="s">
        <v>1355</v>
      </c>
      <c r="C570" s="143" t="s">
        <v>1024</v>
      </c>
      <c r="D570" s="2793" t="s">
        <v>29</v>
      </c>
      <c r="E570" s="144"/>
      <c r="F570" s="144"/>
      <c r="G570" s="160">
        <v>1</v>
      </c>
      <c r="H570" s="144"/>
      <c r="I570" s="144"/>
      <c r="J570" s="145"/>
      <c r="K570" s="641"/>
      <c r="L570" s="642"/>
      <c r="M570" s="643" t="s">
        <v>119</v>
      </c>
      <c r="N570" s="249">
        <v>-1988269.33</v>
      </c>
      <c r="O570" s="150">
        <f t="shared" si="8"/>
        <v>1</v>
      </c>
      <c r="P570" s="151"/>
      <c r="Q570" s="151"/>
    </row>
    <row r="571" spans="1:17" ht="20.100000000000001" hidden="1" customHeight="1">
      <c r="A571" s="141">
        <v>565</v>
      </c>
      <c r="B571" s="142" t="s">
        <v>1355</v>
      </c>
      <c r="C571" s="143" t="s">
        <v>1024</v>
      </c>
      <c r="D571" s="2795"/>
      <c r="E571" s="144"/>
      <c r="F571" s="144"/>
      <c r="G571" s="160">
        <v>1</v>
      </c>
      <c r="H571" s="144"/>
      <c r="I571" s="144"/>
      <c r="J571" s="145"/>
      <c r="K571" s="644"/>
      <c r="L571" s="642"/>
      <c r="M571" s="643" t="s">
        <v>49</v>
      </c>
      <c r="N571" s="249">
        <v>-142437252</v>
      </c>
      <c r="O571" s="150">
        <f t="shared" si="8"/>
        <v>1</v>
      </c>
      <c r="P571" s="151"/>
      <c r="Q571" s="151"/>
    </row>
    <row r="572" spans="1:17" ht="20.100000000000001" hidden="1" customHeight="1">
      <c r="A572" s="141">
        <v>566</v>
      </c>
      <c r="B572" s="142" t="s">
        <v>1355</v>
      </c>
      <c r="C572" s="143" t="s">
        <v>1024</v>
      </c>
      <c r="D572" s="2795"/>
      <c r="E572" s="144"/>
      <c r="F572" s="144"/>
      <c r="G572" s="160">
        <v>1</v>
      </c>
      <c r="H572" s="144"/>
      <c r="I572" s="144"/>
      <c r="J572" s="145"/>
      <c r="K572" s="644"/>
      <c r="L572" s="642"/>
      <c r="M572" s="643" t="s">
        <v>32</v>
      </c>
      <c r="N572" s="249">
        <v>-6.44</v>
      </c>
      <c r="O572" s="150">
        <f t="shared" si="8"/>
        <v>1</v>
      </c>
      <c r="P572" s="256"/>
      <c r="Q572" s="256"/>
    </row>
    <row r="573" spans="1:17" ht="20.100000000000001" hidden="1" customHeight="1">
      <c r="A573" s="141">
        <v>567</v>
      </c>
      <c r="B573" s="142" t="s">
        <v>1355</v>
      </c>
      <c r="C573" s="143" t="s">
        <v>1024</v>
      </c>
      <c r="D573" s="2795"/>
      <c r="E573" s="144"/>
      <c r="F573" s="144"/>
      <c r="G573" s="160">
        <v>1</v>
      </c>
      <c r="H573" s="144"/>
      <c r="I573" s="144"/>
      <c r="J573" s="145"/>
      <c r="K573" s="645"/>
      <c r="L573" s="646"/>
      <c r="M573" s="643" t="s">
        <v>207</v>
      </c>
      <c r="N573" s="249">
        <v>-542509.26</v>
      </c>
      <c r="O573" s="150">
        <f t="shared" si="8"/>
        <v>1</v>
      </c>
      <c r="P573" s="256"/>
      <c r="Q573" s="256"/>
    </row>
    <row r="574" spans="1:17" ht="20.100000000000001" hidden="1" customHeight="1">
      <c r="A574" s="141">
        <v>568</v>
      </c>
      <c r="B574" s="142" t="s">
        <v>1355</v>
      </c>
      <c r="C574" s="143" t="s">
        <v>1024</v>
      </c>
      <c r="D574" s="2795"/>
      <c r="E574" s="144"/>
      <c r="F574" s="144"/>
      <c r="G574" s="160"/>
      <c r="H574" s="144"/>
      <c r="I574" s="144"/>
      <c r="J574" s="145"/>
      <c r="K574" s="647"/>
      <c r="L574" s="648"/>
      <c r="M574" s="649" t="s">
        <v>1029</v>
      </c>
      <c r="N574" s="249"/>
      <c r="O574" s="150">
        <f t="shared" si="8"/>
        <v>0</v>
      </c>
      <c r="P574" s="256"/>
      <c r="Q574" s="256"/>
    </row>
    <row r="575" spans="1:17" ht="20.100000000000001" customHeight="1">
      <c r="A575" s="141">
        <v>569</v>
      </c>
      <c r="B575" s="142" t="s">
        <v>1355</v>
      </c>
      <c r="C575" s="143" t="s">
        <v>1024</v>
      </c>
      <c r="D575" s="2795"/>
      <c r="E575" s="144"/>
      <c r="F575" s="144"/>
      <c r="G575" s="160"/>
      <c r="H575" s="144"/>
      <c r="I575" s="144"/>
      <c r="J575" s="145"/>
      <c r="K575" s="645">
        <v>2</v>
      </c>
      <c r="L575" s="646" t="s">
        <v>486</v>
      </c>
      <c r="M575" s="650" t="s">
        <v>1356</v>
      </c>
      <c r="N575" s="249">
        <v>-640.66</v>
      </c>
      <c r="O575" s="150">
        <f t="shared" si="8"/>
        <v>2</v>
      </c>
      <c r="P575" s="256"/>
      <c r="Q575" s="256"/>
    </row>
    <row r="576" spans="1:17" ht="20.100000000000001" customHeight="1">
      <c r="A576" s="141">
        <v>570</v>
      </c>
      <c r="B576" s="142" t="s">
        <v>1355</v>
      </c>
      <c r="C576" s="143" t="s">
        <v>1024</v>
      </c>
      <c r="D576" s="2794"/>
      <c r="E576" s="144"/>
      <c r="F576" s="144"/>
      <c r="G576" s="160"/>
      <c r="H576" s="144"/>
      <c r="I576" s="144"/>
      <c r="J576" s="145"/>
      <c r="K576" s="651">
        <v>2</v>
      </c>
      <c r="L576" s="652" t="s">
        <v>1357</v>
      </c>
      <c r="M576" s="653" t="s">
        <v>1358</v>
      </c>
      <c r="N576" s="249">
        <f>348.2+63.38</f>
        <v>411.58</v>
      </c>
      <c r="O576" s="150">
        <f t="shared" si="8"/>
        <v>2</v>
      </c>
      <c r="P576" s="256"/>
      <c r="Q576" s="256"/>
    </row>
    <row r="577" spans="1:17" ht="20.100000000000001" hidden="1" customHeight="1">
      <c r="A577" s="141">
        <v>571</v>
      </c>
      <c r="B577" s="142" t="s">
        <v>1355</v>
      </c>
      <c r="C577" s="143" t="s">
        <v>1024</v>
      </c>
      <c r="D577" s="2793" t="s">
        <v>33</v>
      </c>
      <c r="E577" s="144"/>
      <c r="F577" s="144"/>
      <c r="G577" s="144"/>
      <c r="H577" s="144">
        <v>10</v>
      </c>
      <c r="I577" s="144"/>
      <c r="J577" s="145"/>
      <c r="K577" s="654"/>
      <c r="L577" s="642" t="s">
        <v>100</v>
      </c>
      <c r="M577" s="643" t="s">
        <v>34</v>
      </c>
      <c r="N577" s="239">
        <v>500</v>
      </c>
      <c r="O577" s="150">
        <f t="shared" si="8"/>
        <v>10</v>
      </c>
      <c r="P577" s="256"/>
      <c r="Q577" s="256"/>
    </row>
    <row r="578" spans="1:17" ht="20.100000000000001" hidden="1" customHeight="1">
      <c r="A578" s="141">
        <v>572</v>
      </c>
      <c r="B578" s="142" t="s">
        <v>1355</v>
      </c>
      <c r="C578" s="143" t="s">
        <v>1024</v>
      </c>
      <c r="D578" s="2794"/>
      <c r="E578" s="144"/>
      <c r="F578" s="144"/>
      <c r="G578" s="160"/>
      <c r="H578" s="144"/>
      <c r="I578" s="144">
        <v>792</v>
      </c>
      <c r="J578" s="145"/>
      <c r="K578" s="644"/>
      <c r="L578" s="642" t="s">
        <v>100</v>
      </c>
      <c r="M578" s="643" t="s">
        <v>35</v>
      </c>
      <c r="N578" s="249">
        <v>4614151.58</v>
      </c>
      <c r="O578" s="150">
        <f t="shared" si="8"/>
        <v>792</v>
      </c>
      <c r="P578" s="256"/>
      <c r="Q578" s="256"/>
    </row>
    <row r="579" spans="1:17" ht="20.100000000000001" customHeight="1">
      <c r="A579" s="141">
        <v>573</v>
      </c>
      <c r="B579" s="142" t="s">
        <v>1355</v>
      </c>
      <c r="C579" s="143" t="s">
        <v>1024</v>
      </c>
      <c r="D579" s="182" t="s">
        <v>291</v>
      </c>
      <c r="E579" s="144"/>
      <c r="F579" s="144"/>
      <c r="G579" s="144"/>
      <c r="H579" s="144"/>
      <c r="I579" s="144"/>
      <c r="J579" s="145"/>
      <c r="K579" s="644">
        <v>3</v>
      </c>
      <c r="L579" s="642"/>
      <c r="M579" s="655" t="s">
        <v>196</v>
      </c>
      <c r="N579" s="250">
        <v>0</v>
      </c>
      <c r="O579" s="150">
        <f t="shared" si="8"/>
        <v>3</v>
      </c>
      <c r="P579" s="256"/>
      <c r="Q579" s="256"/>
    </row>
    <row r="580" spans="1:17" ht="20.100000000000001" hidden="1" customHeight="1">
      <c r="A580" s="141">
        <v>574</v>
      </c>
      <c r="B580" s="142" t="s">
        <v>1355</v>
      </c>
      <c r="C580" s="143" t="s">
        <v>1024</v>
      </c>
      <c r="D580" s="2793" t="s">
        <v>36</v>
      </c>
      <c r="E580" s="144"/>
      <c r="F580" s="144">
        <v>131</v>
      </c>
      <c r="G580" s="144"/>
      <c r="H580" s="144"/>
      <c r="I580" s="144"/>
      <c r="J580" s="145"/>
      <c r="K580" s="644"/>
      <c r="L580" s="642"/>
      <c r="M580" s="643" t="s">
        <v>1359</v>
      </c>
      <c r="N580" s="250">
        <v>0</v>
      </c>
      <c r="O580" s="150">
        <f t="shared" si="8"/>
        <v>131</v>
      </c>
      <c r="P580" s="256"/>
      <c r="Q580" s="256"/>
    </row>
    <row r="581" spans="1:17" ht="20.100000000000001" hidden="1" customHeight="1">
      <c r="A581" s="141">
        <v>575</v>
      </c>
      <c r="B581" s="142" t="s">
        <v>1355</v>
      </c>
      <c r="C581" s="143" t="s">
        <v>1024</v>
      </c>
      <c r="D581" s="2792"/>
      <c r="E581" s="144">
        <v>20</v>
      </c>
      <c r="F581" s="144"/>
      <c r="G581" s="144"/>
      <c r="H581" s="160"/>
      <c r="I581" s="144"/>
      <c r="J581" s="145"/>
      <c r="K581" s="644"/>
      <c r="L581" s="642"/>
      <c r="M581" s="643" t="s">
        <v>1360</v>
      </c>
      <c r="N581" s="250">
        <v>0</v>
      </c>
      <c r="O581" s="150">
        <f t="shared" si="8"/>
        <v>20</v>
      </c>
      <c r="P581" s="256"/>
      <c r="Q581" s="256"/>
    </row>
    <row r="582" spans="1:17" ht="20.100000000000001" customHeight="1">
      <c r="A582" s="141">
        <v>576</v>
      </c>
      <c r="B582" s="142" t="s">
        <v>1355</v>
      </c>
      <c r="C582" s="143" t="s">
        <v>1024</v>
      </c>
      <c r="D582" s="2793" t="s">
        <v>38</v>
      </c>
      <c r="E582" s="144"/>
      <c r="F582" s="144"/>
      <c r="G582" s="144"/>
      <c r="H582" s="144"/>
      <c r="I582" s="160"/>
      <c r="J582" s="145"/>
      <c r="K582" s="644">
        <v>1</v>
      </c>
      <c r="L582" s="642">
        <v>46180</v>
      </c>
      <c r="M582" s="656" t="s">
        <v>1361</v>
      </c>
      <c r="N582" s="250">
        <v>600</v>
      </c>
      <c r="O582" s="150">
        <f t="shared" si="8"/>
        <v>1</v>
      </c>
      <c r="P582" s="256"/>
      <c r="Q582" s="256"/>
    </row>
    <row r="583" spans="1:17" ht="20.100000000000001" customHeight="1">
      <c r="A583" s="141">
        <v>577</v>
      </c>
      <c r="B583" s="142" t="s">
        <v>1355</v>
      </c>
      <c r="C583" s="143" t="s">
        <v>1024</v>
      </c>
      <c r="D583" s="2795"/>
      <c r="E583" s="506"/>
      <c r="F583" s="160"/>
      <c r="G583" s="506"/>
      <c r="H583" s="506"/>
      <c r="I583" s="506"/>
      <c r="J583" s="507"/>
      <c r="K583" s="644">
        <v>1</v>
      </c>
      <c r="L583" s="642" t="s">
        <v>451</v>
      </c>
      <c r="M583" s="656" t="s">
        <v>1362</v>
      </c>
      <c r="N583" s="250">
        <v>200</v>
      </c>
      <c r="O583" s="150">
        <f t="shared" si="8"/>
        <v>1</v>
      </c>
      <c r="P583" s="256"/>
      <c r="Q583" s="256"/>
    </row>
    <row r="584" spans="1:17" ht="20.100000000000001" customHeight="1">
      <c r="A584" s="141">
        <v>578</v>
      </c>
      <c r="B584" s="142" t="s">
        <v>1355</v>
      </c>
      <c r="C584" s="143" t="s">
        <v>1024</v>
      </c>
      <c r="D584" s="2794"/>
      <c r="E584" s="160"/>
      <c r="F584" s="506"/>
      <c r="G584" s="506"/>
      <c r="H584" s="506"/>
      <c r="I584" s="506"/>
      <c r="J584" s="507"/>
      <c r="K584" s="644">
        <v>1</v>
      </c>
      <c r="L584" s="642" t="s">
        <v>219</v>
      </c>
      <c r="M584" s="657" t="s">
        <v>1363</v>
      </c>
      <c r="N584" s="250">
        <v>85000</v>
      </c>
      <c r="O584" s="150">
        <f t="shared" si="8"/>
        <v>1</v>
      </c>
      <c r="P584" s="256"/>
      <c r="Q584" s="256"/>
    </row>
    <row r="585" spans="1:17" ht="20.100000000000001" customHeight="1">
      <c r="A585" s="141">
        <v>579</v>
      </c>
      <c r="B585" s="142" t="s">
        <v>1364</v>
      </c>
      <c r="C585" s="143" t="s">
        <v>1024</v>
      </c>
      <c r="D585" s="182" t="s">
        <v>1232</v>
      </c>
      <c r="E585" s="506"/>
      <c r="F585" s="170"/>
      <c r="G585" s="506"/>
      <c r="H585" s="506"/>
      <c r="I585" s="506"/>
      <c r="J585" s="507"/>
      <c r="K585" s="658">
        <v>1</v>
      </c>
      <c r="L585" s="393"/>
      <c r="M585" s="659" t="s">
        <v>1365</v>
      </c>
      <c r="N585" s="660">
        <v>48760.37</v>
      </c>
      <c r="O585" s="150">
        <f t="shared" ref="O585:O648" si="9">E585+F585+G585+H585+I585+J585+K585</f>
        <v>1</v>
      </c>
      <c r="P585" s="256"/>
      <c r="Q585" s="256"/>
    </row>
    <row r="586" spans="1:17" ht="20.100000000000001" hidden="1" customHeight="1">
      <c r="A586" s="141">
        <v>580</v>
      </c>
      <c r="B586" s="142" t="s">
        <v>1364</v>
      </c>
      <c r="C586" s="143" t="s">
        <v>1024</v>
      </c>
      <c r="D586" s="182"/>
      <c r="E586" s="661"/>
      <c r="F586" s="661"/>
      <c r="G586" s="661"/>
      <c r="H586" s="661"/>
      <c r="I586" s="661"/>
      <c r="J586" s="662"/>
      <c r="K586" s="663"/>
      <c r="L586" s="664"/>
      <c r="M586" s="665" t="s">
        <v>1366</v>
      </c>
      <c r="N586" s="294"/>
      <c r="O586" s="150">
        <f t="shared" si="9"/>
        <v>0</v>
      </c>
      <c r="P586" s="151"/>
      <c r="Q586" s="151"/>
    </row>
    <row r="587" spans="1:17" ht="20.100000000000001" hidden="1" customHeight="1">
      <c r="A587" s="141">
        <v>581</v>
      </c>
      <c r="B587" s="142" t="s">
        <v>1364</v>
      </c>
      <c r="C587" s="143" t="s">
        <v>1024</v>
      </c>
      <c r="D587" s="182"/>
      <c r="E587" s="661"/>
      <c r="F587" s="661"/>
      <c r="G587" s="160">
        <v>1</v>
      </c>
      <c r="H587" s="661"/>
      <c r="I587" s="348"/>
      <c r="J587" s="282"/>
      <c r="K587" s="658"/>
      <c r="L587" s="393"/>
      <c r="M587" s="666" t="s">
        <v>119</v>
      </c>
      <c r="N587" s="660">
        <v>-2451873.17</v>
      </c>
      <c r="O587" s="150">
        <f t="shared" si="9"/>
        <v>1</v>
      </c>
      <c r="P587" s="151"/>
      <c r="Q587" s="151"/>
    </row>
    <row r="588" spans="1:17" ht="20.100000000000001" hidden="1" customHeight="1">
      <c r="A588" s="141">
        <v>582</v>
      </c>
      <c r="B588" s="142" t="s">
        <v>1364</v>
      </c>
      <c r="C588" s="143" t="s">
        <v>1024</v>
      </c>
      <c r="D588" s="182" t="s">
        <v>33</v>
      </c>
      <c r="E588" s="661"/>
      <c r="F588" s="661"/>
      <c r="G588" s="160">
        <v>1</v>
      </c>
      <c r="H588" s="661"/>
      <c r="I588" s="661"/>
      <c r="J588" s="662"/>
      <c r="K588" s="658"/>
      <c r="L588" s="393"/>
      <c r="M588" s="667" t="s">
        <v>49</v>
      </c>
      <c r="N588" s="668">
        <v>-14405985.609999999</v>
      </c>
      <c r="O588" s="150">
        <f t="shared" si="9"/>
        <v>1</v>
      </c>
      <c r="P588" s="151"/>
      <c r="Q588" s="151"/>
    </row>
    <row r="589" spans="1:17" ht="20.100000000000001" hidden="1" customHeight="1">
      <c r="A589" s="141">
        <v>583</v>
      </c>
      <c r="B589" s="142" t="s">
        <v>1364</v>
      </c>
      <c r="C589" s="143" t="s">
        <v>1024</v>
      </c>
      <c r="D589" s="182" t="s">
        <v>29</v>
      </c>
      <c r="E589" s="661"/>
      <c r="F589" s="661"/>
      <c r="G589" s="160">
        <v>1</v>
      </c>
      <c r="H589" s="661"/>
      <c r="I589" s="661"/>
      <c r="J589" s="662"/>
      <c r="K589" s="669"/>
      <c r="L589" s="416"/>
      <c r="M589" s="670" t="s">
        <v>1027</v>
      </c>
      <c r="N589" s="671">
        <v>-33325.160000000003</v>
      </c>
      <c r="O589" s="150">
        <f>E589+F589+G589+H589+I589+J589+K589</f>
        <v>1</v>
      </c>
      <c r="P589" s="151"/>
      <c r="Q589" s="151"/>
    </row>
    <row r="590" spans="1:17" ht="20.100000000000001" hidden="1" customHeight="1">
      <c r="A590" s="141">
        <v>584</v>
      </c>
      <c r="B590" s="142" t="s">
        <v>1364</v>
      </c>
      <c r="C590" s="143" t="s">
        <v>1024</v>
      </c>
      <c r="D590" s="182" t="s">
        <v>29</v>
      </c>
      <c r="E590" s="661"/>
      <c r="F590" s="661"/>
      <c r="G590" s="160">
        <v>1</v>
      </c>
      <c r="H590" s="661"/>
      <c r="I590" s="661"/>
      <c r="J590" s="662"/>
      <c r="K590" s="669"/>
      <c r="L590" s="672"/>
      <c r="M590" s="673" t="s">
        <v>1349</v>
      </c>
      <c r="N590" s="671">
        <v>62</v>
      </c>
      <c r="O590" s="150">
        <f t="shared" si="9"/>
        <v>1</v>
      </c>
      <c r="P590" s="151"/>
      <c r="Q590" s="151"/>
    </row>
    <row r="591" spans="1:17" ht="20.100000000000001" hidden="1" customHeight="1">
      <c r="A591" s="141">
        <v>585</v>
      </c>
      <c r="B591" s="142" t="s">
        <v>1364</v>
      </c>
      <c r="C591" s="143" t="s">
        <v>1024</v>
      </c>
      <c r="D591" s="182" t="s">
        <v>29</v>
      </c>
      <c r="E591" s="661"/>
      <c r="F591" s="661"/>
      <c r="G591" s="160">
        <v>1</v>
      </c>
      <c r="H591" s="661"/>
      <c r="I591" s="661"/>
      <c r="J591" s="662"/>
      <c r="K591" s="669"/>
      <c r="L591" s="418"/>
      <c r="M591" s="670" t="s">
        <v>183</v>
      </c>
      <c r="N591" s="222">
        <v>-6901.35</v>
      </c>
      <c r="O591" s="150">
        <f t="shared" si="9"/>
        <v>1</v>
      </c>
      <c r="P591" s="151"/>
      <c r="Q591" s="151"/>
    </row>
    <row r="592" spans="1:17" ht="20.100000000000001" hidden="1" customHeight="1">
      <c r="A592" s="141">
        <v>586</v>
      </c>
      <c r="B592" s="142" t="s">
        <v>1364</v>
      </c>
      <c r="C592" s="143" t="s">
        <v>1024</v>
      </c>
      <c r="D592" s="182" t="s">
        <v>29</v>
      </c>
      <c r="E592" s="661"/>
      <c r="F592" s="661"/>
      <c r="G592" s="160"/>
      <c r="H592" s="661"/>
      <c r="I592" s="661"/>
      <c r="J592" s="662"/>
      <c r="K592" s="674"/>
      <c r="L592" s="513"/>
      <c r="M592" s="665" t="s">
        <v>1029</v>
      </c>
      <c r="N592" s="519"/>
      <c r="O592" s="150">
        <f t="shared" si="9"/>
        <v>0</v>
      </c>
      <c r="P592" s="151"/>
      <c r="Q592" s="151"/>
    </row>
    <row r="593" spans="1:17" ht="20.100000000000001" customHeight="1">
      <c r="A593" s="141">
        <v>587</v>
      </c>
      <c r="B593" s="142" t="s">
        <v>1364</v>
      </c>
      <c r="C593" s="143" t="s">
        <v>1024</v>
      </c>
      <c r="D593" s="182" t="s">
        <v>29</v>
      </c>
      <c r="E593" s="661"/>
      <c r="F593" s="661"/>
      <c r="G593" s="661"/>
      <c r="H593" s="661"/>
      <c r="I593" s="661"/>
      <c r="J593" s="662"/>
      <c r="K593" s="669">
        <v>1</v>
      </c>
      <c r="L593" s="220"/>
      <c r="M593" s="675" t="s">
        <v>51</v>
      </c>
      <c r="N593" s="676">
        <v>209.5</v>
      </c>
      <c r="O593" s="150">
        <f t="shared" si="9"/>
        <v>1</v>
      </c>
      <c r="P593" s="151"/>
      <c r="Q593" s="151"/>
    </row>
    <row r="594" spans="1:17" ht="20.100000000000001" customHeight="1">
      <c r="A594" s="141">
        <v>588</v>
      </c>
      <c r="B594" s="142" t="s">
        <v>1364</v>
      </c>
      <c r="C594" s="143" t="s">
        <v>1024</v>
      </c>
      <c r="D594" s="182" t="s">
        <v>29</v>
      </c>
      <c r="E594" s="661"/>
      <c r="F594" s="661"/>
      <c r="G594" s="160"/>
      <c r="H594" s="661"/>
      <c r="I594" s="661"/>
      <c r="J594" s="662"/>
      <c r="K594" s="669">
        <v>2</v>
      </c>
      <c r="L594" s="416"/>
      <c r="M594" s="677" t="s">
        <v>1061</v>
      </c>
      <c r="N594" s="678">
        <v>990116.87</v>
      </c>
      <c r="O594" s="150">
        <f t="shared" si="9"/>
        <v>2</v>
      </c>
      <c r="P594" s="151"/>
      <c r="Q594" s="151"/>
    </row>
    <row r="595" spans="1:17" ht="20.100000000000001" hidden="1" customHeight="1">
      <c r="A595" s="141">
        <v>589</v>
      </c>
      <c r="B595" s="142" t="s">
        <v>1364</v>
      </c>
      <c r="C595" s="143" t="s">
        <v>1024</v>
      </c>
      <c r="D595" s="2793" t="s">
        <v>33</v>
      </c>
      <c r="E595" s="661"/>
      <c r="F595" s="661"/>
      <c r="G595" s="661"/>
      <c r="H595" s="661">
        <v>221</v>
      </c>
      <c r="I595" s="661"/>
      <c r="J595" s="662"/>
      <c r="K595" s="679"/>
      <c r="L595" s="220"/>
      <c r="M595" s="670" t="s">
        <v>34</v>
      </c>
      <c r="N595" s="239">
        <v>0</v>
      </c>
      <c r="O595" s="150">
        <f t="shared" si="9"/>
        <v>221</v>
      </c>
      <c r="P595" s="151"/>
      <c r="Q595" s="151"/>
    </row>
    <row r="596" spans="1:17" ht="20.100000000000001" hidden="1" customHeight="1">
      <c r="A596" s="141">
        <v>590</v>
      </c>
      <c r="B596" s="142" t="s">
        <v>1364</v>
      </c>
      <c r="C596" s="143" t="s">
        <v>1024</v>
      </c>
      <c r="D596" s="2795"/>
      <c r="E596" s="661"/>
      <c r="F596" s="661"/>
      <c r="G596" s="661"/>
      <c r="H596" s="661"/>
      <c r="I596" s="661">
        <v>3262</v>
      </c>
      <c r="J596" s="662"/>
      <c r="K596" s="680"/>
      <c r="L596" s="681"/>
      <c r="M596" s="670" t="s">
        <v>35</v>
      </c>
      <c r="N596" s="671">
        <v>1702721.22</v>
      </c>
      <c r="O596" s="150">
        <f t="shared" si="9"/>
        <v>3262</v>
      </c>
      <c r="P596" s="151"/>
      <c r="Q596" s="151"/>
    </row>
    <row r="597" spans="1:17" ht="20.100000000000001" customHeight="1">
      <c r="A597" s="141">
        <v>591</v>
      </c>
      <c r="B597" s="142" t="s">
        <v>1364</v>
      </c>
      <c r="C597" s="143" t="s">
        <v>1024</v>
      </c>
      <c r="D597" s="2792" t="s">
        <v>291</v>
      </c>
      <c r="E597" s="661"/>
      <c r="F597" s="661"/>
      <c r="G597" s="661"/>
      <c r="H597" s="661"/>
      <c r="I597" s="661"/>
      <c r="J597" s="662"/>
      <c r="K597" s="682">
        <v>5</v>
      </c>
      <c r="L597" s="681"/>
      <c r="M597" s="670" t="s">
        <v>792</v>
      </c>
      <c r="N597" s="108">
        <v>0</v>
      </c>
      <c r="O597" s="150">
        <f t="shared" si="9"/>
        <v>5</v>
      </c>
      <c r="P597" s="151"/>
      <c r="Q597" s="151"/>
    </row>
    <row r="598" spans="1:17" ht="20.100000000000001" hidden="1" customHeight="1">
      <c r="A598" s="141">
        <v>592</v>
      </c>
      <c r="B598" s="142" t="s">
        <v>1364</v>
      </c>
      <c r="C598" s="143" t="s">
        <v>1024</v>
      </c>
      <c r="D598" s="2793" t="s">
        <v>36</v>
      </c>
      <c r="E598" s="661"/>
      <c r="F598" s="661">
        <v>339</v>
      </c>
      <c r="G598" s="661"/>
      <c r="H598" s="661"/>
      <c r="I598" s="661"/>
      <c r="J598" s="662"/>
      <c r="K598" s="683"/>
      <c r="L598" s="414"/>
      <c r="M598" s="670" t="s">
        <v>1367</v>
      </c>
      <c r="N598" s="108">
        <v>0</v>
      </c>
      <c r="O598" s="150">
        <f t="shared" si="9"/>
        <v>339</v>
      </c>
      <c r="P598" s="151"/>
      <c r="Q598" s="151"/>
    </row>
    <row r="599" spans="1:17" ht="20.100000000000001" hidden="1" customHeight="1">
      <c r="A599" s="141">
        <v>593</v>
      </c>
      <c r="B599" s="142" t="s">
        <v>1364</v>
      </c>
      <c r="C599" s="143" t="s">
        <v>1024</v>
      </c>
      <c r="D599" s="2800"/>
      <c r="E599" s="661">
        <v>7</v>
      </c>
      <c r="F599" s="661"/>
      <c r="G599" s="661"/>
      <c r="H599" s="661"/>
      <c r="I599" s="661"/>
      <c r="J599" s="662"/>
      <c r="K599" s="684"/>
      <c r="L599" s="685"/>
      <c r="M599" s="686" t="s">
        <v>1368</v>
      </c>
      <c r="N599" s="687">
        <v>0</v>
      </c>
      <c r="O599" s="150">
        <f t="shared" si="9"/>
        <v>7</v>
      </c>
      <c r="P599" s="151"/>
      <c r="Q599" s="151"/>
    </row>
    <row r="600" spans="1:17" ht="20.100000000000001" customHeight="1">
      <c r="A600" s="141">
        <v>594</v>
      </c>
      <c r="B600" s="142" t="s">
        <v>1364</v>
      </c>
      <c r="C600" s="143" t="s">
        <v>1024</v>
      </c>
      <c r="D600" s="2794"/>
      <c r="E600" s="661"/>
      <c r="F600" s="661">
        <v>8</v>
      </c>
      <c r="G600" s="661"/>
      <c r="H600" s="661"/>
      <c r="I600" s="661"/>
      <c r="J600" s="662"/>
      <c r="K600" s="688"/>
      <c r="L600" s="685"/>
      <c r="M600" s="689" t="s">
        <v>1369</v>
      </c>
      <c r="N600" s="687">
        <v>0</v>
      </c>
      <c r="O600" s="150">
        <f t="shared" si="9"/>
        <v>8</v>
      </c>
      <c r="P600" s="151"/>
      <c r="Q600" s="151"/>
    </row>
    <row r="601" spans="1:17" ht="20.100000000000001" customHeight="1">
      <c r="A601" s="141">
        <v>595</v>
      </c>
      <c r="B601" s="142" t="s">
        <v>1364</v>
      </c>
      <c r="C601" s="143" t="s">
        <v>1024</v>
      </c>
      <c r="D601" s="182" t="s">
        <v>38</v>
      </c>
      <c r="E601" s="661"/>
      <c r="F601" s="661"/>
      <c r="G601" s="661"/>
      <c r="H601" s="661"/>
      <c r="I601" s="661"/>
      <c r="J601" s="662"/>
      <c r="K601" s="682">
        <v>1</v>
      </c>
      <c r="L601" s="393">
        <v>46333</v>
      </c>
      <c r="M601" s="690" t="s">
        <v>1370</v>
      </c>
      <c r="N601" s="108">
        <v>50000</v>
      </c>
      <c r="O601" s="150">
        <f t="shared" si="9"/>
        <v>1</v>
      </c>
      <c r="P601" s="151"/>
      <c r="Q601" s="151"/>
    </row>
    <row r="602" spans="1:17" ht="20.100000000000001" customHeight="1">
      <c r="A602" s="141">
        <v>596</v>
      </c>
      <c r="B602" s="142" t="s">
        <v>1371</v>
      </c>
      <c r="C602" s="143" t="s">
        <v>1024</v>
      </c>
      <c r="D602" s="182" t="s">
        <v>1232</v>
      </c>
      <c r="E602" s="661"/>
      <c r="F602" s="661"/>
      <c r="G602" s="661"/>
      <c r="H602" s="661"/>
      <c r="I602" s="661"/>
      <c r="J602" s="662"/>
      <c r="K602" s="691">
        <v>1</v>
      </c>
      <c r="L602" s="544" t="s">
        <v>100</v>
      </c>
      <c r="M602" s="659" t="s">
        <v>1372</v>
      </c>
      <c r="N602" s="271">
        <v>-271635.48</v>
      </c>
      <c r="O602" s="150">
        <f t="shared" si="9"/>
        <v>1</v>
      </c>
      <c r="P602" s="151"/>
      <c r="Q602" s="151"/>
    </row>
    <row r="603" spans="1:17" ht="20.100000000000001" customHeight="1">
      <c r="A603" s="141">
        <v>597</v>
      </c>
      <c r="B603" s="142" t="s">
        <v>1371</v>
      </c>
      <c r="C603" s="143" t="s">
        <v>1024</v>
      </c>
      <c r="D603" s="182" t="s">
        <v>103</v>
      </c>
      <c r="E603" s="661"/>
      <c r="F603" s="661"/>
      <c r="G603" s="661"/>
      <c r="H603" s="160"/>
      <c r="I603" s="661"/>
      <c r="J603" s="662">
        <v>4</v>
      </c>
      <c r="K603" s="2820"/>
      <c r="L603" s="2821"/>
      <c r="M603" s="2822" t="s">
        <v>1096</v>
      </c>
      <c r="N603" s="2817" t="s">
        <v>1373</v>
      </c>
      <c r="O603" s="2810">
        <f t="shared" si="9"/>
        <v>4</v>
      </c>
      <c r="P603" s="151"/>
      <c r="Q603" s="151"/>
    </row>
    <row r="604" spans="1:17" ht="20.100000000000001" hidden="1" customHeight="1">
      <c r="A604" s="141">
        <v>598</v>
      </c>
      <c r="B604" s="142" t="s">
        <v>1371</v>
      </c>
      <c r="C604" s="143" t="s">
        <v>1024</v>
      </c>
      <c r="D604" s="182" t="s">
        <v>33</v>
      </c>
      <c r="E604" s="661"/>
      <c r="F604" s="661"/>
      <c r="G604" s="661"/>
      <c r="H604" s="661"/>
      <c r="I604" s="160"/>
      <c r="J604" s="662"/>
      <c r="K604" s="692"/>
      <c r="L604" s="511"/>
      <c r="M604" s="693" t="s">
        <v>1026</v>
      </c>
      <c r="N604" s="250"/>
      <c r="O604" s="150">
        <f t="shared" si="9"/>
        <v>0</v>
      </c>
      <c r="P604" s="151"/>
      <c r="Q604" s="151"/>
    </row>
    <row r="605" spans="1:17" ht="20.100000000000001" hidden="1" customHeight="1">
      <c r="A605" s="141">
        <v>599</v>
      </c>
      <c r="B605" s="142" t="s">
        <v>1371</v>
      </c>
      <c r="C605" s="143" t="s">
        <v>1024</v>
      </c>
      <c r="D605" s="2793" t="s">
        <v>29</v>
      </c>
      <c r="E605" s="661"/>
      <c r="F605" s="160"/>
      <c r="G605" s="160">
        <v>1</v>
      </c>
      <c r="H605" s="661"/>
      <c r="I605" s="661"/>
      <c r="J605" s="662"/>
      <c r="K605" s="658"/>
      <c r="L605" s="393"/>
      <c r="M605" s="666" t="s">
        <v>119</v>
      </c>
      <c r="N605" s="305">
        <v>-3777381.68</v>
      </c>
      <c r="O605" s="150">
        <f t="shared" si="9"/>
        <v>1</v>
      </c>
      <c r="P605" s="151"/>
      <c r="Q605" s="151"/>
    </row>
    <row r="606" spans="1:17" ht="20.100000000000001" hidden="1" customHeight="1">
      <c r="A606" s="141">
        <v>600</v>
      </c>
      <c r="B606" s="142" t="s">
        <v>1371</v>
      </c>
      <c r="C606" s="143" t="s">
        <v>1024</v>
      </c>
      <c r="D606" s="2795"/>
      <c r="E606" s="160"/>
      <c r="F606" s="661"/>
      <c r="G606" s="160">
        <v>1</v>
      </c>
      <c r="H606" s="661"/>
      <c r="I606" s="661"/>
      <c r="J606" s="662"/>
      <c r="K606" s="658"/>
      <c r="L606" s="393"/>
      <c r="M606" s="666" t="s">
        <v>49</v>
      </c>
      <c r="N606" s="305">
        <v>-151672735.80000001</v>
      </c>
      <c r="O606" s="150">
        <f t="shared" si="9"/>
        <v>1</v>
      </c>
      <c r="P606" s="151"/>
      <c r="Q606" s="151"/>
    </row>
    <row r="607" spans="1:17" ht="20.100000000000001" hidden="1" customHeight="1">
      <c r="A607" s="141">
        <v>601</v>
      </c>
      <c r="B607" s="142" t="s">
        <v>1371</v>
      </c>
      <c r="C607" s="143" t="s">
        <v>1024</v>
      </c>
      <c r="D607" s="2795"/>
      <c r="E607" s="661"/>
      <c r="F607" s="661"/>
      <c r="G607" s="160">
        <v>1</v>
      </c>
      <c r="H607" s="661"/>
      <c r="I607" s="661"/>
      <c r="J607" s="662"/>
      <c r="K607" s="658"/>
      <c r="L607" s="393"/>
      <c r="M607" s="666" t="s">
        <v>32</v>
      </c>
      <c r="N607" s="305">
        <v>-41444.959999999999</v>
      </c>
      <c r="O607" s="150">
        <f t="shared" si="9"/>
        <v>1</v>
      </c>
      <c r="P607" s="151"/>
      <c r="Q607" s="151"/>
    </row>
    <row r="608" spans="1:17" ht="20.100000000000001" hidden="1" customHeight="1">
      <c r="A608" s="141">
        <v>602</v>
      </c>
      <c r="B608" s="142" t="s">
        <v>1371</v>
      </c>
      <c r="C608" s="143" t="s">
        <v>1024</v>
      </c>
      <c r="D608" s="2795"/>
      <c r="E608" s="144"/>
      <c r="F608" s="144"/>
      <c r="G608" s="160">
        <v>1</v>
      </c>
      <c r="H608" s="144"/>
      <c r="I608" s="144"/>
      <c r="J608" s="145"/>
      <c r="K608" s="658"/>
      <c r="L608" s="416"/>
      <c r="M608" s="666" t="s">
        <v>207</v>
      </c>
      <c r="N608" s="305">
        <v>-1759970.13</v>
      </c>
      <c r="O608" s="150">
        <f t="shared" si="9"/>
        <v>1</v>
      </c>
      <c r="P608" s="151"/>
      <c r="Q608" s="151"/>
    </row>
    <row r="609" spans="1:17" ht="20.100000000000001" hidden="1" customHeight="1">
      <c r="A609" s="141">
        <v>603</v>
      </c>
      <c r="B609" s="142" t="s">
        <v>1371</v>
      </c>
      <c r="C609" s="143" t="s">
        <v>1024</v>
      </c>
      <c r="D609" s="2795"/>
      <c r="E609" s="144"/>
      <c r="F609" s="144"/>
      <c r="G609" s="160">
        <v>1</v>
      </c>
      <c r="H609" s="144"/>
      <c r="I609" s="144"/>
      <c r="J609" s="145"/>
      <c r="K609" s="694"/>
      <c r="L609" s="416"/>
      <c r="M609" s="666" t="s">
        <v>615</v>
      </c>
      <c r="N609" s="222">
        <v>20.75</v>
      </c>
      <c r="O609" s="150">
        <f t="shared" si="9"/>
        <v>1</v>
      </c>
      <c r="P609" s="151"/>
      <c r="Q609" s="151"/>
    </row>
    <row r="610" spans="1:17" ht="20.100000000000001" hidden="1" customHeight="1">
      <c r="A610" s="141">
        <v>604</v>
      </c>
      <c r="B610" s="142" t="s">
        <v>1371</v>
      </c>
      <c r="C610" s="143" t="s">
        <v>1024</v>
      </c>
      <c r="D610" s="2795"/>
      <c r="E610" s="144"/>
      <c r="F610" s="144"/>
      <c r="G610" s="144"/>
      <c r="H610" s="144"/>
      <c r="I610" s="144"/>
      <c r="J610" s="145"/>
      <c r="K610" s="674"/>
      <c r="L610" s="513"/>
      <c r="M610" s="695" t="s">
        <v>1028</v>
      </c>
      <c r="N610" s="537"/>
      <c r="O610" s="150">
        <f t="shared" si="9"/>
        <v>0</v>
      </c>
      <c r="P610" s="151"/>
      <c r="Q610" s="151"/>
    </row>
    <row r="611" spans="1:17" ht="20.100000000000001" hidden="1" customHeight="1">
      <c r="A611" s="141">
        <v>605</v>
      </c>
      <c r="B611" s="142" t="s">
        <v>1371</v>
      </c>
      <c r="C611" s="143" t="s">
        <v>1024</v>
      </c>
      <c r="D611" s="2795"/>
      <c r="E611" s="144"/>
      <c r="F611" s="144"/>
      <c r="G611" s="160">
        <v>1</v>
      </c>
      <c r="H611" s="144"/>
      <c r="I611" s="144"/>
      <c r="J611" s="145"/>
      <c r="K611" s="669"/>
      <c r="L611" s="220"/>
      <c r="M611" s="696" t="s">
        <v>1069</v>
      </c>
      <c r="N611" s="537">
        <v>21.5</v>
      </c>
      <c r="O611" s="150">
        <f t="shared" si="9"/>
        <v>1</v>
      </c>
      <c r="P611" s="151"/>
      <c r="Q611" s="151"/>
    </row>
    <row r="612" spans="1:17" ht="20.100000000000001" hidden="1" customHeight="1">
      <c r="A612" s="141">
        <v>606</v>
      </c>
      <c r="B612" s="142" t="s">
        <v>1371</v>
      </c>
      <c r="C612" s="143" t="s">
        <v>1024</v>
      </c>
      <c r="D612" s="2795"/>
      <c r="E612" s="144"/>
      <c r="F612" s="144"/>
      <c r="G612" s="160"/>
      <c r="H612" s="144"/>
      <c r="I612" s="144"/>
      <c r="J612" s="145"/>
      <c r="K612" s="674"/>
      <c r="L612" s="513"/>
      <c r="M612" s="697" t="s">
        <v>1029</v>
      </c>
      <c r="N612" s="267"/>
      <c r="O612" s="150">
        <f t="shared" si="9"/>
        <v>0</v>
      </c>
      <c r="P612" s="151"/>
      <c r="Q612" s="151"/>
    </row>
    <row r="613" spans="1:17" ht="20.100000000000001" customHeight="1">
      <c r="A613" s="141">
        <v>607</v>
      </c>
      <c r="B613" s="142" t="s">
        <v>1371</v>
      </c>
      <c r="C613" s="143" t="s">
        <v>1024</v>
      </c>
      <c r="D613" s="2795"/>
      <c r="E613" s="144"/>
      <c r="F613" s="144"/>
      <c r="G613" s="160"/>
      <c r="H613" s="144"/>
      <c r="I613" s="144"/>
      <c r="J613" s="145"/>
      <c r="K613" s="694">
        <v>1</v>
      </c>
      <c r="L613" s="416"/>
      <c r="M613" s="698" t="s">
        <v>167</v>
      </c>
      <c r="N613" s="267">
        <v>-1080000</v>
      </c>
      <c r="O613" s="150">
        <f t="shared" si="9"/>
        <v>1</v>
      </c>
      <c r="P613" s="151"/>
      <c r="Q613" s="151"/>
    </row>
    <row r="614" spans="1:17" ht="20.100000000000001" customHeight="1">
      <c r="A614" s="141">
        <v>608</v>
      </c>
      <c r="B614" s="142" t="s">
        <v>1371</v>
      </c>
      <c r="C614" s="143" t="s">
        <v>1024</v>
      </c>
      <c r="D614" s="2794"/>
      <c r="E614" s="144"/>
      <c r="F614" s="144"/>
      <c r="G614" s="160"/>
      <c r="H614" s="144"/>
      <c r="I614" s="144"/>
      <c r="J614" s="145"/>
      <c r="K614" s="694">
        <v>1</v>
      </c>
      <c r="L614" s="416"/>
      <c r="M614" s="699" t="s">
        <v>1374</v>
      </c>
      <c r="N614" s="222">
        <v>-300</v>
      </c>
      <c r="O614" s="150">
        <f t="shared" si="9"/>
        <v>1</v>
      </c>
      <c r="P614" s="151"/>
      <c r="Q614" s="151"/>
    </row>
    <row r="615" spans="1:17" ht="20.100000000000001" customHeight="1">
      <c r="A615" s="141">
        <v>609</v>
      </c>
      <c r="B615" s="142" t="s">
        <v>1371</v>
      </c>
      <c r="C615" s="143" t="s">
        <v>1024</v>
      </c>
      <c r="D615" s="182" t="s">
        <v>1105</v>
      </c>
      <c r="E615" s="144"/>
      <c r="F615" s="144"/>
      <c r="G615" s="144"/>
      <c r="H615" s="144"/>
      <c r="I615" s="144"/>
      <c r="J615" s="145"/>
      <c r="K615" s="669">
        <v>9</v>
      </c>
      <c r="L615" s="416"/>
      <c r="M615" s="700" t="s">
        <v>1061</v>
      </c>
      <c r="N615" s="222">
        <v>-10835668.369999999</v>
      </c>
      <c r="O615" s="150">
        <f t="shared" si="9"/>
        <v>9</v>
      </c>
      <c r="P615" s="151"/>
      <c r="Q615" s="151"/>
    </row>
    <row r="616" spans="1:17" ht="20.100000000000001" hidden="1" customHeight="1">
      <c r="A616" s="141">
        <v>610</v>
      </c>
      <c r="B616" s="142" t="s">
        <v>1371</v>
      </c>
      <c r="C616" s="143" t="s">
        <v>1024</v>
      </c>
      <c r="D616" s="2793" t="s">
        <v>33</v>
      </c>
      <c r="E616" s="144"/>
      <c r="F616" s="144"/>
      <c r="G616" s="160"/>
      <c r="H616" s="144"/>
      <c r="I616" s="144"/>
      <c r="J616" s="145"/>
      <c r="K616" s="674"/>
      <c r="L616" s="513"/>
      <c r="M616" s="701" t="s">
        <v>1078</v>
      </c>
      <c r="N616" s="267"/>
      <c r="O616" s="150">
        <f t="shared" si="9"/>
        <v>0</v>
      </c>
      <c r="P616" s="151"/>
      <c r="Q616" s="151"/>
    </row>
    <row r="617" spans="1:17" ht="20.100000000000001" hidden="1" customHeight="1">
      <c r="A617" s="141">
        <v>611</v>
      </c>
      <c r="B617" s="142" t="s">
        <v>1371</v>
      </c>
      <c r="C617" s="143" t="s">
        <v>1024</v>
      </c>
      <c r="D617" s="2795"/>
      <c r="E617" s="144"/>
      <c r="F617" s="144"/>
      <c r="G617" s="144"/>
      <c r="H617" s="144">
        <v>648</v>
      </c>
      <c r="I617" s="144"/>
      <c r="J617" s="145"/>
      <c r="K617" s="669"/>
      <c r="L617" s="416"/>
      <c r="M617" s="702" t="s">
        <v>34</v>
      </c>
      <c r="N617" s="255">
        <v>0</v>
      </c>
      <c r="O617" s="150">
        <f t="shared" si="9"/>
        <v>648</v>
      </c>
      <c r="P617" s="151"/>
      <c r="Q617" s="151"/>
    </row>
    <row r="618" spans="1:17" ht="20.100000000000001" hidden="1" customHeight="1">
      <c r="A618" s="141">
        <v>612</v>
      </c>
      <c r="B618" s="142" t="s">
        <v>1371</v>
      </c>
      <c r="C618" s="143" t="s">
        <v>1024</v>
      </c>
      <c r="D618" s="2794"/>
      <c r="E618" s="144"/>
      <c r="F618" s="144"/>
      <c r="G618" s="144"/>
      <c r="H618" s="144"/>
      <c r="I618" s="144">
        <v>6215</v>
      </c>
      <c r="J618" s="145"/>
      <c r="K618" s="682"/>
      <c r="L618" s="703"/>
      <c r="M618" s="702" t="s">
        <v>35</v>
      </c>
      <c r="N618" s="249">
        <v>-7384265.9699999997</v>
      </c>
      <c r="O618" s="150">
        <f t="shared" si="9"/>
        <v>6215</v>
      </c>
      <c r="P618" s="151"/>
      <c r="Q618" s="151"/>
    </row>
    <row r="619" spans="1:17" ht="20.100000000000001" hidden="1" customHeight="1">
      <c r="A619" s="141">
        <v>613</v>
      </c>
      <c r="B619" s="142" t="s">
        <v>1371</v>
      </c>
      <c r="C619" s="143" t="s">
        <v>1024</v>
      </c>
      <c r="D619" s="2793" t="s">
        <v>36</v>
      </c>
      <c r="E619" s="144"/>
      <c r="F619" s="144">
        <v>339</v>
      </c>
      <c r="G619" s="144"/>
      <c r="H619" s="160"/>
      <c r="I619" s="144"/>
      <c r="J619" s="145"/>
      <c r="K619" s="704"/>
      <c r="L619" s="705"/>
      <c r="M619" s="706" t="s">
        <v>1375</v>
      </c>
      <c r="N619" s="250">
        <v>0</v>
      </c>
      <c r="O619" s="150">
        <f t="shared" si="9"/>
        <v>339</v>
      </c>
      <c r="P619" s="151"/>
      <c r="Q619" s="151"/>
    </row>
    <row r="620" spans="1:17" ht="20.100000000000001" hidden="1" customHeight="1">
      <c r="A620" s="141">
        <v>614</v>
      </c>
      <c r="B620" s="142" t="s">
        <v>1371</v>
      </c>
      <c r="C620" s="143" t="s">
        <v>1024</v>
      </c>
      <c r="D620" s="2792"/>
      <c r="E620" s="144">
        <v>170</v>
      </c>
      <c r="F620" s="144"/>
      <c r="G620" s="144"/>
      <c r="H620" s="144"/>
      <c r="I620" s="160"/>
      <c r="J620" s="145"/>
      <c r="K620" s="704"/>
      <c r="L620" s="544"/>
      <c r="M620" s="707" t="s">
        <v>1376</v>
      </c>
      <c r="N620" s="250">
        <v>0</v>
      </c>
      <c r="O620" s="150">
        <f t="shared" si="9"/>
        <v>170</v>
      </c>
      <c r="P620" s="151"/>
      <c r="Q620" s="151"/>
    </row>
    <row r="621" spans="1:17" ht="20.100000000000001" customHeight="1">
      <c r="A621" s="141">
        <v>615</v>
      </c>
      <c r="B621" s="142" t="s">
        <v>1371</v>
      </c>
      <c r="C621" s="143" t="s">
        <v>1024</v>
      </c>
      <c r="D621" s="2793" t="s">
        <v>38</v>
      </c>
      <c r="E621" s="144"/>
      <c r="F621" s="160"/>
      <c r="G621" s="144"/>
      <c r="H621" s="144"/>
      <c r="I621" s="144"/>
      <c r="J621" s="145"/>
      <c r="K621" s="658">
        <v>1</v>
      </c>
      <c r="L621" s="393" t="s">
        <v>1377</v>
      </c>
      <c r="M621" s="708" t="s">
        <v>1378</v>
      </c>
      <c r="N621" s="250">
        <v>5000</v>
      </c>
      <c r="O621" s="150">
        <f t="shared" si="9"/>
        <v>1</v>
      </c>
      <c r="P621" s="151"/>
      <c r="Q621" s="151"/>
    </row>
    <row r="622" spans="1:17" ht="20.100000000000001" customHeight="1">
      <c r="A622" s="141">
        <v>616</v>
      </c>
      <c r="B622" s="142" t="s">
        <v>1371</v>
      </c>
      <c r="C622" s="143" t="s">
        <v>1024</v>
      </c>
      <c r="D622" s="2795"/>
      <c r="E622" s="160"/>
      <c r="F622" s="144"/>
      <c r="G622" s="144"/>
      <c r="H622" s="144"/>
      <c r="I622" s="144"/>
      <c r="J622" s="145"/>
      <c r="K622" s="691">
        <v>3</v>
      </c>
      <c r="L622" s="393" t="s">
        <v>221</v>
      </c>
      <c r="M622" s="708" t="s">
        <v>1379</v>
      </c>
      <c r="N622" s="271">
        <v>550000</v>
      </c>
      <c r="O622" s="150">
        <f t="shared" si="9"/>
        <v>3</v>
      </c>
      <c r="P622" s="151"/>
      <c r="Q622" s="151"/>
    </row>
    <row r="623" spans="1:17" ht="20.100000000000001" customHeight="1">
      <c r="A623" s="141">
        <v>617</v>
      </c>
      <c r="B623" s="142" t="s">
        <v>1371</v>
      </c>
      <c r="C623" s="143" t="s">
        <v>1024</v>
      </c>
      <c r="D623" s="2794"/>
      <c r="E623" s="144"/>
      <c r="F623" s="144"/>
      <c r="G623" s="144"/>
      <c r="H623" s="144"/>
      <c r="I623" s="144"/>
      <c r="J623" s="145"/>
      <c r="K623" s="658">
        <v>1</v>
      </c>
      <c r="L623" s="393" t="s">
        <v>98</v>
      </c>
      <c r="M623" s="708" t="s">
        <v>1380</v>
      </c>
      <c r="N623" s="250">
        <v>5000000</v>
      </c>
      <c r="O623" s="150">
        <f t="shared" si="9"/>
        <v>1</v>
      </c>
      <c r="P623" s="151"/>
      <c r="Q623" s="151"/>
    </row>
    <row r="624" spans="1:17" ht="20.100000000000001" customHeight="1">
      <c r="A624" s="141">
        <v>618</v>
      </c>
      <c r="B624" s="142" t="s">
        <v>1381</v>
      </c>
      <c r="C624" s="143" t="s">
        <v>1024</v>
      </c>
      <c r="D624" s="2793" t="s">
        <v>1232</v>
      </c>
      <c r="E624" s="144"/>
      <c r="F624" s="144"/>
      <c r="G624" s="144"/>
      <c r="H624" s="144"/>
      <c r="I624" s="144"/>
      <c r="J624" s="145"/>
      <c r="K624" s="658">
        <v>1</v>
      </c>
      <c r="L624" s="393"/>
      <c r="M624" s="666" t="s">
        <v>1382</v>
      </c>
      <c r="N624" s="250">
        <v>7700</v>
      </c>
      <c r="O624" s="150">
        <f t="shared" si="9"/>
        <v>1</v>
      </c>
      <c r="P624" s="151"/>
      <c r="Q624" s="151"/>
    </row>
    <row r="625" spans="1:17" ht="20.100000000000001" customHeight="1">
      <c r="A625" s="141">
        <v>619</v>
      </c>
      <c r="B625" s="142" t="s">
        <v>1381</v>
      </c>
      <c r="C625" s="143" t="s">
        <v>1024</v>
      </c>
      <c r="D625" s="2794"/>
      <c r="E625" s="144"/>
      <c r="F625" s="144"/>
      <c r="G625" s="160"/>
      <c r="H625" s="144"/>
      <c r="I625" s="144"/>
      <c r="J625" s="145"/>
      <c r="K625" s="658">
        <v>1</v>
      </c>
      <c r="L625" s="393"/>
      <c r="M625" s="659" t="s">
        <v>1383</v>
      </c>
      <c r="N625" s="250">
        <v>96779.88</v>
      </c>
      <c r="O625" s="150">
        <f t="shared" si="9"/>
        <v>1</v>
      </c>
      <c r="P625" s="151"/>
      <c r="Q625" s="151"/>
    </row>
    <row r="626" spans="1:17" ht="20.100000000000001" hidden="1" customHeight="1">
      <c r="A626" s="141">
        <v>620</v>
      </c>
      <c r="B626" s="142" t="s">
        <v>1381</v>
      </c>
      <c r="C626" s="143" t="s">
        <v>1024</v>
      </c>
      <c r="D626" s="2793" t="s">
        <v>29</v>
      </c>
      <c r="E626" s="144"/>
      <c r="F626" s="144"/>
      <c r="G626" s="160"/>
      <c r="H626" s="144"/>
      <c r="I626" s="144"/>
      <c r="J626" s="145"/>
      <c r="K626" s="709"/>
      <c r="L626" s="535"/>
      <c r="M626" s="710" t="s">
        <v>1026</v>
      </c>
      <c r="N626" s="253"/>
      <c r="O626" s="150">
        <f t="shared" si="9"/>
        <v>0</v>
      </c>
      <c r="P626" s="151"/>
      <c r="Q626" s="151"/>
    </row>
    <row r="627" spans="1:17" ht="20.100000000000001" hidden="1" customHeight="1">
      <c r="A627" s="141">
        <v>621</v>
      </c>
      <c r="B627" s="142" t="s">
        <v>1381</v>
      </c>
      <c r="C627" s="143" t="s">
        <v>1024</v>
      </c>
      <c r="D627" s="2795"/>
      <c r="E627" s="144"/>
      <c r="F627" s="144"/>
      <c r="G627" s="160">
        <v>1</v>
      </c>
      <c r="H627" s="144"/>
      <c r="I627" s="144"/>
      <c r="J627" s="145"/>
      <c r="K627" s="658"/>
      <c r="L627" s="393"/>
      <c r="M627" s="666" t="s">
        <v>119</v>
      </c>
      <c r="N627" s="250">
        <v>-2012757.86</v>
      </c>
      <c r="O627" s="150">
        <f t="shared" si="9"/>
        <v>1</v>
      </c>
      <c r="P627" s="151"/>
      <c r="Q627" s="151"/>
    </row>
    <row r="628" spans="1:17" ht="20.100000000000001" hidden="1" customHeight="1">
      <c r="A628" s="141">
        <v>622</v>
      </c>
      <c r="B628" s="142" t="s">
        <v>1381</v>
      </c>
      <c r="C628" s="143" t="s">
        <v>1024</v>
      </c>
      <c r="D628" s="2795"/>
      <c r="E628" s="144"/>
      <c r="F628" s="144"/>
      <c r="G628" s="160">
        <v>1</v>
      </c>
      <c r="H628" s="144"/>
      <c r="I628" s="144"/>
      <c r="J628" s="145"/>
      <c r="K628" s="658"/>
      <c r="L628" s="393"/>
      <c r="M628" s="666" t="s">
        <v>49</v>
      </c>
      <c r="N628" s="250">
        <v>-70576650.5</v>
      </c>
      <c r="O628" s="150">
        <f t="shared" si="9"/>
        <v>1</v>
      </c>
      <c r="P628" s="151"/>
      <c r="Q628" s="151"/>
    </row>
    <row r="629" spans="1:17" ht="20.100000000000001" hidden="1" customHeight="1">
      <c r="A629" s="141">
        <v>623</v>
      </c>
      <c r="B629" s="142" t="s">
        <v>1381</v>
      </c>
      <c r="C629" s="143" t="s">
        <v>1024</v>
      </c>
      <c r="D629" s="2795"/>
      <c r="E629" s="144"/>
      <c r="F629" s="144"/>
      <c r="G629" s="160">
        <v>1</v>
      </c>
      <c r="H629" s="144"/>
      <c r="I629" s="144"/>
      <c r="J629" s="145"/>
      <c r="K629" s="658"/>
      <c r="L629" s="393"/>
      <c r="M629" s="666" t="s">
        <v>32</v>
      </c>
      <c r="N629" s="255">
        <v>0.28999999999999998</v>
      </c>
      <c r="O629" s="150">
        <f t="shared" si="9"/>
        <v>1</v>
      </c>
      <c r="P629" s="151"/>
      <c r="Q629" s="151"/>
    </row>
    <row r="630" spans="1:17" ht="20.100000000000001" hidden="1" customHeight="1">
      <c r="A630" s="141">
        <v>624</v>
      </c>
      <c r="B630" s="142" t="s">
        <v>1381</v>
      </c>
      <c r="C630" s="143" t="s">
        <v>1024</v>
      </c>
      <c r="D630" s="2795"/>
      <c r="E630" s="144"/>
      <c r="F630" s="144"/>
      <c r="G630" s="160">
        <v>1</v>
      </c>
      <c r="H630" s="144"/>
      <c r="I630" s="144"/>
      <c r="J630" s="145"/>
      <c r="K630" s="669"/>
      <c r="L630" s="416"/>
      <c r="M630" s="666" t="s">
        <v>207</v>
      </c>
      <c r="N630" s="671">
        <v>-20526.95</v>
      </c>
      <c r="O630" s="150">
        <f t="shared" si="9"/>
        <v>1</v>
      </c>
      <c r="P630" s="151"/>
      <c r="Q630" s="151"/>
    </row>
    <row r="631" spans="1:17" ht="20.100000000000001" hidden="1" customHeight="1">
      <c r="A631" s="141">
        <v>625</v>
      </c>
      <c r="B631" s="142" t="s">
        <v>1381</v>
      </c>
      <c r="C631" s="143" t="s">
        <v>1024</v>
      </c>
      <c r="D631" s="2795"/>
      <c r="E631" s="144"/>
      <c r="F631" s="144"/>
      <c r="G631" s="144"/>
      <c r="H631" s="144"/>
      <c r="I631" s="144"/>
      <c r="J631" s="145"/>
      <c r="K631" s="674"/>
      <c r="L631" s="513"/>
      <c r="M631" s="711" t="s">
        <v>1028</v>
      </c>
      <c r="N631" s="236"/>
      <c r="O631" s="150">
        <f t="shared" si="9"/>
        <v>0</v>
      </c>
      <c r="P631" s="151"/>
      <c r="Q631" s="151"/>
    </row>
    <row r="632" spans="1:17" ht="20.100000000000001" hidden="1" customHeight="1">
      <c r="A632" s="141">
        <v>626</v>
      </c>
      <c r="B632" s="142" t="s">
        <v>1381</v>
      </c>
      <c r="C632" s="143" t="s">
        <v>1024</v>
      </c>
      <c r="D632" s="2794"/>
      <c r="E632" s="144"/>
      <c r="F632" s="144"/>
      <c r="G632" s="160">
        <v>1</v>
      </c>
      <c r="H632" s="144"/>
      <c r="I632" s="144"/>
      <c r="J632" s="145"/>
      <c r="K632" s="694"/>
      <c r="L632" s="416"/>
      <c r="M632" s="666" t="s">
        <v>1384</v>
      </c>
      <c r="N632" s="267">
        <v>106</v>
      </c>
      <c r="O632" s="150">
        <f t="shared" si="9"/>
        <v>1</v>
      </c>
      <c r="P632" s="151"/>
      <c r="Q632" s="151"/>
    </row>
    <row r="633" spans="1:17" ht="20.100000000000001" customHeight="1">
      <c r="A633" s="141">
        <v>627</v>
      </c>
      <c r="B633" s="142" t="s">
        <v>1381</v>
      </c>
      <c r="C633" s="143" t="s">
        <v>1024</v>
      </c>
      <c r="D633" s="182" t="s">
        <v>1105</v>
      </c>
      <c r="E633" s="144"/>
      <c r="F633" s="144"/>
      <c r="G633" s="144"/>
      <c r="H633" s="144"/>
      <c r="I633" s="144"/>
      <c r="J633" s="145"/>
      <c r="K633" s="712">
        <v>2</v>
      </c>
      <c r="L633" s="418"/>
      <c r="M633" s="713" t="s">
        <v>1061</v>
      </c>
      <c r="N633" s="239">
        <v>907810.4</v>
      </c>
      <c r="O633" s="150">
        <f t="shared" si="9"/>
        <v>2</v>
      </c>
      <c r="P633" s="151"/>
      <c r="Q633" s="151"/>
    </row>
    <row r="634" spans="1:17" ht="20.100000000000001" hidden="1" customHeight="1">
      <c r="A634" s="141">
        <v>628</v>
      </c>
      <c r="B634" s="142" t="s">
        <v>1381</v>
      </c>
      <c r="C634" s="143" t="s">
        <v>1024</v>
      </c>
      <c r="D634" s="2793" t="s">
        <v>33</v>
      </c>
      <c r="E634" s="144"/>
      <c r="F634" s="144"/>
      <c r="G634" s="144"/>
      <c r="H634" s="144">
        <v>129</v>
      </c>
      <c r="I634" s="144"/>
      <c r="J634" s="145"/>
      <c r="K634" s="669"/>
      <c r="L634" s="220"/>
      <c r="M634" s="666" t="s">
        <v>34</v>
      </c>
      <c r="N634" s="222">
        <v>0</v>
      </c>
      <c r="O634" s="150">
        <f t="shared" si="9"/>
        <v>129</v>
      </c>
      <c r="P634" s="151"/>
      <c r="Q634" s="151"/>
    </row>
    <row r="635" spans="1:17" ht="20.100000000000001" hidden="1" customHeight="1">
      <c r="A635" s="141">
        <v>629</v>
      </c>
      <c r="B635" s="142" t="s">
        <v>1381</v>
      </c>
      <c r="C635" s="143" t="s">
        <v>1024</v>
      </c>
      <c r="D635" s="2794"/>
      <c r="E635" s="144"/>
      <c r="F635" s="144"/>
      <c r="G635" s="144"/>
      <c r="H635" s="144"/>
      <c r="I635" s="144">
        <v>4445</v>
      </c>
      <c r="J635" s="145"/>
      <c r="K635" s="658"/>
      <c r="L635" s="393"/>
      <c r="M635" s="666" t="s">
        <v>35</v>
      </c>
      <c r="N635" s="249">
        <v>3914100.12</v>
      </c>
      <c r="O635" s="150">
        <f t="shared" si="9"/>
        <v>4445</v>
      </c>
      <c r="P635" s="151"/>
      <c r="Q635" s="151"/>
    </row>
    <row r="636" spans="1:17" ht="20.100000000000001" hidden="1" customHeight="1">
      <c r="A636" s="141">
        <v>630</v>
      </c>
      <c r="B636" s="142" t="s">
        <v>1385</v>
      </c>
      <c r="C636" s="143" t="s">
        <v>1024</v>
      </c>
      <c r="D636" s="2793" t="s">
        <v>36</v>
      </c>
      <c r="E636" s="144"/>
      <c r="F636" s="144">
        <v>506</v>
      </c>
      <c r="G636" s="144"/>
      <c r="H636" s="160"/>
      <c r="I636" s="144"/>
      <c r="J636" s="145"/>
      <c r="K636" s="658"/>
      <c r="L636" s="393"/>
      <c r="M636" s="666" t="s">
        <v>1386</v>
      </c>
      <c r="N636" s="305">
        <v>0</v>
      </c>
      <c r="O636" s="150">
        <f t="shared" si="9"/>
        <v>506</v>
      </c>
      <c r="P636" s="151"/>
      <c r="Q636" s="151"/>
    </row>
    <row r="637" spans="1:17" ht="20.100000000000001" hidden="1" customHeight="1">
      <c r="A637" s="141">
        <v>631</v>
      </c>
      <c r="B637" s="142" t="s">
        <v>1385</v>
      </c>
      <c r="C637" s="143" t="s">
        <v>1024</v>
      </c>
      <c r="D637" s="2792"/>
      <c r="E637" s="144">
        <v>325</v>
      </c>
      <c r="F637" s="144"/>
      <c r="G637" s="144"/>
      <c r="H637" s="144"/>
      <c r="I637" s="160"/>
      <c r="J637" s="145"/>
      <c r="K637" s="658"/>
      <c r="L637" s="393"/>
      <c r="M637" s="666" t="s">
        <v>1387</v>
      </c>
      <c r="N637" s="305">
        <v>0</v>
      </c>
      <c r="O637" s="150">
        <f t="shared" si="9"/>
        <v>325</v>
      </c>
      <c r="P637" s="151"/>
      <c r="Q637" s="151"/>
    </row>
    <row r="638" spans="1:17" ht="20.100000000000001" customHeight="1">
      <c r="A638" s="141">
        <v>632</v>
      </c>
      <c r="B638" s="142" t="s">
        <v>1385</v>
      </c>
      <c r="C638" s="143" t="s">
        <v>1024</v>
      </c>
      <c r="D638" s="182" t="s">
        <v>1232</v>
      </c>
      <c r="E638" s="144"/>
      <c r="F638" s="160"/>
      <c r="G638" s="144"/>
      <c r="H638" s="144"/>
      <c r="I638" s="144"/>
      <c r="J638" s="145"/>
      <c r="K638" s="691">
        <v>1</v>
      </c>
      <c r="L638" s="544"/>
      <c r="M638" s="659" t="s">
        <v>1388</v>
      </c>
      <c r="N638" s="271">
        <v>78400</v>
      </c>
      <c r="O638" s="150">
        <f t="shared" si="9"/>
        <v>1</v>
      </c>
      <c r="P638" s="151"/>
      <c r="Q638" s="151"/>
    </row>
    <row r="639" spans="1:17" ht="20.100000000000001" hidden="1" customHeight="1">
      <c r="A639" s="141">
        <v>633</v>
      </c>
      <c r="B639" s="142" t="s">
        <v>1385</v>
      </c>
      <c r="C639" s="143" t="s">
        <v>1024</v>
      </c>
      <c r="D639" s="2793" t="s">
        <v>29</v>
      </c>
      <c r="E639" s="160"/>
      <c r="F639" s="144"/>
      <c r="G639" s="144"/>
      <c r="H639" s="144"/>
      <c r="I639" s="144"/>
      <c r="J639" s="145"/>
      <c r="K639" s="709"/>
      <c r="L639" s="535"/>
      <c r="M639" s="710" t="s">
        <v>1026</v>
      </c>
      <c r="N639" s="253"/>
      <c r="O639" s="150">
        <f t="shared" si="9"/>
        <v>0</v>
      </c>
      <c r="P639" s="151"/>
      <c r="Q639" s="151"/>
    </row>
    <row r="640" spans="1:17" ht="20.100000000000001" hidden="1" customHeight="1">
      <c r="A640" s="141">
        <v>634</v>
      </c>
      <c r="B640" s="142" t="s">
        <v>1385</v>
      </c>
      <c r="C640" s="143" t="s">
        <v>1024</v>
      </c>
      <c r="D640" s="2795"/>
      <c r="E640" s="144"/>
      <c r="F640" s="144"/>
      <c r="G640" s="160">
        <v>1</v>
      </c>
      <c r="H640" s="144"/>
      <c r="I640" s="144"/>
      <c r="J640" s="145"/>
      <c r="K640" s="658"/>
      <c r="L640" s="393"/>
      <c r="M640" s="666" t="s">
        <v>119</v>
      </c>
      <c r="N640" s="305">
        <v>-1617494.66</v>
      </c>
      <c r="O640" s="150">
        <f t="shared" si="9"/>
        <v>1</v>
      </c>
      <c r="P640" s="151"/>
      <c r="Q640" s="151"/>
    </row>
    <row r="641" spans="1:17" ht="20.100000000000001" hidden="1" customHeight="1">
      <c r="A641" s="141">
        <v>635</v>
      </c>
      <c r="B641" s="142" t="s">
        <v>1385</v>
      </c>
      <c r="C641" s="143" t="s">
        <v>1024</v>
      </c>
      <c r="D641" s="2795"/>
      <c r="E641" s="144"/>
      <c r="F641" s="144"/>
      <c r="G641" s="160">
        <v>1</v>
      </c>
      <c r="H641" s="144"/>
      <c r="I641" s="144"/>
      <c r="J641" s="145"/>
      <c r="K641" s="658"/>
      <c r="L641" s="393"/>
      <c r="M641" s="666" t="s">
        <v>49</v>
      </c>
      <c r="N641" s="250">
        <v>-63754130.479999997</v>
      </c>
      <c r="O641" s="150">
        <f t="shared" si="9"/>
        <v>1</v>
      </c>
      <c r="P641" s="151"/>
      <c r="Q641" s="151"/>
    </row>
    <row r="642" spans="1:17" ht="20.100000000000001" hidden="1" customHeight="1">
      <c r="A642" s="141">
        <v>636</v>
      </c>
      <c r="B642" s="142" t="s">
        <v>1385</v>
      </c>
      <c r="C642" s="143" t="s">
        <v>1024</v>
      </c>
      <c r="D642" s="2795"/>
      <c r="E642" s="144"/>
      <c r="F642" s="144"/>
      <c r="G642" s="160">
        <v>1</v>
      </c>
      <c r="H642" s="144"/>
      <c r="I642" s="144"/>
      <c r="J642" s="145"/>
      <c r="K642" s="658"/>
      <c r="L642" s="393"/>
      <c r="M642" s="670" t="s">
        <v>32</v>
      </c>
      <c r="N642" s="255">
        <v>73175.240000000005</v>
      </c>
      <c r="O642" s="150">
        <f t="shared" si="9"/>
        <v>1</v>
      </c>
      <c r="P642" s="151"/>
      <c r="Q642" s="151"/>
    </row>
    <row r="643" spans="1:17" ht="20.100000000000001" hidden="1" customHeight="1">
      <c r="A643" s="141">
        <v>637</v>
      </c>
      <c r="B643" s="142" t="s">
        <v>1385</v>
      </c>
      <c r="C643" s="143" t="s">
        <v>1024</v>
      </c>
      <c r="D643" s="2795"/>
      <c r="E643" s="144"/>
      <c r="F643" s="144"/>
      <c r="G643" s="160">
        <v>1</v>
      </c>
      <c r="H643" s="144"/>
      <c r="I643" s="144"/>
      <c r="J643" s="145"/>
      <c r="K643" s="714"/>
      <c r="L643" s="416"/>
      <c r="M643" s="666" t="s">
        <v>1219</v>
      </c>
      <c r="N643" s="537">
        <v>93267.93</v>
      </c>
      <c r="O643" s="150">
        <f t="shared" si="9"/>
        <v>1</v>
      </c>
      <c r="P643" s="151"/>
      <c r="Q643" s="151"/>
    </row>
    <row r="644" spans="1:17" ht="20.100000000000001" hidden="1" customHeight="1">
      <c r="A644" s="141">
        <v>638</v>
      </c>
      <c r="B644" s="142" t="s">
        <v>1385</v>
      </c>
      <c r="C644" s="143" t="s">
        <v>1024</v>
      </c>
      <c r="D644" s="2795"/>
      <c r="E644" s="144"/>
      <c r="F644" s="144"/>
      <c r="G644" s="160">
        <v>1</v>
      </c>
      <c r="H644" s="144"/>
      <c r="I644" s="144"/>
      <c r="J644" s="145"/>
      <c r="K644" s="715"/>
      <c r="L644" s="220"/>
      <c r="M644" s="670" t="s">
        <v>886</v>
      </c>
      <c r="N644" s="537">
        <v>88</v>
      </c>
      <c r="O644" s="150">
        <f t="shared" si="9"/>
        <v>1</v>
      </c>
      <c r="P644" s="151"/>
      <c r="Q644" s="151"/>
    </row>
    <row r="645" spans="1:17" ht="20.100000000000001" hidden="1" customHeight="1">
      <c r="A645" s="141">
        <v>639</v>
      </c>
      <c r="B645" s="142" t="s">
        <v>1385</v>
      </c>
      <c r="C645" s="143" t="s">
        <v>1024</v>
      </c>
      <c r="D645" s="2795"/>
      <c r="E645" s="144"/>
      <c r="F645" s="144"/>
      <c r="G645" s="160">
        <v>1</v>
      </c>
      <c r="H645" s="144"/>
      <c r="I645" s="144"/>
      <c r="J645" s="145"/>
      <c r="K645" s="715"/>
      <c r="L645" s="220"/>
      <c r="M645" s="670" t="s">
        <v>50</v>
      </c>
      <c r="N645" s="222">
        <v>10</v>
      </c>
      <c r="O645" s="150">
        <f t="shared" si="9"/>
        <v>1</v>
      </c>
      <c r="P645" s="151"/>
      <c r="Q645" s="151"/>
    </row>
    <row r="646" spans="1:17" ht="20.100000000000001" hidden="1" customHeight="1">
      <c r="A646" s="141">
        <v>640</v>
      </c>
      <c r="B646" s="142" t="s">
        <v>1385</v>
      </c>
      <c r="C646" s="143" t="s">
        <v>1024</v>
      </c>
      <c r="D646" s="2795"/>
      <c r="E646" s="144"/>
      <c r="F646" s="144"/>
      <c r="G646" s="144"/>
      <c r="H646" s="144"/>
      <c r="I646" s="144"/>
      <c r="J646" s="145"/>
      <c r="K646" s="716"/>
      <c r="L646" s="539"/>
      <c r="M646" s="717" t="s">
        <v>1029</v>
      </c>
      <c r="N646" s="264"/>
      <c r="O646" s="150">
        <f t="shared" si="9"/>
        <v>0</v>
      </c>
      <c r="P646" s="151"/>
      <c r="Q646" s="151"/>
    </row>
    <row r="647" spans="1:17" ht="20.100000000000001" customHeight="1">
      <c r="A647" s="141">
        <v>641</v>
      </c>
      <c r="B647" s="142" t="s">
        <v>1385</v>
      </c>
      <c r="C647" s="143" t="s">
        <v>1024</v>
      </c>
      <c r="D647" s="2795"/>
      <c r="E647" s="144"/>
      <c r="F647" s="144"/>
      <c r="G647" s="160"/>
      <c r="H647" s="144"/>
      <c r="I647" s="144"/>
      <c r="J647" s="145"/>
      <c r="K647" s="669">
        <v>1</v>
      </c>
      <c r="L647" s="220"/>
      <c r="M647" s="718" t="s">
        <v>904</v>
      </c>
      <c r="N647" s="523">
        <v>-8158.75</v>
      </c>
      <c r="O647" s="150">
        <f t="shared" si="9"/>
        <v>1</v>
      </c>
      <c r="P647" s="151"/>
      <c r="Q647" s="151"/>
    </row>
    <row r="648" spans="1:17" ht="20.100000000000001" hidden="1" customHeight="1">
      <c r="A648" s="141">
        <v>642</v>
      </c>
      <c r="B648" s="142" t="s">
        <v>1385</v>
      </c>
      <c r="C648" s="143" t="s">
        <v>1024</v>
      </c>
      <c r="D648" s="2795"/>
      <c r="E648" s="144"/>
      <c r="F648" s="144"/>
      <c r="G648" s="144"/>
      <c r="H648" s="144"/>
      <c r="I648" s="144"/>
      <c r="J648" s="145"/>
      <c r="K648" s="719"/>
      <c r="L648" s="513"/>
      <c r="M648" s="720" t="s">
        <v>1028</v>
      </c>
      <c r="N648" s="721"/>
      <c r="O648" s="150">
        <f t="shared" si="9"/>
        <v>0</v>
      </c>
      <c r="P648" s="151"/>
      <c r="Q648" s="151"/>
    </row>
    <row r="649" spans="1:17" ht="20.100000000000001" customHeight="1">
      <c r="A649" s="141">
        <v>643</v>
      </c>
      <c r="B649" s="142" t="s">
        <v>1385</v>
      </c>
      <c r="C649" s="143" t="s">
        <v>1024</v>
      </c>
      <c r="D649" s="2794"/>
      <c r="E649" s="144"/>
      <c r="F649" s="144"/>
      <c r="G649" s="144"/>
      <c r="H649" s="144"/>
      <c r="I649" s="144"/>
      <c r="J649" s="145"/>
      <c r="K649" s="669">
        <v>1</v>
      </c>
      <c r="L649" s="220"/>
      <c r="M649" s="718" t="s">
        <v>1389</v>
      </c>
      <c r="N649" s="523">
        <v>2368.44</v>
      </c>
      <c r="O649" s="150">
        <f t="shared" ref="O649:O724" si="10">E649+F649+G649+H649+I649+J649+K649</f>
        <v>1</v>
      </c>
      <c r="P649" s="151"/>
      <c r="Q649" s="151"/>
    </row>
    <row r="650" spans="1:17" ht="20.100000000000001" customHeight="1">
      <c r="A650" s="141">
        <v>644</v>
      </c>
      <c r="B650" s="142" t="s">
        <v>1385</v>
      </c>
      <c r="C650" s="143" t="s">
        <v>1024</v>
      </c>
      <c r="D650" s="182" t="s">
        <v>1105</v>
      </c>
      <c r="E650" s="144"/>
      <c r="F650" s="144"/>
      <c r="G650" s="144"/>
      <c r="H650" s="144"/>
      <c r="I650" s="144"/>
      <c r="J650" s="145"/>
      <c r="K650" s="669">
        <v>8</v>
      </c>
      <c r="L650" s="220" t="s">
        <v>1390</v>
      </c>
      <c r="M650" s="722" t="s">
        <v>1061</v>
      </c>
      <c r="N650" s="222">
        <v>3428776.56</v>
      </c>
      <c r="O650" s="150">
        <f t="shared" si="10"/>
        <v>8</v>
      </c>
      <c r="P650" s="151"/>
      <c r="Q650" s="151"/>
    </row>
    <row r="651" spans="1:17" ht="20.100000000000001" hidden="1" customHeight="1">
      <c r="A651" s="141">
        <v>645</v>
      </c>
      <c r="B651" s="142" t="s">
        <v>1385</v>
      </c>
      <c r="C651" s="143" t="s">
        <v>1024</v>
      </c>
      <c r="D651" s="182" t="s">
        <v>33</v>
      </c>
      <c r="E651" s="144"/>
      <c r="F651" s="144"/>
      <c r="G651" s="144"/>
      <c r="H651" s="144"/>
      <c r="I651" s="144">
        <v>3398</v>
      </c>
      <c r="J651" s="145"/>
      <c r="K651" s="682"/>
      <c r="L651" s="220" t="s">
        <v>1391</v>
      </c>
      <c r="M651" s="666" t="s">
        <v>35</v>
      </c>
      <c r="N651" s="723">
        <v>2007266.1</v>
      </c>
      <c r="O651" s="150">
        <f t="shared" si="10"/>
        <v>3398</v>
      </c>
      <c r="P651" s="151"/>
      <c r="Q651" s="151"/>
    </row>
    <row r="652" spans="1:17" ht="20.100000000000001" hidden="1" customHeight="1">
      <c r="A652" s="141">
        <v>646</v>
      </c>
      <c r="B652" s="142" t="s">
        <v>1385</v>
      </c>
      <c r="C652" s="143" t="s">
        <v>1024</v>
      </c>
      <c r="D652" s="2793" t="s">
        <v>36</v>
      </c>
      <c r="E652" s="144"/>
      <c r="F652" s="144">
        <v>678</v>
      </c>
      <c r="G652" s="144"/>
      <c r="H652" s="144"/>
      <c r="I652" s="144"/>
      <c r="J652" s="145"/>
      <c r="K652" s="704"/>
      <c r="L652" s="393"/>
      <c r="M652" s="670" t="s">
        <v>1392</v>
      </c>
      <c r="N652" s="250">
        <v>0</v>
      </c>
      <c r="O652" s="150">
        <f t="shared" si="10"/>
        <v>678</v>
      </c>
      <c r="P652" s="151"/>
      <c r="Q652" s="151"/>
    </row>
    <row r="653" spans="1:17" ht="20.100000000000001" hidden="1" customHeight="1">
      <c r="A653" s="141">
        <v>647</v>
      </c>
      <c r="B653" s="142" t="s">
        <v>1385</v>
      </c>
      <c r="C653" s="143" t="s">
        <v>1024</v>
      </c>
      <c r="D653" s="2792"/>
      <c r="E653" s="144">
        <v>193</v>
      </c>
      <c r="F653" s="144"/>
      <c r="G653" s="144"/>
      <c r="H653" s="144"/>
      <c r="I653" s="144"/>
      <c r="J653" s="145"/>
      <c r="K653" s="704"/>
      <c r="L653" s="393"/>
      <c r="M653" s="666" t="s">
        <v>1393</v>
      </c>
      <c r="N653" s="250">
        <v>0</v>
      </c>
      <c r="O653" s="150">
        <f t="shared" si="10"/>
        <v>193</v>
      </c>
      <c r="P653" s="151"/>
      <c r="Q653" s="151"/>
    </row>
    <row r="654" spans="1:17" ht="20.100000000000001" customHeight="1">
      <c r="A654" s="141">
        <v>648</v>
      </c>
      <c r="B654" s="142" t="s">
        <v>1394</v>
      </c>
      <c r="C654" s="143" t="s">
        <v>1024</v>
      </c>
      <c r="D654" s="182" t="s">
        <v>1232</v>
      </c>
      <c r="E654" s="144"/>
      <c r="F654" s="144"/>
      <c r="G654" s="144"/>
      <c r="H654" s="144"/>
      <c r="I654" s="144"/>
      <c r="J654" s="145"/>
      <c r="K654" s="724">
        <v>1</v>
      </c>
      <c r="L654" s="725" t="s">
        <v>100</v>
      </c>
      <c r="M654" s="726" t="s">
        <v>1395</v>
      </c>
      <c r="N654" s="277">
        <v>59356.480000000003</v>
      </c>
      <c r="O654" s="150">
        <f t="shared" si="10"/>
        <v>1</v>
      </c>
      <c r="P654" s="151"/>
      <c r="Q654" s="151"/>
    </row>
    <row r="655" spans="1:17" ht="20.100000000000001" hidden="1" customHeight="1">
      <c r="A655" s="141">
        <v>649</v>
      </c>
      <c r="B655" s="142" t="s">
        <v>1394</v>
      </c>
      <c r="C655" s="143" t="s">
        <v>1024</v>
      </c>
      <c r="D655" s="182"/>
      <c r="E655" s="144"/>
      <c r="F655" s="144"/>
      <c r="G655" s="144"/>
      <c r="H655" s="160"/>
      <c r="I655" s="144"/>
      <c r="J655" s="145"/>
      <c r="K655" s="727"/>
      <c r="L655" s="728"/>
      <c r="M655" s="710" t="s">
        <v>1026</v>
      </c>
      <c r="N655" s="280"/>
      <c r="O655" s="150">
        <f t="shared" si="10"/>
        <v>0</v>
      </c>
      <c r="P655" s="151"/>
      <c r="Q655" s="151"/>
    </row>
    <row r="656" spans="1:17" ht="20.100000000000001" hidden="1" customHeight="1">
      <c r="A656" s="141">
        <v>650</v>
      </c>
      <c r="B656" s="142" t="s">
        <v>1394</v>
      </c>
      <c r="C656" s="143" t="s">
        <v>1024</v>
      </c>
      <c r="D656" s="2793" t="s">
        <v>29</v>
      </c>
      <c r="E656" s="144"/>
      <c r="F656" s="144"/>
      <c r="G656" s="160">
        <v>1</v>
      </c>
      <c r="H656" s="144"/>
      <c r="I656" s="160"/>
      <c r="J656" s="145"/>
      <c r="K656" s="724"/>
      <c r="L656" s="725" t="s">
        <v>366</v>
      </c>
      <c r="M656" s="729" t="s">
        <v>119</v>
      </c>
      <c r="N656" s="730">
        <v>-4134027.23</v>
      </c>
      <c r="O656" s="150">
        <f t="shared" si="10"/>
        <v>1</v>
      </c>
      <c r="P656" s="151"/>
      <c r="Q656" s="151"/>
    </row>
    <row r="657" spans="1:17" ht="20.100000000000001" hidden="1" customHeight="1">
      <c r="A657" s="141">
        <v>651</v>
      </c>
      <c r="B657" s="142" t="s">
        <v>1394</v>
      </c>
      <c r="C657" s="143" t="s">
        <v>1024</v>
      </c>
      <c r="D657" s="2795"/>
      <c r="E657" s="144"/>
      <c r="F657" s="160"/>
      <c r="G657" s="160">
        <v>1</v>
      </c>
      <c r="H657" s="144"/>
      <c r="I657" s="144"/>
      <c r="J657" s="145"/>
      <c r="K657" s="724"/>
      <c r="L657" s="725" t="s">
        <v>366</v>
      </c>
      <c r="M657" s="729" t="s">
        <v>49</v>
      </c>
      <c r="N657" s="277">
        <v>-618127187.60000002</v>
      </c>
      <c r="O657" s="150">
        <f t="shared" si="10"/>
        <v>1</v>
      </c>
      <c r="P657" s="151"/>
      <c r="Q657" s="151"/>
    </row>
    <row r="658" spans="1:17" ht="20.100000000000001" hidden="1" customHeight="1">
      <c r="A658" s="141">
        <v>652</v>
      </c>
      <c r="B658" s="142" t="s">
        <v>1394</v>
      </c>
      <c r="C658" s="143" t="s">
        <v>1024</v>
      </c>
      <c r="D658" s="2795"/>
      <c r="E658" s="160"/>
      <c r="F658" s="144"/>
      <c r="G658" s="160">
        <v>1</v>
      </c>
      <c r="H658" s="144"/>
      <c r="I658" s="144"/>
      <c r="J658" s="145"/>
      <c r="K658" s="724"/>
      <c r="L658" s="725"/>
      <c r="M658" s="729" t="s">
        <v>32</v>
      </c>
      <c r="N658" s="278">
        <v>3315901</v>
      </c>
      <c r="O658" s="150">
        <f t="shared" si="10"/>
        <v>1</v>
      </c>
      <c r="P658" s="151"/>
      <c r="Q658" s="151"/>
    </row>
    <row r="659" spans="1:17" ht="20.100000000000001" hidden="1" customHeight="1">
      <c r="A659" s="141">
        <v>653</v>
      </c>
      <c r="B659" s="142" t="s">
        <v>1394</v>
      </c>
      <c r="C659" s="143" t="s">
        <v>1024</v>
      </c>
      <c r="D659" s="2795"/>
      <c r="E659" s="144"/>
      <c r="F659" s="144"/>
      <c r="G659" s="160">
        <v>1</v>
      </c>
      <c r="H659" s="144"/>
      <c r="I659" s="144"/>
      <c r="J659" s="145"/>
      <c r="K659" s="731"/>
      <c r="L659" s="732"/>
      <c r="M659" s="733" t="s">
        <v>207</v>
      </c>
      <c r="N659" s="277">
        <f>-1756355.02</f>
        <v>-1756355.02</v>
      </c>
      <c r="O659" s="150">
        <f t="shared" si="10"/>
        <v>1</v>
      </c>
      <c r="P659" s="151"/>
      <c r="Q659" s="151"/>
    </row>
    <row r="660" spans="1:17" ht="20.100000000000001" hidden="1" customHeight="1">
      <c r="A660" s="141">
        <v>654</v>
      </c>
      <c r="B660" s="142" t="s">
        <v>1394</v>
      </c>
      <c r="C660" s="143" t="s">
        <v>1024</v>
      </c>
      <c r="D660" s="2795"/>
      <c r="E660" s="144"/>
      <c r="F660" s="144"/>
      <c r="G660" s="144"/>
      <c r="H660" s="144"/>
      <c r="I660" s="144"/>
      <c r="J660" s="145"/>
      <c r="K660" s="734"/>
      <c r="L660" s="524"/>
      <c r="M660" s="735" t="s">
        <v>1028</v>
      </c>
      <c r="N660" s="526"/>
      <c r="O660" s="150">
        <f t="shared" si="10"/>
        <v>0</v>
      </c>
      <c r="P660" s="151"/>
      <c r="Q660" s="151"/>
    </row>
    <row r="661" spans="1:17" ht="20.100000000000001" hidden="1" customHeight="1">
      <c r="A661" s="141">
        <v>655</v>
      </c>
      <c r="B661" s="142" t="s">
        <v>1394</v>
      </c>
      <c r="C661" s="143" t="s">
        <v>1024</v>
      </c>
      <c r="D661" s="2795"/>
      <c r="E661" s="144"/>
      <c r="F661" s="144"/>
      <c r="G661" s="160">
        <v>1</v>
      </c>
      <c r="H661" s="144"/>
      <c r="I661" s="144"/>
      <c r="J661" s="145"/>
      <c r="K661" s="736"/>
      <c r="L661" s="737"/>
      <c r="M661" s="738" t="s">
        <v>1069</v>
      </c>
      <c r="N661" s="739">
        <v>15</v>
      </c>
      <c r="O661" s="150">
        <f t="shared" si="10"/>
        <v>1</v>
      </c>
      <c r="P661" s="151"/>
      <c r="Q661" s="151"/>
    </row>
    <row r="662" spans="1:17" ht="20.100000000000001" hidden="1" customHeight="1">
      <c r="A662" s="141">
        <v>656</v>
      </c>
      <c r="B662" s="142" t="s">
        <v>1394</v>
      </c>
      <c r="C662" s="143" t="s">
        <v>1024</v>
      </c>
      <c r="D662" s="2795"/>
      <c r="E662" s="144"/>
      <c r="F662" s="144"/>
      <c r="G662" s="160">
        <v>1</v>
      </c>
      <c r="H662" s="144"/>
      <c r="I662" s="144"/>
      <c r="J662" s="145"/>
      <c r="K662" s="740"/>
      <c r="L662" s="531"/>
      <c r="M662" s="741" t="s">
        <v>151</v>
      </c>
      <c r="N662" s="233">
        <v>15</v>
      </c>
      <c r="O662" s="150">
        <f t="shared" si="10"/>
        <v>1</v>
      </c>
      <c r="P662" s="151"/>
      <c r="Q662" s="151"/>
    </row>
    <row r="663" spans="1:17" ht="20.100000000000001" customHeight="1">
      <c r="A663" s="141">
        <v>657</v>
      </c>
      <c r="B663" s="142" t="s">
        <v>1394</v>
      </c>
      <c r="C663" s="143" t="s">
        <v>1024</v>
      </c>
      <c r="D663" s="2795"/>
      <c r="E663" s="144"/>
      <c r="F663" s="144"/>
      <c r="G663" s="160"/>
      <c r="H663" s="144"/>
      <c r="I663" s="144"/>
      <c r="J663" s="145"/>
      <c r="K663" s="731">
        <v>1</v>
      </c>
      <c r="L663" s="732" t="s">
        <v>366</v>
      </c>
      <c r="M663" s="742" t="s">
        <v>1396</v>
      </c>
      <c r="N663" s="392">
        <v>50</v>
      </c>
      <c r="O663" s="150">
        <f t="shared" si="10"/>
        <v>1</v>
      </c>
      <c r="P663" s="151"/>
      <c r="Q663" s="151"/>
    </row>
    <row r="664" spans="1:17" ht="20.100000000000001" hidden="1" customHeight="1">
      <c r="A664" s="141">
        <v>658</v>
      </c>
      <c r="B664" s="142" t="s">
        <v>1394</v>
      </c>
      <c r="C664" s="143" t="s">
        <v>1024</v>
      </c>
      <c r="D664" s="2795"/>
      <c r="E664" s="144"/>
      <c r="F664" s="144"/>
      <c r="G664" s="160"/>
      <c r="H664" s="144"/>
      <c r="I664" s="144"/>
      <c r="J664" s="145"/>
      <c r="K664" s="734"/>
      <c r="L664" s="524"/>
      <c r="M664" s="717" t="s">
        <v>1029</v>
      </c>
      <c r="N664" s="743"/>
      <c r="O664" s="150">
        <f t="shared" si="10"/>
        <v>0</v>
      </c>
      <c r="P664" s="151"/>
      <c r="Q664" s="151"/>
    </row>
    <row r="665" spans="1:17" ht="20.100000000000001" customHeight="1">
      <c r="A665" s="141">
        <v>659</v>
      </c>
      <c r="B665" s="142" t="s">
        <v>1394</v>
      </c>
      <c r="C665" s="143" t="s">
        <v>1024</v>
      </c>
      <c r="D665" s="2795"/>
      <c r="E665" s="144"/>
      <c r="F665" s="144"/>
      <c r="G665" s="144"/>
      <c r="H665" s="144"/>
      <c r="I665" s="144"/>
      <c r="J665" s="145"/>
      <c r="K665" s="740">
        <v>1</v>
      </c>
      <c r="L665" s="531" t="s">
        <v>366</v>
      </c>
      <c r="M665" s="744" t="s">
        <v>1397</v>
      </c>
      <c r="N665" s="277">
        <v>-142079.5</v>
      </c>
      <c r="O665" s="150">
        <f t="shared" si="10"/>
        <v>1</v>
      </c>
      <c r="P665" s="151"/>
      <c r="Q665" s="151"/>
    </row>
    <row r="666" spans="1:17" ht="20.100000000000001" customHeight="1">
      <c r="A666" s="141">
        <v>660</v>
      </c>
      <c r="B666" s="142" t="s">
        <v>1394</v>
      </c>
      <c r="C666" s="143" t="s">
        <v>1024</v>
      </c>
      <c r="D666" s="2795"/>
      <c r="E666" s="144"/>
      <c r="F666" s="144"/>
      <c r="G666" s="144"/>
      <c r="H666" s="144"/>
      <c r="I666" s="144"/>
      <c r="J666" s="145"/>
      <c r="K666" s="745">
        <v>1</v>
      </c>
      <c r="L666" s="531" t="s">
        <v>85</v>
      </c>
      <c r="M666" s="726" t="s">
        <v>1398</v>
      </c>
      <c r="N666" s="278">
        <v>-1150</v>
      </c>
      <c r="O666" s="150">
        <f t="shared" si="10"/>
        <v>1</v>
      </c>
      <c r="P666" s="151"/>
      <c r="Q666" s="151"/>
    </row>
    <row r="667" spans="1:17" ht="20.100000000000001" customHeight="1">
      <c r="A667" s="141">
        <v>661</v>
      </c>
      <c r="B667" s="142" t="s">
        <v>1394</v>
      </c>
      <c r="C667" s="143" t="s">
        <v>1024</v>
      </c>
      <c r="D667" s="2795"/>
      <c r="E667" s="144"/>
      <c r="F667" s="144"/>
      <c r="G667" s="160"/>
      <c r="H667" s="144"/>
      <c r="I667" s="144"/>
      <c r="J667" s="145"/>
      <c r="K667" s="731">
        <v>1</v>
      </c>
      <c r="L667" s="732" t="s">
        <v>366</v>
      </c>
      <c r="M667" s="746" t="s">
        <v>1399</v>
      </c>
      <c r="N667" s="277">
        <v>-850</v>
      </c>
      <c r="O667" s="150">
        <f t="shared" si="10"/>
        <v>1</v>
      </c>
      <c r="P667" s="151">
        <v>1</v>
      </c>
      <c r="Q667" s="151"/>
    </row>
    <row r="668" spans="1:17" ht="20.100000000000001" hidden="1" customHeight="1">
      <c r="A668" s="141">
        <v>662</v>
      </c>
      <c r="B668" s="142" t="s">
        <v>1394</v>
      </c>
      <c r="C668" s="143" t="s">
        <v>1024</v>
      </c>
      <c r="D668" s="2794"/>
      <c r="E668" s="144"/>
      <c r="F668" s="144"/>
      <c r="G668" s="144"/>
      <c r="H668" s="144"/>
      <c r="I668" s="144"/>
      <c r="J668" s="145"/>
      <c r="K668" s="740"/>
      <c r="L668" s="531"/>
      <c r="M668" s="747" t="s">
        <v>1400</v>
      </c>
      <c r="N668" s="277">
        <v>0</v>
      </c>
      <c r="O668" s="150">
        <f t="shared" si="10"/>
        <v>0</v>
      </c>
      <c r="P668" s="151"/>
      <c r="Q668" s="151"/>
    </row>
    <row r="669" spans="1:17" ht="20.100000000000001" customHeight="1">
      <c r="A669" s="141">
        <v>663</v>
      </c>
      <c r="B669" s="142" t="s">
        <v>1394</v>
      </c>
      <c r="C669" s="143" t="s">
        <v>1024</v>
      </c>
      <c r="D669" s="182" t="s">
        <v>1105</v>
      </c>
      <c r="E669" s="144"/>
      <c r="F669" s="144"/>
      <c r="G669" s="144"/>
      <c r="H669" s="144"/>
      <c r="I669" s="144"/>
      <c r="J669" s="145"/>
      <c r="K669" s="736">
        <v>1</v>
      </c>
      <c r="L669" s="737"/>
      <c r="M669" s="748" t="s">
        <v>1061</v>
      </c>
      <c r="N669" s="278">
        <v>5768.43</v>
      </c>
      <c r="O669" s="150">
        <f t="shared" si="10"/>
        <v>1</v>
      </c>
      <c r="P669" s="151"/>
      <c r="Q669" s="151"/>
    </row>
    <row r="670" spans="1:17" ht="20.100000000000001" hidden="1" customHeight="1">
      <c r="A670" s="141">
        <v>664</v>
      </c>
      <c r="B670" s="142" t="s">
        <v>1394</v>
      </c>
      <c r="C670" s="143" t="s">
        <v>1024</v>
      </c>
      <c r="D670" s="2793" t="s">
        <v>33</v>
      </c>
      <c r="E670" s="144"/>
      <c r="F670" s="144"/>
      <c r="G670" s="144"/>
      <c r="H670" s="144">
        <v>24</v>
      </c>
      <c r="I670" s="144"/>
      <c r="J670" s="145"/>
      <c r="K670" s="736"/>
      <c r="L670" s="737"/>
      <c r="M670" s="749" t="s">
        <v>34</v>
      </c>
      <c r="N670" s="750">
        <v>0</v>
      </c>
      <c r="O670" s="150">
        <f t="shared" si="10"/>
        <v>24</v>
      </c>
      <c r="P670" s="151"/>
      <c r="Q670" s="151"/>
    </row>
    <row r="671" spans="1:17" ht="20.100000000000001" hidden="1" customHeight="1">
      <c r="A671" s="141">
        <v>665</v>
      </c>
      <c r="B671" s="142" t="s">
        <v>1394</v>
      </c>
      <c r="C671" s="143" t="s">
        <v>1024</v>
      </c>
      <c r="D671" s="2794"/>
      <c r="E671" s="144"/>
      <c r="F671" s="144"/>
      <c r="G671" s="144"/>
      <c r="H671" s="144"/>
      <c r="I671" s="144">
        <v>2721</v>
      </c>
      <c r="J671" s="145"/>
      <c r="K671" s="751"/>
      <c r="L671" s="752"/>
      <c r="M671" s="753" t="s">
        <v>1401</v>
      </c>
      <c r="N671" s="277">
        <v>13676864.800000001</v>
      </c>
      <c r="O671" s="150">
        <f t="shared" si="10"/>
        <v>2721</v>
      </c>
      <c r="P671" s="151"/>
      <c r="Q671" s="151"/>
    </row>
    <row r="672" spans="1:17" ht="20.100000000000001" hidden="1" customHeight="1">
      <c r="A672" s="141">
        <v>666</v>
      </c>
      <c r="B672" s="142" t="s">
        <v>1394</v>
      </c>
      <c r="C672" s="143" t="s">
        <v>1024</v>
      </c>
      <c r="D672" s="2793" t="s">
        <v>36</v>
      </c>
      <c r="E672" s="144"/>
      <c r="F672" s="144">
        <v>217</v>
      </c>
      <c r="G672" s="144"/>
      <c r="H672" s="144"/>
      <c r="I672" s="144"/>
      <c r="J672" s="145"/>
      <c r="K672" s="754"/>
      <c r="L672" s="725" t="s">
        <v>100</v>
      </c>
      <c r="M672" s="741" t="s">
        <v>1402</v>
      </c>
      <c r="N672" s="755">
        <v>0</v>
      </c>
      <c r="O672" s="150">
        <f t="shared" si="10"/>
        <v>217</v>
      </c>
      <c r="P672" s="151"/>
      <c r="Q672" s="151"/>
    </row>
    <row r="673" spans="1:17" ht="20.100000000000001" hidden="1" customHeight="1">
      <c r="A673" s="141">
        <v>667</v>
      </c>
      <c r="B673" s="142" t="s">
        <v>1394</v>
      </c>
      <c r="C673" s="143" t="s">
        <v>1024</v>
      </c>
      <c r="D673" s="2792"/>
      <c r="E673" s="144">
        <v>194</v>
      </c>
      <c r="F673" s="144"/>
      <c r="G673" s="144"/>
      <c r="H673" s="160"/>
      <c r="I673" s="144"/>
      <c r="J673" s="145"/>
      <c r="K673" s="754"/>
      <c r="L673" s="725" t="s">
        <v>100</v>
      </c>
      <c r="M673" s="741" t="s">
        <v>1403</v>
      </c>
      <c r="N673" s="277">
        <v>0</v>
      </c>
      <c r="O673" s="150">
        <f t="shared" si="10"/>
        <v>194</v>
      </c>
      <c r="P673" s="151"/>
      <c r="Q673" s="151"/>
    </row>
    <row r="674" spans="1:17" ht="20.100000000000001" customHeight="1">
      <c r="A674" s="141">
        <v>668</v>
      </c>
      <c r="B674" s="142" t="s">
        <v>1404</v>
      </c>
      <c r="C674" s="143" t="s">
        <v>1024</v>
      </c>
      <c r="D674" s="182" t="s">
        <v>1047</v>
      </c>
      <c r="E674" s="144"/>
      <c r="F674" s="144"/>
      <c r="G674" s="144"/>
      <c r="H674" s="144"/>
      <c r="I674" s="160"/>
      <c r="J674" s="145"/>
      <c r="K674" s="756">
        <v>2</v>
      </c>
      <c r="L674" s="393"/>
      <c r="M674" s="667" t="s">
        <v>1405</v>
      </c>
      <c r="N674" s="318">
        <v>54237.88</v>
      </c>
      <c r="O674" s="150">
        <f t="shared" si="10"/>
        <v>2</v>
      </c>
      <c r="P674" s="151"/>
      <c r="Q674" s="151"/>
    </row>
    <row r="675" spans="1:17" ht="20.100000000000001" hidden="1" customHeight="1">
      <c r="A675" s="141">
        <v>669</v>
      </c>
      <c r="B675" s="142" t="s">
        <v>1404</v>
      </c>
      <c r="C675" s="143" t="s">
        <v>1024</v>
      </c>
      <c r="D675" s="182"/>
      <c r="E675" s="144"/>
      <c r="F675" s="160"/>
      <c r="G675" s="144"/>
      <c r="H675" s="144"/>
      <c r="I675" s="144"/>
      <c r="J675" s="145"/>
      <c r="K675" s="709"/>
      <c r="L675" s="535"/>
      <c r="M675" s="710" t="s">
        <v>1026</v>
      </c>
      <c r="N675" s="253"/>
      <c r="O675" s="150">
        <f t="shared" si="10"/>
        <v>0</v>
      </c>
      <c r="P675" s="151"/>
      <c r="Q675" s="151"/>
    </row>
    <row r="676" spans="1:17" ht="20.100000000000001" hidden="1" customHeight="1">
      <c r="A676" s="141">
        <v>670</v>
      </c>
      <c r="B676" s="142" t="s">
        <v>1404</v>
      </c>
      <c r="C676" s="143" t="s">
        <v>1024</v>
      </c>
      <c r="D676" s="2793" t="s">
        <v>29</v>
      </c>
      <c r="E676" s="160"/>
      <c r="F676" s="144"/>
      <c r="G676" s="160">
        <v>1</v>
      </c>
      <c r="H676" s="144"/>
      <c r="I676" s="144"/>
      <c r="J676" s="145"/>
      <c r="K676" s="658"/>
      <c r="L676" s="393"/>
      <c r="M676" s="666" t="s">
        <v>119</v>
      </c>
      <c r="N676" s="250">
        <v>-2021153.76</v>
      </c>
      <c r="O676" s="150">
        <f t="shared" si="10"/>
        <v>1</v>
      </c>
      <c r="P676" s="151"/>
      <c r="Q676" s="151"/>
    </row>
    <row r="677" spans="1:17" ht="20.100000000000001" hidden="1" customHeight="1">
      <c r="A677" s="141">
        <v>671</v>
      </c>
      <c r="B677" s="142" t="s">
        <v>1404</v>
      </c>
      <c r="C677" s="143" t="s">
        <v>1024</v>
      </c>
      <c r="D677" s="2795"/>
      <c r="E677" s="144"/>
      <c r="F677" s="144"/>
      <c r="G677" s="160">
        <v>1</v>
      </c>
      <c r="H677" s="144"/>
      <c r="I677" s="144"/>
      <c r="J677" s="145"/>
      <c r="K677" s="658"/>
      <c r="L677" s="393"/>
      <c r="M677" s="666" t="s">
        <v>49</v>
      </c>
      <c r="N677" s="250" t="s">
        <v>1406</v>
      </c>
      <c r="O677" s="150">
        <f t="shared" si="10"/>
        <v>1</v>
      </c>
      <c r="P677" s="151"/>
      <c r="Q677" s="151"/>
    </row>
    <row r="678" spans="1:17" ht="20.100000000000001" hidden="1" customHeight="1">
      <c r="A678" s="141">
        <v>672</v>
      </c>
      <c r="B678" s="142" t="s">
        <v>1404</v>
      </c>
      <c r="C678" s="143" t="s">
        <v>1024</v>
      </c>
      <c r="D678" s="2795"/>
      <c r="E678" s="144"/>
      <c r="F678" s="144"/>
      <c r="G678" s="160">
        <v>1</v>
      </c>
      <c r="H678" s="144"/>
      <c r="I678" s="144"/>
      <c r="J678" s="145"/>
      <c r="K678" s="658"/>
      <c r="L678" s="393"/>
      <c r="M678" s="666" t="s">
        <v>32</v>
      </c>
      <c r="N678" s="255">
        <v>0.12</v>
      </c>
      <c r="O678" s="150">
        <f t="shared" si="10"/>
        <v>1</v>
      </c>
      <c r="P678" s="151"/>
      <c r="Q678" s="151"/>
    </row>
    <row r="679" spans="1:17" ht="20.100000000000001" hidden="1" customHeight="1">
      <c r="A679" s="141">
        <v>673</v>
      </c>
      <c r="B679" s="142" t="s">
        <v>1404</v>
      </c>
      <c r="C679" s="143" t="s">
        <v>1024</v>
      </c>
      <c r="D679" s="2795"/>
      <c r="E679" s="144"/>
      <c r="F679" s="144"/>
      <c r="G679" s="160">
        <v>1</v>
      </c>
      <c r="H679" s="144"/>
      <c r="I679" s="144"/>
      <c r="J679" s="145"/>
      <c r="K679" s="694"/>
      <c r="L679" s="416"/>
      <c r="M679" s="666" t="s">
        <v>1027</v>
      </c>
      <c r="N679" s="267">
        <v>169855.75</v>
      </c>
      <c r="O679" s="150">
        <f t="shared" si="10"/>
        <v>1</v>
      </c>
      <c r="P679" s="151"/>
      <c r="Q679" s="151"/>
    </row>
    <row r="680" spans="1:17" ht="20.100000000000001" customHeight="1">
      <c r="A680" s="141">
        <v>674</v>
      </c>
      <c r="B680" s="142" t="s">
        <v>1404</v>
      </c>
      <c r="C680" s="143" t="s">
        <v>1024</v>
      </c>
      <c r="D680" s="2795"/>
      <c r="E680" s="144"/>
      <c r="F680" s="144"/>
      <c r="G680" s="160"/>
      <c r="H680" s="144"/>
      <c r="I680" s="144"/>
      <c r="J680" s="145"/>
      <c r="K680" s="757">
        <v>1</v>
      </c>
      <c r="L680" s="758" t="s">
        <v>1407</v>
      </c>
      <c r="M680" s="759" t="s">
        <v>1408</v>
      </c>
      <c r="N680" s="760">
        <v>2432372.23</v>
      </c>
      <c r="O680" s="150">
        <f t="shared" si="10"/>
        <v>1</v>
      </c>
      <c r="P680" s="151"/>
      <c r="Q680" s="151"/>
    </row>
    <row r="681" spans="1:17" ht="20.100000000000001" hidden="1" customHeight="1">
      <c r="A681" s="141">
        <v>675</v>
      </c>
      <c r="B681" s="142" t="s">
        <v>1404</v>
      </c>
      <c r="C681" s="143" t="s">
        <v>1024</v>
      </c>
      <c r="D681" s="2795"/>
      <c r="E681" s="144"/>
      <c r="F681" s="144"/>
      <c r="G681" s="160"/>
      <c r="H681" s="144"/>
      <c r="I681" s="144"/>
      <c r="J681" s="145"/>
      <c r="K681" s="674"/>
      <c r="L681" s="513"/>
      <c r="M681" s="710" t="s">
        <v>1028</v>
      </c>
      <c r="N681" s="236"/>
      <c r="O681" s="150">
        <f t="shared" si="10"/>
        <v>0</v>
      </c>
      <c r="P681" s="151"/>
      <c r="Q681" s="151"/>
    </row>
    <row r="682" spans="1:17" ht="20.100000000000001" hidden="1" customHeight="1">
      <c r="A682" s="141">
        <v>676</v>
      </c>
      <c r="B682" s="142" t="s">
        <v>1404</v>
      </c>
      <c r="C682" s="143" t="s">
        <v>1024</v>
      </c>
      <c r="D682" s="2795"/>
      <c r="E682" s="144"/>
      <c r="F682" s="144"/>
      <c r="G682" s="160">
        <v>1</v>
      </c>
      <c r="H682" s="144"/>
      <c r="I682" s="144"/>
      <c r="J682" s="145"/>
      <c r="K682" s="694"/>
      <c r="L682" s="416"/>
      <c r="M682" s="666" t="s">
        <v>886</v>
      </c>
      <c r="N682" s="267">
        <v>5</v>
      </c>
      <c r="O682" s="150">
        <f t="shared" si="10"/>
        <v>1</v>
      </c>
      <c r="P682" s="151"/>
      <c r="Q682" s="151"/>
    </row>
    <row r="683" spans="1:17" ht="20.100000000000001" hidden="1" customHeight="1">
      <c r="A683" s="141">
        <v>677</v>
      </c>
      <c r="B683" s="142" t="s">
        <v>1404</v>
      </c>
      <c r="C683" s="143" t="s">
        <v>1024</v>
      </c>
      <c r="D683" s="2795"/>
      <c r="E683" s="144"/>
      <c r="F683" s="144"/>
      <c r="G683" s="160">
        <v>1</v>
      </c>
      <c r="H683" s="144"/>
      <c r="I683" s="144"/>
      <c r="J683" s="145"/>
      <c r="K683" s="761"/>
      <c r="L683" s="762"/>
      <c r="M683" s="763" t="s">
        <v>364</v>
      </c>
      <c r="N683" s="764">
        <v>2.5</v>
      </c>
      <c r="O683" s="150">
        <f t="shared" si="10"/>
        <v>1</v>
      </c>
      <c r="P683" s="151"/>
      <c r="Q683" s="151"/>
    </row>
    <row r="684" spans="1:17" ht="20.100000000000001" hidden="1" customHeight="1">
      <c r="A684" s="141">
        <v>678</v>
      </c>
      <c r="B684" s="142" t="s">
        <v>1404</v>
      </c>
      <c r="C684" s="143" t="s">
        <v>1024</v>
      </c>
      <c r="D684" s="2795"/>
      <c r="E684" s="144"/>
      <c r="F684" s="144"/>
      <c r="G684" s="160"/>
      <c r="H684" s="144"/>
      <c r="I684" s="144"/>
      <c r="J684" s="145"/>
      <c r="K684" s="716"/>
      <c r="L684" s="539"/>
      <c r="M684" s="735" t="s">
        <v>1141</v>
      </c>
      <c r="N684" s="765"/>
      <c r="O684" s="150">
        <f t="shared" si="10"/>
        <v>0</v>
      </c>
      <c r="P684" s="151"/>
      <c r="Q684" s="151"/>
    </row>
    <row r="685" spans="1:17" ht="20.100000000000001" customHeight="1">
      <c r="A685" s="141">
        <v>679</v>
      </c>
      <c r="B685" s="142" t="s">
        <v>1404</v>
      </c>
      <c r="C685" s="143" t="s">
        <v>1024</v>
      </c>
      <c r="D685" s="2795"/>
      <c r="E685" s="144"/>
      <c r="F685" s="144"/>
      <c r="G685" s="160"/>
      <c r="H685" s="144"/>
      <c r="I685" s="144"/>
      <c r="J685" s="145"/>
      <c r="K685" s="694">
        <v>1</v>
      </c>
      <c r="L685" s="544" t="s">
        <v>1409</v>
      </c>
      <c r="M685" s="766" t="s">
        <v>1410</v>
      </c>
      <c r="N685" s="767">
        <v>231186</v>
      </c>
      <c r="O685" s="150">
        <f t="shared" si="10"/>
        <v>1</v>
      </c>
      <c r="P685" s="151"/>
      <c r="Q685" s="151"/>
    </row>
    <row r="686" spans="1:17" ht="20.100000000000001" hidden="1" customHeight="1">
      <c r="A686" s="141">
        <v>680</v>
      </c>
      <c r="B686" s="142" t="s">
        <v>1404</v>
      </c>
      <c r="C686" s="143" t="s">
        <v>1024</v>
      </c>
      <c r="D686" s="2795"/>
      <c r="E686" s="144"/>
      <c r="F686" s="144"/>
      <c r="G686" s="144"/>
      <c r="H686" s="144"/>
      <c r="I686" s="144"/>
      <c r="J686" s="145"/>
      <c r="K686" s="734"/>
      <c r="L686" s="524"/>
      <c r="M686" s="768" t="s">
        <v>1029</v>
      </c>
      <c r="N686" s="769"/>
      <c r="O686" s="150">
        <f t="shared" si="10"/>
        <v>0</v>
      </c>
      <c r="P686" s="151"/>
      <c r="Q686" s="151"/>
    </row>
    <row r="687" spans="1:17" ht="20.100000000000001" customHeight="1">
      <c r="A687" s="141">
        <v>681</v>
      </c>
      <c r="B687" s="142" t="s">
        <v>1404</v>
      </c>
      <c r="C687" s="143" t="s">
        <v>1024</v>
      </c>
      <c r="D687" s="2795"/>
      <c r="E687" s="144"/>
      <c r="F687" s="144"/>
      <c r="G687" s="144"/>
      <c r="H687" s="144"/>
      <c r="I687" s="144"/>
      <c r="J687" s="145"/>
      <c r="K687" s="761">
        <v>1</v>
      </c>
      <c r="L687" s="762" t="s">
        <v>1411</v>
      </c>
      <c r="M687" s="763" t="s">
        <v>1412</v>
      </c>
      <c r="N687" s="764">
        <v>-130</v>
      </c>
      <c r="O687" s="150">
        <f t="shared" si="10"/>
        <v>1</v>
      </c>
      <c r="P687" s="151"/>
      <c r="Q687" s="151"/>
    </row>
    <row r="688" spans="1:17" ht="20.100000000000001" customHeight="1">
      <c r="A688" s="141">
        <v>682</v>
      </c>
      <c r="B688" s="142" t="s">
        <v>1404</v>
      </c>
      <c r="C688" s="143" t="s">
        <v>1024</v>
      </c>
      <c r="D688" s="2794"/>
      <c r="E688" s="144"/>
      <c r="F688" s="144"/>
      <c r="G688" s="144"/>
      <c r="H688" s="144"/>
      <c r="I688" s="144"/>
      <c r="J688" s="145"/>
      <c r="K688" s="770">
        <v>1</v>
      </c>
      <c r="L688" s="771">
        <v>45700</v>
      </c>
      <c r="M688" s="772" t="s">
        <v>1413</v>
      </c>
      <c r="N688" s="317">
        <v>-475</v>
      </c>
      <c r="O688" s="150">
        <f t="shared" si="10"/>
        <v>1</v>
      </c>
      <c r="P688" s="151"/>
      <c r="Q688" s="151"/>
    </row>
    <row r="689" spans="1:17" ht="20.100000000000001" hidden="1" customHeight="1">
      <c r="A689" s="141">
        <v>683</v>
      </c>
      <c r="B689" s="142" t="s">
        <v>1404</v>
      </c>
      <c r="C689" s="143" t="s">
        <v>1024</v>
      </c>
      <c r="D689" s="2793" t="s">
        <v>33</v>
      </c>
      <c r="E689" s="144"/>
      <c r="F689" s="144"/>
      <c r="G689" s="144"/>
      <c r="H689" s="144">
        <v>26</v>
      </c>
      <c r="I689" s="144"/>
      <c r="J689" s="145"/>
      <c r="K689" s="773"/>
      <c r="L689" s="774"/>
      <c r="M689" s="775" t="s">
        <v>34</v>
      </c>
      <c r="N689" s="767"/>
      <c r="O689" s="150">
        <f t="shared" si="10"/>
        <v>26</v>
      </c>
      <c r="P689" s="151"/>
      <c r="Q689" s="151"/>
    </row>
    <row r="690" spans="1:17" ht="20.100000000000001" hidden="1" customHeight="1">
      <c r="A690" s="141">
        <v>684</v>
      </c>
      <c r="B690" s="142" t="s">
        <v>1404</v>
      </c>
      <c r="C690" s="143" t="s">
        <v>1024</v>
      </c>
      <c r="D690" s="2794"/>
      <c r="E690" s="144"/>
      <c r="F690" s="144"/>
      <c r="G690" s="144"/>
      <c r="H690" s="160"/>
      <c r="I690" s="144">
        <v>1162</v>
      </c>
      <c r="J690" s="145"/>
      <c r="K690" s="658"/>
      <c r="L690" s="393"/>
      <c r="M690" s="666" t="s">
        <v>35</v>
      </c>
      <c r="N690" s="249">
        <v>722013.11</v>
      </c>
      <c r="O690" s="150">
        <f t="shared" si="10"/>
        <v>1162</v>
      </c>
      <c r="P690" s="151"/>
      <c r="Q690" s="151"/>
    </row>
    <row r="691" spans="1:17" ht="20.100000000000001" hidden="1" customHeight="1">
      <c r="A691" s="141">
        <v>685</v>
      </c>
      <c r="B691" s="142" t="s">
        <v>1404</v>
      </c>
      <c r="C691" s="143" t="s">
        <v>1024</v>
      </c>
      <c r="D691" s="2793" t="s">
        <v>36</v>
      </c>
      <c r="E691" s="144"/>
      <c r="F691" s="144">
        <v>139</v>
      </c>
      <c r="G691" s="144"/>
      <c r="H691" s="144"/>
      <c r="I691" s="160"/>
      <c r="J691" s="145"/>
      <c r="K691" s="658"/>
      <c r="L691" s="393"/>
      <c r="M691" s="666" t="s">
        <v>1414</v>
      </c>
      <c r="N691" s="250">
        <v>0</v>
      </c>
      <c r="O691" s="150">
        <f t="shared" si="10"/>
        <v>139</v>
      </c>
      <c r="P691" s="151"/>
      <c r="Q691" s="151"/>
    </row>
    <row r="692" spans="1:17" ht="20.100000000000001" hidden="1" customHeight="1">
      <c r="A692" s="141">
        <v>686</v>
      </c>
      <c r="B692" s="142" t="s">
        <v>1404</v>
      </c>
      <c r="C692" s="143" t="s">
        <v>1024</v>
      </c>
      <c r="D692" s="2792"/>
      <c r="E692" s="144">
        <v>9</v>
      </c>
      <c r="F692" s="160"/>
      <c r="G692" s="144"/>
      <c r="H692" s="144"/>
      <c r="I692" s="144"/>
      <c r="J692" s="145"/>
      <c r="K692" s="658"/>
      <c r="L692" s="393"/>
      <c r="M692" s="666" t="s">
        <v>1415</v>
      </c>
      <c r="N692" s="250">
        <v>0</v>
      </c>
      <c r="O692" s="150">
        <f t="shared" si="10"/>
        <v>9</v>
      </c>
      <c r="P692" s="151"/>
      <c r="Q692" s="151"/>
    </row>
    <row r="693" spans="1:17" ht="20.100000000000001" customHeight="1">
      <c r="A693" s="141">
        <v>687</v>
      </c>
      <c r="B693" s="142" t="s">
        <v>1416</v>
      </c>
      <c r="C693" s="143" t="s">
        <v>1024</v>
      </c>
      <c r="D693" s="182" t="s">
        <v>1232</v>
      </c>
      <c r="E693" s="160"/>
      <c r="F693" s="144"/>
      <c r="G693" s="144"/>
      <c r="H693" s="144"/>
      <c r="I693" s="144"/>
      <c r="J693" s="145"/>
      <c r="K693" s="776">
        <v>1</v>
      </c>
      <c r="L693" s="147"/>
      <c r="M693" s="777" t="s">
        <v>1417</v>
      </c>
      <c r="N693" s="181">
        <v>49647.75</v>
      </c>
      <c r="O693" s="150">
        <f t="shared" si="10"/>
        <v>1</v>
      </c>
      <c r="P693" s="151"/>
      <c r="Q693" s="151"/>
    </row>
    <row r="694" spans="1:17" ht="20.100000000000001" hidden="1" customHeight="1">
      <c r="A694" s="141">
        <v>688</v>
      </c>
      <c r="B694" s="142" t="s">
        <v>1416</v>
      </c>
      <c r="C694" s="143" t="s">
        <v>1024</v>
      </c>
      <c r="D694" s="182"/>
      <c r="E694" s="144"/>
      <c r="F694" s="144"/>
      <c r="G694" s="144"/>
      <c r="H694" s="144"/>
      <c r="I694" s="144"/>
      <c r="J694" s="145"/>
      <c r="K694" s="778">
        <v>0</v>
      </c>
      <c r="L694" s="157"/>
      <c r="M694" s="779" t="s">
        <v>1026</v>
      </c>
      <c r="N694" s="159">
        <v>0</v>
      </c>
      <c r="O694" s="150">
        <f t="shared" si="10"/>
        <v>0</v>
      </c>
      <c r="P694" s="151"/>
      <c r="Q694" s="151"/>
    </row>
    <row r="695" spans="1:17" ht="20.100000000000001" hidden="1" customHeight="1">
      <c r="A695" s="141">
        <v>689</v>
      </c>
      <c r="B695" s="142" t="s">
        <v>1416</v>
      </c>
      <c r="C695" s="143" t="s">
        <v>1024</v>
      </c>
      <c r="D695" s="2793" t="s">
        <v>29</v>
      </c>
      <c r="E695" s="144"/>
      <c r="F695" s="144"/>
      <c r="G695" s="160">
        <v>1</v>
      </c>
      <c r="H695" s="144"/>
      <c r="I695" s="144"/>
      <c r="J695" s="145"/>
      <c r="K695" s="780"/>
      <c r="L695" s="153"/>
      <c r="M695" s="781" t="s">
        <v>119</v>
      </c>
      <c r="N695" s="181">
        <v>-1901281.67</v>
      </c>
      <c r="O695" s="150">
        <f t="shared" si="10"/>
        <v>1</v>
      </c>
      <c r="P695" s="151"/>
      <c r="Q695" s="151"/>
    </row>
    <row r="696" spans="1:17" ht="20.100000000000001" hidden="1" customHeight="1">
      <c r="A696" s="141">
        <v>690</v>
      </c>
      <c r="B696" s="142" t="s">
        <v>1416</v>
      </c>
      <c r="C696" s="143" t="s">
        <v>1024</v>
      </c>
      <c r="D696" s="2795"/>
      <c r="E696" s="144"/>
      <c r="F696" s="144"/>
      <c r="G696" s="160">
        <v>1</v>
      </c>
      <c r="H696" s="144"/>
      <c r="I696" s="144"/>
      <c r="J696" s="145"/>
      <c r="K696" s="776"/>
      <c r="L696" s="153"/>
      <c r="M696" s="781" t="s">
        <v>49</v>
      </c>
      <c r="N696" s="181">
        <v>-37801672.210000001</v>
      </c>
      <c r="O696" s="150">
        <f t="shared" si="10"/>
        <v>1</v>
      </c>
      <c r="P696" s="151"/>
      <c r="Q696" s="151"/>
    </row>
    <row r="697" spans="1:17" ht="20.100000000000001" hidden="1" customHeight="1">
      <c r="A697" s="141">
        <v>691</v>
      </c>
      <c r="B697" s="142" t="s">
        <v>1416</v>
      </c>
      <c r="C697" s="143" t="s">
        <v>1024</v>
      </c>
      <c r="D697" s="2795"/>
      <c r="E697" s="144"/>
      <c r="F697" s="144"/>
      <c r="G697" s="160">
        <v>1</v>
      </c>
      <c r="H697" s="144"/>
      <c r="I697" s="144"/>
      <c r="J697" s="145"/>
      <c r="K697" s="780"/>
      <c r="L697" s="153"/>
      <c r="M697" s="782" t="s">
        <v>1027</v>
      </c>
      <c r="N697" s="624">
        <v>106154.18</v>
      </c>
      <c r="O697" s="150">
        <f t="shared" si="10"/>
        <v>1</v>
      </c>
      <c r="P697" s="151"/>
      <c r="Q697" s="151"/>
    </row>
    <row r="698" spans="1:17" ht="20.100000000000001" hidden="1" customHeight="1">
      <c r="A698" s="141">
        <v>692</v>
      </c>
      <c r="B698" s="142" t="s">
        <v>1416</v>
      </c>
      <c r="C698" s="143" t="s">
        <v>1024</v>
      </c>
      <c r="D698" s="2795"/>
      <c r="E698" s="144"/>
      <c r="F698" s="144"/>
      <c r="G698" s="144"/>
      <c r="H698" s="144"/>
      <c r="I698" s="144"/>
      <c r="J698" s="145"/>
      <c r="K698" s="778">
        <v>0</v>
      </c>
      <c r="L698" s="157"/>
      <c r="M698" s="779" t="s">
        <v>1115</v>
      </c>
      <c r="N698" s="159"/>
      <c r="O698" s="150">
        <f t="shared" si="10"/>
        <v>0</v>
      </c>
      <c r="P698" s="151"/>
      <c r="Q698" s="151"/>
    </row>
    <row r="699" spans="1:17" ht="20.100000000000001" hidden="1" customHeight="1">
      <c r="A699" s="141">
        <v>693</v>
      </c>
      <c r="B699" s="142" t="s">
        <v>1416</v>
      </c>
      <c r="C699" s="143" t="s">
        <v>1024</v>
      </c>
      <c r="D699" s="2795"/>
      <c r="E699" s="144"/>
      <c r="F699" s="144"/>
      <c r="G699" s="160">
        <v>1</v>
      </c>
      <c r="H699" s="144"/>
      <c r="I699" s="144"/>
      <c r="J699" s="145"/>
      <c r="K699" s="783"/>
      <c r="L699" s="407"/>
      <c r="M699" s="784" t="s">
        <v>183</v>
      </c>
      <c r="N699" s="175">
        <v>19.079999999999998</v>
      </c>
      <c r="O699" s="150">
        <f t="shared" si="10"/>
        <v>1</v>
      </c>
      <c r="P699" s="151"/>
      <c r="Q699" s="151"/>
    </row>
    <row r="700" spans="1:17" ht="20.100000000000001" hidden="1" customHeight="1">
      <c r="A700" s="141">
        <v>694</v>
      </c>
      <c r="B700" s="142" t="s">
        <v>1416</v>
      </c>
      <c r="C700" s="143" t="s">
        <v>1024</v>
      </c>
      <c r="D700" s="2795"/>
      <c r="E700" s="144"/>
      <c r="F700" s="144"/>
      <c r="G700" s="160">
        <v>1</v>
      </c>
      <c r="H700" s="144"/>
      <c r="I700" s="144"/>
      <c r="J700" s="145"/>
      <c r="K700" s="783"/>
      <c r="L700" s="407"/>
      <c r="M700" s="785" t="s">
        <v>886</v>
      </c>
      <c r="N700" s="175">
        <v>50019</v>
      </c>
      <c r="O700" s="150">
        <f t="shared" si="10"/>
        <v>1</v>
      </c>
      <c r="P700" s="151"/>
      <c r="Q700" s="151"/>
    </row>
    <row r="701" spans="1:17" ht="20.100000000000001" hidden="1" customHeight="1">
      <c r="A701" s="141">
        <v>695</v>
      </c>
      <c r="B701" s="142" t="s">
        <v>1416</v>
      </c>
      <c r="C701" s="143" t="s">
        <v>1024</v>
      </c>
      <c r="D701" s="2795"/>
      <c r="E701" s="144"/>
      <c r="F701" s="144"/>
      <c r="G701" s="160">
        <v>1</v>
      </c>
      <c r="H701" s="144"/>
      <c r="I701" s="144"/>
      <c r="J701" s="145"/>
      <c r="K701" s="786"/>
      <c r="L701" s="173"/>
      <c r="M701" s="785" t="s">
        <v>708</v>
      </c>
      <c r="N701" s="457">
        <v>4089.49</v>
      </c>
      <c r="O701" s="150">
        <f t="shared" si="10"/>
        <v>1</v>
      </c>
      <c r="P701" s="151"/>
      <c r="Q701" s="151"/>
    </row>
    <row r="702" spans="1:17" ht="20.100000000000001" hidden="1" customHeight="1">
      <c r="A702" s="141">
        <v>696</v>
      </c>
      <c r="B702" s="142" t="s">
        <v>1416</v>
      </c>
      <c r="C702" s="143" t="s">
        <v>1024</v>
      </c>
      <c r="D702" s="2795"/>
      <c r="E702" s="144"/>
      <c r="F702" s="144"/>
      <c r="G702" s="144"/>
      <c r="H702" s="144"/>
      <c r="I702" s="144"/>
      <c r="J702" s="145"/>
      <c r="K702" s="786"/>
      <c r="L702" s="173"/>
      <c r="M702" s="787" t="s">
        <v>1029</v>
      </c>
      <c r="N702" s="788" t="s">
        <v>1418</v>
      </c>
      <c r="O702" s="150">
        <f t="shared" si="10"/>
        <v>0</v>
      </c>
      <c r="P702" s="151"/>
      <c r="Q702" s="151"/>
    </row>
    <row r="703" spans="1:17" ht="20.100000000000001" customHeight="1">
      <c r="A703" s="141">
        <v>697</v>
      </c>
      <c r="B703" s="142" t="s">
        <v>1416</v>
      </c>
      <c r="C703" s="143" t="s">
        <v>1024</v>
      </c>
      <c r="D703" s="2795"/>
      <c r="E703" s="144"/>
      <c r="F703" s="144"/>
      <c r="G703" s="144"/>
      <c r="H703" s="160"/>
      <c r="I703" s="144"/>
      <c r="J703" s="145"/>
      <c r="K703" s="786">
        <v>1</v>
      </c>
      <c r="L703" s="173"/>
      <c r="M703" s="789" t="s">
        <v>1419</v>
      </c>
      <c r="N703" s="584">
        <v>-1300</v>
      </c>
      <c r="O703" s="150">
        <f t="shared" si="10"/>
        <v>1</v>
      </c>
      <c r="P703" s="151"/>
      <c r="Q703" s="151"/>
    </row>
    <row r="704" spans="1:17" ht="20.100000000000001" customHeight="1">
      <c r="A704" s="141">
        <v>698</v>
      </c>
      <c r="B704" s="142" t="s">
        <v>1416</v>
      </c>
      <c r="C704" s="143" t="s">
        <v>1024</v>
      </c>
      <c r="D704" s="2794"/>
      <c r="E704" s="144"/>
      <c r="F704" s="144"/>
      <c r="G704" s="144"/>
      <c r="H704" s="144"/>
      <c r="I704" s="160"/>
      <c r="J704" s="145"/>
      <c r="K704" s="786">
        <v>1</v>
      </c>
      <c r="L704" s="173"/>
      <c r="M704" s="789" t="s">
        <v>1420</v>
      </c>
      <c r="N704" s="790">
        <v>1850</v>
      </c>
      <c r="O704" s="150">
        <f t="shared" si="10"/>
        <v>1</v>
      </c>
      <c r="P704" s="151"/>
      <c r="Q704" s="151"/>
    </row>
    <row r="705" spans="1:17" ht="20.100000000000001" customHeight="1">
      <c r="A705" s="141">
        <v>699</v>
      </c>
      <c r="B705" s="142" t="s">
        <v>1416</v>
      </c>
      <c r="C705" s="143" t="s">
        <v>1024</v>
      </c>
      <c r="D705" s="182" t="s">
        <v>1105</v>
      </c>
      <c r="E705" s="144"/>
      <c r="F705" s="160"/>
      <c r="G705" s="144"/>
      <c r="H705" s="144"/>
      <c r="I705" s="144"/>
      <c r="J705" s="145"/>
      <c r="K705" s="786">
        <v>2</v>
      </c>
      <c r="L705" s="173"/>
      <c r="M705" s="791" t="s">
        <v>1300</v>
      </c>
      <c r="N705" s="457">
        <v>323871.5</v>
      </c>
      <c r="O705" s="150">
        <f t="shared" si="10"/>
        <v>2</v>
      </c>
      <c r="P705" s="151"/>
      <c r="Q705" s="151"/>
    </row>
    <row r="706" spans="1:17" ht="20.100000000000001" hidden="1" customHeight="1">
      <c r="A706" s="141">
        <v>700</v>
      </c>
      <c r="B706" s="142" t="s">
        <v>1416</v>
      </c>
      <c r="C706" s="143" t="s">
        <v>1024</v>
      </c>
      <c r="D706" s="182" t="s">
        <v>33</v>
      </c>
      <c r="E706" s="160"/>
      <c r="F706" s="144"/>
      <c r="G706" s="144"/>
      <c r="H706" s="144"/>
      <c r="I706" s="144">
        <v>100</v>
      </c>
      <c r="J706" s="145"/>
      <c r="K706" s="780"/>
      <c r="L706" s="407"/>
      <c r="M706" s="792" t="s">
        <v>35</v>
      </c>
      <c r="N706" s="175">
        <v>200000</v>
      </c>
      <c r="O706" s="150">
        <f t="shared" si="10"/>
        <v>100</v>
      </c>
      <c r="P706" s="151"/>
      <c r="Q706" s="151"/>
    </row>
    <row r="707" spans="1:17" ht="20.100000000000001" hidden="1" customHeight="1">
      <c r="A707" s="141">
        <v>701</v>
      </c>
      <c r="B707" s="142" t="s">
        <v>1416</v>
      </c>
      <c r="C707" s="143" t="s">
        <v>1024</v>
      </c>
      <c r="D707" s="2793" t="s">
        <v>36</v>
      </c>
      <c r="E707" s="144"/>
      <c r="F707" s="144">
        <v>568</v>
      </c>
      <c r="G707" s="144"/>
      <c r="H707" s="144"/>
      <c r="I707" s="144"/>
      <c r="J707" s="145"/>
      <c r="K707" s="776"/>
      <c r="L707" s="2285"/>
      <c r="M707" s="792" t="s">
        <v>1421</v>
      </c>
      <c r="N707" s="193"/>
      <c r="O707" s="150">
        <f t="shared" si="10"/>
        <v>568</v>
      </c>
      <c r="P707" s="151"/>
      <c r="Q707" s="151"/>
    </row>
    <row r="708" spans="1:17" ht="20.100000000000001" hidden="1" customHeight="1">
      <c r="A708" s="141">
        <v>702</v>
      </c>
      <c r="B708" s="142" t="s">
        <v>1416</v>
      </c>
      <c r="C708" s="143" t="s">
        <v>1024</v>
      </c>
      <c r="D708" s="2792"/>
      <c r="E708" s="506">
        <v>187</v>
      </c>
      <c r="F708" s="506"/>
      <c r="G708" s="506"/>
      <c r="H708" s="506"/>
      <c r="I708" s="506"/>
      <c r="J708" s="507"/>
      <c r="K708" s="794"/>
      <c r="L708" s="2285"/>
      <c r="M708" s="792" t="s">
        <v>1422</v>
      </c>
      <c r="N708" s="193"/>
      <c r="O708" s="150">
        <f t="shared" si="10"/>
        <v>187</v>
      </c>
      <c r="P708" s="151"/>
      <c r="Q708" s="151"/>
    </row>
    <row r="709" spans="1:17" ht="20.100000000000001" customHeight="1">
      <c r="A709" s="926">
        <v>703</v>
      </c>
      <c r="B709" s="927" t="s">
        <v>2978</v>
      </c>
      <c r="C709" s="143" t="s">
        <v>1024</v>
      </c>
      <c r="D709" s="2701" t="s">
        <v>1549</v>
      </c>
      <c r="E709" s="170"/>
      <c r="F709" s="170"/>
      <c r="G709" s="170"/>
      <c r="H709" s="170"/>
      <c r="I709" s="170"/>
      <c r="J709" s="171"/>
      <c r="K709" s="2823">
        <v>1</v>
      </c>
      <c r="L709" s="2702"/>
      <c r="M709" s="2703" t="s">
        <v>2979</v>
      </c>
      <c r="N709" s="305">
        <v>35693.769999999997</v>
      </c>
      <c r="O709" s="150">
        <f t="shared" si="10"/>
        <v>1</v>
      </c>
      <c r="P709" s="385"/>
      <c r="Q709" s="385"/>
    </row>
    <row r="710" spans="1:17" ht="20.100000000000001" hidden="1" customHeight="1">
      <c r="A710" s="926">
        <v>704</v>
      </c>
      <c r="B710" s="927" t="s">
        <v>2978</v>
      </c>
      <c r="C710" s="143" t="s">
        <v>1024</v>
      </c>
      <c r="D710" s="2704"/>
      <c r="E710" s="170"/>
      <c r="F710" s="170"/>
      <c r="G710" s="170"/>
      <c r="H710" s="170"/>
      <c r="I710" s="170"/>
      <c r="J710" s="171"/>
      <c r="K710" s="2823"/>
      <c r="L710" s="2702"/>
      <c r="M710" s="2705" t="s">
        <v>1026</v>
      </c>
      <c r="N710" s="305"/>
      <c r="O710" s="150">
        <f t="shared" si="10"/>
        <v>0</v>
      </c>
      <c r="P710" s="385"/>
      <c r="Q710" s="385"/>
    </row>
    <row r="711" spans="1:17" ht="20.100000000000001" hidden="1" customHeight="1">
      <c r="A711" s="926">
        <v>705</v>
      </c>
      <c r="B711" s="927" t="s">
        <v>2978</v>
      </c>
      <c r="C711" s="143" t="s">
        <v>1024</v>
      </c>
      <c r="D711" s="2706"/>
      <c r="E711" s="170"/>
      <c r="F711" s="170"/>
      <c r="G711" s="170">
        <v>1</v>
      </c>
      <c r="H711" s="170"/>
      <c r="I711" s="170"/>
      <c r="J711" s="171"/>
      <c r="K711" s="2823"/>
      <c r="L711" s="2702"/>
      <c r="M711" s="2707" t="s">
        <v>119</v>
      </c>
      <c r="N711" s="305">
        <v>-1383640.07</v>
      </c>
      <c r="O711" s="150">
        <f t="shared" si="10"/>
        <v>1</v>
      </c>
      <c r="P711" s="385"/>
      <c r="Q711" s="385"/>
    </row>
    <row r="712" spans="1:17" ht="20.100000000000001" hidden="1" customHeight="1">
      <c r="A712" s="926">
        <v>706</v>
      </c>
      <c r="B712" s="927" t="s">
        <v>2978</v>
      </c>
      <c r="C712" s="143" t="s">
        <v>1024</v>
      </c>
      <c r="D712" s="2706" t="s">
        <v>2980</v>
      </c>
      <c r="E712" s="170"/>
      <c r="F712" s="170"/>
      <c r="G712" s="170">
        <v>1</v>
      </c>
      <c r="H712" s="170"/>
      <c r="I712" s="170"/>
      <c r="J712" s="171"/>
      <c r="K712" s="2824"/>
      <c r="L712" s="2708"/>
      <c r="M712" s="2707" t="s">
        <v>1508</v>
      </c>
      <c r="N712" s="222">
        <v>152120.53</v>
      </c>
      <c r="O712" s="150">
        <f t="shared" si="10"/>
        <v>1</v>
      </c>
      <c r="P712" s="385"/>
      <c r="Q712" s="385"/>
    </row>
    <row r="713" spans="1:17" ht="20.100000000000001" hidden="1" customHeight="1">
      <c r="A713" s="926">
        <v>707</v>
      </c>
      <c r="B713" s="927" t="s">
        <v>2978</v>
      </c>
      <c r="C713" s="143" t="s">
        <v>1024</v>
      </c>
      <c r="D713" s="2706"/>
      <c r="E713" s="170"/>
      <c r="F713" s="170"/>
      <c r="G713" s="170"/>
      <c r="H713" s="170"/>
      <c r="I713" s="170"/>
      <c r="J713" s="171"/>
      <c r="K713" s="2824"/>
      <c r="L713" s="2708"/>
      <c r="M713" s="2709" t="s">
        <v>2981</v>
      </c>
      <c r="N713" s="222"/>
      <c r="O713" s="150">
        <f t="shared" si="10"/>
        <v>0</v>
      </c>
      <c r="P713" s="385"/>
      <c r="Q713" s="385"/>
    </row>
    <row r="714" spans="1:17" ht="20.100000000000001" hidden="1" customHeight="1">
      <c r="A714" s="926">
        <v>708</v>
      </c>
      <c r="B714" s="927" t="s">
        <v>2978</v>
      </c>
      <c r="C714" s="143" t="s">
        <v>1024</v>
      </c>
      <c r="D714" s="2706"/>
      <c r="E714" s="170"/>
      <c r="F714" s="170"/>
      <c r="G714" s="170">
        <v>1</v>
      </c>
      <c r="H714" s="170"/>
      <c r="I714" s="170"/>
      <c r="J714" s="171"/>
      <c r="K714" s="2824"/>
      <c r="L714" s="2708"/>
      <c r="M714" s="2707" t="s">
        <v>886</v>
      </c>
      <c r="N714" s="222">
        <v>74.75</v>
      </c>
      <c r="O714" s="150">
        <f t="shared" si="10"/>
        <v>1</v>
      </c>
      <c r="P714" s="385"/>
      <c r="Q714" s="385"/>
    </row>
    <row r="715" spans="1:17" ht="20.100000000000001" hidden="1" customHeight="1">
      <c r="A715" s="926">
        <v>709</v>
      </c>
      <c r="B715" s="927" t="s">
        <v>2978</v>
      </c>
      <c r="C715" s="143" t="s">
        <v>1024</v>
      </c>
      <c r="D715" s="2706"/>
      <c r="E715" s="170"/>
      <c r="F715" s="170"/>
      <c r="G715" s="170">
        <v>1</v>
      </c>
      <c r="H715" s="170"/>
      <c r="I715" s="170"/>
      <c r="J715" s="171"/>
      <c r="K715" s="2824"/>
      <c r="L715" s="2708"/>
      <c r="M715" s="2707" t="s">
        <v>2982</v>
      </c>
      <c r="N715" s="222">
        <v>2.2599999999999998</v>
      </c>
      <c r="O715" s="150">
        <f t="shared" si="10"/>
        <v>1</v>
      </c>
      <c r="P715" s="385"/>
      <c r="Q715" s="385"/>
    </row>
    <row r="716" spans="1:17" ht="20.100000000000001" hidden="1" customHeight="1">
      <c r="A716" s="926">
        <v>710</v>
      </c>
      <c r="B716" s="927" t="s">
        <v>2978</v>
      </c>
      <c r="C716" s="143" t="s">
        <v>1024</v>
      </c>
      <c r="D716" s="2710"/>
      <c r="E716" s="170"/>
      <c r="F716" s="170"/>
      <c r="G716" s="170"/>
      <c r="H716" s="170"/>
      <c r="I716" s="170"/>
      <c r="J716" s="171"/>
      <c r="K716" s="2824"/>
      <c r="L716" s="2708"/>
      <c r="M716" s="2711" t="s">
        <v>1141</v>
      </c>
      <c r="N716" s="2712"/>
      <c r="O716" s="150">
        <f t="shared" si="10"/>
        <v>0</v>
      </c>
      <c r="P716" s="385"/>
      <c r="Q716" s="385"/>
    </row>
    <row r="717" spans="1:17" ht="20.100000000000001" hidden="1" customHeight="1">
      <c r="A717" s="926">
        <v>711</v>
      </c>
      <c r="B717" s="927" t="s">
        <v>2978</v>
      </c>
      <c r="C717" s="143" t="s">
        <v>1024</v>
      </c>
      <c r="D717" s="2704"/>
      <c r="E717" s="170"/>
      <c r="F717" s="170"/>
      <c r="G717" s="170"/>
      <c r="H717" s="170">
        <v>134</v>
      </c>
      <c r="I717" s="170"/>
      <c r="J717" s="171"/>
      <c r="K717" s="2824"/>
      <c r="L717" s="2708"/>
      <c r="M717" s="2707" t="s">
        <v>34</v>
      </c>
      <c r="N717" s="222"/>
      <c r="O717" s="150">
        <f t="shared" si="10"/>
        <v>134</v>
      </c>
      <c r="P717" s="385"/>
      <c r="Q717" s="385"/>
    </row>
    <row r="718" spans="1:17" ht="20.100000000000001" hidden="1" customHeight="1">
      <c r="A718" s="926">
        <v>712</v>
      </c>
      <c r="B718" s="927" t="s">
        <v>2978</v>
      </c>
      <c r="C718" s="143" t="s">
        <v>1024</v>
      </c>
      <c r="D718" s="2710" t="s">
        <v>33</v>
      </c>
      <c r="E718" s="170"/>
      <c r="F718" s="170"/>
      <c r="G718" s="170"/>
      <c r="H718" s="170"/>
      <c r="I718" s="170">
        <v>1645</v>
      </c>
      <c r="J718" s="171"/>
      <c r="K718" s="2823"/>
      <c r="L718" s="2702"/>
      <c r="M718" s="2707" t="s">
        <v>35</v>
      </c>
      <c r="N718" s="302">
        <v>971629.54</v>
      </c>
      <c r="O718" s="150">
        <f t="shared" si="10"/>
        <v>1645</v>
      </c>
      <c r="P718" s="385"/>
      <c r="Q718" s="385"/>
    </row>
    <row r="719" spans="1:17" ht="20.100000000000001" hidden="1" customHeight="1">
      <c r="A719" s="926">
        <v>713</v>
      </c>
      <c r="B719" s="927" t="s">
        <v>2978</v>
      </c>
      <c r="C719" s="143" t="s">
        <v>1024</v>
      </c>
      <c r="D719" s="2796" t="s">
        <v>36</v>
      </c>
      <c r="E719" s="170">
        <v>269</v>
      </c>
      <c r="F719" s="170"/>
      <c r="G719" s="170"/>
      <c r="H719" s="170"/>
      <c r="I719" s="170"/>
      <c r="J719" s="171"/>
      <c r="K719" s="2823"/>
      <c r="L719" s="2702"/>
      <c r="M719" s="2707" t="s">
        <v>2983</v>
      </c>
      <c r="N719" s="305"/>
      <c r="O719" s="150">
        <f t="shared" si="10"/>
        <v>269</v>
      </c>
      <c r="P719" s="385"/>
      <c r="Q719" s="385"/>
    </row>
    <row r="720" spans="1:17" ht="20.100000000000001" hidden="1" customHeight="1">
      <c r="A720" s="926">
        <v>714</v>
      </c>
      <c r="B720" s="927" t="s">
        <v>2978</v>
      </c>
      <c r="C720" s="143" t="s">
        <v>1024</v>
      </c>
      <c r="D720" s="2798"/>
      <c r="E720" s="170"/>
      <c r="F720" s="170">
        <v>196</v>
      </c>
      <c r="G720" s="170"/>
      <c r="H720" s="170"/>
      <c r="I720" s="170"/>
      <c r="J720" s="171"/>
      <c r="K720" s="2823"/>
      <c r="L720" s="2702"/>
      <c r="M720" s="2707" t="s">
        <v>2984</v>
      </c>
      <c r="N720" s="305"/>
      <c r="O720" s="150">
        <f t="shared" si="10"/>
        <v>196</v>
      </c>
      <c r="P720" s="385"/>
      <c r="Q720" s="385"/>
    </row>
    <row r="721" spans="1:17" ht="20.100000000000001" customHeight="1">
      <c r="A721" s="141">
        <v>703</v>
      </c>
      <c r="B721" s="142" t="s">
        <v>1423</v>
      </c>
      <c r="C721" s="143" t="s">
        <v>1024</v>
      </c>
      <c r="D721" s="2793" t="s">
        <v>29</v>
      </c>
      <c r="E721" s="144"/>
      <c r="F721" s="144"/>
      <c r="G721" s="144"/>
      <c r="H721" s="144"/>
      <c r="I721" s="144"/>
      <c r="J721" s="145"/>
      <c r="K721" s="795">
        <v>1</v>
      </c>
      <c r="L721" s="703"/>
      <c r="M721" s="666" t="s">
        <v>1424</v>
      </c>
      <c r="N721" s="796">
        <v>25100</v>
      </c>
      <c r="O721" s="150">
        <f t="shared" si="10"/>
        <v>1</v>
      </c>
      <c r="P721" s="151"/>
      <c r="Q721" s="151"/>
    </row>
    <row r="722" spans="1:17" ht="20.100000000000001" customHeight="1">
      <c r="A722" s="141">
        <v>704</v>
      </c>
      <c r="B722" s="142" t="s">
        <v>1423</v>
      </c>
      <c r="C722" s="143" t="s">
        <v>1024</v>
      </c>
      <c r="D722" s="2795"/>
      <c r="E722" s="144"/>
      <c r="F722" s="144"/>
      <c r="G722" s="160"/>
      <c r="H722" s="144"/>
      <c r="I722" s="144"/>
      <c r="J722" s="145"/>
      <c r="K722" s="797">
        <v>1</v>
      </c>
      <c r="L722" s="414"/>
      <c r="M722" s="798" t="s">
        <v>1425</v>
      </c>
      <c r="N722" s="799">
        <v>176486.59</v>
      </c>
      <c r="O722" s="150">
        <f t="shared" si="10"/>
        <v>1</v>
      </c>
      <c r="P722" s="151"/>
      <c r="Q722" s="151"/>
    </row>
    <row r="723" spans="1:17" ht="20.100000000000001" hidden="1" customHeight="1">
      <c r="A723" s="141">
        <v>705</v>
      </c>
      <c r="B723" s="142" t="s">
        <v>1423</v>
      </c>
      <c r="C723" s="143" t="s">
        <v>1024</v>
      </c>
      <c r="D723" s="2795"/>
      <c r="E723" s="144"/>
      <c r="F723" s="144"/>
      <c r="G723" s="160"/>
      <c r="H723" s="144"/>
      <c r="I723" s="144"/>
      <c r="J723" s="145"/>
      <c r="K723" s="800"/>
      <c r="L723" s="535"/>
      <c r="M723" s="710" t="s">
        <v>1026</v>
      </c>
      <c r="N723" s="253"/>
      <c r="O723" s="150">
        <f t="shared" si="10"/>
        <v>0</v>
      </c>
      <c r="P723" s="151"/>
      <c r="Q723" s="151"/>
    </row>
    <row r="724" spans="1:17" ht="20.100000000000001" hidden="1" customHeight="1">
      <c r="A724" s="141">
        <v>706</v>
      </c>
      <c r="B724" s="142" t="s">
        <v>1423</v>
      </c>
      <c r="C724" s="143" t="s">
        <v>1024</v>
      </c>
      <c r="D724" s="2795"/>
      <c r="E724" s="144"/>
      <c r="F724" s="144"/>
      <c r="G724" s="160">
        <v>1</v>
      </c>
      <c r="H724" s="144"/>
      <c r="I724" s="144"/>
      <c r="J724" s="145"/>
      <c r="K724" s="801"/>
      <c r="L724" s="414"/>
      <c r="M724" s="667" t="s">
        <v>119</v>
      </c>
      <c r="N724" s="305">
        <v>-2605476.5499999998</v>
      </c>
      <c r="O724" s="150">
        <f t="shared" si="10"/>
        <v>1</v>
      </c>
      <c r="P724" s="151"/>
      <c r="Q724" s="151"/>
    </row>
    <row r="725" spans="1:17" ht="20.100000000000001" hidden="1" customHeight="1">
      <c r="A725" s="141">
        <v>707</v>
      </c>
      <c r="B725" s="142" t="s">
        <v>1423</v>
      </c>
      <c r="C725" s="143" t="s">
        <v>1024</v>
      </c>
      <c r="D725" s="2795"/>
      <c r="E725" s="144"/>
      <c r="F725" s="144"/>
      <c r="G725" s="160">
        <v>1</v>
      </c>
      <c r="H725" s="144"/>
      <c r="I725" s="144"/>
      <c r="J725" s="145"/>
      <c r="K725" s="802"/>
      <c r="L725" s="393"/>
      <c r="M725" s="666" t="s">
        <v>49</v>
      </c>
      <c r="N725" s="250">
        <v>-118214291.40000001</v>
      </c>
      <c r="O725" s="150">
        <f t="shared" ref="O725:O788" si="11">E725+F725+G725+H725+I725+J725+K725</f>
        <v>1</v>
      </c>
      <c r="P725" s="151"/>
      <c r="Q725" s="151"/>
    </row>
    <row r="726" spans="1:17" ht="20.100000000000001" hidden="1" customHeight="1">
      <c r="A726" s="141">
        <v>708</v>
      </c>
      <c r="B726" s="142" t="s">
        <v>1423</v>
      </c>
      <c r="C726" s="143" t="s">
        <v>1024</v>
      </c>
      <c r="D726" s="2795"/>
      <c r="E726" s="144"/>
      <c r="F726" s="144"/>
      <c r="G726" s="160">
        <v>1</v>
      </c>
      <c r="H726" s="144"/>
      <c r="I726" s="144"/>
      <c r="J726" s="145"/>
      <c r="K726" s="802"/>
      <c r="L726" s="393"/>
      <c r="M726" s="666" t="s">
        <v>32</v>
      </c>
      <c r="N726" s="255">
        <v>2910.62</v>
      </c>
      <c r="O726" s="150">
        <f t="shared" si="11"/>
        <v>1</v>
      </c>
      <c r="P726" s="151"/>
      <c r="Q726" s="151"/>
    </row>
    <row r="727" spans="1:17" ht="20.100000000000001" hidden="1" customHeight="1">
      <c r="A727" s="141">
        <v>709</v>
      </c>
      <c r="B727" s="142" t="s">
        <v>1423</v>
      </c>
      <c r="C727" s="143" t="s">
        <v>1024</v>
      </c>
      <c r="D727" s="2795"/>
      <c r="E727" s="506"/>
      <c r="F727" s="506"/>
      <c r="G727" s="160">
        <v>1</v>
      </c>
      <c r="H727" s="506"/>
      <c r="I727" s="506"/>
      <c r="J727" s="507"/>
      <c r="K727" s="803"/>
      <c r="L727" s="416"/>
      <c r="M727" s="666" t="s">
        <v>207</v>
      </c>
      <c r="N727" s="267">
        <v>-48987.25</v>
      </c>
      <c r="O727" s="150">
        <f t="shared" si="11"/>
        <v>1</v>
      </c>
      <c r="P727" s="151"/>
      <c r="Q727" s="151"/>
    </row>
    <row r="728" spans="1:17" ht="20.100000000000001" hidden="1" customHeight="1">
      <c r="A728" s="141">
        <v>710</v>
      </c>
      <c r="B728" s="142" t="s">
        <v>1423</v>
      </c>
      <c r="C728" s="143" t="s">
        <v>1024</v>
      </c>
      <c r="D728" s="2795"/>
      <c r="E728" s="506"/>
      <c r="F728" s="506"/>
      <c r="G728" s="160"/>
      <c r="H728" s="506"/>
      <c r="I728" s="506"/>
      <c r="J728" s="507"/>
      <c r="K728" s="804"/>
      <c r="L728" s="513"/>
      <c r="M728" s="695" t="s">
        <v>1426</v>
      </c>
      <c r="N728" s="805"/>
      <c r="O728" s="150">
        <f t="shared" si="11"/>
        <v>0</v>
      </c>
      <c r="P728" s="151"/>
      <c r="Q728" s="151"/>
    </row>
    <row r="729" spans="1:17" ht="20.100000000000001" hidden="1" customHeight="1">
      <c r="A729" s="141">
        <v>711</v>
      </c>
      <c r="B729" s="142" t="s">
        <v>1423</v>
      </c>
      <c r="C729" s="143" t="s">
        <v>1024</v>
      </c>
      <c r="D729" s="2795"/>
      <c r="E729" s="506"/>
      <c r="F729" s="506"/>
      <c r="G729" s="160">
        <v>1</v>
      </c>
      <c r="H729" s="506"/>
      <c r="I729" s="506"/>
      <c r="J729" s="507"/>
      <c r="K729" s="715"/>
      <c r="L729" s="220"/>
      <c r="M729" s="806" t="s">
        <v>1427</v>
      </c>
      <c r="N729" s="807">
        <v>-5775.5</v>
      </c>
      <c r="O729" s="150">
        <f t="shared" si="11"/>
        <v>1</v>
      </c>
      <c r="P729" s="151"/>
      <c r="Q729" s="151"/>
    </row>
    <row r="730" spans="1:17" ht="20.100000000000001" hidden="1" customHeight="1">
      <c r="A730" s="141">
        <v>712</v>
      </c>
      <c r="B730" s="142" t="s">
        <v>1423</v>
      </c>
      <c r="C730" s="143" t="s">
        <v>1024</v>
      </c>
      <c r="D730" s="2795"/>
      <c r="E730" s="506"/>
      <c r="F730" s="506"/>
      <c r="G730" s="160">
        <v>1</v>
      </c>
      <c r="H730" s="506"/>
      <c r="I730" s="506"/>
      <c r="J730" s="507"/>
      <c r="K730" s="715"/>
      <c r="L730" s="220"/>
      <c r="M730" s="806" t="s">
        <v>1428</v>
      </c>
      <c r="N730" s="807">
        <v>116.61</v>
      </c>
      <c r="O730" s="150">
        <f t="shared" si="11"/>
        <v>1</v>
      </c>
      <c r="P730" s="151"/>
      <c r="Q730" s="151"/>
    </row>
    <row r="731" spans="1:17" ht="20.100000000000001" hidden="1" customHeight="1">
      <c r="A731" s="141">
        <v>713</v>
      </c>
      <c r="B731" s="142" t="s">
        <v>1423</v>
      </c>
      <c r="C731" s="143" t="s">
        <v>1024</v>
      </c>
      <c r="D731" s="2795"/>
      <c r="E731" s="506"/>
      <c r="F731" s="506"/>
      <c r="G731" s="506"/>
      <c r="H731" s="506"/>
      <c r="I731" s="506"/>
      <c r="J731" s="507"/>
      <c r="K731" s="804"/>
      <c r="L731" s="513"/>
      <c r="M731" s="695" t="s">
        <v>1029</v>
      </c>
      <c r="N731" s="805"/>
      <c r="O731" s="150">
        <f t="shared" si="11"/>
        <v>0</v>
      </c>
      <c r="P731" s="151"/>
      <c r="Q731" s="151"/>
    </row>
    <row r="732" spans="1:17" ht="20.100000000000001" customHeight="1">
      <c r="A732" s="141">
        <v>714</v>
      </c>
      <c r="B732" s="142" t="s">
        <v>1423</v>
      </c>
      <c r="C732" s="143" t="s">
        <v>1024</v>
      </c>
      <c r="D732" s="2795"/>
      <c r="E732" s="506"/>
      <c r="F732" s="506"/>
      <c r="G732" s="506"/>
      <c r="H732" s="506"/>
      <c r="I732" s="506"/>
      <c r="J732" s="507"/>
      <c r="K732" s="715">
        <v>1</v>
      </c>
      <c r="L732" s="220"/>
      <c r="M732" s="808" t="s">
        <v>1429</v>
      </c>
      <c r="N732" s="807">
        <v>-3355</v>
      </c>
      <c r="O732" s="150">
        <f t="shared" si="11"/>
        <v>1</v>
      </c>
      <c r="P732" s="151"/>
      <c r="Q732" s="151"/>
    </row>
    <row r="733" spans="1:17" ht="20.100000000000001" customHeight="1">
      <c r="A733" s="141">
        <v>715</v>
      </c>
      <c r="B733" s="142" t="s">
        <v>1423</v>
      </c>
      <c r="C733" s="143" t="s">
        <v>1024</v>
      </c>
      <c r="D733" s="2794"/>
      <c r="E733" s="506"/>
      <c r="F733" s="506"/>
      <c r="G733" s="506"/>
      <c r="H733" s="160"/>
      <c r="I733" s="506"/>
      <c r="J733" s="507"/>
      <c r="K733" s="715">
        <v>1</v>
      </c>
      <c r="L733" s="220"/>
      <c r="M733" s="808" t="s">
        <v>1430</v>
      </c>
      <c r="N733" s="807">
        <v>2530</v>
      </c>
      <c r="O733" s="150">
        <f t="shared" si="11"/>
        <v>1</v>
      </c>
      <c r="P733" s="151"/>
      <c r="Q733" s="151"/>
    </row>
    <row r="734" spans="1:17" ht="20.100000000000001" customHeight="1">
      <c r="A734" s="141">
        <v>716</v>
      </c>
      <c r="B734" s="142" t="s">
        <v>1423</v>
      </c>
      <c r="C734" s="143" t="s">
        <v>1024</v>
      </c>
      <c r="D734" s="182" t="s">
        <v>1105</v>
      </c>
      <c r="E734" s="144"/>
      <c r="F734" s="144"/>
      <c r="G734" s="144"/>
      <c r="H734" s="144"/>
      <c r="I734" s="160"/>
      <c r="J734" s="145"/>
      <c r="K734" s="715">
        <v>3</v>
      </c>
      <c r="L734" s="809"/>
      <c r="M734" s="722" t="s">
        <v>1061</v>
      </c>
      <c r="N734" s="807">
        <v>1862401.28</v>
      </c>
      <c r="O734" s="150">
        <f t="shared" si="11"/>
        <v>3</v>
      </c>
      <c r="P734" s="151"/>
      <c r="Q734" s="151"/>
    </row>
    <row r="735" spans="1:17" ht="20.100000000000001" hidden="1" customHeight="1">
      <c r="A735" s="141">
        <v>717</v>
      </c>
      <c r="B735" s="142" t="s">
        <v>1423</v>
      </c>
      <c r="C735" s="143" t="s">
        <v>1024</v>
      </c>
      <c r="D735" s="2793" t="s">
        <v>33</v>
      </c>
      <c r="E735" s="144"/>
      <c r="F735" s="160"/>
      <c r="G735" s="144"/>
      <c r="H735" s="144">
        <v>150</v>
      </c>
      <c r="I735" s="144"/>
      <c r="J735" s="145"/>
      <c r="K735" s="810"/>
      <c r="L735" s="809"/>
      <c r="M735" s="666" t="s">
        <v>34</v>
      </c>
      <c r="N735" s="249">
        <v>0</v>
      </c>
      <c r="O735" s="150">
        <f t="shared" si="11"/>
        <v>150</v>
      </c>
      <c r="P735" s="151"/>
      <c r="Q735" s="151"/>
    </row>
    <row r="736" spans="1:17" ht="20.100000000000001" hidden="1" customHeight="1">
      <c r="A736" s="141">
        <v>718</v>
      </c>
      <c r="B736" s="142" t="s">
        <v>1423</v>
      </c>
      <c r="C736" s="143" t="s">
        <v>1024</v>
      </c>
      <c r="D736" s="2794"/>
      <c r="E736" s="160"/>
      <c r="F736" s="144"/>
      <c r="G736" s="144"/>
      <c r="H736" s="144"/>
      <c r="I736" s="144">
        <v>4632</v>
      </c>
      <c r="J736" s="145"/>
      <c r="K736" s="801"/>
      <c r="L736" s="419"/>
      <c r="M736" s="666" t="s">
        <v>35</v>
      </c>
      <c r="N736" s="204">
        <v>3084967.54</v>
      </c>
      <c r="O736" s="150">
        <f t="shared" si="11"/>
        <v>4632</v>
      </c>
      <c r="P736" s="151"/>
      <c r="Q736" s="151"/>
    </row>
    <row r="737" spans="1:17" ht="20.100000000000001" hidden="1" customHeight="1">
      <c r="A737" s="141">
        <v>719</v>
      </c>
      <c r="B737" s="142" t="s">
        <v>1423</v>
      </c>
      <c r="C737" s="143" t="s">
        <v>1024</v>
      </c>
      <c r="D737" s="2793" t="s">
        <v>36</v>
      </c>
      <c r="E737" s="144"/>
      <c r="F737" s="144">
        <v>469</v>
      </c>
      <c r="G737" s="144"/>
      <c r="H737" s="144"/>
      <c r="I737" s="144"/>
      <c r="J737" s="145"/>
      <c r="K737" s="714"/>
      <c r="L737" s="409"/>
      <c r="M737" s="666" t="s">
        <v>1431</v>
      </c>
      <c r="N737" s="796">
        <v>0</v>
      </c>
      <c r="O737" s="150">
        <f t="shared" si="11"/>
        <v>469</v>
      </c>
      <c r="P737" s="151"/>
      <c r="Q737" s="151"/>
    </row>
    <row r="738" spans="1:17" ht="20.100000000000001" hidden="1" customHeight="1">
      <c r="A738" s="141">
        <v>720</v>
      </c>
      <c r="B738" s="142" t="s">
        <v>1423</v>
      </c>
      <c r="C738" s="143" t="s">
        <v>1024</v>
      </c>
      <c r="D738" s="2792"/>
      <c r="E738" s="144">
        <v>24</v>
      </c>
      <c r="F738" s="144"/>
      <c r="G738" s="144"/>
      <c r="H738" s="144"/>
      <c r="I738" s="144"/>
      <c r="J738" s="145"/>
      <c r="K738" s="795"/>
      <c r="L738" s="393"/>
      <c r="M738" s="666" t="s">
        <v>1432</v>
      </c>
      <c r="N738" s="796">
        <v>0</v>
      </c>
      <c r="O738" s="150">
        <f t="shared" si="11"/>
        <v>24</v>
      </c>
      <c r="P738" s="151"/>
      <c r="Q738" s="151"/>
    </row>
    <row r="739" spans="1:17" ht="20.100000000000001" customHeight="1">
      <c r="A739" s="141">
        <v>721</v>
      </c>
      <c r="B739" s="142" t="s">
        <v>1433</v>
      </c>
      <c r="C739" s="143" t="s">
        <v>1024</v>
      </c>
      <c r="D739" s="2793" t="s">
        <v>1232</v>
      </c>
      <c r="E739" s="144"/>
      <c r="F739" s="144"/>
      <c r="G739" s="144"/>
      <c r="H739" s="144"/>
      <c r="I739" s="144"/>
      <c r="J739" s="145"/>
      <c r="K739" s="795">
        <v>1</v>
      </c>
      <c r="L739" s="544"/>
      <c r="M739" s="666" t="s">
        <v>1434</v>
      </c>
      <c r="N739" s="271">
        <v>-1700</v>
      </c>
      <c r="O739" s="150">
        <f t="shared" si="11"/>
        <v>1</v>
      </c>
      <c r="P739" s="151"/>
      <c r="Q739" s="151"/>
    </row>
    <row r="740" spans="1:17" ht="20.100000000000001" customHeight="1">
      <c r="A740" s="141">
        <v>722</v>
      </c>
      <c r="B740" s="142" t="s">
        <v>1433</v>
      </c>
      <c r="C740" s="143" t="s">
        <v>1024</v>
      </c>
      <c r="D740" s="2794"/>
      <c r="E740" s="144"/>
      <c r="F740" s="144"/>
      <c r="G740" s="160"/>
      <c r="H740" s="144"/>
      <c r="I740" s="144"/>
      <c r="J740" s="145"/>
      <c r="K740" s="795">
        <v>1</v>
      </c>
      <c r="L740" s="544"/>
      <c r="M740" s="659" t="s">
        <v>1435</v>
      </c>
      <c r="N740" s="271">
        <v>1779.37</v>
      </c>
      <c r="O740" s="150">
        <f t="shared" si="11"/>
        <v>1</v>
      </c>
      <c r="P740" s="151"/>
      <c r="Q740" s="151"/>
    </row>
    <row r="741" spans="1:17" ht="20.100000000000001" hidden="1" customHeight="1">
      <c r="A741" s="141">
        <v>723</v>
      </c>
      <c r="B741" s="142" t="s">
        <v>1433</v>
      </c>
      <c r="C741" s="143" t="s">
        <v>1024</v>
      </c>
      <c r="D741" s="2793" t="s">
        <v>29</v>
      </c>
      <c r="E741" s="144"/>
      <c r="F741" s="144"/>
      <c r="G741" s="160"/>
      <c r="H741" s="144"/>
      <c r="I741" s="144"/>
      <c r="J741" s="145"/>
      <c r="K741" s="800"/>
      <c r="L741" s="535"/>
      <c r="M741" s="811" t="s">
        <v>1026</v>
      </c>
      <c r="N741" s="253"/>
      <c r="O741" s="150">
        <f t="shared" si="11"/>
        <v>0</v>
      </c>
      <c r="P741" s="151"/>
      <c r="Q741" s="151"/>
    </row>
    <row r="742" spans="1:17" ht="20.100000000000001" hidden="1" customHeight="1">
      <c r="A742" s="141">
        <v>724</v>
      </c>
      <c r="B742" s="142" t="s">
        <v>1433</v>
      </c>
      <c r="C742" s="143" t="s">
        <v>1024</v>
      </c>
      <c r="D742" s="2795"/>
      <c r="E742" s="144"/>
      <c r="F742" s="144"/>
      <c r="G742" s="160">
        <v>1</v>
      </c>
      <c r="H742" s="144"/>
      <c r="I742" s="144"/>
      <c r="J742" s="145"/>
      <c r="K742" s="802"/>
      <c r="L742" s="393"/>
      <c r="M742" s="666" t="s">
        <v>119</v>
      </c>
      <c r="N742" s="271" t="s">
        <v>1436</v>
      </c>
      <c r="O742" s="150">
        <f t="shared" si="11"/>
        <v>1</v>
      </c>
      <c r="P742" s="151"/>
      <c r="Q742" s="151"/>
    </row>
    <row r="743" spans="1:17" ht="20.100000000000001" hidden="1" customHeight="1">
      <c r="A743" s="141">
        <v>725</v>
      </c>
      <c r="B743" s="142" t="s">
        <v>1433</v>
      </c>
      <c r="C743" s="143" t="s">
        <v>1024</v>
      </c>
      <c r="D743" s="2795"/>
      <c r="E743" s="144"/>
      <c r="F743" s="144"/>
      <c r="G743" s="160">
        <v>1</v>
      </c>
      <c r="H743" s="144"/>
      <c r="I743" s="144"/>
      <c r="J743" s="145"/>
      <c r="K743" s="795"/>
      <c r="L743" s="393"/>
      <c r="M743" s="666" t="s">
        <v>49</v>
      </c>
      <c r="N743" s="271">
        <v>-12074045.66</v>
      </c>
      <c r="O743" s="150">
        <f t="shared" si="11"/>
        <v>1</v>
      </c>
      <c r="P743" s="151"/>
      <c r="Q743" s="151"/>
    </row>
    <row r="744" spans="1:17" ht="20.100000000000001" hidden="1" customHeight="1">
      <c r="A744" s="141">
        <v>726</v>
      </c>
      <c r="B744" s="142" t="s">
        <v>1433</v>
      </c>
      <c r="C744" s="143" t="s">
        <v>1024</v>
      </c>
      <c r="D744" s="2795"/>
      <c r="E744" s="144"/>
      <c r="F744" s="144"/>
      <c r="G744" s="160">
        <v>1</v>
      </c>
      <c r="H744" s="144"/>
      <c r="I744" s="144"/>
      <c r="J744" s="145"/>
      <c r="K744" s="802"/>
      <c r="L744" s="393"/>
      <c r="M744" s="666" t="s">
        <v>32</v>
      </c>
      <c r="N744" s="255">
        <v>0.3</v>
      </c>
      <c r="O744" s="150">
        <f t="shared" si="11"/>
        <v>1</v>
      </c>
      <c r="P744" s="151"/>
      <c r="Q744" s="151"/>
    </row>
    <row r="745" spans="1:17" ht="20.100000000000001" hidden="1" customHeight="1">
      <c r="A745" s="141">
        <v>727</v>
      </c>
      <c r="B745" s="142" t="s">
        <v>1433</v>
      </c>
      <c r="C745" s="143" t="s">
        <v>1024</v>
      </c>
      <c r="D745" s="2795"/>
      <c r="E745" s="144"/>
      <c r="F745" s="144"/>
      <c r="G745" s="160">
        <v>1</v>
      </c>
      <c r="H745" s="144"/>
      <c r="I745" s="144"/>
      <c r="J745" s="145"/>
      <c r="K745" s="802"/>
      <c r="L745" s="393"/>
      <c r="M745" s="666" t="s">
        <v>1027</v>
      </c>
      <c r="N745" s="255">
        <v>94120.66</v>
      </c>
      <c r="O745" s="150">
        <f t="shared" si="11"/>
        <v>1</v>
      </c>
      <c r="P745" s="151"/>
      <c r="Q745" s="151"/>
    </row>
    <row r="746" spans="1:17" ht="20.100000000000001" hidden="1" customHeight="1">
      <c r="A746" s="141">
        <v>728</v>
      </c>
      <c r="B746" s="142" t="s">
        <v>1433</v>
      </c>
      <c r="C746" s="143" t="s">
        <v>1024</v>
      </c>
      <c r="D746" s="2795"/>
      <c r="E746" s="144"/>
      <c r="F746" s="144"/>
      <c r="G746" s="144"/>
      <c r="H746" s="144"/>
      <c r="I746" s="144"/>
      <c r="J746" s="145"/>
      <c r="K746" s="812"/>
      <c r="L746" s="539"/>
      <c r="M746" s="813" t="s">
        <v>1028</v>
      </c>
      <c r="N746" s="814"/>
      <c r="O746" s="150">
        <f t="shared" si="11"/>
        <v>0</v>
      </c>
      <c r="P746" s="151"/>
      <c r="Q746" s="151"/>
    </row>
    <row r="747" spans="1:17" ht="20.100000000000001" hidden="1" customHeight="1">
      <c r="A747" s="141">
        <v>729</v>
      </c>
      <c r="B747" s="142" t="s">
        <v>1433</v>
      </c>
      <c r="C747" s="143" t="s">
        <v>1024</v>
      </c>
      <c r="D747" s="2795"/>
      <c r="E747" s="144"/>
      <c r="F747" s="144"/>
      <c r="G747" s="160">
        <v>1</v>
      </c>
      <c r="H747" s="160"/>
      <c r="I747" s="144"/>
      <c r="J747" s="145"/>
      <c r="K747" s="770"/>
      <c r="L747" s="418"/>
      <c r="M747" s="815" t="s">
        <v>183</v>
      </c>
      <c r="N747" s="518">
        <v>20</v>
      </c>
      <c r="O747" s="150">
        <f t="shared" si="11"/>
        <v>1</v>
      </c>
      <c r="P747" s="151"/>
      <c r="Q747" s="151"/>
    </row>
    <row r="748" spans="1:17" ht="20.100000000000001" hidden="1" customHeight="1">
      <c r="A748" s="141">
        <v>730</v>
      </c>
      <c r="B748" s="142" t="s">
        <v>1433</v>
      </c>
      <c r="C748" s="143" t="s">
        <v>1024</v>
      </c>
      <c r="D748" s="2795"/>
      <c r="E748" s="144"/>
      <c r="F748" s="144"/>
      <c r="G748" s="160">
        <v>1</v>
      </c>
      <c r="H748" s="144"/>
      <c r="I748" s="160"/>
      <c r="J748" s="145"/>
      <c r="K748" s="714"/>
      <c r="L748" s="416"/>
      <c r="M748" s="816" t="s">
        <v>1437</v>
      </c>
      <c r="N748" s="817">
        <v>20</v>
      </c>
      <c r="O748" s="150">
        <f t="shared" si="11"/>
        <v>1</v>
      </c>
      <c r="P748" s="151"/>
      <c r="Q748" s="151"/>
    </row>
    <row r="749" spans="1:17" ht="20.100000000000001" hidden="1" customHeight="1">
      <c r="A749" s="141">
        <v>731</v>
      </c>
      <c r="B749" s="142" t="s">
        <v>1433</v>
      </c>
      <c r="C749" s="143" t="s">
        <v>1024</v>
      </c>
      <c r="D749" s="2795"/>
      <c r="E749" s="144"/>
      <c r="F749" s="160"/>
      <c r="G749" s="144"/>
      <c r="H749" s="144"/>
      <c r="I749" s="144"/>
      <c r="J749" s="145"/>
      <c r="K749" s="812"/>
      <c r="L749" s="539"/>
      <c r="M749" s="717" t="s">
        <v>1029</v>
      </c>
      <c r="N749" s="264" t="s">
        <v>1418</v>
      </c>
      <c r="O749" s="150">
        <f t="shared" si="11"/>
        <v>0</v>
      </c>
      <c r="P749" s="151"/>
      <c r="Q749" s="151"/>
    </row>
    <row r="750" spans="1:17" ht="20.100000000000001" customHeight="1">
      <c r="A750" s="141">
        <v>732</v>
      </c>
      <c r="B750" s="142" t="s">
        <v>1433</v>
      </c>
      <c r="C750" s="143" t="s">
        <v>1024</v>
      </c>
      <c r="D750" s="2795"/>
      <c r="E750" s="160"/>
      <c r="F750" s="144"/>
      <c r="G750" s="144"/>
      <c r="H750" s="144"/>
      <c r="I750" s="144"/>
      <c r="J750" s="145"/>
      <c r="K750" s="770">
        <v>1</v>
      </c>
      <c r="L750" s="418"/>
      <c r="M750" s="818" t="s">
        <v>1102</v>
      </c>
      <c r="N750" s="521">
        <v>-136524.6</v>
      </c>
      <c r="O750" s="150">
        <f t="shared" si="11"/>
        <v>1</v>
      </c>
      <c r="P750" s="151"/>
      <c r="Q750" s="151"/>
    </row>
    <row r="751" spans="1:17" ht="20.100000000000001" customHeight="1">
      <c r="A751" s="141">
        <v>733</v>
      </c>
      <c r="B751" s="142" t="s">
        <v>1433</v>
      </c>
      <c r="C751" s="143" t="s">
        <v>1024</v>
      </c>
      <c r="D751" s="2794"/>
      <c r="E751" s="144"/>
      <c r="F751" s="144"/>
      <c r="G751" s="144"/>
      <c r="H751" s="144"/>
      <c r="I751" s="144"/>
      <c r="J751" s="145"/>
      <c r="K751" s="714">
        <v>1</v>
      </c>
      <c r="L751" s="416"/>
      <c r="M751" s="659" t="s">
        <v>1438</v>
      </c>
      <c r="N751" s="767">
        <v>-600</v>
      </c>
      <c r="O751" s="150">
        <f t="shared" si="11"/>
        <v>1</v>
      </c>
      <c r="P751" s="151"/>
      <c r="Q751" s="151"/>
    </row>
    <row r="752" spans="1:17" ht="20.100000000000001" hidden="1" customHeight="1">
      <c r="A752" s="141">
        <v>734</v>
      </c>
      <c r="B752" s="142" t="s">
        <v>1433</v>
      </c>
      <c r="C752" s="143" t="s">
        <v>1024</v>
      </c>
      <c r="D752" s="182" t="s">
        <v>33</v>
      </c>
      <c r="E752" s="144"/>
      <c r="F752" s="144"/>
      <c r="G752" s="144"/>
      <c r="H752" s="144"/>
      <c r="I752" s="144">
        <v>692</v>
      </c>
      <c r="J752" s="145"/>
      <c r="K752" s="802"/>
      <c r="L752" s="393"/>
      <c r="M752" s="666" t="s">
        <v>35</v>
      </c>
      <c r="N752" s="204">
        <v>1265817.8999999999</v>
      </c>
      <c r="O752" s="150">
        <f t="shared" si="11"/>
        <v>692</v>
      </c>
      <c r="P752" s="151"/>
      <c r="Q752" s="151"/>
    </row>
    <row r="753" spans="1:17" ht="20.100000000000001" hidden="1" customHeight="1">
      <c r="A753" s="141">
        <v>735</v>
      </c>
      <c r="B753" s="142" t="s">
        <v>1433</v>
      </c>
      <c r="C753" s="143" t="s">
        <v>1024</v>
      </c>
      <c r="D753" s="2793" t="s">
        <v>36</v>
      </c>
      <c r="E753" s="144"/>
      <c r="F753" s="144">
        <v>422</v>
      </c>
      <c r="G753" s="144"/>
      <c r="H753" s="144"/>
      <c r="I753" s="348"/>
      <c r="J753" s="282"/>
      <c r="K753" s="795"/>
      <c r="L753" s="544"/>
      <c r="M753" s="666" t="s">
        <v>1439</v>
      </c>
      <c r="N753" s="271"/>
      <c r="O753" s="150">
        <f t="shared" si="11"/>
        <v>422</v>
      </c>
      <c r="P753" s="151"/>
      <c r="Q753" s="151"/>
    </row>
    <row r="754" spans="1:17" ht="20.100000000000001" hidden="1" customHeight="1">
      <c r="A754" s="141">
        <v>736</v>
      </c>
      <c r="B754" s="142" t="s">
        <v>1433</v>
      </c>
      <c r="C754" s="143" t="s">
        <v>1024</v>
      </c>
      <c r="D754" s="2792"/>
      <c r="E754" s="144">
        <v>41</v>
      </c>
      <c r="F754" s="144"/>
      <c r="G754" s="144"/>
      <c r="H754" s="144"/>
      <c r="I754" s="144"/>
      <c r="J754" s="145"/>
      <c r="K754" s="795"/>
      <c r="L754" s="544"/>
      <c r="M754" s="666" t="s">
        <v>1440</v>
      </c>
      <c r="N754" s="271"/>
      <c r="O754" s="150">
        <f t="shared" si="11"/>
        <v>41</v>
      </c>
      <c r="P754" s="151"/>
      <c r="Q754" s="151"/>
    </row>
    <row r="755" spans="1:17" ht="20.100000000000001" customHeight="1">
      <c r="A755" s="141">
        <v>737</v>
      </c>
      <c r="B755" s="142" t="s">
        <v>1433</v>
      </c>
      <c r="C755" s="143" t="s">
        <v>1024</v>
      </c>
      <c r="D755" s="182" t="s">
        <v>38</v>
      </c>
      <c r="E755" s="144"/>
      <c r="F755" s="144"/>
      <c r="G755" s="144"/>
      <c r="H755" s="144"/>
      <c r="I755" s="160"/>
      <c r="J755" s="145"/>
      <c r="K755" s="797">
        <v>4</v>
      </c>
      <c r="L755" s="418" t="s">
        <v>1441</v>
      </c>
      <c r="M755" s="819" t="s">
        <v>1442</v>
      </c>
      <c r="N755" s="320">
        <f>120000+160000+60000+65000</f>
        <v>405000</v>
      </c>
      <c r="O755" s="150">
        <f t="shared" si="11"/>
        <v>4</v>
      </c>
      <c r="P755" s="151"/>
      <c r="Q755" s="151"/>
    </row>
    <row r="756" spans="1:17" ht="20.100000000000001" customHeight="1">
      <c r="A756" s="141">
        <v>738</v>
      </c>
      <c r="B756" s="142" t="s">
        <v>1443</v>
      </c>
      <c r="C756" s="143" t="s">
        <v>1024</v>
      </c>
      <c r="D756" s="2793" t="s">
        <v>1232</v>
      </c>
      <c r="E756" s="144"/>
      <c r="F756" s="144"/>
      <c r="G756" s="144"/>
      <c r="H756" s="144"/>
      <c r="I756" s="144"/>
      <c r="J756" s="145"/>
      <c r="K756" s="795">
        <v>1</v>
      </c>
      <c r="L756" s="544" t="s">
        <v>1444</v>
      </c>
      <c r="M756" s="666" t="s">
        <v>1445</v>
      </c>
      <c r="N756" s="796">
        <v>7000</v>
      </c>
      <c r="O756" s="150">
        <f t="shared" si="11"/>
        <v>1</v>
      </c>
      <c r="P756" s="151"/>
      <c r="Q756" s="151"/>
    </row>
    <row r="757" spans="1:17" ht="20.100000000000001" customHeight="1">
      <c r="A757" s="141">
        <v>739</v>
      </c>
      <c r="B757" s="142" t="s">
        <v>1443</v>
      </c>
      <c r="C757" s="143" t="s">
        <v>1024</v>
      </c>
      <c r="D757" s="2794"/>
      <c r="E757" s="144"/>
      <c r="F757" s="144"/>
      <c r="G757" s="160"/>
      <c r="H757" s="144"/>
      <c r="I757" s="144"/>
      <c r="J757" s="145"/>
      <c r="K757" s="795">
        <v>1</v>
      </c>
      <c r="L757" s="544"/>
      <c r="M757" s="659" t="s">
        <v>1446</v>
      </c>
      <c r="N757" s="271">
        <v>211519.18</v>
      </c>
      <c r="O757" s="150">
        <f t="shared" si="11"/>
        <v>1</v>
      </c>
      <c r="P757" s="151"/>
      <c r="Q757" s="151"/>
    </row>
    <row r="758" spans="1:17" ht="20.100000000000001" customHeight="1">
      <c r="A758" s="141">
        <v>740</v>
      </c>
      <c r="B758" s="142" t="s">
        <v>1443</v>
      </c>
      <c r="C758" s="143" t="s">
        <v>1024</v>
      </c>
      <c r="D758" s="2793" t="s">
        <v>29</v>
      </c>
      <c r="E758" s="144"/>
      <c r="F758" s="144"/>
      <c r="G758" s="160"/>
      <c r="H758" s="144"/>
      <c r="I758" s="144"/>
      <c r="J758" s="145"/>
      <c r="K758" s="820">
        <v>1</v>
      </c>
      <c r="L758" s="705"/>
      <c r="M758" s="821" t="s">
        <v>1447</v>
      </c>
      <c r="N758" s="340">
        <v>20</v>
      </c>
      <c r="O758" s="150">
        <f t="shared" si="11"/>
        <v>1</v>
      </c>
      <c r="P758" s="151"/>
      <c r="Q758" s="151"/>
    </row>
    <row r="759" spans="1:17" ht="20.100000000000001" customHeight="1">
      <c r="A759" s="141">
        <v>741</v>
      </c>
      <c r="B759" s="142" t="s">
        <v>1443</v>
      </c>
      <c r="C759" s="143" t="s">
        <v>1024</v>
      </c>
      <c r="D759" s="2795"/>
      <c r="E759" s="144"/>
      <c r="F759" s="144"/>
      <c r="G759" s="160"/>
      <c r="H759" s="144"/>
      <c r="I759" s="144"/>
      <c r="J759" s="145">
        <v>47</v>
      </c>
      <c r="K759" s="795"/>
      <c r="L759" s="544"/>
      <c r="M759" s="822" t="s">
        <v>1448</v>
      </c>
      <c r="N759" s="271">
        <v>0</v>
      </c>
      <c r="O759" s="150">
        <f t="shared" si="11"/>
        <v>47</v>
      </c>
      <c r="P759" s="151"/>
      <c r="Q759" s="151"/>
    </row>
    <row r="760" spans="1:17" ht="20.100000000000001" hidden="1" customHeight="1">
      <c r="A760" s="141">
        <v>742</v>
      </c>
      <c r="B760" s="142" t="s">
        <v>1443</v>
      </c>
      <c r="C760" s="143" t="s">
        <v>1024</v>
      </c>
      <c r="D760" s="2795"/>
      <c r="E760" s="144"/>
      <c r="F760" s="144"/>
      <c r="G760" s="160"/>
      <c r="H760" s="144"/>
      <c r="I760" s="144"/>
      <c r="J760" s="145"/>
      <c r="K760" s="800"/>
      <c r="L760" s="535"/>
      <c r="M760" s="710" t="s">
        <v>1026</v>
      </c>
      <c r="N760" s="253"/>
      <c r="O760" s="150">
        <f t="shared" si="11"/>
        <v>0</v>
      </c>
      <c r="P760" s="151"/>
      <c r="Q760" s="151"/>
    </row>
    <row r="761" spans="1:17" ht="20.100000000000001" hidden="1" customHeight="1">
      <c r="A761" s="141">
        <v>743</v>
      </c>
      <c r="B761" s="142" t="s">
        <v>1443</v>
      </c>
      <c r="C761" s="143" t="s">
        <v>1024</v>
      </c>
      <c r="D761" s="2795"/>
      <c r="E761" s="144"/>
      <c r="F761" s="144"/>
      <c r="G761" s="160">
        <v>1</v>
      </c>
      <c r="H761" s="144"/>
      <c r="I761" s="144"/>
      <c r="J761" s="145"/>
      <c r="K761" s="795"/>
      <c r="L761" s="544"/>
      <c r="M761" s="666" t="s">
        <v>119</v>
      </c>
      <c r="N761" s="271">
        <v>-3381408.7</v>
      </c>
      <c r="O761" s="150">
        <f t="shared" si="11"/>
        <v>1</v>
      </c>
      <c r="P761" s="151"/>
      <c r="Q761" s="151"/>
    </row>
    <row r="762" spans="1:17" ht="20.100000000000001" hidden="1" customHeight="1">
      <c r="A762" s="141">
        <v>744</v>
      </c>
      <c r="B762" s="142" t="s">
        <v>1443</v>
      </c>
      <c r="C762" s="143" t="s">
        <v>1024</v>
      </c>
      <c r="D762" s="2795"/>
      <c r="E762" s="506"/>
      <c r="F762" s="506"/>
      <c r="G762" s="160">
        <v>1</v>
      </c>
      <c r="H762" s="506"/>
      <c r="I762" s="506"/>
      <c r="J762" s="507"/>
      <c r="K762" s="795"/>
      <c r="L762" s="544"/>
      <c r="M762" s="666" t="s">
        <v>49</v>
      </c>
      <c r="N762" s="271">
        <v>1178429052</v>
      </c>
      <c r="O762" s="150">
        <f t="shared" si="11"/>
        <v>1</v>
      </c>
      <c r="P762" s="151"/>
      <c r="Q762" s="151"/>
    </row>
    <row r="763" spans="1:17" ht="20.100000000000001" hidden="1" customHeight="1">
      <c r="A763" s="141">
        <v>745</v>
      </c>
      <c r="B763" s="142" t="s">
        <v>1443</v>
      </c>
      <c r="C763" s="143" t="s">
        <v>1024</v>
      </c>
      <c r="D763" s="2795"/>
      <c r="E763" s="144"/>
      <c r="F763" s="144"/>
      <c r="G763" s="160">
        <v>1</v>
      </c>
      <c r="H763" s="144"/>
      <c r="I763" s="144"/>
      <c r="J763" s="145"/>
      <c r="K763" s="795"/>
      <c r="L763" s="393"/>
      <c r="M763" s="666" t="s">
        <v>708</v>
      </c>
      <c r="N763" s="271">
        <v>21609.03</v>
      </c>
      <c r="O763" s="150">
        <f t="shared" si="11"/>
        <v>1</v>
      </c>
      <c r="P763" s="151"/>
      <c r="Q763" s="151"/>
    </row>
    <row r="764" spans="1:17" ht="20.100000000000001" hidden="1" customHeight="1">
      <c r="A764" s="141">
        <v>746</v>
      </c>
      <c r="B764" s="142" t="s">
        <v>1443</v>
      </c>
      <c r="C764" s="143" t="s">
        <v>1024</v>
      </c>
      <c r="D764" s="2795"/>
      <c r="E764" s="144"/>
      <c r="F764" s="144"/>
      <c r="G764" s="160">
        <v>1</v>
      </c>
      <c r="H764" s="144"/>
      <c r="I764" s="144"/>
      <c r="J764" s="145"/>
      <c r="K764" s="802"/>
      <c r="L764" s="393"/>
      <c r="M764" s="666" t="s">
        <v>32</v>
      </c>
      <c r="N764" s="267">
        <v>-923506.84</v>
      </c>
      <c r="O764" s="150">
        <f t="shared" si="11"/>
        <v>1</v>
      </c>
      <c r="P764" s="151"/>
      <c r="Q764" s="151"/>
    </row>
    <row r="765" spans="1:17" ht="20.100000000000001" hidden="1" customHeight="1">
      <c r="A765" s="141">
        <v>747</v>
      </c>
      <c r="B765" s="142" t="s">
        <v>1443</v>
      </c>
      <c r="C765" s="143" t="s">
        <v>1024</v>
      </c>
      <c r="D765" s="2795"/>
      <c r="E765" s="144"/>
      <c r="F765" s="144"/>
      <c r="G765" s="160"/>
      <c r="H765" s="144"/>
      <c r="I765" s="144"/>
      <c r="J765" s="145"/>
      <c r="K765" s="812"/>
      <c r="L765" s="539"/>
      <c r="M765" s="813" t="s">
        <v>1028</v>
      </c>
      <c r="N765" s="823"/>
      <c r="O765" s="150">
        <f t="shared" si="11"/>
        <v>0</v>
      </c>
      <c r="P765" s="151"/>
      <c r="Q765" s="151"/>
    </row>
    <row r="766" spans="1:17" ht="20.100000000000001" hidden="1" customHeight="1">
      <c r="A766" s="141">
        <v>748</v>
      </c>
      <c r="B766" s="142" t="s">
        <v>1443</v>
      </c>
      <c r="C766" s="143" t="s">
        <v>1024</v>
      </c>
      <c r="D766" s="2795"/>
      <c r="E766" s="144"/>
      <c r="F766" s="144"/>
      <c r="G766" s="160">
        <v>1</v>
      </c>
      <c r="H766" s="144"/>
      <c r="I766" s="144"/>
      <c r="J766" s="145"/>
      <c r="K766" s="714"/>
      <c r="L766" s="416"/>
      <c r="M766" s="816" t="s">
        <v>1449</v>
      </c>
      <c r="N766" s="518">
        <v>30.5</v>
      </c>
      <c r="O766" s="150">
        <f t="shared" si="11"/>
        <v>1</v>
      </c>
      <c r="P766" s="151"/>
      <c r="Q766" s="151"/>
    </row>
    <row r="767" spans="1:17" ht="20.100000000000001" hidden="1" customHeight="1">
      <c r="A767" s="141">
        <v>749</v>
      </c>
      <c r="B767" s="142" t="s">
        <v>1443</v>
      </c>
      <c r="C767" s="143" t="s">
        <v>1024</v>
      </c>
      <c r="D767" s="2795"/>
      <c r="E767" s="144"/>
      <c r="F767" s="144"/>
      <c r="G767" s="160">
        <v>1</v>
      </c>
      <c r="H767" s="144"/>
      <c r="I767" s="144"/>
      <c r="J767" s="145"/>
      <c r="K767" s="770"/>
      <c r="L767" s="418"/>
      <c r="M767" s="798" t="s">
        <v>1450</v>
      </c>
      <c r="N767" s="317">
        <v>1273713.22</v>
      </c>
      <c r="O767" s="150">
        <f t="shared" si="11"/>
        <v>1</v>
      </c>
      <c r="P767" s="151"/>
      <c r="Q767" s="151"/>
    </row>
    <row r="768" spans="1:17" ht="20.100000000000001" hidden="1" customHeight="1">
      <c r="A768" s="141">
        <v>750</v>
      </c>
      <c r="B768" s="142" t="s">
        <v>1443</v>
      </c>
      <c r="C768" s="143" t="s">
        <v>1024</v>
      </c>
      <c r="D768" s="2795"/>
      <c r="E768" s="144"/>
      <c r="F768" s="144"/>
      <c r="G768" s="824"/>
      <c r="H768" s="144"/>
      <c r="I768" s="144"/>
      <c r="J768" s="145"/>
      <c r="K768" s="812"/>
      <c r="L768" s="539"/>
      <c r="M768" s="717" t="s">
        <v>1029</v>
      </c>
      <c r="N768" s="264"/>
      <c r="O768" s="150">
        <f t="shared" si="11"/>
        <v>0</v>
      </c>
      <c r="P768" s="151"/>
      <c r="Q768" s="151"/>
    </row>
    <row r="769" spans="1:17" ht="20.100000000000001" hidden="1" customHeight="1">
      <c r="A769" s="141">
        <v>751</v>
      </c>
      <c r="B769" s="142" t="s">
        <v>1443</v>
      </c>
      <c r="C769" s="143" t="s">
        <v>1024</v>
      </c>
      <c r="D769" s="2795"/>
      <c r="E769" s="506"/>
      <c r="F769" s="506"/>
      <c r="G769" s="506"/>
      <c r="H769" s="506"/>
      <c r="I769" s="506"/>
      <c r="J769" s="507"/>
      <c r="K769" s="770">
        <v>0</v>
      </c>
      <c r="L769" s="418"/>
      <c r="M769" s="798" t="s">
        <v>167</v>
      </c>
      <c r="N769" s="317">
        <v>0</v>
      </c>
      <c r="O769" s="150">
        <f t="shared" si="11"/>
        <v>0</v>
      </c>
      <c r="P769" s="151"/>
      <c r="Q769" s="151"/>
    </row>
    <row r="770" spans="1:17" ht="20.100000000000001" customHeight="1">
      <c r="A770" s="141">
        <v>752</v>
      </c>
      <c r="B770" s="142" t="s">
        <v>1443</v>
      </c>
      <c r="C770" s="143" t="s">
        <v>1024</v>
      </c>
      <c r="D770" s="2795"/>
      <c r="E770" s="144"/>
      <c r="F770" s="144"/>
      <c r="G770" s="144"/>
      <c r="H770" s="144"/>
      <c r="I770" s="160"/>
      <c r="J770" s="145"/>
      <c r="K770" s="770">
        <v>38</v>
      </c>
      <c r="L770" s="418"/>
      <c r="M770" s="798" t="s">
        <v>1451</v>
      </c>
      <c r="N770" s="317">
        <v>118160.21</v>
      </c>
      <c r="O770" s="150">
        <f t="shared" si="11"/>
        <v>38</v>
      </c>
      <c r="P770" s="151"/>
      <c r="Q770" s="151"/>
    </row>
    <row r="771" spans="1:17" ht="20.100000000000001" customHeight="1">
      <c r="A771" s="141">
        <v>753</v>
      </c>
      <c r="B771" s="142" t="s">
        <v>1443</v>
      </c>
      <c r="C771" s="143" t="s">
        <v>1024</v>
      </c>
      <c r="D771" s="2794"/>
      <c r="E771" s="144"/>
      <c r="F771" s="160"/>
      <c r="G771" s="144"/>
      <c r="H771" s="144"/>
      <c r="I771" s="144"/>
      <c r="J771" s="145"/>
      <c r="K771" s="715">
        <v>1</v>
      </c>
      <c r="L771" s="220"/>
      <c r="M771" s="718" t="s">
        <v>1452</v>
      </c>
      <c r="N771" s="523">
        <v>6.32</v>
      </c>
      <c r="O771" s="150">
        <f t="shared" si="11"/>
        <v>1</v>
      </c>
      <c r="P771" s="151"/>
      <c r="Q771" s="151"/>
    </row>
    <row r="772" spans="1:17" ht="20.100000000000001" customHeight="1">
      <c r="A772" s="141">
        <v>754</v>
      </c>
      <c r="B772" s="142" t="s">
        <v>1443</v>
      </c>
      <c r="C772" s="143" t="s">
        <v>1024</v>
      </c>
      <c r="D772" s="182" t="s">
        <v>1105</v>
      </c>
      <c r="E772" s="144"/>
      <c r="F772" s="144"/>
      <c r="G772" s="144"/>
      <c r="H772" s="144"/>
      <c r="I772" s="144"/>
      <c r="J772" s="145"/>
      <c r="K772" s="715">
        <v>24</v>
      </c>
      <c r="L772" s="220">
        <v>11</v>
      </c>
      <c r="M772" s="825" t="s">
        <v>1061</v>
      </c>
      <c r="N772" s="826">
        <v>601495.81000000006</v>
      </c>
      <c r="O772" s="150">
        <f t="shared" si="11"/>
        <v>24</v>
      </c>
      <c r="P772" s="151"/>
      <c r="Q772" s="151"/>
    </row>
    <row r="773" spans="1:17" ht="20.100000000000001" hidden="1" customHeight="1">
      <c r="A773" s="141">
        <v>755</v>
      </c>
      <c r="B773" s="142" t="s">
        <v>1443</v>
      </c>
      <c r="C773" s="143" t="s">
        <v>1024</v>
      </c>
      <c r="D773" s="2793" t="s">
        <v>33</v>
      </c>
      <c r="E773" s="144"/>
      <c r="F773" s="144"/>
      <c r="G773" s="144"/>
      <c r="H773" s="144"/>
      <c r="I773" s="144"/>
      <c r="J773" s="145"/>
      <c r="K773" s="715"/>
      <c r="L773" s="220"/>
      <c r="M773" s="670" t="s">
        <v>34</v>
      </c>
      <c r="N773" s="222">
        <v>0</v>
      </c>
      <c r="O773" s="150">
        <f t="shared" si="11"/>
        <v>0</v>
      </c>
      <c r="P773" s="151"/>
      <c r="Q773" s="151"/>
    </row>
    <row r="774" spans="1:17" ht="20.100000000000001" hidden="1" customHeight="1">
      <c r="A774" s="141">
        <v>756</v>
      </c>
      <c r="B774" s="142" t="s">
        <v>1443</v>
      </c>
      <c r="C774" s="143" t="s">
        <v>1024</v>
      </c>
      <c r="D774" s="2794"/>
      <c r="E774" s="144"/>
      <c r="F774" s="144"/>
      <c r="G774" s="144"/>
      <c r="H774" s="144"/>
      <c r="I774" s="144">
        <v>1514</v>
      </c>
      <c r="J774" s="145"/>
      <c r="K774" s="795"/>
      <c r="L774" s="416"/>
      <c r="M774" s="666" t="s">
        <v>35</v>
      </c>
      <c r="N774" s="827">
        <v>11987860.35</v>
      </c>
      <c r="O774" s="150">
        <f t="shared" si="11"/>
        <v>1514</v>
      </c>
      <c r="P774" s="151"/>
      <c r="Q774" s="151"/>
    </row>
    <row r="775" spans="1:17" ht="20.100000000000001" hidden="1" customHeight="1">
      <c r="A775" s="141">
        <v>757</v>
      </c>
      <c r="B775" s="142" t="s">
        <v>1443</v>
      </c>
      <c r="C775" s="143" t="s">
        <v>1024</v>
      </c>
      <c r="D775" s="2793" t="s">
        <v>36</v>
      </c>
      <c r="E775" s="144"/>
      <c r="F775" s="144">
        <v>539</v>
      </c>
      <c r="G775" s="144"/>
      <c r="H775" s="144"/>
      <c r="I775" s="144"/>
      <c r="J775" s="145"/>
      <c r="K775" s="795"/>
      <c r="L775" s="416"/>
      <c r="M775" s="666" t="s">
        <v>1453</v>
      </c>
      <c r="N775" s="267">
        <v>0</v>
      </c>
      <c r="O775" s="150">
        <f t="shared" si="11"/>
        <v>539</v>
      </c>
      <c r="P775" s="151"/>
      <c r="Q775" s="151"/>
    </row>
    <row r="776" spans="1:17" ht="20.100000000000001" hidden="1" customHeight="1">
      <c r="A776" s="141">
        <v>758</v>
      </c>
      <c r="B776" s="142" t="s">
        <v>1443</v>
      </c>
      <c r="C776" s="143" t="s">
        <v>1024</v>
      </c>
      <c r="D776" s="2792"/>
      <c r="E776" s="144">
        <v>506</v>
      </c>
      <c r="F776" s="144"/>
      <c r="G776" s="144"/>
      <c r="H776" s="144"/>
      <c r="I776" s="144"/>
      <c r="J776" s="145"/>
      <c r="K776" s="795"/>
      <c r="L776" s="416"/>
      <c r="M776" s="666" t="s">
        <v>1454</v>
      </c>
      <c r="N776" s="250">
        <v>0</v>
      </c>
      <c r="O776" s="150">
        <f t="shared" si="11"/>
        <v>506</v>
      </c>
      <c r="P776" s="151"/>
      <c r="Q776" s="151"/>
    </row>
    <row r="777" spans="1:17" ht="20.100000000000001" customHeight="1">
      <c r="A777" s="141"/>
      <c r="B777" s="142" t="s">
        <v>1443</v>
      </c>
      <c r="C777" s="143" t="s">
        <v>1024</v>
      </c>
      <c r="D777" s="2793" t="s">
        <v>38</v>
      </c>
      <c r="E777" s="144"/>
      <c r="F777" s="144"/>
      <c r="G777" s="144"/>
      <c r="H777" s="144"/>
      <c r="I777" s="144"/>
      <c r="J777" s="145"/>
      <c r="K777" s="802">
        <v>1</v>
      </c>
      <c r="L777" s="393" t="s">
        <v>100</v>
      </c>
      <c r="M777" s="686" t="s">
        <v>1455</v>
      </c>
      <c r="N777" s="828">
        <v>100000</v>
      </c>
      <c r="O777" s="150">
        <f t="shared" si="11"/>
        <v>1</v>
      </c>
      <c r="P777" s="151"/>
      <c r="Q777" s="151"/>
    </row>
    <row r="778" spans="1:17" ht="20.100000000000001" customHeight="1">
      <c r="A778" s="141">
        <v>760</v>
      </c>
      <c r="B778" s="142" t="s">
        <v>1443</v>
      </c>
      <c r="C778" s="143" t="s">
        <v>1024</v>
      </c>
      <c r="D778" s="2795"/>
      <c r="E778" s="144"/>
      <c r="F778" s="144"/>
      <c r="G778" s="160"/>
      <c r="H778" s="144"/>
      <c r="I778" s="144"/>
      <c r="J778" s="145"/>
      <c r="K778" s="802">
        <v>1</v>
      </c>
      <c r="L778" s="393" t="s">
        <v>100</v>
      </c>
      <c r="M778" s="686" t="s">
        <v>1455</v>
      </c>
      <c r="N778" s="828">
        <v>138000</v>
      </c>
      <c r="O778" s="150">
        <f t="shared" si="11"/>
        <v>1</v>
      </c>
      <c r="P778" s="151"/>
      <c r="Q778" s="151"/>
    </row>
    <row r="779" spans="1:17" ht="20.100000000000001" customHeight="1">
      <c r="A779" s="141">
        <v>761</v>
      </c>
      <c r="B779" s="142" t="s">
        <v>1443</v>
      </c>
      <c r="C779" s="143" t="s">
        <v>1024</v>
      </c>
      <c r="D779" s="2795"/>
      <c r="E779" s="144"/>
      <c r="F779" s="144"/>
      <c r="G779" s="160"/>
      <c r="H779" s="144"/>
      <c r="I779" s="144"/>
      <c r="J779" s="145"/>
      <c r="K779" s="802">
        <v>1</v>
      </c>
      <c r="L779" s="393" t="s">
        <v>221</v>
      </c>
      <c r="M779" s="686" t="s">
        <v>1456</v>
      </c>
      <c r="N779" s="828">
        <v>14000</v>
      </c>
      <c r="O779" s="150">
        <f t="shared" si="11"/>
        <v>1</v>
      </c>
      <c r="P779" s="151"/>
      <c r="Q779" s="151"/>
    </row>
    <row r="780" spans="1:17" ht="20.100000000000001" customHeight="1">
      <c r="A780" s="141">
        <v>762</v>
      </c>
      <c r="B780" s="142" t="s">
        <v>1443</v>
      </c>
      <c r="C780" s="143" t="s">
        <v>1024</v>
      </c>
      <c r="D780" s="2795"/>
      <c r="E780" s="144"/>
      <c r="F780" s="144"/>
      <c r="G780" s="160"/>
      <c r="H780" s="144"/>
      <c r="I780" s="144"/>
      <c r="J780" s="145"/>
      <c r="K780" s="802">
        <v>1</v>
      </c>
      <c r="L780" s="393" t="s">
        <v>234</v>
      </c>
      <c r="M780" s="686" t="s">
        <v>1457</v>
      </c>
      <c r="N780" s="828">
        <v>28000</v>
      </c>
      <c r="O780" s="150">
        <f t="shared" si="11"/>
        <v>1</v>
      </c>
      <c r="P780" s="151"/>
      <c r="Q780" s="151"/>
    </row>
    <row r="781" spans="1:17" ht="20.100000000000001" customHeight="1">
      <c r="A781" s="141">
        <v>763</v>
      </c>
      <c r="B781" s="142" t="s">
        <v>1443</v>
      </c>
      <c r="C781" s="143" t="s">
        <v>1024</v>
      </c>
      <c r="D781" s="2795"/>
      <c r="E781" s="144"/>
      <c r="F781" s="144"/>
      <c r="G781" s="144"/>
      <c r="H781" s="144"/>
      <c r="I781" s="144"/>
      <c r="J781" s="145"/>
      <c r="K781" s="802">
        <v>1</v>
      </c>
      <c r="L781" s="393" t="s">
        <v>98</v>
      </c>
      <c r="M781" s="686" t="s">
        <v>1458</v>
      </c>
      <c r="N781" s="828">
        <v>610166.28</v>
      </c>
      <c r="O781" s="150">
        <f t="shared" si="11"/>
        <v>1</v>
      </c>
      <c r="P781" s="151"/>
      <c r="Q781" s="151"/>
    </row>
    <row r="782" spans="1:17" ht="20.100000000000001" customHeight="1">
      <c r="A782" s="141">
        <v>764</v>
      </c>
      <c r="B782" s="142" t="s">
        <v>1443</v>
      </c>
      <c r="C782" s="143" t="s">
        <v>1024</v>
      </c>
      <c r="D782" s="2794"/>
      <c r="E782" s="144"/>
      <c r="F782" s="144"/>
      <c r="G782" s="144"/>
      <c r="H782" s="144"/>
      <c r="I782" s="144"/>
      <c r="J782" s="145"/>
      <c r="K782" s="802">
        <v>1</v>
      </c>
      <c r="L782" s="393" t="s">
        <v>318</v>
      </c>
      <c r="M782" s="686" t="s">
        <v>1459</v>
      </c>
      <c r="N782" s="828">
        <v>200000</v>
      </c>
      <c r="O782" s="150">
        <f t="shared" si="11"/>
        <v>1</v>
      </c>
      <c r="P782" s="151"/>
      <c r="Q782" s="151"/>
    </row>
    <row r="783" spans="1:17" ht="20.100000000000001" customHeight="1">
      <c r="A783" s="141">
        <v>765</v>
      </c>
      <c r="B783" s="142" t="s">
        <v>1460</v>
      </c>
      <c r="C783" s="143" t="s">
        <v>1024</v>
      </c>
      <c r="D783" s="182" t="s">
        <v>1232</v>
      </c>
      <c r="E783" s="144"/>
      <c r="F783" s="144"/>
      <c r="G783" s="144"/>
      <c r="H783" s="144"/>
      <c r="I783" s="144"/>
      <c r="J783" s="145"/>
      <c r="K783" s="776">
        <v>1</v>
      </c>
      <c r="L783" s="153"/>
      <c r="M783" s="777" t="s">
        <v>1461</v>
      </c>
      <c r="N783" s="181">
        <v>25963.87</v>
      </c>
      <c r="O783" s="150">
        <f t="shared" si="11"/>
        <v>1</v>
      </c>
      <c r="P783" s="151"/>
      <c r="Q783" s="151"/>
    </row>
    <row r="784" spans="1:17" ht="20.100000000000001" hidden="1" customHeight="1">
      <c r="A784" s="141">
        <v>766</v>
      </c>
      <c r="B784" s="142" t="s">
        <v>1460</v>
      </c>
      <c r="C784" s="143" t="s">
        <v>1024</v>
      </c>
      <c r="D784" s="2793" t="s">
        <v>29</v>
      </c>
      <c r="E784" s="144"/>
      <c r="F784" s="144"/>
      <c r="G784" s="144"/>
      <c r="H784" s="144"/>
      <c r="I784" s="144"/>
      <c r="J784" s="145"/>
      <c r="K784" s="778"/>
      <c r="L784" s="157"/>
      <c r="M784" s="829" t="s">
        <v>1026</v>
      </c>
      <c r="N784" s="159"/>
      <c r="O784" s="150">
        <f t="shared" si="11"/>
        <v>0</v>
      </c>
      <c r="P784" s="151"/>
      <c r="Q784" s="151"/>
    </row>
    <row r="785" spans="1:17" ht="20.100000000000001" hidden="1" customHeight="1">
      <c r="A785" s="141">
        <v>767</v>
      </c>
      <c r="B785" s="142" t="s">
        <v>1460</v>
      </c>
      <c r="C785" s="143" t="s">
        <v>1024</v>
      </c>
      <c r="D785" s="2795"/>
      <c r="E785" s="144"/>
      <c r="F785" s="144"/>
      <c r="G785" s="160">
        <v>1</v>
      </c>
      <c r="H785" s="160"/>
      <c r="I785" s="144"/>
      <c r="J785" s="145"/>
      <c r="K785" s="776"/>
      <c r="L785" s="147"/>
      <c r="M785" s="781" t="s">
        <v>119</v>
      </c>
      <c r="N785" s="830">
        <v>-2187303.89</v>
      </c>
      <c r="O785" s="150">
        <f t="shared" si="11"/>
        <v>1</v>
      </c>
      <c r="P785" s="151"/>
      <c r="Q785" s="151"/>
    </row>
    <row r="786" spans="1:17" ht="20.100000000000001" hidden="1" customHeight="1">
      <c r="A786" s="141">
        <v>768</v>
      </c>
      <c r="B786" s="142" t="s">
        <v>1460</v>
      </c>
      <c r="C786" s="143" t="s">
        <v>1024</v>
      </c>
      <c r="D786" s="2795"/>
      <c r="E786" s="144"/>
      <c r="F786" s="144"/>
      <c r="G786" s="160">
        <v>1</v>
      </c>
      <c r="H786" s="144"/>
      <c r="I786" s="160"/>
      <c r="J786" s="145"/>
      <c r="K786" s="780"/>
      <c r="L786" s="153"/>
      <c r="M786" s="781" t="s">
        <v>49</v>
      </c>
      <c r="N786" s="830">
        <v>-1213365.8899999999</v>
      </c>
      <c r="O786" s="150">
        <f t="shared" si="11"/>
        <v>1</v>
      </c>
      <c r="P786" s="151"/>
      <c r="Q786" s="151"/>
    </row>
    <row r="787" spans="1:17" ht="20.100000000000001" hidden="1" customHeight="1">
      <c r="A787" s="141">
        <v>769</v>
      </c>
      <c r="B787" s="142" t="s">
        <v>1460</v>
      </c>
      <c r="C787" s="143" t="s">
        <v>1024</v>
      </c>
      <c r="D787" s="2795"/>
      <c r="E787" s="144"/>
      <c r="F787" s="144"/>
      <c r="G787" s="160">
        <v>1</v>
      </c>
      <c r="H787" s="144"/>
      <c r="I787" s="144"/>
      <c r="J787" s="145"/>
      <c r="K787" s="831"/>
      <c r="L787" s="179"/>
      <c r="M787" s="781" t="s">
        <v>891</v>
      </c>
      <c r="N787" s="832">
        <v>1095.42</v>
      </c>
      <c r="O787" s="150">
        <f t="shared" si="11"/>
        <v>1</v>
      </c>
      <c r="P787" s="151"/>
      <c r="Q787" s="151"/>
    </row>
    <row r="788" spans="1:17" ht="20.100000000000001" hidden="1" customHeight="1">
      <c r="A788" s="141">
        <v>770</v>
      </c>
      <c r="B788" s="142" t="s">
        <v>1460</v>
      </c>
      <c r="C788" s="143" t="s">
        <v>1024</v>
      </c>
      <c r="D788" s="2795"/>
      <c r="E788" s="833"/>
      <c r="F788" s="170"/>
      <c r="G788" s="160">
        <v>1</v>
      </c>
      <c r="H788" s="144"/>
      <c r="I788" s="144"/>
      <c r="J788" s="145"/>
      <c r="K788" s="831"/>
      <c r="L788" s="179"/>
      <c r="M788" s="781" t="s">
        <v>1462</v>
      </c>
      <c r="N788" s="834">
        <v>18.5</v>
      </c>
      <c r="O788" s="150">
        <f t="shared" si="11"/>
        <v>1</v>
      </c>
      <c r="P788" s="151"/>
      <c r="Q788" s="151"/>
    </row>
    <row r="789" spans="1:17" ht="20.100000000000001" hidden="1" customHeight="1">
      <c r="A789" s="141">
        <v>771</v>
      </c>
      <c r="B789" s="142" t="s">
        <v>1460</v>
      </c>
      <c r="C789" s="143" t="s">
        <v>1024</v>
      </c>
      <c r="D789" s="2795"/>
      <c r="E789" s="160"/>
      <c r="F789" s="144"/>
      <c r="G789" s="144"/>
      <c r="H789" s="144"/>
      <c r="I789" s="144"/>
      <c r="J789" s="145"/>
      <c r="K789" s="835"/>
      <c r="L789" s="167"/>
      <c r="M789" s="836" t="s">
        <v>1029</v>
      </c>
      <c r="N789" s="177"/>
      <c r="O789" s="150">
        <f t="shared" ref="O789:O852" si="12">E789+F789+G789+H789+I789+J789+K789</f>
        <v>0</v>
      </c>
      <c r="P789" s="151"/>
      <c r="Q789" s="151"/>
    </row>
    <row r="790" spans="1:17" ht="20.100000000000001" customHeight="1">
      <c r="A790" s="141">
        <v>772</v>
      </c>
      <c r="B790" s="142" t="s">
        <v>1460</v>
      </c>
      <c r="C790" s="143" t="s">
        <v>1024</v>
      </c>
      <c r="D790" s="2795"/>
      <c r="E790" s="587"/>
      <c r="F790" s="587"/>
      <c r="G790" s="587"/>
      <c r="H790" s="587"/>
      <c r="I790" s="587"/>
      <c r="J790" s="588"/>
      <c r="K790" s="831">
        <v>1</v>
      </c>
      <c r="L790" s="179"/>
      <c r="M790" s="837" t="s">
        <v>167</v>
      </c>
      <c r="N790" s="838">
        <v>-32262.93</v>
      </c>
      <c r="O790" s="150">
        <f t="shared" si="12"/>
        <v>1</v>
      </c>
      <c r="P790" s="151"/>
      <c r="Q790" s="151"/>
    </row>
    <row r="791" spans="1:17" ht="20.100000000000001" hidden="1" customHeight="1">
      <c r="A791" s="141">
        <v>773</v>
      </c>
      <c r="B791" s="142" t="s">
        <v>1460</v>
      </c>
      <c r="C791" s="143" t="s">
        <v>1024</v>
      </c>
      <c r="D791" s="2795"/>
      <c r="E791" s="591"/>
      <c r="F791" s="591"/>
      <c r="G791" s="591"/>
      <c r="H791" s="591"/>
      <c r="I791" s="591"/>
      <c r="J791" s="592"/>
      <c r="K791" s="839"/>
      <c r="L791" s="459"/>
      <c r="M791" s="840" t="s">
        <v>1028</v>
      </c>
      <c r="N791" s="325"/>
      <c r="O791" s="150">
        <f t="shared" si="12"/>
        <v>0</v>
      </c>
      <c r="P791" s="151"/>
      <c r="Q791" s="151"/>
    </row>
    <row r="792" spans="1:17" ht="20.100000000000001" hidden="1" customHeight="1">
      <c r="A792" s="141">
        <v>774</v>
      </c>
      <c r="B792" s="142" t="s">
        <v>1460</v>
      </c>
      <c r="C792" s="143" t="s">
        <v>1024</v>
      </c>
      <c r="D792" s="2794"/>
      <c r="E792" s="587"/>
      <c r="F792" s="587"/>
      <c r="G792" s="160">
        <v>1</v>
      </c>
      <c r="H792" s="587"/>
      <c r="I792" s="587"/>
      <c r="J792" s="588"/>
      <c r="K792" s="831"/>
      <c r="L792" s="179"/>
      <c r="M792" s="837" t="s">
        <v>945</v>
      </c>
      <c r="N792" s="186">
        <v>18.5</v>
      </c>
      <c r="O792" s="150">
        <f t="shared" si="12"/>
        <v>1</v>
      </c>
      <c r="P792" s="151"/>
      <c r="Q792" s="151"/>
    </row>
    <row r="793" spans="1:17" ht="20.100000000000001" customHeight="1">
      <c r="A793" s="141">
        <v>775</v>
      </c>
      <c r="B793" s="142" t="s">
        <v>1460</v>
      </c>
      <c r="C793" s="143" t="s">
        <v>1024</v>
      </c>
      <c r="D793" s="182" t="s">
        <v>1105</v>
      </c>
      <c r="E793" s="587"/>
      <c r="F793" s="587"/>
      <c r="G793" s="160"/>
      <c r="H793" s="587"/>
      <c r="I793" s="587"/>
      <c r="J793" s="588"/>
      <c r="K793" s="831">
        <v>2</v>
      </c>
      <c r="L793" s="179"/>
      <c r="M793" s="791" t="s">
        <v>1061</v>
      </c>
      <c r="N793" s="186">
        <v>21651.22</v>
      </c>
      <c r="O793" s="150">
        <f t="shared" si="12"/>
        <v>2</v>
      </c>
      <c r="P793" s="151"/>
      <c r="Q793" s="151"/>
    </row>
    <row r="794" spans="1:17" ht="20.100000000000001" hidden="1" customHeight="1">
      <c r="A794" s="141">
        <v>776</v>
      </c>
      <c r="B794" s="142" t="s">
        <v>1460</v>
      </c>
      <c r="C794" s="143" t="s">
        <v>1024</v>
      </c>
      <c r="D794" s="2793" t="s">
        <v>33</v>
      </c>
      <c r="E794" s="587"/>
      <c r="F794" s="587"/>
      <c r="G794" s="160"/>
      <c r="H794" s="587">
        <v>635</v>
      </c>
      <c r="I794" s="587"/>
      <c r="J794" s="588"/>
      <c r="K794" s="831"/>
      <c r="L794" s="179"/>
      <c r="M794" s="841" t="s">
        <v>34</v>
      </c>
      <c r="N794" s="186">
        <v>0</v>
      </c>
      <c r="O794" s="150">
        <f t="shared" si="12"/>
        <v>635</v>
      </c>
      <c r="P794" s="151"/>
      <c r="Q794" s="151"/>
    </row>
    <row r="795" spans="1:17" ht="20.100000000000001" hidden="1" customHeight="1">
      <c r="A795" s="141">
        <v>777</v>
      </c>
      <c r="B795" s="142" t="s">
        <v>1460</v>
      </c>
      <c r="C795" s="143" t="s">
        <v>1024</v>
      </c>
      <c r="D795" s="2794"/>
      <c r="E795" s="587"/>
      <c r="F795" s="587"/>
      <c r="G795" s="160"/>
      <c r="H795" s="587"/>
      <c r="I795" s="587">
        <v>2047</v>
      </c>
      <c r="J795" s="588"/>
      <c r="K795" s="780"/>
      <c r="L795" s="153"/>
      <c r="M795" s="841" t="s">
        <v>35</v>
      </c>
      <c r="N795" s="637">
        <v>805616.92</v>
      </c>
      <c r="O795" s="150">
        <f t="shared" si="12"/>
        <v>2047</v>
      </c>
      <c r="P795" s="151"/>
      <c r="Q795" s="151"/>
    </row>
    <row r="796" spans="1:17" ht="20.100000000000001" customHeight="1">
      <c r="A796" s="141">
        <v>778</v>
      </c>
      <c r="B796" s="142" t="s">
        <v>1460</v>
      </c>
      <c r="C796" s="143" t="s">
        <v>1024</v>
      </c>
      <c r="D796" s="182" t="s">
        <v>195</v>
      </c>
      <c r="E796" s="587"/>
      <c r="F796" s="587"/>
      <c r="G796" s="160"/>
      <c r="H796" s="587"/>
      <c r="I796" s="587"/>
      <c r="J796" s="588"/>
      <c r="K796" s="780">
        <v>1</v>
      </c>
      <c r="L796" s="153"/>
      <c r="M796" s="842" t="s">
        <v>196</v>
      </c>
      <c r="N796" s="155">
        <v>0</v>
      </c>
      <c r="O796" s="150">
        <f t="shared" si="12"/>
        <v>1</v>
      </c>
      <c r="P796" s="151"/>
      <c r="Q796" s="151"/>
    </row>
    <row r="797" spans="1:17" ht="20.100000000000001" hidden="1" customHeight="1">
      <c r="A797" s="141">
        <v>779</v>
      </c>
      <c r="B797" s="142" t="s">
        <v>1460</v>
      </c>
      <c r="C797" s="143" t="s">
        <v>1024</v>
      </c>
      <c r="D797" s="2793" t="s">
        <v>36</v>
      </c>
      <c r="E797" s="587"/>
      <c r="F797" s="587">
        <v>224</v>
      </c>
      <c r="G797" s="587"/>
      <c r="H797" s="587"/>
      <c r="I797" s="587"/>
      <c r="J797" s="588"/>
      <c r="K797" s="776"/>
      <c r="L797" s="153"/>
      <c r="M797" s="843" t="s">
        <v>1463</v>
      </c>
      <c r="N797" s="155"/>
      <c r="O797" s="150">
        <f t="shared" si="12"/>
        <v>224</v>
      </c>
      <c r="P797" s="151"/>
      <c r="Q797" s="151"/>
    </row>
    <row r="798" spans="1:17" ht="20.100000000000001" hidden="1" customHeight="1">
      <c r="A798" s="141">
        <v>780</v>
      </c>
      <c r="B798" s="142" t="s">
        <v>1460</v>
      </c>
      <c r="C798" s="143" t="s">
        <v>1024</v>
      </c>
      <c r="D798" s="2792"/>
      <c r="E798" s="587">
        <v>206</v>
      </c>
      <c r="F798" s="587"/>
      <c r="G798" s="160"/>
      <c r="H798" s="587"/>
      <c r="I798" s="587"/>
      <c r="J798" s="588"/>
      <c r="K798" s="776"/>
      <c r="L798" s="153"/>
      <c r="M798" s="781" t="s">
        <v>1464</v>
      </c>
      <c r="N798" s="181">
        <v>0</v>
      </c>
      <c r="O798" s="150">
        <f t="shared" si="12"/>
        <v>206</v>
      </c>
      <c r="P798" s="151"/>
      <c r="Q798" s="151"/>
    </row>
    <row r="799" spans="1:17" ht="20.100000000000001" customHeight="1">
      <c r="A799" s="141">
        <v>781</v>
      </c>
      <c r="B799" s="142" t="s">
        <v>1465</v>
      </c>
      <c r="C799" s="143" t="s">
        <v>1024</v>
      </c>
      <c r="D799" s="2793" t="s">
        <v>1184</v>
      </c>
      <c r="E799" s="587"/>
      <c r="F799" s="587"/>
      <c r="G799" s="587"/>
      <c r="H799" s="587"/>
      <c r="I799" s="587"/>
      <c r="J799" s="588"/>
      <c r="K799" s="844">
        <v>1</v>
      </c>
      <c r="L799" s="845"/>
      <c r="M799" s="846" t="s">
        <v>1466</v>
      </c>
      <c r="N799" s="463">
        <v>-3800</v>
      </c>
      <c r="O799" s="150">
        <f t="shared" si="12"/>
        <v>1</v>
      </c>
      <c r="P799" s="151"/>
      <c r="Q799" s="151"/>
    </row>
    <row r="800" spans="1:17" ht="20.100000000000001" customHeight="1">
      <c r="A800" s="141">
        <v>782</v>
      </c>
      <c r="B800" s="142" t="s">
        <v>1465</v>
      </c>
      <c r="C800" s="143" t="s">
        <v>1024</v>
      </c>
      <c r="D800" s="2794"/>
      <c r="E800" s="587"/>
      <c r="F800" s="587"/>
      <c r="G800" s="587"/>
      <c r="H800" s="587"/>
      <c r="I800" s="587"/>
      <c r="J800" s="588"/>
      <c r="K800" s="847">
        <v>2</v>
      </c>
      <c r="L800" s="848" t="s">
        <v>741</v>
      </c>
      <c r="M800" s="849" t="s">
        <v>1467</v>
      </c>
      <c r="N800" s="457">
        <v>331459</v>
      </c>
      <c r="O800" s="150">
        <f t="shared" si="12"/>
        <v>2</v>
      </c>
      <c r="P800" s="151"/>
      <c r="Q800" s="151"/>
    </row>
    <row r="801" spans="1:17" ht="20.100000000000001" hidden="1" customHeight="1">
      <c r="A801" s="141">
        <v>783</v>
      </c>
      <c r="B801" s="142" t="s">
        <v>1465</v>
      </c>
      <c r="C801" s="143" t="s">
        <v>1024</v>
      </c>
      <c r="D801" s="2793" t="s">
        <v>29</v>
      </c>
      <c r="E801" s="587"/>
      <c r="F801" s="587"/>
      <c r="G801" s="587"/>
      <c r="H801" s="587"/>
      <c r="I801" s="587"/>
      <c r="J801" s="588"/>
      <c r="K801" s="850"/>
      <c r="L801" s="851"/>
      <c r="M801" s="852" t="s">
        <v>1026</v>
      </c>
      <c r="N801" s="853"/>
      <c r="O801" s="150">
        <f t="shared" si="12"/>
        <v>0</v>
      </c>
      <c r="P801" s="151"/>
      <c r="Q801" s="151"/>
    </row>
    <row r="802" spans="1:17" ht="20.100000000000001" hidden="1" customHeight="1">
      <c r="A802" s="141">
        <v>784</v>
      </c>
      <c r="B802" s="142" t="s">
        <v>1465</v>
      </c>
      <c r="C802" s="143" t="s">
        <v>1024</v>
      </c>
      <c r="D802" s="2795"/>
      <c r="E802" s="591"/>
      <c r="F802" s="591"/>
      <c r="G802" s="160">
        <v>1</v>
      </c>
      <c r="H802" s="591"/>
      <c r="I802" s="591"/>
      <c r="J802" s="592"/>
      <c r="K802" s="844"/>
      <c r="L802" s="845"/>
      <c r="M802" s="846" t="s">
        <v>119</v>
      </c>
      <c r="N802" s="463">
        <v>-4087983.12</v>
      </c>
      <c r="O802" s="150">
        <f t="shared" si="12"/>
        <v>1</v>
      </c>
      <c r="P802" s="151"/>
      <c r="Q802" s="151"/>
    </row>
    <row r="803" spans="1:17" ht="20.100000000000001" hidden="1" customHeight="1">
      <c r="A803" s="141">
        <v>785</v>
      </c>
      <c r="B803" s="142" t="s">
        <v>1465</v>
      </c>
      <c r="C803" s="143" t="s">
        <v>1024</v>
      </c>
      <c r="D803" s="2795"/>
      <c r="E803" s="591"/>
      <c r="F803" s="591"/>
      <c r="G803" s="160">
        <v>1</v>
      </c>
      <c r="H803" s="591"/>
      <c r="I803" s="591"/>
      <c r="J803" s="592"/>
      <c r="K803" s="844"/>
      <c r="L803" s="845"/>
      <c r="M803" s="846" t="s">
        <v>49</v>
      </c>
      <c r="N803" s="463">
        <v>-345754971.5</v>
      </c>
      <c r="O803" s="150">
        <f t="shared" si="12"/>
        <v>1</v>
      </c>
      <c r="P803" s="151"/>
      <c r="Q803" s="151"/>
    </row>
    <row r="804" spans="1:17" ht="20.100000000000001" hidden="1" customHeight="1">
      <c r="A804" s="141">
        <v>786</v>
      </c>
      <c r="B804" s="142" t="s">
        <v>1465</v>
      </c>
      <c r="C804" s="143" t="s">
        <v>1024</v>
      </c>
      <c r="D804" s="2795"/>
      <c r="E804" s="591"/>
      <c r="F804" s="591"/>
      <c r="G804" s="160">
        <v>1</v>
      </c>
      <c r="H804" s="591"/>
      <c r="I804" s="591"/>
      <c r="J804" s="592"/>
      <c r="K804" s="844"/>
      <c r="L804" s="845"/>
      <c r="M804" s="846" t="s">
        <v>32</v>
      </c>
      <c r="N804" s="463">
        <v>669376.61</v>
      </c>
      <c r="O804" s="150">
        <f t="shared" si="12"/>
        <v>1</v>
      </c>
      <c r="P804" s="151"/>
      <c r="Q804" s="151"/>
    </row>
    <row r="805" spans="1:17" ht="20.100000000000001" hidden="1" customHeight="1">
      <c r="A805" s="141">
        <v>787</v>
      </c>
      <c r="B805" s="142" t="s">
        <v>1465</v>
      </c>
      <c r="C805" s="143" t="s">
        <v>1024</v>
      </c>
      <c r="D805" s="2795"/>
      <c r="E805" s="587"/>
      <c r="F805" s="587"/>
      <c r="G805" s="160">
        <v>1</v>
      </c>
      <c r="H805" s="160"/>
      <c r="I805" s="587"/>
      <c r="J805" s="588"/>
      <c r="K805" s="854"/>
      <c r="L805" s="855" t="s">
        <v>741</v>
      </c>
      <c r="M805" s="856" t="s">
        <v>1468</v>
      </c>
      <c r="N805" s="857">
        <v>2040600.5</v>
      </c>
      <c r="O805" s="150">
        <f t="shared" si="12"/>
        <v>1</v>
      </c>
      <c r="P805" s="151"/>
      <c r="Q805" s="151"/>
    </row>
    <row r="806" spans="1:17" ht="20.100000000000001" hidden="1" customHeight="1">
      <c r="A806" s="141">
        <v>788</v>
      </c>
      <c r="B806" s="142" t="s">
        <v>1465</v>
      </c>
      <c r="C806" s="143" t="s">
        <v>1024</v>
      </c>
      <c r="D806" s="2795"/>
      <c r="E806" s="587"/>
      <c r="F806" s="587"/>
      <c r="G806" s="587"/>
      <c r="H806" s="587"/>
      <c r="I806" s="160"/>
      <c r="J806" s="588"/>
      <c r="K806" s="858"/>
      <c r="L806" s="859"/>
      <c r="M806" s="840" t="s">
        <v>1028</v>
      </c>
      <c r="N806" s="860"/>
      <c r="O806" s="150">
        <f t="shared" si="12"/>
        <v>0</v>
      </c>
      <c r="P806" s="151"/>
      <c r="Q806" s="151"/>
    </row>
    <row r="807" spans="1:17" ht="20.100000000000001" hidden="1" customHeight="1">
      <c r="A807" s="141">
        <v>789</v>
      </c>
      <c r="B807" s="142" t="s">
        <v>1465</v>
      </c>
      <c r="C807" s="143" t="s">
        <v>1024</v>
      </c>
      <c r="D807" s="2795"/>
      <c r="E807" s="587"/>
      <c r="F807" s="587"/>
      <c r="G807" s="160">
        <v>1</v>
      </c>
      <c r="H807" s="587"/>
      <c r="I807" s="587"/>
      <c r="J807" s="588"/>
      <c r="K807" s="847"/>
      <c r="L807" s="848"/>
      <c r="M807" s="789" t="s">
        <v>886</v>
      </c>
      <c r="N807" s="331">
        <v>178.5</v>
      </c>
      <c r="O807" s="150">
        <f t="shared" si="12"/>
        <v>1</v>
      </c>
      <c r="P807" s="151"/>
      <c r="Q807" s="151"/>
    </row>
    <row r="808" spans="1:17" ht="20.100000000000001" customHeight="1">
      <c r="A808" s="141">
        <v>790</v>
      </c>
      <c r="B808" s="142" t="s">
        <v>1465</v>
      </c>
      <c r="C808" s="143" t="s">
        <v>1024</v>
      </c>
      <c r="D808" s="2795"/>
      <c r="E808" s="587"/>
      <c r="F808" s="160"/>
      <c r="G808" s="587"/>
      <c r="H808" s="587"/>
      <c r="I808" s="587"/>
      <c r="J808" s="588"/>
      <c r="K808" s="847">
        <v>1</v>
      </c>
      <c r="L808" s="848"/>
      <c r="M808" s="789" t="s">
        <v>1469</v>
      </c>
      <c r="N808" s="331">
        <v>451.19</v>
      </c>
      <c r="O808" s="150">
        <f t="shared" si="12"/>
        <v>1</v>
      </c>
      <c r="P808" s="151"/>
      <c r="Q808" s="151"/>
    </row>
    <row r="809" spans="1:17" ht="20.100000000000001" customHeight="1">
      <c r="A809" s="141">
        <v>791</v>
      </c>
      <c r="B809" s="142" t="s">
        <v>1465</v>
      </c>
      <c r="C809" s="143" t="s">
        <v>1024</v>
      </c>
      <c r="D809" s="2795"/>
      <c r="E809" s="160"/>
      <c r="F809" s="587"/>
      <c r="G809" s="587"/>
      <c r="H809" s="587"/>
      <c r="I809" s="587"/>
      <c r="J809" s="588"/>
      <c r="K809" s="854">
        <v>1</v>
      </c>
      <c r="L809" s="855"/>
      <c r="M809" s="861" t="s">
        <v>1189</v>
      </c>
      <c r="N809" s="857">
        <v>11726.16</v>
      </c>
      <c r="O809" s="150">
        <f t="shared" si="12"/>
        <v>1</v>
      </c>
      <c r="P809" s="151"/>
      <c r="Q809" s="151"/>
    </row>
    <row r="810" spans="1:17" ht="20.100000000000001" hidden="1" customHeight="1">
      <c r="A810" s="141">
        <v>792</v>
      </c>
      <c r="B810" s="142" t="s">
        <v>1465</v>
      </c>
      <c r="C810" s="143" t="s">
        <v>1024</v>
      </c>
      <c r="D810" s="2795"/>
      <c r="E810" s="144"/>
      <c r="F810" s="144"/>
      <c r="G810" s="160">
        <v>1</v>
      </c>
      <c r="H810" s="144"/>
      <c r="I810" s="144"/>
      <c r="J810" s="145"/>
      <c r="K810" s="854"/>
      <c r="L810" s="855"/>
      <c r="M810" s="861" t="s">
        <v>1470</v>
      </c>
      <c r="N810" s="857">
        <v>174</v>
      </c>
      <c r="O810" s="150">
        <f t="shared" si="12"/>
        <v>1</v>
      </c>
      <c r="P810" s="151"/>
      <c r="Q810" s="151"/>
    </row>
    <row r="811" spans="1:17" ht="20.100000000000001" hidden="1" customHeight="1">
      <c r="A811" s="141">
        <v>793</v>
      </c>
      <c r="B811" s="142" t="s">
        <v>1465</v>
      </c>
      <c r="C811" s="143" t="s">
        <v>1024</v>
      </c>
      <c r="D811" s="2795"/>
      <c r="E811" s="144"/>
      <c r="F811" s="144"/>
      <c r="G811" s="144"/>
      <c r="H811" s="144"/>
      <c r="I811" s="144"/>
      <c r="J811" s="145"/>
      <c r="K811" s="858"/>
      <c r="L811" s="859"/>
      <c r="M811" s="840" t="s">
        <v>1029</v>
      </c>
      <c r="N811" s="860"/>
      <c r="O811" s="150">
        <f t="shared" si="12"/>
        <v>0</v>
      </c>
      <c r="P811" s="151"/>
      <c r="Q811" s="151"/>
    </row>
    <row r="812" spans="1:17" ht="20.100000000000001" customHeight="1">
      <c r="A812" s="141">
        <v>794</v>
      </c>
      <c r="B812" s="142" t="s">
        <v>1465</v>
      </c>
      <c r="C812" s="143" t="s">
        <v>1024</v>
      </c>
      <c r="D812" s="2795"/>
      <c r="E812" s="144"/>
      <c r="F812" s="144"/>
      <c r="G812" s="160"/>
      <c r="H812" s="144"/>
      <c r="I812" s="144"/>
      <c r="J812" s="145"/>
      <c r="K812" s="844">
        <v>1</v>
      </c>
      <c r="L812" s="845" t="s">
        <v>1471</v>
      </c>
      <c r="M812" s="846" t="s">
        <v>1472</v>
      </c>
      <c r="N812" s="463">
        <v>-1308.7</v>
      </c>
      <c r="O812" s="150">
        <f t="shared" si="12"/>
        <v>1</v>
      </c>
      <c r="P812" s="151"/>
      <c r="Q812" s="151"/>
    </row>
    <row r="813" spans="1:17" ht="20.100000000000001" customHeight="1">
      <c r="A813" s="141">
        <v>795</v>
      </c>
      <c r="B813" s="142" t="s">
        <v>1465</v>
      </c>
      <c r="C813" s="143" t="s">
        <v>1024</v>
      </c>
      <c r="D813" s="2795"/>
      <c r="E813" s="144"/>
      <c r="F813" s="144"/>
      <c r="G813" s="160"/>
      <c r="H813" s="144"/>
      <c r="I813" s="144"/>
      <c r="J813" s="145"/>
      <c r="K813" s="847">
        <v>1</v>
      </c>
      <c r="L813" s="848"/>
      <c r="M813" s="849" t="s">
        <v>1473</v>
      </c>
      <c r="N813" s="331">
        <v>-885595.38</v>
      </c>
      <c r="O813" s="150">
        <f t="shared" si="12"/>
        <v>1</v>
      </c>
      <c r="P813" s="151"/>
      <c r="Q813" s="151"/>
    </row>
    <row r="814" spans="1:17" ht="20.100000000000001" customHeight="1">
      <c r="A814" s="141">
        <v>796</v>
      </c>
      <c r="B814" s="142" t="s">
        <v>1465</v>
      </c>
      <c r="C814" s="143" t="s">
        <v>1024</v>
      </c>
      <c r="D814" s="2795"/>
      <c r="E814" s="144"/>
      <c r="F814" s="144"/>
      <c r="G814" s="160"/>
      <c r="H814" s="144"/>
      <c r="I814" s="144"/>
      <c r="J814" s="145"/>
      <c r="K814" s="854">
        <v>1</v>
      </c>
      <c r="L814" s="855"/>
      <c r="M814" s="856" t="s">
        <v>1474</v>
      </c>
      <c r="N814" s="857">
        <v>207300</v>
      </c>
      <c r="O814" s="150">
        <f t="shared" si="12"/>
        <v>1</v>
      </c>
      <c r="P814" s="151"/>
      <c r="Q814" s="151"/>
    </row>
    <row r="815" spans="1:17" ht="20.100000000000001" customHeight="1">
      <c r="A815" s="141">
        <v>797</v>
      </c>
      <c r="B815" s="142" t="s">
        <v>1465</v>
      </c>
      <c r="C815" s="143" t="s">
        <v>1024</v>
      </c>
      <c r="D815" s="2795"/>
      <c r="E815" s="144"/>
      <c r="F815" s="144"/>
      <c r="G815" s="160"/>
      <c r="H815" s="144"/>
      <c r="I815" s="144"/>
      <c r="J815" s="145"/>
      <c r="K815" s="847">
        <v>1</v>
      </c>
      <c r="L815" s="848"/>
      <c r="M815" s="849" t="s">
        <v>1475</v>
      </c>
      <c r="N815" s="857">
        <v>-450</v>
      </c>
      <c r="O815" s="150">
        <f t="shared" si="12"/>
        <v>1</v>
      </c>
      <c r="P815" s="151"/>
      <c r="Q815" s="151"/>
    </row>
    <row r="816" spans="1:17" ht="20.100000000000001" customHeight="1">
      <c r="A816" s="141">
        <v>798</v>
      </c>
      <c r="B816" s="142" t="s">
        <v>1465</v>
      </c>
      <c r="C816" s="143" t="s">
        <v>1024</v>
      </c>
      <c r="D816" s="2795"/>
      <c r="E816" s="144"/>
      <c r="F816" s="144"/>
      <c r="G816" s="160"/>
      <c r="H816" s="144"/>
      <c r="I816" s="144"/>
      <c r="J816" s="145"/>
      <c r="K816" s="854">
        <v>1</v>
      </c>
      <c r="L816" s="855"/>
      <c r="M816" s="856" t="s">
        <v>1476</v>
      </c>
      <c r="N816" s="857">
        <v>47162.14</v>
      </c>
      <c r="O816" s="150">
        <f t="shared" si="12"/>
        <v>1</v>
      </c>
      <c r="P816" s="151"/>
      <c r="Q816" s="151"/>
    </row>
    <row r="817" spans="1:17" ht="20.100000000000001" customHeight="1">
      <c r="A817" s="141">
        <v>799</v>
      </c>
      <c r="B817" s="142" t="s">
        <v>1465</v>
      </c>
      <c r="C817" s="143" t="s">
        <v>1024</v>
      </c>
      <c r="D817" s="2794"/>
      <c r="E817" s="144"/>
      <c r="F817" s="144"/>
      <c r="G817" s="144"/>
      <c r="H817" s="144"/>
      <c r="I817" s="144"/>
      <c r="J817" s="145"/>
      <c r="K817" s="854">
        <v>1</v>
      </c>
      <c r="L817" s="855"/>
      <c r="M817" s="856" t="s">
        <v>1477</v>
      </c>
      <c r="N817" s="857">
        <v>328665.71000000002</v>
      </c>
      <c r="O817" s="150">
        <f t="shared" si="12"/>
        <v>1</v>
      </c>
      <c r="P817" s="151"/>
      <c r="Q817" s="151"/>
    </row>
    <row r="818" spans="1:17" ht="20.100000000000001" customHeight="1">
      <c r="A818" s="141">
        <v>800</v>
      </c>
      <c r="B818" s="142" t="s">
        <v>1465</v>
      </c>
      <c r="C818" s="143" t="s">
        <v>1024</v>
      </c>
      <c r="D818" s="2801" t="s">
        <v>68</v>
      </c>
      <c r="E818" s="144"/>
      <c r="F818" s="144"/>
      <c r="G818" s="144"/>
      <c r="H818" s="160"/>
      <c r="I818" s="144"/>
      <c r="J818" s="145"/>
      <c r="K818" s="862">
        <v>5</v>
      </c>
      <c r="L818" s="566" t="s">
        <v>741</v>
      </c>
      <c r="M818" s="863" t="s">
        <v>1061</v>
      </c>
      <c r="N818" s="466">
        <v>996776.99</v>
      </c>
      <c r="O818" s="150">
        <f t="shared" si="12"/>
        <v>5</v>
      </c>
      <c r="P818" s="151"/>
      <c r="Q818" s="151"/>
    </row>
    <row r="819" spans="1:17" ht="20.100000000000001" hidden="1" customHeight="1">
      <c r="A819" s="141">
        <v>801</v>
      </c>
      <c r="B819" s="142" t="s">
        <v>1465</v>
      </c>
      <c r="C819" s="143" t="s">
        <v>1024</v>
      </c>
      <c r="D819" s="2793" t="s">
        <v>33</v>
      </c>
      <c r="E819" s="144"/>
      <c r="F819" s="144"/>
      <c r="G819" s="144"/>
      <c r="H819" s="144">
        <v>665</v>
      </c>
      <c r="I819" s="160"/>
      <c r="J819" s="145"/>
      <c r="K819" s="786"/>
      <c r="L819" s="848"/>
      <c r="M819" s="846" t="s">
        <v>34</v>
      </c>
      <c r="N819" s="463">
        <v>0</v>
      </c>
      <c r="O819" s="150">
        <f t="shared" si="12"/>
        <v>665</v>
      </c>
      <c r="P819" s="151"/>
      <c r="Q819" s="151"/>
    </row>
    <row r="820" spans="1:17" ht="20.100000000000001" hidden="1" customHeight="1">
      <c r="A820" s="141">
        <v>802</v>
      </c>
      <c r="B820" s="142" t="s">
        <v>1465</v>
      </c>
      <c r="C820" s="143" t="s">
        <v>1024</v>
      </c>
      <c r="D820" s="2794"/>
      <c r="E820" s="144"/>
      <c r="F820" s="144"/>
      <c r="G820" s="144"/>
      <c r="H820" s="144"/>
      <c r="I820" s="144">
        <v>4155</v>
      </c>
      <c r="J820" s="145"/>
      <c r="K820" s="831"/>
      <c r="L820" s="436"/>
      <c r="M820" s="864" t="s">
        <v>35</v>
      </c>
      <c r="N820" s="466">
        <v>15406417.65</v>
      </c>
      <c r="O820" s="150">
        <f t="shared" si="12"/>
        <v>4155</v>
      </c>
      <c r="P820" s="151"/>
      <c r="Q820" s="151"/>
    </row>
    <row r="821" spans="1:17" ht="20.100000000000001" customHeight="1">
      <c r="A821" s="141">
        <v>803</v>
      </c>
      <c r="B821" s="142" t="s">
        <v>1465</v>
      </c>
      <c r="C821" s="143" t="s">
        <v>1024</v>
      </c>
      <c r="D821" s="182" t="s">
        <v>1118</v>
      </c>
      <c r="E821" s="144"/>
      <c r="F821" s="144"/>
      <c r="G821" s="144"/>
      <c r="H821" s="144"/>
      <c r="I821" s="144"/>
      <c r="J821" s="145"/>
      <c r="K821" s="844">
        <v>1</v>
      </c>
      <c r="L821" s="845"/>
      <c r="M821" s="846" t="s">
        <v>104</v>
      </c>
      <c r="N821" s="463">
        <v>0</v>
      </c>
      <c r="O821" s="150">
        <f t="shared" si="12"/>
        <v>1</v>
      </c>
      <c r="P821" s="151"/>
      <c r="Q821" s="151"/>
    </row>
    <row r="822" spans="1:17" ht="20.100000000000001" hidden="1" customHeight="1">
      <c r="A822" s="141">
        <v>804</v>
      </c>
      <c r="B822" s="142" t="s">
        <v>1465</v>
      </c>
      <c r="C822" s="143" t="s">
        <v>1024</v>
      </c>
      <c r="D822" s="2793" t="s">
        <v>36</v>
      </c>
      <c r="E822" s="144"/>
      <c r="F822" s="160">
        <v>839</v>
      </c>
      <c r="G822" s="144"/>
      <c r="H822" s="144"/>
      <c r="I822" s="144"/>
      <c r="J822" s="145"/>
      <c r="K822" s="786"/>
      <c r="L822" s="566" t="s">
        <v>741</v>
      </c>
      <c r="M822" s="865" t="s">
        <v>1478</v>
      </c>
      <c r="N822" s="463">
        <v>0</v>
      </c>
      <c r="O822" s="150">
        <f t="shared" si="12"/>
        <v>839</v>
      </c>
      <c r="P822" s="151"/>
      <c r="Q822" s="151"/>
    </row>
    <row r="823" spans="1:17" ht="20.100000000000001" hidden="1" customHeight="1">
      <c r="A823" s="141">
        <v>805</v>
      </c>
      <c r="B823" s="142" t="s">
        <v>1465</v>
      </c>
      <c r="C823" s="143" t="s">
        <v>1024</v>
      </c>
      <c r="D823" s="2792"/>
      <c r="E823" s="160">
        <v>150</v>
      </c>
      <c r="F823" s="144"/>
      <c r="G823" s="144"/>
      <c r="H823" s="144"/>
      <c r="I823" s="144"/>
      <c r="J823" s="145"/>
      <c r="K823" s="786"/>
      <c r="L823" s="566" t="s">
        <v>741</v>
      </c>
      <c r="M823" s="865" t="s">
        <v>1479</v>
      </c>
      <c r="N823" s="463">
        <v>0</v>
      </c>
      <c r="O823" s="150">
        <f t="shared" si="12"/>
        <v>150</v>
      </c>
      <c r="P823" s="151"/>
      <c r="Q823" s="151"/>
    </row>
    <row r="824" spans="1:17" ht="20.100000000000001" customHeight="1">
      <c r="A824" s="141">
        <v>806</v>
      </c>
      <c r="B824" s="142" t="s">
        <v>1480</v>
      </c>
      <c r="C824" s="143" t="s">
        <v>1024</v>
      </c>
      <c r="D824" s="182" t="s">
        <v>1481</v>
      </c>
      <c r="E824" s="144"/>
      <c r="F824" s="144"/>
      <c r="G824" s="144"/>
      <c r="H824" s="144"/>
      <c r="I824" s="144"/>
      <c r="J824" s="145"/>
      <c r="K824" s="866">
        <v>1</v>
      </c>
      <c r="L824" s="113"/>
      <c r="M824" s="856" t="s">
        <v>1482</v>
      </c>
      <c r="N824" s="867">
        <v>27011.81</v>
      </c>
      <c r="O824" s="150">
        <f t="shared" si="12"/>
        <v>1</v>
      </c>
      <c r="P824" s="151"/>
      <c r="Q824" s="151"/>
    </row>
    <row r="825" spans="1:17" ht="20.100000000000001" hidden="1" customHeight="1">
      <c r="A825" s="141">
        <v>807</v>
      </c>
      <c r="B825" s="142" t="s">
        <v>1480</v>
      </c>
      <c r="C825" s="143" t="s">
        <v>1024</v>
      </c>
      <c r="D825" s="2793" t="s">
        <v>33</v>
      </c>
      <c r="E825" s="144"/>
      <c r="F825" s="144"/>
      <c r="G825" s="160"/>
      <c r="H825" s="144"/>
      <c r="I825" s="144"/>
      <c r="J825" s="145"/>
      <c r="K825" s="778"/>
      <c r="L825" s="157"/>
      <c r="M825" s="868" t="s">
        <v>1026</v>
      </c>
      <c r="N825" s="159"/>
      <c r="O825" s="150">
        <f t="shared" si="12"/>
        <v>0</v>
      </c>
      <c r="P825" s="151"/>
      <c r="Q825" s="151"/>
    </row>
    <row r="826" spans="1:17" ht="20.100000000000001" hidden="1" customHeight="1">
      <c r="A826" s="141">
        <v>808</v>
      </c>
      <c r="B826" s="142" t="s">
        <v>1480</v>
      </c>
      <c r="C826" s="143" t="s">
        <v>1024</v>
      </c>
      <c r="D826" s="2795"/>
      <c r="E826" s="144"/>
      <c r="F826" s="144"/>
      <c r="G826" s="160">
        <v>1</v>
      </c>
      <c r="H826" s="144"/>
      <c r="I826" s="144"/>
      <c r="J826" s="145"/>
      <c r="K826" s="780"/>
      <c r="L826" s="153"/>
      <c r="M826" s="869" t="s">
        <v>119</v>
      </c>
      <c r="N826" s="155">
        <v>-1787301.06</v>
      </c>
      <c r="O826" s="150">
        <f t="shared" si="12"/>
        <v>1</v>
      </c>
      <c r="P826" s="151"/>
      <c r="Q826" s="151"/>
    </row>
    <row r="827" spans="1:17" ht="20.100000000000001" hidden="1" customHeight="1">
      <c r="A827" s="141">
        <v>809</v>
      </c>
      <c r="B827" s="142" t="s">
        <v>1480</v>
      </c>
      <c r="C827" s="143" t="s">
        <v>1024</v>
      </c>
      <c r="D827" s="2795"/>
      <c r="E827" s="144"/>
      <c r="F827" s="144"/>
      <c r="G827" s="160">
        <v>1</v>
      </c>
      <c r="H827" s="144"/>
      <c r="I827" s="144"/>
      <c r="J827" s="145"/>
      <c r="K827" s="780"/>
      <c r="L827" s="153"/>
      <c r="M827" s="843" t="s">
        <v>49</v>
      </c>
      <c r="N827" s="155">
        <v>-19054349.210000001</v>
      </c>
      <c r="O827" s="150">
        <f t="shared" si="12"/>
        <v>1</v>
      </c>
      <c r="P827" s="151"/>
      <c r="Q827" s="151"/>
    </row>
    <row r="828" spans="1:17" ht="20.100000000000001" hidden="1" customHeight="1">
      <c r="A828" s="141">
        <v>810</v>
      </c>
      <c r="B828" s="142" t="s">
        <v>1480</v>
      </c>
      <c r="C828" s="143" t="s">
        <v>1024</v>
      </c>
      <c r="D828" s="2795"/>
      <c r="E828" s="144"/>
      <c r="F828" s="144"/>
      <c r="G828" s="160">
        <v>1</v>
      </c>
      <c r="H828" s="144"/>
      <c r="I828" s="144"/>
      <c r="J828" s="145"/>
      <c r="K828" s="780"/>
      <c r="L828" s="153"/>
      <c r="M828" s="843" t="s">
        <v>708</v>
      </c>
      <c r="N828" s="155">
        <v>12569.46</v>
      </c>
      <c r="O828" s="150">
        <f t="shared" si="12"/>
        <v>1</v>
      </c>
      <c r="P828" s="151"/>
      <c r="Q828" s="151"/>
    </row>
    <row r="829" spans="1:17" ht="20.100000000000001" hidden="1" customHeight="1">
      <c r="A829" s="141">
        <v>811</v>
      </c>
      <c r="B829" s="142" t="s">
        <v>1480</v>
      </c>
      <c r="C829" s="143" t="s">
        <v>1024</v>
      </c>
      <c r="D829" s="2795"/>
      <c r="E829" s="144"/>
      <c r="F829" s="144"/>
      <c r="G829" s="160">
        <v>1</v>
      </c>
      <c r="H829" s="144"/>
      <c r="I829" s="144"/>
      <c r="J829" s="145"/>
      <c r="K829" s="780"/>
      <c r="L829" s="153"/>
      <c r="M829" s="843" t="s">
        <v>32</v>
      </c>
      <c r="N829" s="162">
        <v>0.16</v>
      </c>
      <c r="O829" s="150">
        <f t="shared" si="12"/>
        <v>1</v>
      </c>
      <c r="P829" s="151"/>
      <c r="Q829" s="151"/>
    </row>
    <row r="830" spans="1:17" ht="20.100000000000001" hidden="1" customHeight="1">
      <c r="A830" s="141">
        <v>812</v>
      </c>
      <c r="B830" s="142" t="s">
        <v>1480</v>
      </c>
      <c r="C830" s="143" t="s">
        <v>1024</v>
      </c>
      <c r="D830" s="2795"/>
      <c r="E830" s="144"/>
      <c r="F830" s="144"/>
      <c r="G830" s="160">
        <v>1</v>
      </c>
      <c r="H830" s="144"/>
      <c r="I830" s="160"/>
      <c r="J830" s="145"/>
      <c r="K830" s="831"/>
      <c r="L830" s="179"/>
      <c r="M830" s="843" t="s">
        <v>1027</v>
      </c>
      <c r="N830" s="186">
        <v>232072.81</v>
      </c>
      <c r="O830" s="150">
        <f t="shared" si="12"/>
        <v>1</v>
      </c>
      <c r="P830" s="151"/>
      <c r="Q830" s="151"/>
    </row>
    <row r="831" spans="1:17" ht="20.100000000000001" hidden="1" customHeight="1">
      <c r="A831" s="141">
        <v>813</v>
      </c>
      <c r="B831" s="142" t="s">
        <v>1480</v>
      </c>
      <c r="C831" s="143" t="s">
        <v>1024</v>
      </c>
      <c r="D831" s="2795"/>
      <c r="E831" s="144"/>
      <c r="F831" s="144"/>
      <c r="G831" s="160">
        <v>1</v>
      </c>
      <c r="H831" s="144"/>
      <c r="I831" s="144"/>
      <c r="J831" s="145"/>
      <c r="K831" s="831"/>
      <c r="L831" s="179"/>
      <c r="M831" s="843" t="s">
        <v>1483</v>
      </c>
      <c r="N831" s="186">
        <v>73.58</v>
      </c>
      <c r="O831" s="150">
        <f t="shared" si="12"/>
        <v>1</v>
      </c>
      <c r="P831" s="151"/>
      <c r="Q831" s="151"/>
    </row>
    <row r="832" spans="1:17" ht="20.100000000000001" hidden="1" customHeight="1">
      <c r="A832" s="141">
        <v>814</v>
      </c>
      <c r="B832" s="142" t="s">
        <v>1480</v>
      </c>
      <c r="C832" s="143" t="s">
        <v>1024</v>
      </c>
      <c r="D832" s="2795"/>
      <c r="E832" s="144"/>
      <c r="F832" s="160"/>
      <c r="G832" s="160">
        <v>1</v>
      </c>
      <c r="H832" s="144"/>
      <c r="I832" s="144"/>
      <c r="J832" s="145"/>
      <c r="K832" s="831"/>
      <c r="L832" s="179"/>
      <c r="M832" s="843" t="s">
        <v>1484</v>
      </c>
      <c r="N832" s="186">
        <v>-123611.08</v>
      </c>
      <c r="O832" s="150">
        <f t="shared" si="12"/>
        <v>1</v>
      </c>
      <c r="P832" s="151"/>
      <c r="Q832" s="151"/>
    </row>
    <row r="833" spans="1:17" ht="20.100000000000001" hidden="1" customHeight="1">
      <c r="A833" s="141">
        <v>815</v>
      </c>
      <c r="B833" s="142" t="s">
        <v>1480</v>
      </c>
      <c r="C833" s="143" t="s">
        <v>1024</v>
      </c>
      <c r="D833" s="2795"/>
      <c r="E833" s="160"/>
      <c r="F833" s="144"/>
      <c r="G833" s="144"/>
      <c r="H833" s="144"/>
      <c r="I833" s="144"/>
      <c r="J833" s="145"/>
      <c r="K833" s="831"/>
      <c r="L833" s="179"/>
      <c r="M833" s="852" t="s">
        <v>1028</v>
      </c>
      <c r="N833" s="870"/>
      <c r="O833" s="150">
        <f t="shared" si="12"/>
        <v>0</v>
      </c>
      <c r="P833" s="871"/>
      <c r="Q833" s="871"/>
    </row>
    <row r="834" spans="1:17" ht="20.100000000000001" hidden="1" customHeight="1">
      <c r="A834" s="141">
        <v>816</v>
      </c>
      <c r="B834" s="142" t="s">
        <v>1480</v>
      </c>
      <c r="C834" s="143" t="s">
        <v>1024</v>
      </c>
      <c r="D834" s="2795"/>
      <c r="E834" s="144"/>
      <c r="F834" s="144"/>
      <c r="G834" s="160">
        <v>1</v>
      </c>
      <c r="H834" s="144"/>
      <c r="I834" s="144"/>
      <c r="J834" s="145"/>
      <c r="K834" s="831"/>
      <c r="L834" s="179"/>
      <c r="M834" s="856" t="s">
        <v>945</v>
      </c>
      <c r="N834" s="870">
        <v>2.5</v>
      </c>
      <c r="O834" s="150">
        <f t="shared" si="12"/>
        <v>1</v>
      </c>
      <c r="P834" s="151"/>
      <c r="Q834" s="151"/>
    </row>
    <row r="835" spans="1:17" ht="20.100000000000001" hidden="1" customHeight="1">
      <c r="A835" s="141">
        <v>817</v>
      </c>
      <c r="B835" s="142" t="s">
        <v>1480</v>
      </c>
      <c r="C835" s="143" t="s">
        <v>1024</v>
      </c>
      <c r="D835" s="2795"/>
      <c r="E835" s="144"/>
      <c r="F835" s="144"/>
      <c r="G835" s="144"/>
      <c r="H835" s="144"/>
      <c r="I835" s="144"/>
      <c r="J835" s="145"/>
      <c r="K835" s="835"/>
      <c r="L835" s="167"/>
      <c r="M835" s="872" t="s">
        <v>1029</v>
      </c>
      <c r="N835" s="177"/>
      <c r="O835" s="150">
        <f t="shared" si="12"/>
        <v>0</v>
      </c>
      <c r="P835" s="151"/>
      <c r="Q835" s="151"/>
    </row>
    <row r="836" spans="1:17" ht="20.100000000000001" customHeight="1">
      <c r="A836" s="141">
        <v>818</v>
      </c>
      <c r="B836" s="142" t="s">
        <v>1480</v>
      </c>
      <c r="C836" s="143" t="s">
        <v>1024</v>
      </c>
      <c r="D836" s="2795"/>
      <c r="E836" s="144"/>
      <c r="F836" s="144"/>
      <c r="G836" s="160"/>
      <c r="H836" s="144"/>
      <c r="I836" s="144"/>
      <c r="J836" s="145"/>
      <c r="K836" s="831">
        <v>1</v>
      </c>
      <c r="L836" s="179"/>
      <c r="M836" s="846" t="s">
        <v>1485</v>
      </c>
      <c r="N836" s="463">
        <v>500000</v>
      </c>
      <c r="O836" s="150">
        <f t="shared" si="12"/>
        <v>1</v>
      </c>
      <c r="P836" s="151"/>
      <c r="Q836" s="151"/>
    </row>
    <row r="837" spans="1:17" ht="20.100000000000001" customHeight="1">
      <c r="A837" s="141">
        <v>819</v>
      </c>
      <c r="B837" s="142" t="s">
        <v>1480</v>
      </c>
      <c r="C837" s="143" t="s">
        <v>1024</v>
      </c>
      <c r="D837" s="2795"/>
      <c r="E837" s="144"/>
      <c r="F837" s="144"/>
      <c r="G837" s="160"/>
      <c r="H837" s="144"/>
      <c r="I837" s="144"/>
      <c r="J837" s="145"/>
      <c r="K837" s="831">
        <v>4</v>
      </c>
      <c r="L837" s="179"/>
      <c r="M837" s="791" t="s">
        <v>1061</v>
      </c>
      <c r="N837" s="186">
        <v>3497423.64</v>
      </c>
      <c r="O837" s="150">
        <f t="shared" si="12"/>
        <v>4</v>
      </c>
      <c r="P837" s="151"/>
      <c r="Q837" s="151"/>
    </row>
    <row r="838" spans="1:17" ht="20.100000000000001" hidden="1" customHeight="1">
      <c r="A838" s="141">
        <v>820</v>
      </c>
      <c r="B838" s="142" t="s">
        <v>1480</v>
      </c>
      <c r="C838" s="143" t="s">
        <v>1024</v>
      </c>
      <c r="D838" s="2794"/>
      <c r="E838" s="144"/>
      <c r="F838" s="144"/>
      <c r="G838" s="160"/>
      <c r="H838" s="144"/>
      <c r="I838" s="144">
        <v>107</v>
      </c>
      <c r="J838" s="145"/>
      <c r="K838" s="776"/>
      <c r="L838" s="153"/>
      <c r="M838" s="873" t="s">
        <v>35</v>
      </c>
      <c r="N838" s="796">
        <v>39969.71</v>
      </c>
      <c r="O838" s="150">
        <f t="shared" si="12"/>
        <v>107</v>
      </c>
      <c r="P838" s="151"/>
      <c r="Q838" s="151"/>
    </row>
    <row r="839" spans="1:17" ht="20.100000000000001" customHeight="1">
      <c r="A839" s="141">
        <v>821</v>
      </c>
      <c r="B839" s="142" t="s">
        <v>1480</v>
      </c>
      <c r="C839" s="143" t="s">
        <v>1024</v>
      </c>
      <c r="D839" s="2793" t="s">
        <v>195</v>
      </c>
      <c r="E839" s="144"/>
      <c r="F839" s="144"/>
      <c r="G839" s="160"/>
      <c r="H839" s="144"/>
      <c r="I839" s="144"/>
      <c r="J839" s="145"/>
      <c r="K839" s="776">
        <v>1</v>
      </c>
      <c r="L839" s="147"/>
      <c r="M839" s="874" t="s">
        <v>1486</v>
      </c>
      <c r="N839" s="181">
        <v>0</v>
      </c>
      <c r="O839" s="150">
        <f t="shared" si="12"/>
        <v>1</v>
      </c>
      <c r="P839" s="151"/>
      <c r="Q839" s="151"/>
    </row>
    <row r="840" spans="1:17" ht="20.100000000000001" customHeight="1">
      <c r="A840" s="141">
        <v>822</v>
      </c>
      <c r="B840" s="142" t="s">
        <v>1480</v>
      </c>
      <c r="C840" s="143" t="s">
        <v>1024</v>
      </c>
      <c r="D840" s="2794"/>
      <c r="E840" s="144"/>
      <c r="F840" s="144"/>
      <c r="G840" s="144"/>
      <c r="H840" s="144"/>
      <c r="I840" s="144"/>
      <c r="J840" s="145"/>
      <c r="K840" s="780">
        <v>1</v>
      </c>
      <c r="L840" s="153"/>
      <c r="M840" s="875" t="s">
        <v>104</v>
      </c>
      <c r="N840" s="181">
        <v>0</v>
      </c>
      <c r="O840" s="150">
        <f t="shared" si="12"/>
        <v>1</v>
      </c>
      <c r="P840" s="151"/>
      <c r="Q840" s="151"/>
    </row>
    <row r="841" spans="1:17" ht="20.100000000000001" hidden="1" customHeight="1">
      <c r="A841" s="141">
        <v>823</v>
      </c>
      <c r="B841" s="142" t="s">
        <v>1480</v>
      </c>
      <c r="C841" s="143" t="s">
        <v>1024</v>
      </c>
      <c r="D841" s="2793" t="s">
        <v>36</v>
      </c>
      <c r="E841" s="144"/>
      <c r="F841" s="144">
        <v>1024</v>
      </c>
      <c r="G841" s="144"/>
      <c r="H841" s="144"/>
      <c r="I841" s="144"/>
      <c r="J841" s="145"/>
      <c r="K841" s="794"/>
      <c r="L841" s="153"/>
      <c r="M841" s="843" t="s">
        <v>1487</v>
      </c>
      <c r="N841" s="181">
        <v>0</v>
      </c>
      <c r="O841" s="150">
        <f t="shared" si="12"/>
        <v>1024</v>
      </c>
      <c r="P841" s="151"/>
      <c r="Q841" s="151"/>
    </row>
    <row r="842" spans="1:17" ht="20.100000000000001" hidden="1" customHeight="1">
      <c r="A842" s="141">
        <v>824</v>
      </c>
      <c r="B842" s="142" t="s">
        <v>1480</v>
      </c>
      <c r="C842" s="143" t="s">
        <v>1024</v>
      </c>
      <c r="D842" s="2792"/>
      <c r="E842" s="144">
        <v>343</v>
      </c>
      <c r="F842" s="144"/>
      <c r="G842" s="144"/>
      <c r="H842" s="160"/>
      <c r="I842" s="144"/>
      <c r="J842" s="145"/>
      <c r="K842" s="783"/>
      <c r="L842" s="153"/>
      <c r="M842" s="843" t="s">
        <v>1479</v>
      </c>
      <c r="N842" s="876">
        <v>0</v>
      </c>
      <c r="O842" s="150">
        <f t="shared" si="12"/>
        <v>343</v>
      </c>
      <c r="P842" s="151"/>
      <c r="Q842" s="151"/>
    </row>
    <row r="843" spans="1:17" ht="20.100000000000001" customHeight="1">
      <c r="A843" s="926">
        <v>825</v>
      </c>
      <c r="B843" s="927" t="s">
        <v>2985</v>
      </c>
      <c r="C843" s="928" t="s">
        <v>1024</v>
      </c>
      <c r="D843" s="2710" t="s">
        <v>1566</v>
      </c>
      <c r="E843" s="170"/>
      <c r="F843" s="170"/>
      <c r="G843" s="170"/>
      <c r="H843" s="932"/>
      <c r="I843" s="170"/>
      <c r="J843" s="171"/>
      <c r="K843" s="2825">
        <v>1</v>
      </c>
      <c r="L843" s="1198"/>
      <c r="M843" s="2038" t="s">
        <v>2986</v>
      </c>
      <c r="N843" s="2713">
        <v>11940.56</v>
      </c>
      <c r="O843" s="150">
        <f t="shared" si="12"/>
        <v>1</v>
      </c>
      <c r="P843" s="385"/>
      <c r="Q843" s="385"/>
    </row>
    <row r="844" spans="1:17" ht="20.100000000000001" hidden="1" customHeight="1">
      <c r="A844" s="926">
        <v>826</v>
      </c>
      <c r="B844" s="927" t="s">
        <v>2985</v>
      </c>
      <c r="C844" s="928" t="s">
        <v>1024</v>
      </c>
      <c r="D844" s="2704"/>
      <c r="E844" s="170"/>
      <c r="F844" s="170"/>
      <c r="G844" s="170"/>
      <c r="H844" s="932"/>
      <c r="I844" s="170"/>
      <c r="J844" s="171"/>
      <c r="K844" s="1850"/>
      <c r="L844" s="1198"/>
      <c r="M844" s="2714" t="s">
        <v>1026</v>
      </c>
      <c r="N844" s="452"/>
      <c r="O844" s="150">
        <f t="shared" si="12"/>
        <v>0</v>
      </c>
      <c r="P844" s="385"/>
      <c r="Q844" s="385"/>
    </row>
    <row r="845" spans="1:17" ht="20.100000000000001" hidden="1" customHeight="1">
      <c r="A845" s="926">
        <v>827</v>
      </c>
      <c r="B845" s="927" t="s">
        <v>2985</v>
      </c>
      <c r="C845" s="928" t="s">
        <v>1024</v>
      </c>
      <c r="D845" s="2706"/>
      <c r="E845" s="170"/>
      <c r="F845" s="170"/>
      <c r="G845" s="170">
        <v>1</v>
      </c>
      <c r="H845" s="932"/>
      <c r="I845" s="170"/>
      <c r="J845" s="171"/>
      <c r="K845" s="1850"/>
      <c r="L845" s="1198"/>
      <c r="M845" s="1103" t="s">
        <v>119</v>
      </c>
      <c r="N845" s="452">
        <v>-2689869.02</v>
      </c>
      <c r="O845" s="150">
        <f t="shared" si="12"/>
        <v>1</v>
      </c>
      <c r="P845" s="385"/>
      <c r="Q845" s="385"/>
    </row>
    <row r="846" spans="1:17" ht="20.100000000000001" hidden="1" customHeight="1">
      <c r="A846" s="926">
        <v>828</v>
      </c>
      <c r="B846" s="927" t="s">
        <v>2985</v>
      </c>
      <c r="C846" s="928" t="s">
        <v>1024</v>
      </c>
      <c r="D846" s="2706"/>
      <c r="E846" s="170"/>
      <c r="F846" s="170"/>
      <c r="G846" s="170">
        <v>1</v>
      </c>
      <c r="H846" s="932"/>
      <c r="I846" s="170"/>
      <c r="J846" s="171"/>
      <c r="K846" s="1850"/>
      <c r="L846" s="1198"/>
      <c r="M846" s="1103" t="s">
        <v>49</v>
      </c>
      <c r="N846" s="452">
        <v>-46585746.719999999</v>
      </c>
      <c r="O846" s="150">
        <f t="shared" si="12"/>
        <v>1</v>
      </c>
      <c r="P846" s="385"/>
      <c r="Q846" s="385"/>
    </row>
    <row r="847" spans="1:17" ht="20.100000000000001" hidden="1" customHeight="1">
      <c r="A847" s="926">
        <v>829</v>
      </c>
      <c r="B847" s="927" t="s">
        <v>2985</v>
      </c>
      <c r="C847" s="928" t="s">
        <v>1024</v>
      </c>
      <c r="D847" s="2706"/>
      <c r="E847" s="170"/>
      <c r="F847" s="170"/>
      <c r="G847" s="170">
        <v>1</v>
      </c>
      <c r="H847" s="932"/>
      <c r="I847" s="170"/>
      <c r="J847" s="171"/>
      <c r="K847" s="1850"/>
      <c r="L847" s="1198"/>
      <c r="M847" s="1103" t="s">
        <v>32</v>
      </c>
      <c r="N847" s="447">
        <v>-39738.730000000003</v>
      </c>
      <c r="O847" s="150">
        <f t="shared" si="12"/>
        <v>1</v>
      </c>
      <c r="P847" s="385"/>
      <c r="Q847" s="385"/>
    </row>
    <row r="848" spans="1:17" ht="20.100000000000001" hidden="1" customHeight="1">
      <c r="A848" s="926">
        <v>830</v>
      </c>
      <c r="B848" s="927" t="s">
        <v>2985</v>
      </c>
      <c r="C848" s="928" t="s">
        <v>1024</v>
      </c>
      <c r="D848" s="2706" t="s">
        <v>2987</v>
      </c>
      <c r="E848" s="170"/>
      <c r="F848" s="170"/>
      <c r="G848" s="170">
        <v>1</v>
      </c>
      <c r="H848" s="932"/>
      <c r="I848" s="170"/>
      <c r="J848" s="171"/>
      <c r="K848" s="1844"/>
      <c r="L848" s="1249"/>
      <c r="M848" s="1103" t="s">
        <v>207</v>
      </c>
      <c r="N848" s="567">
        <v>-115249.83</v>
      </c>
      <c r="O848" s="150">
        <f t="shared" si="12"/>
        <v>1</v>
      </c>
      <c r="P848" s="385"/>
      <c r="Q848" s="385"/>
    </row>
    <row r="849" spans="1:17" ht="20.100000000000001" hidden="1" customHeight="1">
      <c r="A849" s="926">
        <v>831</v>
      </c>
      <c r="B849" s="927" t="s">
        <v>2985</v>
      </c>
      <c r="C849" s="928" t="s">
        <v>1024</v>
      </c>
      <c r="D849" s="2706"/>
      <c r="E849" s="170"/>
      <c r="F849" s="170"/>
      <c r="G849" s="170"/>
      <c r="H849" s="932"/>
      <c r="I849" s="170"/>
      <c r="J849" s="171"/>
      <c r="K849" s="1844"/>
      <c r="L849" s="1249"/>
      <c r="M849" s="2715" t="s">
        <v>1141</v>
      </c>
      <c r="N849" s="2716"/>
      <c r="O849" s="150">
        <f t="shared" si="12"/>
        <v>0</v>
      </c>
      <c r="P849" s="385"/>
      <c r="Q849" s="385"/>
    </row>
    <row r="850" spans="1:17" ht="20.100000000000001" hidden="1" customHeight="1">
      <c r="A850" s="926">
        <v>832</v>
      </c>
      <c r="B850" s="927" t="s">
        <v>2985</v>
      </c>
      <c r="C850" s="928" t="s">
        <v>1024</v>
      </c>
      <c r="D850" s="2706"/>
      <c r="E850" s="170"/>
      <c r="F850" s="170"/>
      <c r="G850" s="170">
        <v>1</v>
      </c>
      <c r="H850" s="932"/>
      <c r="I850" s="170"/>
      <c r="J850" s="171"/>
      <c r="K850" s="1844"/>
      <c r="L850" s="1249"/>
      <c r="M850" s="1283" t="s">
        <v>945</v>
      </c>
      <c r="N850" s="2717">
        <v>15.75</v>
      </c>
      <c r="O850" s="150">
        <f t="shared" si="12"/>
        <v>1</v>
      </c>
      <c r="P850" s="385"/>
      <c r="Q850" s="385"/>
    </row>
    <row r="851" spans="1:17" ht="20.100000000000001" hidden="1" customHeight="1">
      <c r="A851" s="926">
        <v>833</v>
      </c>
      <c r="B851" s="927" t="s">
        <v>2985</v>
      </c>
      <c r="C851" s="928" t="s">
        <v>1024</v>
      </c>
      <c r="D851" s="2710"/>
      <c r="E851" s="170"/>
      <c r="F851" s="170"/>
      <c r="G851" s="170"/>
      <c r="H851" s="932"/>
      <c r="I851" s="170"/>
      <c r="J851" s="171"/>
      <c r="K851" s="1844"/>
      <c r="L851" s="1249"/>
      <c r="M851" s="2718" t="s">
        <v>1029</v>
      </c>
      <c r="N851" s="788"/>
      <c r="O851" s="150">
        <f t="shared" si="12"/>
        <v>0</v>
      </c>
      <c r="P851" s="385"/>
      <c r="Q851" s="385"/>
    </row>
    <row r="852" spans="1:17" ht="20.100000000000001" customHeight="1">
      <c r="A852" s="926">
        <v>834</v>
      </c>
      <c r="B852" s="927" t="s">
        <v>2985</v>
      </c>
      <c r="C852" s="928" t="s">
        <v>1024</v>
      </c>
      <c r="D852" s="2710" t="s">
        <v>2988</v>
      </c>
      <c r="E852" s="170"/>
      <c r="F852" s="170"/>
      <c r="G852" s="170"/>
      <c r="H852" s="932"/>
      <c r="I852" s="170"/>
      <c r="J852" s="171"/>
      <c r="K852" s="1844">
        <v>1</v>
      </c>
      <c r="L852" s="1249"/>
      <c r="M852" s="2719" t="s">
        <v>1061</v>
      </c>
      <c r="N852" s="567">
        <v>3034.2</v>
      </c>
      <c r="O852" s="150">
        <f t="shared" si="12"/>
        <v>1</v>
      </c>
      <c r="P852" s="385"/>
      <c r="Q852" s="385"/>
    </row>
    <row r="853" spans="1:17" ht="20.100000000000001" hidden="1" customHeight="1">
      <c r="A853" s="926">
        <v>835</v>
      </c>
      <c r="B853" s="927" t="s">
        <v>2985</v>
      </c>
      <c r="C853" s="928" t="s">
        <v>1024</v>
      </c>
      <c r="D853" s="2796" t="s">
        <v>2988</v>
      </c>
      <c r="E853" s="170"/>
      <c r="F853" s="170"/>
      <c r="G853" s="170"/>
      <c r="H853" s="932">
        <v>186</v>
      </c>
      <c r="I853" s="170"/>
      <c r="J853" s="171"/>
      <c r="K853" s="1844"/>
      <c r="L853" s="1249"/>
      <c r="M853" s="1103" t="s">
        <v>34</v>
      </c>
      <c r="N853" s="567">
        <v>0</v>
      </c>
      <c r="O853" s="150">
        <f t="shared" ref="O853:O916" si="13">E853+F853+G853+H853+I853+J853+K853</f>
        <v>186</v>
      </c>
      <c r="P853" s="385"/>
      <c r="Q853" s="385"/>
    </row>
    <row r="854" spans="1:17" ht="20.100000000000001" hidden="1" customHeight="1">
      <c r="A854" s="926">
        <v>836</v>
      </c>
      <c r="B854" s="927" t="s">
        <v>2985</v>
      </c>
      <c r="C854" s="928" t="s">
        <v>1024</v>
      </c>
      <c r="D854" s="2798"/>
      <c r="E854" s="170"/>
      <c r="F854" s="170"/>
      <c r="G854" s="170"/>
      <c r="H854" s="932"/>
      <c r="I854" s="170">
        <v>3224</v>
      </c>
      <c r="J854" s="171"/>
      <c r="K854" s="1850"/>
      <c r="L854" s="1198"/>
      <c r="M854" s="1103" t="s">
        <v>35</v>
      </c>
      <c r="N854" s="2416">
        <v>2687056</v>
      </c>
      <c r="O854" s="150">
        <f t="shared" si="13"/>
        <v>3224</v>
      </c>
      <c r="P854" s="385"/>
      <c r="Q854" s="385"/>
    </row>
    <row r="855" spans="1:17" ht="20.100000000000001" hidden="1" customHeight="1">
      <c r="A855" s="926">
        <v>837</v>
      </c>
      <c r="B855" s="927" t="s">
        <v>2985</v>
      </c>
      <c r="C855" s="928" t="s">
        <v>1024</v>
      </c>
      <c r="D855" s="2796" t="s">
        <v>36</v>
      </c>
      <c r="E855" s="170"/>
      <c r="F855" s="170">
        <v>817</v>
      </c>
      <c r="G855" s="170"/>
      <c r="H855" s="932"/>
      <c r="I855" s="170"/>
      <c r="J855" s="171"/>
      <c r="K855" s="2825"/>
      <c r="L855" s="1198"/>
      <c r="M855" s="1103" t="s">
        <v>2989</v>
      </c>
      <c r="N855" s="2720">
        <v>0</v>
      </c>
      <c r="O855" s="150">
        <f t="shared" si="13"/>
        <v>817</v>
      </c>
      <c r="P855" s="385"/>
      <c r="Q855" s="385"/>
    </row>
    <row r="856" spans="1:17" ht="20.100000000000001" hidden="1" customHeight="1">
      <c r="A856" s="926">
        <v>838</v>
      </c>
      <c r="B856" s="927" t="s">
        <v>2985</v>
      </c>
      <c r="C856" s="928" t="s">
        <v>1024</v>
      </c>
      <c r="D856" s="2798"/>
      <c r="E856" s="170">
        <v>344</v>
      </c>
      <c r="F856" s="170"/>
      <c r="G856" s="170"/>
      <c r="H856" s="932"/>
      <c r="I856" s="170"/>
      <c r="J856" s="171"/>
      <c r="K856" s="1850"/>
      <c r="L856" s="1198"/>
      <c r="M856" s="1103" t="s">
        <v>1479</v>
      </c>
      <c r="N856" s="452">
        <v>0</v>
      </c>
      <c r="O856" s="150">
        <f t="shared" si="13"/>
        <v>344</v>
      </c>
      <c r="P856" s="385"/>
      <c r="Q856" s="385"/>
    </row>
    <row r="857" spans="1:17" ht="20.100000000000001" customHeight="1">
      <c r="A857" s="141">
        <v>839</v>
      </c>
      <c r="B857" s="142" t="s">
        <v>1488</v>
      </c>
      <c r="C857" s="143"/>
      <c r="D857" s="182" t="s">
        <v>1481</v>
      </c>
      <c r="E857" s="144"/>
      <c r="F857" s="144"/>
      <c r="G857" s="144"/>
      <c r="H857" s="160"/>
      <c r="I857" s="144"/>
      <c r="J857" s="145"/>
      <c r="K857" s="794">
        <v>1</v>
      </c>
      <c r="L857" s="147"/>
      <c r="M857" s="877" t="s">
        <v>1489</v>
      </c>
      <c r="N857" s="878">
        <v>5938.09</v>
      </c>
      <c r="O857" s="150">
        <f t="shared" si="13"/>
        <v>1</v>
      </c>
      <c r="P857" s="151"/>
      <c r="Q857" s="151"/>
    </row>
    <row r="858" spans="1:17" ht="20.100000000000001" hidden="1" customHeight="1">
      <c r="A858" s="141">
        <v>840</v>
      </c>
      <c r="B858" s="142" t="s">
        <v>1488</v>
      </c>
      <c r="C858" s="143" t="s">
        <v>1024</v>
      </c>
      <c r="D858" s="182"/>
      <c r="E858" s="144"/>
      <c r="F858" s="144"/>
      <c r="G858" s="144"/>
      <c r="H858" s="144"/>
      <c r="I858" s="160"/>
      <c r="J858" s="145"/>
      <c r="K858" s="778"/>
      <c r="L858" s="157"/>
      <c r="M858" s="868" t="s">
        <v>1026</v>
      </c>
      <c r="N858" s="879"/>
      <c r="O858" s="150">
        <f t="shared" si="13"/>
        <v>0</v>
      </c>
      <c r="P858" s="151"/>
      <c r="Q858" s="151"/>
    </row>
    <row r="859" spans="1:17" ht="20.100000000000001" hidden="1" customHeight="1">
      <c r="A859" s="141">
        <v>841</v>
      </c>
      <c r="B859" s="142" t="s">
        <v>1488</v>
      </c>
      <c r="C859" s="143" t="s">
        <v>1024</v>
      </c>
      <c r="D859" s="2793" t="s">
        <v>29</v>
      </c>
      <c r="E859" s="144"/>
      <c r="F859" s="160"/>
      <c r="G859" s="160">
        <v>1</v>
      </c>
      <c r="H859" s="144"/>
      <c r="I859" s="144"/>
      <c r="J859" s="145"/>
      <c r="K859" s="780"/>
      <c r="L859" s="153"/>
      <c r="M859" s="843" t="s">
        <v>119</v>
      </c>
      <c r="N859" s="880">
        <v>-4087540.79</v>
      </c>
      <c r="O859" s="150">
        <f t="shared" si="13"/>
        <v>1</v>
      </c>
      <c r="P859" s="151"/>
      <c r="Q859" s="151"/>
    </row>
    <row r="860" spans="1:17" ht="20.100000000000001" hidden="1" customHeight="1">
      <c r="A860" s="141">
        <v>842</v>
      </c>
      <c r="B860" s="142" t="s">
        <v>1488</v>
      </c>
      <c r="C860" s="143" t="s">
        <v>1024</v>
      </c>
      <c r="D860" s="2795"/>
      <c r="E860" s="160"/>
      <c r="F860" s="144"/>
      <c r="G860" s="160">
        <v>1</v>
      </c>
      <c r="H860" s="144"/>
      <c r="I860" s="144"/>
      <c r="J860" s="145"/>
      <c r="K860" s="780"/>
      <c r="L860" s="153"/>
      <c r="M860" s="843" t="s">
        <v>49</v>
      </c>
      <c r="N860" s="881">
        <v>-69809591.980000004</v>
      </c>
      <c r="O860" s="150">
        <f t="shared" si="13"/>
        <v>1</v>
      </c>
      <c r="P860" s="151"/>
      <c r="Q860" s="151"/>
    </row>
    <row r="861" spans="1:17" ht="20.100000000000001" hidden="1" customHeight="1">
      <c r="A861" s="141">
        <v>843</v>
      </c>
      <c r="B861" s="142" t="s">
        <v>1488</v>
      </c>
      <c r="C861" s="143" t="s">
        <v>1024</v>
      </c>
      <c r="D861" s="2795"/>
      <c r="E861" s="882"/>
      <c r="F861" s="882"/>
      <c r="G861" s="160">
        <v>1</v>
      </c>
      <c r="H861" s="882"/>
      <c r="I861" s="882"/>
      <c r="J861" s="359"/>
      <c r="K861" s="780"/>
      <c r="L861" s="153"/>
      <c r="M861" s="843" t="s">
        <v>31</v>
      </c>
      <c r="N861" s="883">
        <v>64.06</v>
      </c>
      <c r="O861" s="150">
        <f t="shared" si="13"/>
        <v>1</v>
      </c>
      <c r="P861" s="151"/>
      <c r="Q861" s="151"/>
    </row>
    <row r="862" spans="1:17" ht="20.100000000000001" hidden="1" customHeight="1">
      <c r="A862" s="141">
        <v>844</v>
      </c>
      <c r="B862" s="142" t="s">
        <v>1488</v>
      </c>
      <c r="C862" s="143" t="s">
        <v>1024</v>
      </c>
      <c r="D862" s="2795"/>
      <c r="E862" s="882"/>
      <c r="F862" s="882"/>
      <c r="G862" s="160">
        <v>1</v>
      </c>
      <c r="H862" s="882"/>
      <c r="I862" s="882"/>
      <c r="J862" s="359"/>
      <c r="K862" s="783"/>
      <c r="L862" s="153"/>
      <c r="M862" s="843" t="s">
        <v>32</v>
      </c>
      <c r="N862" s="881">
        <v>1058.6400000000001</v>
      </c>
      <c r="O862" s="150">
        <f t="shared" si="13"/>
        <v>1</v>
      </c>
      <c r="P862" s="151"/>
      <c r="Q862" s="151"/>
    </row>
    <row r="863" spans="1:17" ht="20.100000000000001" hidden="1" customHeight="1">
      <c r="A863" s="141">
        <v>845</v>
      </c>
      <c r="B863" s="142" t="s">
        <v>1488</v>
      </c>
      <c r="C863" s="143" t="s">
        <v>1024</v>
      </c>
      <c r="D863" s="2795"/>
      <c r="E863" s="882"/>
      <c r="F863" s="882"/>
      <c r="G863" s="160">
        <v>1</v>
      </c>
      <c r="H863" s="882"/>
      <c r="I863" s="882"/>
      <c r="J863" s="359"/>
      <c r="K863" s="783"/>
      <c r="L863" s="153"/>
      <c r="M863" s="843" t="s">
        <v>1027</v>
      </c>
      <c r="N863" s="881">
        <v>99872.91</v>
      </c>
      <c r="O863" s="150">
        <f t="shared" si="13"/>
        <v>1</v>
      </c>
      <c r="P863" s="151"/>
      <c r="Q863" s="151"/>
    </row>
    <row r="864" spans="1:17" ht="20.100000000000001" hidden="1" customHeight="1">
      <c r="A864" s="141">
        <v>846</v>
      </c>
      <c r="B864" s="142" t="s">
        <v>1488</v>
      </c>
      <c r="C864" s="143" t="s">
        <v>1024</v>
      </c>
      <c r="D864" s="2795"/>
      <c r="E864" s="882"/>
      <c r="F864" s="882"/>
      <c r="G864" s="160"/>
      <c r="H864" s="882"/>
      <c r="I864" s="882"/>
      <c r="J864" s="359"/>
      <c r="K864" s="835"/>
      <c r="L864" s="167"/>
      <c r="M864" s="884" t="s">
        <v>1490</v>
      </c>
      <c r="N864" s="329"/>
      <c r="O864" s="150">
        <f t="shared" si="13"/>
        <v>0</v>
      </c>
      <c r="P864" s="151"/>
      <c r="Q864" s="151"/>
    </row>
    <row r="865" spans="1:17" ht="20.100000000000001" hidden="1" customHeight="1">
      <c r="A865" s="141">
        <v>847</v>
      </c>
      <c r="B865" s="142" t="s">
        <v>1488</v>
      </c>
      <c r="C865" s="143" t="s">
        <v>1024</v>
      </c>
      <c r="D865" s="2795"/>
      <c r="E865" s="882"/>
      <c r="F865" s="882"/>
      <c r="G865" s="160">
        <v>1</v>
      </c>
      <c r="H865" s="882"/>
      <c r="I865" s="882"/>
      <c r="J865" s="359"/>
      <c r="K865" s="831"/>
      <c r="L865" s="179"/>
      <c r="M865" s="843" t="s">
        <v>675</v>
      </c>
      <c r="N865" s="883">
        <v>380.49</v>
      </c>
      <c r="O865" s="150">
        <f t="shared" si="13"/>
        <v>1</v>
      </c>
      <c r="P865" s="151"/>
      <c r="Q865" s="151"/>
    </row>
    <row r="866" spans="1:17" ht="20.100000000000001" hidden="1" customHeight="1">
      <c r="A866" s="141">
        <v>848</v>
      </c>
      <c r="B866" s="142" t="s">
        <v>1488</v>
      </c>
      <c r="C866" s="143" t="s">
        <v>1024</v>
      </c>
      <c r="D866" s="2795"/>
      <c r="E866" s="882"/>
      <c r="F866" s="882"/>
      <c r="G866" s="160">
        <v>1</v>
      </c>
      <c r="H866" s="882"/>
      <c r="I866" s="882"/>
      <c r="J866" s="359"/>
      <c r="K866" s="786"/>
      <c r="L866" s="179"/>
      <c r="M866" s="843" t="s">
        <v>50</v>
      </c>
      <c r="N866" s="885">
        <v>64.06</v>
      </c>
      <c r="O866" s="150">
        <f t="shared" si="13"/>
        <v>1</v>
      </c>
      <c r="P866" s="151"/>
      <c r="Q866" s="151"/>
    </row>
    <row r="867" spans="1:17" ht="20.100000000000001" hidden="1" customHeight="1">
      <c r="A867" s="141">
        <v>849</v>
      </c>
      <c r="B867" s="142" t="s">
        <v>1488</v>
      </c>
      <c r="C867" s="143" t="s">
        <v>1024</v>
      </c>
      <c r="D867" s="2795"/>
      <c r="E867" s="882"/>
      <c r="F867" s="882"/>
      <c r="G867" s="882"/>
      <c r="H867" s="882"/>
      <c r="I867" s="882"/>
      <c r="J867" s="359"/>
      <c r="K867" s="835"/>
      <c r="L867" s="167"/>
      <c r="M867" s="872" t="s">
        <v>1029</v>
      </c>
      <c r="N867" s="329"/>
      <c r="O867" s="150">
        <f t="shared" si="13"/>
        <v>0</v>
      </c>
      <c r="P867" s="151"/>
      <c r="Q867" s="151"/>
    </row>
    <row r="868" spans="1:17" ht="20.100000000000001" customHeight="1">
      <c r="A868" s="141">
        <v>850</v>
      </c>
      <c r="B868" s="142" t="s">
        <v>1488</v>
      </c>
      <c r="C868" s="143" t="s">
        <v>1024</v>
      </c>
      <c r="D868" s="2795"/>
      <c r="E868" s="882"/>
      <c r="F868" s="882"/>
      <c r="G868" s="160"/>
      <c r="H868" s="882"/>
      <c r="I868" s="882"/>
      <c r="J868" s="359"/>
      <c r="K868" s="831">
        <v>1</v>
      </c>
      <c r="L868" s="179"/>
      <c r="M868" s="846" t="s">
        <v>1491</v>
      </c>
      <c r="N868" s="886">
        <v>3000</v>
      </c>
      <c r="O868" s="150">
        <f t="shared" si="13"/>
        <v>1</v>
      </c>
      <c r="P868" s="151"/>
      <c r="Q868" s="151"/>
    </row>
    <row r="869" spans="1:17" ht="20.100000000000001" customHeight="1">
      <c r="A869" s="141">
        <v>851</v>
      </c>
      <c r="B869" s="142" t="s">
        <v>1488</v>
      </c>
      <c r="C869" s="143" t="s">
        <v>1024</v>
      </c>
      <c r="D869" s="2795"/>
      <c r="E869" s="882"/>
      <c r="F869" s="882"/>
      <c r="G869" s="160"/>
      <c r="H869" s="882"/>
      <c r="I869" s="882"/>
      <c r="J869" s="359"/>
      <c r="K869" s="831">
        <v>1</v>
      </c>
      <c r="L869" s="179"/>
      <c r="M869" s="846" t="s">
        <v>1492</v>
      </c>
      <c r="N869" s="886">
        <v>15047.14</v>
      </c>
      <c r="O869" s="150">
        <f t="shared" si="13"/>
        <v>1</v>
      </c>
      <c r="P869" s="151"/>
      <c r="Q869" s="151"/>
    </row>
    <row r="870" spans="1:17" ht="20.100000000000001" customHeight="1">
      <c r="A870" s="141">
        <v>852</v>
      </c>
      <c r="B870" s="142" t="s">
        <v>1488</v>
      </c>
      <c r="C870" s="143" t="s">
        <v>1024</v>
      </c>
      <c r="D870" s="2795"/>
      <c r="E870" s="882"/>
      <c r="F870" s="882"/>
      <c r="G870" s="882"/>
      <c r="H870" s="882"/>
      <c r="I870" s="882"/>
      <c r="J870" s="359"/>
      <c r="K870" s="831">
        <v>1</v>
      </c>
      <c r="L870" s="179"/>
      <c r="M870" s="846" t="s">
        <v>1493</v>
      </c>
      <c r="N870" s="886">
        <v>21367.39</v>
      </c>
      <c r="O870" s="150">
        <f t="shared" si="13"/>
        <v>1</v>
      </c>
      <c r="P870" s="151"/>
      <c r="Q870" s="151"/>
    </row>
    <row r="871" spans="1:17" ht="20.100000000000001" customHeight="1">
      <c r="A871" s="141">
        <v>853</v>
      </c>
      <c r="B871" s="142" t="s">
        <v>1488</v>
      </c>
      <c r="C871" s="143" t="s">
        <v>1024</v>
      </c>
      <c r="D871" s="2794"/>
      <c r="E871" s="882"/>
      <c r="F871" s="882"/>
      <c r="G871" s="882"/>
      <c r="H871" s="882"/>
      <c r="I871" s="882"/>
      <c r="J871" s="359"/>
      <c r="K871" s="831">
        <v>1</v>
      </c>
      <c r="L871" s="179"/>
      <c r="M871" s="846" t="s">
        <v>1494</v>
      </c>
      <c r="N871" s="881">
        <v>-283405.23</v>
      </c>
      <c r="O871" s="150">
        <f t="shared" si="13"/>
        <v>1</v>
      </c>
      <c r="P871" s="151"/>
      <c r="Q871" s="151"/>
    </row>
    <row r="872" spans="1:17" ht="20.100000000000001" customHeight="1">
      <c r="A872" s="141">
        <v>854</v>
      </c>
      <c r="B872" s="142" t="s">
        <v>1488</v>
      </c>
      <c r="C872" s="143" t="s">
        <v>1024</v>
      </c>
      <c r="D872" s="182" t="s">
        <v>68</v>
      </c>
      <c r="E872" s="882"/>
      <c r="F872" s="882"/>
      <c r="G872" s="882"/>
      <c r="H872" s="882"/>
      <c r="I872" s="882"/>
      <c r="J872" s="359"/>
      <c r="K872" s="887">
        <v>6</v>
      </c>
      <c r="L872" s="179"/>
      <c r="M872" s="791" t="s">
        <v>1061</v>
      </c>
      <c r="N872" s="832">
        <v>1413906.82</v>
      </c>
      <c r="O872" s="150">
        <f t="shared" si="13"/>
        <v>6</v>
      </c>
      <c r="P872" s="151"/>
      <c r="Q872" s="151"/>
    </row>
    <row r="873" spans="1:17" ht="20.100000000000001" hidden="1" customHeight="1">
      <c r="A873" s="141">
        <v>855</v>
      </c>
      <c r="B873" s="142" t="s">
        <v>1488</v>
      </c>
      <c r="C873" s="143" t="s">
        <v>1024</v>
      </c>
      <c r="D873" s="2791" t="s">
        <v>33</v>
      </c>
      <c r="E873" s="882"/>
      <c r="F873" s="882"/>
      <c r="G873" s="882"/>
      <c r="H873" s="882">
        <v>11</v>
      </c>
      <c r="I873" s="882"/>
      <c r="J873" s="359"/>
      <c r="K873" s="887"/>
      <c r="L873" s="179"/>
      <c r="M873" s="843" t="s">
        <v>34</v>
      </c>
      <c r="N873" s="888">
        <v>0</v>
      </c>
      <c r="O873" s="150">
        <f t="shared" si="13"/>
        <v>11</v>
      </c>
      <c r="P873" s="151"/>
      <c r="Q873" s="151"/>
    </row>
    <row r="874" spans="1:17" ht="20.100000000000001" hidden="1" customHeight="1">
      <c r="A874" s="141">
        <v>856</v>
      </c>
      <c r="B874" s="142" t="s">
        <v>1488</v>
      </c>
      <c r="C874" s="143" t="s">
        <v>1024</v>
      </c>
      <c r="D874" s="2799"/>
      <c r="E874" s="882"/>
      <c r="F874" s="882"/>
      <c r="G874" s="882"/>
      <c r="H874" s="882"/>
      <c r="I874" s="882">
        <v>6522</v>
      </c>
      <c r="J874" s="359"/>
      <c r="K874" s="889"/>
      <c r="L874" s="153"/>
      <c r="M874" s="843" t="s">
        <v>35</v>
      </c>
      <c r="N874" s="890">
        <v>7283192.7300000004</v>
      </c>
      <c r="O874" s="150">
        <f t="shared" si="13"/>
        <v>6522</v>
      </c>
      <c r="P874" s="151"/>
      <c r="Q874" s="151"/>
    </row>
    <row r="875" spans="1:17" ht="20.100000000000001" hidden="1" customHeight="1">
      <c r="A875" s="141">
        <v>857</v>
      </c>
      <c r="B875" s="142" t="s">
        <v>1488</v>
      </c>
      <c r="C875" s="143" t="s">
        <v>1024</v>
      </c>
      <c r="D875" s="2793" t="s">
        <v>36</v>
      </c>
      <c r="E875" s="882"/>
      <c r="F875" s="882">
        <v>710</v>
      </c>
      <c r="G875" s="882"/>
      <c r="H875" s="882"/>
      <c r="I875" s="882"/>
      <c r="J875" s="359"/>
      <c r="K875" s="776"/>
      <c r="L875" s="147"/>
      <c r="M875" s="843" t="s">
        <v>1495</v>
      </c>
      <c r="N875" s="891">
        <v>0</v>
      </c>
      <c r="O875" s="150">
        <f t="shared" si="13"/>
        <v>710</v>
      </c>
      <c r="P875" s="151"/>
      <c r="Q875" s="151"/>
    </row>
    <row r="876" spans="1:17" ht="20.100000000000001" hidden="1" customHeight="1">
      <c r="A876" s="141">
        <v>858</v>
      </c>
      <c r="B876" s="142" t="s">
        <v>1488</v>
      </c>
      <c r="C876" s="143" t="s">
        <v>1024</v>
      </c>
      <c r="D876" s="2792"/>
      <c r="E876" s="882">
        <v>488</v>
      </c>
      <c r="F876" s="882"/>
      <c r="G876" s="882"/>
      <c r="H876" s="160"/>
      <c r="I876" s="882"/>
      <c r="J876" s="359"/>
      <c r="K876" s="794"/>
      <c r="L876" s="153"/>
      <c r="M876" s="843" t="s">
        <v>1496</v>
      </c>
      <c r="N876" s="892">
        <v>0</v>
      </c>
      <c r="O876" s="150">
        <f t="shared" si="13"/>
        <v>488</v>
      </c>
      <c r="P876" s="151"/>
      <c r="Q876" s="151"/>
    </row>
    <row r="877" spans="1:17" ht="20.100000000000001" customHeight="1">
      <c r="A877" s="141">
        <v>859</v>
      </c>
      <c r="B877" s="142" t="s">
        <v>1497</v>
      </c>
      <c r="C877" s="143" t="s">
        <v>1024</v>
      </c>
      <c r="D877" s="182" t="s">
        <v>1047</v>
      </c>
      <c r="E877" s="882"/>
      <c r="F877" s="882"/>
      <c r="G877" s="882"/>
      <c r="H877" s="882"/>
      <c r="I877" s="160"/>
      <c r="J877" s="359"/>
      <c r="K877" s="776">
        <v>1</v>
      </c>
      <c r="L877" s="153"/>
      <c r="M877" s="846" t="s">
        <v>1498</v>
      </c>
      <c r="N877" s="181">
        <v>-12643.01</v>
      </c>
      <c r="O877" s="150">
        <f t="shared" si="13"/>
        <v>1</v>
      </c>
      <c r="P877" s="151"/>
      <c r="Q877" s="151"/>
    </row>
    <row r="878" spans="1:17" ht="20.100000000000001" hidden="1" customHeight="1">
      <c r="A878" s="141">
        <v>860</v>
      </c>
      <c r="B878" s="142" t="s">
        <v>1497</v>
      </c>
      <c r="C878" s="143" t="s">
        <v>1024</v>
      </c>
      <c r="D878" s="182"/>
      <c r="E878" s="882"/>
      <c r="F878" s="160"/>
      <c r="G878" s="882"/>
      <c r="H878" s="882"/>
      <c r="I878" s="882"/>
      <c r="J878" s="359"/>
      <c r="K878" s="778"/>
      <c r="L878" s="157"/>
      <c r="M878" s="868" t="s">
        <v>1026</v>
      </c>
      <c r="N878" s="159"/>
      <c r="O878" s="150">
        <f t="shared" si="13"/>
        <v>0</v>
      </c>
      <c r="P878" s="151"/>
      <c r="Q878" s="151"/>
    </row>
    <row r="879" spans="1:17" ht="20.100000000000001" hidden="1" customHeight="1">
      <c r="A879" s="141">
        <v>861</v>
      </c>
      <c r="B879" s="142" t="s">
        <v>1497</v>
      </c>
      <c r="C879" s="143" t="s">
        <v>1024</v>
      </c>
      <c r="D879" s="2793" t="s">
        <v>29</v>
      </c>
      <c r="E879" s="160"/>
      <c r="F879" s="882"/>
      <c r="G879" s="160">
        <v>1</v>
      </c>
      <c r="H879" s="882"/>
      <c r="I879" s="882"/>
      <c r="J879" s="359"/>
      <c r="K879" s="780"/>
      <c r="L879" s="153"/>
      <c r="M879" s="843" t="s">
        <v>119</v>
      </c>
      <c r="N879" s="155">
        <v>-2086995.87</v>
      </c>
      <c r="O879" s="150">
        <f t="shared" si="13"/>
        <v>1</v>
      </c>
      <c r="P879" s="151"/>
      <c r="Q879" s="151"/>
    </row>
    <row r="880" spans="1:17" ht="20.100000000000001" hidden="1" customHeight="1">
      <c r="A880" s="141">
        <v>862</v>
      </c>
      <c r="B880" s="142" t="s">
        <v>1497</v>
      </c>
      <c r="C880" s="143" t="s">
        <v>1024</v>
      </c>
      <c r="D880" s="2795"/>
      <c r="E880" s="144"/>
      <c r="F880" s="144"/>
      <c r="G880" s="160">
        <v>1</v>
      </c>
      <c r="H880" s="144"/>
      <c r="I880" s="144"/>
      <c r="J880" s="145"/>
      <c r="K880" s="780"/>
      <c r="L880" s="153"/>
      <c r="M880" s="843" t="s">
        <v>49</v>
      </c>
      <c r="N880" s="181">
        <v>-14978485.9</v>
      </c>
      <c r="O880" s="150">
        <f t="shared" si="13"/>
        <v>1</v>
      </c>
      <c r="P880" s="151"/>
      <c r="Q880" s="151"/>
    </row>
    <row r="881" spans="1:17" ht="20.100000000000001" hidden="1" customHeight="1">
      <c r="A881" s="141">
        <v>863</v>
      </c>
      <c r="B881" s="142" t="s">
        <v>1497</v>
      </c>
      <c r="C881" s="143" t="s">
        <v>1024</v>
      </c>
      <c r="D881" s="2795"/>
      <c r="E881" s="144"/>
      <c r="F881" s="144"/>
      <c r="G881" s="160">
        <v>1</v>
      </c>
      <c r="H881" s="144"/>
      <c r="I881" s="144"/>
      <c r="J881" s="145"/>
      <c r="K881" s="831"/>
      <c r="L881" s="179"/>
      <c r="M881" s="843" t="s">
        <v>1027</v>
      </c>
      <c r="N881" s="186">
        <v>211718.36</v>
      </c>
      <c r="O881" s="150">
        <f t="shared" si="13"/>
        <v>1</v>
      </c>
      <c r="P881" s="151"/>
      <c r="Q881" s="151"/>
    </row>
    <row r="882" spans="1:17" ht="20.100000000000001" hidden="1" customHeight="1">
      <c r="A882" s="141">
        <v>864</v>
      </c>
      <c r="B882" s="142" t="s">
        <v>1497</v>
      </c>
      <c r="C882" s="143" t="s">
        <v>1024</v>
      </c>
      <c r="D882" s="2795"/>
      <c r="E882" s="144"/>
      <c r="F882" s="144"/>
      <c r="G882" s="160"/>
      <c r="H882" s="144"/>
      <c r="I882" s="144"/>
      <c r="J882" s="145"/>
      <c r="K882" s="835"/>
      <c r="L882" s="167"/>
      <c r="M882" s="884" t="s">
        <v>1028</v>
      </c>
      <c r="N882" s="371"/>
      <c r="O882" s="150">
        <f t="shared" si="13"/>
        <v>0</v>
      </c>
      <c r="P882" s="151"/>
      <c r="Q882" s="151"/>
    </row>
    <row r="883" spans="1:17" ht="20.100000000000001" customHeight="1">
      <c r="A883" s="141">
        <v>865</v>
      </c>
      <c r="B883" s="142" t="s">
        <v>1497</v>
      </c>
      <c r="C883" s="143" t="s">
        <v>1024</v>
      </c>
      <c r="D883" s="2795"/>
      <c r="E883" s="144"/>
      <c r="F883" s="144"/>
      <c r="G883" s="160"/>
      <c r="H883" s="144"/>
      <c r="I883" s="144"/>
      <c r="J883" s="145"/>
      <c r="K883" s="786">
        <v>1</v>
      </c>
      <c r="L883" s="173"/>
      <c r="M883" s="893" t="s">
        <v>393</v>
      </c>
      <c r="N883" s="593">
        <v>7919.22</v>
      </c>
      <c r="O883" s="150">
        <f t="shared" si="13"/>
        <v>1</v>
      </c>
      <c r="P883" s="151"/>
      <c r="Q883" s="151"/>
    </row>
    <row r="884" spans="1:17" ht="20.100000000000001" hidden="1" customHeight="1">
      <c r="A884" s="141">
        <v>866</v>
      </c>
      <c r="B884" s="142" t="s">
        <v>1497</v>
      </c>
      <c r="C884" s="143" t="s">
        <v>1024</v>
      </c>
      <c r="D884" s="2795"/>
      <c r="E884" s="144"/>
      <c r="F884" s="144"/>
      <c r="G884" s="160">
        <v>1</v>
      </c>
      <c r="H884" s="144"/>
      <c r="I884" s="144"/>
      <c r="J884" s="145"/>
      <c r="K884" s="786"/>
      <c r="L884" s="173"/>
      <c r="M884" s="893" t="s">
        <v>1098</v>
      </c>
      <c r="N884" s="593">
        <v>106</v>
      </c>
      <c r="O884" s="150">
        <f t="shared" si="13"/>
        <v>1</v>
      </c>
      <c r="P884" s="151"/>
      <c r="Q884" s="151"/>
    </row>
    <row r="885" spans="1:17" ht="20.100000000000001" hidden="1" customHeight="1">
      <c r="A885" s="141">
        <v>867</v>
      </c>
      <c r="B885" s="142" t="s">
        <v>1497</v>
      </c>
      <c r="C885" s="143" t="s">
        <v>1024</v>
      </c>
      <c r="D885" s="2795"/>
      <c r="E885" s="144"/>
      <c r="F885" s="144"/>
      <c r="G885" s="160">
        <v>1</v>
      </c>
      <c r="H885" s="144"/>
      <c r="I885" s="144"/>
      <c r="J885" s="145"/>
      <c r="K885" s="831"/>
      <c r="L885" s="179"/>
      <c r="M885" s="843" t="s">
        <v>1483</v>
      </c>
      <c r="N885" s="186">
        <v>96.13</v>
      </c>
      <c r="O885" s="150">
        <f t="shared" si="13"/>
        <v>1</v>
      </c>
      <c r="P885" s="151"/>
      <c r="Q885" s="151"/>
    </row>
    <row r="886" spans="1:17" ht="20.100000000000001" hidden="1" customHeight="1">
      <c r="A886" s="141">
        <v>868</v>
      </c>
      <c r="B886" s="142" t="s">
        <v>1497</v>
      </c>
      <c r="C886" s="143" t="s">
        <v>1024</v>
      </c>
      <c r="D886" s="2795"/>
      <c r="E886" s="170"/>
      <c r="F886" s="170"/>
      <c r="G886" s="170"/>
      <c r="H886" s="170"/>
      <c r="I886" s="170"/>
      <c r="J886" s="171"/>
      <c r="K886" s="835"/>
      <c r="L886" s="167"/>
      <c r="M886" s="872" t="s">
        <v>1029</v>
      </c>
      <c r="N886" s="177"/>
      <c r="O886" s="150">
        <f t="shared" si="13"/>
        <v>0</v>
      </c>
      <c r="P886" s="151"/>
      <c r="Q886" s="151"/>
    </row>
    <row r="887" spans="1:17" ht="20.100000000000001" customHeight="1">
      <c r="A887" s="141">
        <v>869</v>
      </c>
      <c r="B887" s="142" t="s">
        <v>1497</v>
      </c>
      <c r="C887" s="143" t="s">
        <v>1024</v>
      </c>
      <c r="D887" s="2795"/>
      <c r="E887" s="170"/>
      <c r="F887" s="170"/>
      <c r="G887" s="160"/>
      <c r="H887" s="170"/>
      <c r="I887" s="170"/>
      <c r="J887" s="171"/>
      <c r="K887" s="831">
        <v>1</v>
      </c>
      <c r="L887" s="179"/>
      <c r="M887" s="846" t="s">
        <v>1499</v>
      </c>
      <c r="N887" s="463">
        <v>34500</v>
      </c>
      <c r="O887" s="150">
        <f t="shared" si="13"/>
        <v>1</v>
      </c>
      <c r="P887" s="151"/>
      <c r="Q887" s="151"/>
    </row>
    <row r="888" spans="1:17" ht="20.100000000000001" customHeight="1">
      <c r="A888" s="141">
        <v>870</v>
      </c>
      <c r="B888" s="142" t="s">
        <v>1497</v>
      </c>
      <c r="C888" s="143" t="s">
        <v>1024</v>
      </c>
      <c r="D888" s="2795"/>
      <c r="E888" s="144"/>
      <c r="F888" s="144"/>
      <c r="G888" s="160"/>
      <c r="H888" s="144"/>
      <c r="I888" s="144"/>
      <c r="J888" s="145"/>
      <c r="K888" s="831">
        <v>1</v>
      </c>
      <c r="L888" s="179"/>
      <c r="M888" s="846" t="s">
        <v>1500</v>
      </c>
      <c r="N888" s="767">
        <v>5317.36</v>
      </c>
      <c r="O888" s="150">
        <f t="shared" si="13"/>
        <v>1</v>
      </c>
      <c r="P888" s="151"/>
      <c r="Q888" s="151"/>
    </row>
    <row r="889" spans="1:17" ht="20.100000000000001" customHeight="1">
      <c r="A889" s="141">
        <v>871</v>
      </c>
      <c r="B889" s="142" t="s">
        <v>1497</v>
      </c>
      <c r="C889" s="143" t="s">
        <v>1024</v>
      </c>
      <c r="D889" s="2794"/>
      <c r="E889" s="144"/>
      <c r="F889" s="144"/>
      <c r="G889" s="144"/>
      <c r="H889" s="144"/>
      <c r="I889" s="144"/>
      <c r="J889" s="145"/>
      <c r="K889" s="831">
        <v>1</v>
      </c>
      <c r="L889" s="179"/>
      <c r="M889" s="846" t="s">
        <v>1501</v>
      </c>
      <c r="N889" s="767">
        <v>-5</v>
      </c>
      <c r="O889" s="150">
        <f t="shared" si="13"/>
        <v>1</v>
      </c>
      <c r="P889" s="151"/>
      <c r="Q889" s="151"/>
    </row>
    <row r="890" spans="1:17" ht="20.100000000000001" customHeight="1">
      <c r="A890" s="141">
        <v>872</v>
      </c>
      <c r="B890" s="142" t="s">
        <v>1497</v>
      </c>
      <c r="C890" s="143" t="s">
        <v>1024</v>
      </c>
      <c r="D890" s="182" t="s">
        <v>68</v>
      </c>
      <c r="E890" s="144"/>
      <c r="F890" s="144"/>
      <c r="G890" s="144"/>
      <c r="H890" s="144"/>
      <c r="I890" s="144"/>
      <c r="J890" s="145"/>
      <c r="K890" s="786">
        <v>2</v>
      </c>
      <c r="L890" s="173"/>
      <c r="M890" s="791" t="s">
        <v>1061</v>
      </c>
      <c r="N890" s="457">
        <v>262004.21</v>
      </c>
      <c r="O890" s="150">
        <f t="shared" si="13"/>
        <v>2</v>
      </c>
      <c r="P890" s="151"/>
      <c r="Q890" s="151"/>
    </row>
    <row r="891" spans="1:17" ht="20.100000000000001" hidden="1" customHeight="1">
      <c r="A891" s="141">
        <v>873</v>
      </c>
      <c r="B891" s="142" t="s">
        <v>1497</v>
      </c>
      <c r="C891" s="143" t="s">
        <v>1024</v>
      </c>
      <c r="D891" s="2793" t="s">
        <v>33</v>
      </c>
      <c r="E891" s="144"/>
      <c r="F891" s="144"/>
      <c r="G891" s="144"/>
      <c r="H891" s="144">
        <v>5</v>
      </c>
      <c r="I891" s="144"/>
      <c r="J891" s="145"/>
      <c r="K891" s="831"/>
      <c r="L891" s="179"/>
      <c r="M891" s="843" t="s">
        <v>34</v>
      </c>
      <c r="N891" s="186"/>
      <c r="O891" s="150">
        <f t="shared" si="13"/>
        <v>5</v>
      </c>
      <c r="P891" s="151"/>
      <c r="Q891" s="151"/>
    </row>
    <row r="892" spans="1:17" ht="20.100000000000001" hidden="1" customHeight="1">
      <c r="A892" s="141">
        <v>874</v>
      </c>
      <c r="B892" s="142" t="s">
        <v>1497</v>
      </c>
      <c r="C892" s="143" t="s">
        <v>1024</v>
      </c>
      <c r="D892" s="2794"/>
      <c r="E892" s="170"/>
      <c r="F892" s="170"/>
      <c r="G892" s="170"/>
      <c r="H892" s="170"/>
      <c r="I892" s="170">
        <v>4085</v>
      </c>
      <c r="J892" s="171"/>
      <c r="K892" s="780"/>
      <c r="L892" s="153"/>
      <c r="M892" s="843" t="s">
        <v>35</v>
      </c>
      <c r="N892" s="401">
        <v>3147370</v>
      </c>
      <c r="O892" s="150">
        <f t="shared" si="13"/>
        <v>4085</v>
      </c>
      <c r="P892" s="151"/>
      <c r="Q892" s="151"/>
    </row>
    <row r="893" spans="1:17" ht="20.100000000000001" customHeight="1">
      <c r="A893" s="141">
        <v>875</v>
      </c>
      <c r="B893" s="142" t="s">
        <v>1497</v>
      </c>
      <c r="C893" s="143" t="s">
        <v>1024</v>
      </c>
      <c r="D893" s="182" t="s">
        <v>195</v>
      </c>
      <c r="E893" s="144"/>
      <c r="F893" s="144"/>
      <c r="G893" s="144"/>
      <c r="H893" s="160"/>
      <c r="I893" s="144"/>
      <c r="J893" s="145"/>
      <c r="K893" s="776">
        <v>6</v>
      </c>
      <c r="L893" s="153"/>
      <c r="M893" s="842" t="s">
        <v>196</v>
      </c>
      <c r="N893" s="457">
        <v>0</v>
      </c>
      <c r="O893" s="150">
        <f t="shared" si="13"/>
        <v>6</v>
      </c>
      <c r="P893" s="151"/>
      <c r="Q893" s="151"/>
    </row>
    <row r="894" spans="1:17" ht="20.100000000000001" hidden="1" customHeight="1">
      <c r="A894" s="141">
        <v>876</v>
      </c>
      <c r="B894" s="142" t="s">
        <v>1497</v>
      </c>
      <c r="C894" s="143" t="s">
        <v>1024</v>
      </c>
      <c r="D894" s="2793" t="s">
        <v>36</v>
      </c>
      <c r="E894" s="144"/>
      <c r="F894" s="144">
        <v>490</v>
      </c>
      <c r="G894" s="144"/>
      <c r="H894" s="144"/>
      <c r="I894" s="160"/>
      <c r="J894" s="145"/>
      <c r="K894" s="776"/>
      <c r="L894" s="153"/>
      <c r="M894" s="843" t="s">
        <v>1502</v>
      </c>
      <c r="N894" s="181">
        <v>0</v>
      </c>
      <c r="O894" s="150">
        <f t="shared" si="13"/>
        <v>490</v>
      </c>
      <c r="P894" s="151"/>
      <c r="Q894" s="151"/>
    </row>
    <row r="895" spans="1:17" ht="20.100000000000001" hidden="1" customHeight="1">
      <c r="A895" s="141">
        <v>877</v>
      </c>
      <c r="B895" s="142" t="s">
        <v>1497</v>
      </c>
      <c r="C895" s="143" t="s">
        <v>1024</v>
      </c>
      <c r="D895" s="2792"/>
      <c r="E895" s="144">
        <v>74</v>
      </c>
      <c r="F895" s="144"/>
      <c r="G895" s="144"/>
      <c r="H895" s="144"/>
      <c r="I895" s="144"/>
      <c r="J895" s="145"/>
      <c r="K895" s="776"/>
      <c r="L895" s="153"/>
      <c r="M895" s="843" t="s">
        <v>1503</v>
      </c>
      <c r="N895" s="181">
        <v>0</v>
      </c>
      <c r="O895" s="150">
        <f t="shared" si="13"/>
        <v>74</v>
      </c>
      <c r="P895" s="151"/>
      <c r="Q895" s="151"/>
    </row>
    <row r="896" spans="1:17" ht="20.100000000000001" customHeight="1">
      <c r="A896" s="141">
        <v>878</v>
      </c>
      <c r="B896" s="142" t="s">
        <v>1504</v>
      </c>
      <c r="C896" s="143" t="s">
        <v>1024</v>
      </c>
      <c r="D896" s="182" t="s">
        <v>1505</v>
      </c>
      <c r="E896" s="144"/>
      <c r="F896" s="160"/>
      <c r="G896" s="144"/>
      <c r="H896" s="144"/>
      <c r="I896" s="144"/>
      <c r="J896" s="145"/>
      <c r="K896" s="794">
        <v>2</v>
      </c>
      <c r="L896" s="147" t="s">
        <v>1506</v>
      </c>
      <c r="M896" s="877" t="s">
        <v>1507</v>
      </c>
      <c r="N896" s="891">
        <v>101478.26</v>
      </c>
      <c r="O896" s="150">
        <f t="shared" si="13"/>
        <v>2</v>
      </c>
      <c r="P896" s="151"/>
      <c r="Q896" s="151"/>
    </row>
    <row r="897" spans="1:17" ht="20.100000000000001" hidden="1" customHeight="1">
      <c r="A897" s="141">
        <v>879</v>
      </c>
      <c r="B897" s="142" t="s">
        <v>1504</v>
      </c>
      <c r="C897" s="143" t="s">
        <v>1024</v>
      </c>
      <c r="D897" s="182"/>
      <c r="E897" s="160"/>
      <c r="F897" s="144"/>
      <c r="G897" s="144"/>
      <c r="H897" s="144"/>
      <c r="I897" s="144"/>
      <c r="J897" s="145"/>
      <c r="K897" s="778"/>
      <c r="L897" s="157"/>
      <c r="M897" s="868" t="s">
        <v>1026</v>
      </c>
      <c r="N897" s="879"/>
      <c r="O897" s="150">
        <f t="shared" si="13"/>
        <v>0</v>
      </c>
      <c r="P897" s="151"/>
      <c r="Q897" s="151"/>
    </row>
    <row r="898" spans="1:17" ht="20.100000000000001" hidden="1" customHeight="1">
      <c r="A898" s="141">
        <v>880</v>
      </c>
      <c r="B898" s="142" t="s">
        <v>1504</v>
      </c>
      <c r="C898" s="143" t="s">
        <v>1024</v>
      </c>
      <c r="D898" s="2793" t="s">
        <v>29</v>
      </c>
      <c r="E898" s="144"/>
      <c r="F898" s="144"/>
      <c r="G898" s="160">
        <v>1</v>
      </c>
      <c r="H898" s="144"/>
      <c r="I898" s="144"/>
      <c r="J898" s="145"/>
      <c r="K898" s="780"/>
      <c r="L898" s="153"/>
      <c r="M898" s="843" t="s">
        <v>119</v>
      </c>
      <c r="N898" s="116">
        <v>-2182201.9</v>
      </c>
      <c r="O898" s="150">
        <f t="shared" si="13"/>
        <v>1</v>
      </c>
      <c r="P898" s="151"/>
      <c r="Q898" s="151"/>
    </row>
    <row r="899" spans="1:17" ht="20.100000000000001" hidden="1" customHeight="1">
      <c r="A899" s="141">
        <v>881</v>
      </c>
      <c r="B899" s="142" t="s">
        <v>1504</v>
      </c>
      <c r="C899" s="143" t="s">
        <v>1024</v>
      </c>
      <c r="D899" s="2795"/>
      <c r="E899" s="144"/>
      <c r="F899" s="144"/>
      <c r="G899" s="160">
        <v>1</v>
      </c>
      <c r="H899" s="144"/>
      <c r="I899" s="144"/>
      <c r="J899" s="145"/>
      <c r="K899" s="780"/>
      <c r="L899" s="153"/>
      <c r="M899" s="843" t="s">
        <v>49</v>
      </c>
      <c r="N899" s="892">
        <v>-26524085.129999999</v>
      </c>
      <c r="O899" s="150">
        <f t="shared" si="13"/>
        <v>1</v>
      </c>
      <c r="P899" s="151"/>
      <c r="Q899" s="151"/>
    </row>
    <row r="900" spans="1:17" ht="20.100000000000001" hidden="1" customHeight="1">
      <c r="A900" s="141">
        <v>882</v>
      </c>
      <c r="B900" s="142" t="s">
        <v>1504</v>
      </c>
      <c r="C900" s="143" t="s">
        <v>1024</v>
      </c>
      <c r="D900" s="2795"/>
      <c r="E900" s="144"/>
      <c r="F900" s="144"/>
      <c r="G900" s="160">
        <v>1</v>
      </c>
      <c r="H900" s="144"/>
      <c r="I900" s="144"/>
      <c r="J900" s="145"/>
      <c r="K900" s="780"/>
      <c r="L900" s="153"/>
      <c r="M900" s="843" t="s">
        <v>1508</v>
      </c>
      <c r="N900" s="894">
        <v>162775.84</v>
      </c>
      <c r="O900" s="150">
        <f t="shared" si="13"/>
        <v>1</v>
      </c>
      <c r="P900" s="151"/>
      <c r="Q900" s="151"/>
    </row>
    <row r="901" spans="1:17" ht="20.100000000000001" hidden="1" customHeight="1">
      <c r="A901" s="141">
        <v>883</v>
      </c>
      <c r="B901" s="142" t="s">
        <v>1504</v>
      </c>
      <c r="C901" s="143" t="s">
        <v>1024</v>
      </c>
      <c r="D901" s="2795"/>
      <c r="E901" s="144"/>
      <c r="F901" s="144"/>
      <c r="G901" s="160"/>
      <c r="H901" s="144"/>
      <c r="I901" s="144"/>
      <c r="J901" s="145"/>
      <c r="K901" s="839"/>
      <c r="L901" s="459"/>
      <c r="M901" s="895" t="s">
        <v>1490</v>
      </c>
      <c r="N901" s="896"/>
      <c r="O901" s="150">
        <f t="shared" si="13"/>
        <v>0</v>
      </c>
      <c r="P901" s="151"/>
      <c r="Q901" s="151"/>
    </row>
    <row r="902" spans="1:17" ht="20.100000000000001" hidden="1" customHeight="1">
      <c r="A902" s="141">
        <v>884</v>
      </c>
      <c r="B902" s="142" t="s">
        <v>1504</v>
      </c>
      <c r="C902" s="143" t="s">
        <v>1024</v>
      </c>
      <c r="D902" s="2795"/>
      <c r="E902" s="144"/>
      <c r="F902" s="144"/>
      <c r="G902" s="160">
        <v>1</v>
      </c>
      <c r="H902" s="144"/>
      <c r="I902" s="144"/>
      <c r="J902" s="145"/>
      <c r="K902" s="887"/>
      <c r="L902" s="897"/>
      <c r="M902" s="898" t="s">
        <v>675</v>
      </c>
      <c r="N902" s="885">
        <v>123</v>
      </c>
      <c r="O902" s="150">
        <f t="shared" si="13"/>
        <v>1</v>
      </c>
      <c r="P902" s="151"/>
      <c r="Q902" s="151"/>
    </row>
    <row r="903" spans="1:17" ht="20.100000000000001" hidden="1" customHeight="1">
      <c r="A903" s="141">
        <v>885</v>
      </c>
      <c r="B903" s="142" t="s">
        <v>1504</v>
      </c>
      <c r="C903" s="143" t="s">
        <v>1024</v>
      </c>
      <c r="D903" s="2795"/>
      <c r="E903" s="144"/>
      <c r="F903" s="144"/>
      <c r="G903" s="160">
        <v>1</v>
      </c>
      <c r="H903" s="144"/>
      <c r="I903" s="144"/>
      <c r="J903" s="145"/>
      <c r="K903" s="887"/>
      <c r="L903" s="897"/>
      <c r="M903" s="898" t="s">
        <v>886</v>
      </c>
      <c r="N903" s="888">
        <v>-1855</v>
      </c>
      <c r="O903" s="150">
        <f t="shared" si="13"/>
        <v>1</v>
      </c>
      <c r="P903" s="151"/>
      <c r="Q903" s="151"/>
    </row>
    <row r="904" spans="1:17" ht="20.100000000000001" hidden="1" customHeight="1">
      <c r="A904" s="141">
        <v>886</v>
      </c>
      <c r="B904" s="142" t="s">
        <v>1504</v>
      </c>
      <c r="C904" s="143" t="s">
        <v>1024</v>
      </c>
      <c r="D904" s="2794"/>
      <c r="E904" s="144"/>
      <c r="F904" s="144"/>
      <c r="G904" s="160"/>
      <c r="H904" s="144"/>
      <c r="I904" s="144"/>
      <c r="J904" s="145"/>
      <c r="K904" s="835"/>
      <c r="L904" s="167"/>
      <c r="M904" s="872" t="s">
        <v>1029</v>
      </c>
      <c r="N904" s="329"/>
      <c r="O904" s="150">
        <f t="shared" si="13"/>
        <v>0</v>
      </c>
      <c r="P904" s="546"/>
      <c r="Q904" s="546"/>
    </row>
    <row r="905" spans="1:17" ht="20.100000000000001" customHeight="1">
      <c r="A905" s="141">
        <v>887</v>
      </c>
      <c r="B905" s="142" t="s">
        <v>1504</v>
      </c>
      <c r="C905" s="143" t="s">
        <v>1024</v>
      </c>
      <c r="D905" s="182" t="s">
        <v>68</v>
      </c>
      <c r="E905" s="144"/>
      <c r="F905" s="144"/>
      <c r="G905" s="160"/>
      <c r="H905" s="144"/>
      <c r="I905" s="144"/>
      <c r="J905" s="145"/>
      <c r="K905" s="899">
        <v>1</v>
      </c>
      <c r="L905" s="566"/>
      <c r="M905" s="900" t="s">
        <v>1300</v>
      </c>
      <c r="N905" s="885">
        <v>1001292.19</v>
      </c>
      <c r="O905" s="150">
        <f t="shared" si="13"/>
        <v>1</v>
      </c>
      <c r="P905" s="546"/>
      <c r="Q905" s="546"/>
    </row>
    <row r="906" spans="1:17" ht="20.100000000000001" hidden="1" customHeight="1">
      <c r="A906" s="141">
        <v>888</v>
      </c>
      <c r="B906" s="142" t="s">
        <v>1504</v>
      </c>
      <c r="C906" s="143" t="s">
        <v>1024</v>
      </c>
      <c r="D906" s="2793" t="s">
        <v>33</v>
      </c>
      <c r="E906" s="144"/>
      <c r="F906" s="144"/>
      <c r="G906" s="144"/>
      <c r="H906" s="144">
        <v>29</v>
      </c>
      <c r="I906" s="144"/>
      <c r="J906" s="145"/>
      <c r="K906" s="887"/>
      <c r="L906" s="901" t="s">
        <v>100</v>
      </c>
      <c r="M906" s="898" t="s">
        <v>1509</v>
      </c>
      <c r="N906" s="888">
        <v>1450</v>
      </c>
      <c r="O906" s="150">
        <f t="shared" si="13"/>
        <v>29</v>
      </c>
      <c r="P906" s="151"/>
      <c r="Q906" s="151"/>
    </row>
    <row r="907" spans="1:17" ht="20.100000000000001" hidden="1" customHeight="1">
      <c r="A907" s="141">
        <v>889</v>
      </c>
      <c r="B907" s="142" t="s">
        <v>1504</v>
      </c>
      <c r="C907" s="143" t="s">
        <v>1024</v>
      </c>
      <c r="D907" s="2794"/>
      <c r="E907" s="144"/>
      <c r="F907" s="144"/>
      <c r="G907" s="144"/>
      <c r="H907" s="160"/>
      <c r="I907" s="144">
        <v>2382</v>
      </c>
      <c r="J907" s="145"/>
      <c r="K907" s="889"/>
      <c r="L907" s="902"/>
      <c r="M907" s="898" t="s">
        <v>35</v>
      </c>
      <c r="N907" s="903">
        <v>2169005.27</v>
      </c>
      <c r="O907" s="150">
        <f t="shared" si="13"/>
        <v>2382</v>
      </c>
      <c r="P907" s="151"/>
      <c r="Q907" s="151"/>
    </row>
    <row r="908" spans="1:17" ht="20.100000000000001" hidden="1" customHeight="1">
      <c r="A908" s="141">
        <v>890</v>
      </c>
      <c r="B908" s="142" t="s">
        <v>1504</v>
      </c>
      <c r="C908" s="143" t="s">
        <v>1024</v>
      </c>
      <c r="D908" s="2793" t="s">
        <v>36</v>
      </c>
      <c r="E908" s="144"/>
      <c r="F908" s="144">
        <v>84</v>
      </c>
      <c r="G908" s="144"/>
      <c r="H908" s="144"/>
      <c r="I908" s="160"/>
      <c r="J908" s="145"/>
      <c r="K908" s="776"/>
      <c r="L908" s="153"/>
      <c r="M908" s="843" t="s">
        <v>1510</v>
      </c>
      <c r="N908" s="892">
        <v>0</v>
      </c>
      <c r="O908" s="150">
        <f t="shared" si="13"/>
        <v>84</v>
      </c>
      <c r="P908" s="546"/>
      <c r="Q908" s="546"/>
    </row>
    <row r="909" spans="1:17" ht="20.100000000000001" hidden="1" customHeight="1">
      <c r="A909" s="141">
        <v>891</v>
      </c>
      <c r="B909" s="142" t="s">
        <v>1504</v>
      </c>
      <c r="C909" s="143" t="s">
        <v>1024</v>
      </c>
      <c r="D909" s="2792"/>
      <c r="E909" s="144">
        <v>25</v>
      </c>
      <c r="F909" s="160"/>
      <c r="G909" s="144"/>
      <c r="H909" s="144"/>
      <c r="I909" s="144"/>
      <c r="J909" s="145"/>
      <c r="K909" s="794"/>
      <c r="L909" s="153"/>
      <c r="M909" s="843" t="s">
        <v>1511</v>
      </c>
      <c r="N909" s="892">
        <v>0</v>
      </c>
      <c r="O909" s="150">
        <f t="shared" si="13"/>
        <v>25</v>
      </c>
      <c r="P909" s="151"/>
      <c r="Q909" s="151"/>
    </row>
    <row r="910" spans="1:17" ht="20.100000000000001" customHeight="1">
      <c r="A910" s="141">
        <v>892</v>
      </c>
      <c r="B910" s="142" t="s">
        <v>1504</v>
      </c>
      <c r="C910" s="143" t="s">
        <v>1024</v>
      </c>
      <c r="D910" s="182" t="s">
        <v>38</v>
      </c>
      <c r="E910" s="160"/>
      <c r="F910" s="144"/>
      <c r="G910" s="144"/>
      <c r="H910" s="144"/>
      <c r="I910" s="144"/>
      <c r="J910" s="145"/>
      <c r="K910" s="776">
        <v>3</v>
      </c>
      <c r="L910" s="173" t="s">
        <v>1512</v>
      </c>
      <c r="M910" s="904" t="s">
        <v>1513</v>
      </c>
      <c r="N910" s="905">
        <f>500000+400000+80000</f>
        <v>980000</v>
      </c>
      <c r="O910" s="150">
        <f t="shared" si="13"/>
        <v>3</v>
      </c>
      <c r="P910" s="151"/>
      <c r="Q910" s="151"/>
    </row>
    <row r="911" spans="1:17" ht="20.100000000000001" customHeight="1">
      <c r="A911" s="141">
        <v>893</v>
      </c>
      <c r="B911" s="142" t="s">
        <v>1514</v>
      </c>
      <c r="C911" s="143" t="s">
        <v>1024</v>
      </c>
      <c r="D911" s="2793" t="s">
        <v>26</v>
      </c>
      <c r="E911" s="144"/>
      <c r="F911" s="144"/>
      <c r="G911" s="144"/>
      <c r="H911" s="144"/>
      <c r="I911" s="144"/>
      <c r="J911" s="145"/>
      <c r="K911" s="906">
        <v>1</v>
      </c>
      <c r="L911" s="907"/>
      <c r="M911" s="908" t="s">
        <v>1515</v>
      </c>
      <c r="N911" s="909">
        <v>13350</v>
      </c>
      <c r="O911" s="150">
        <f t="shared" si="13"/>
        <v>1</v>
      </c>
      <c r="P911" s="151"/>
      <c r="Q911" s="151"/>
    </row>
    <row r="912" spans="1:17" ht="20.100000000000001" customHeight="1">
      <c r="A912" s="141">
        <v>894</v>
      </c>
      <c r="B912" s="142" t="s">
        <v>1514</v>
      </c>
      <c r="C912" s="143" t="s">
        <v>1024</v>
      </c>
      <c r="D912" s="2794"/>
      <c r="E912" s="144"/>
      <c r="F912" s="144"/>
      <c r="G912" s="144"/>
      <c r="H912" s="144"/>
      <c r="I912" s="144"/>
      <c r="J912" s="145"/>
      <c r="K912" s="910">
        <v>1</v>
      </c>
      <c r="L912" s="911" t="s">
        <v>100</v>
      </c>
      <c r="M912" s="837" t="s">
        <v>1516</v>
      </c>
      <c r="N912" s="912">
        <v>-23000</v>
      </c>
      <c r="O912" s="150">
        <f t="shared" si="13"/>
        <v>1</v>
      </c>
      <c r="P912" s="151"/>
      <c r="Q912" s="151"/>
    </row>
    <row r="913" spans="1:17" ht="20.100000000000001" hidden="1" customHeight="1">
      <c r="A913" s="141">
        <v>895</v>
      </c>
      <c r="B913" s="142" t="s">
        <v>1514</v>
      </c>
      <c r="C913" s="143" t="s">
        <v>1024</v>
      </c>
      <c r="D913" s="182"/>
      <c r="E913" s="144"/>
      <c r="F913" s="144"/>
      <c r="G913" s="144"/>
      <c r="H913" s="144"/>
      <c r="I913" s="160"/>
      <c r="J913" s="145"/>
      <c r="K913" s="913"/>
      <c r="L913" s="914"/>
      <c r="M913" s="915" t="s">
        <v>1026</v>
      </c>
      <c r="N913" s="916"/>
      <c r="O913" s="150">
        <f t="shared" si="13"/>
        <v>0</v>
      </c>
      <c r="P913" s="151"/>
      <c r="Q913" s="151"/>
    </row>
    <row r="914" spans="1:17" ht="20.100000000000001" hidden="1" customHeight="1">
      <c r="A914" s="141">
        <v>896</v>
      </c>
      <c r="B914" s="142" t="s">
        <v>1514</v>
      </c>
      <c r="C914" s="143" t="s">
        <v>1024</v>
      </c>
      <c r="D914" s="2793" t="s">
        <v>29</v>
      </c>
      <c r="E914" s="144"/>
      <c r="F914" s="144"/>
      <c r="G914" s="160">
        <v>1</v>
      </c>
      <c r="H914" s="144"/>
      <c r="I914" s="144"/>
      <c r="J914" s="145"/>
      <c r="K914" s="913"/>
      <c r="L914" s="914"/>
      <c r="M914" s="841" t="s">
        <v>119</v>
      </c>
      <c r="N914" s="916">
        <v>-2264396.59</v>
      </c>
      <c r="O914" s="150">
        <f t="shared" si="13"/>
        <v>1</v>
      </c>
      <c r="P914" s="151"/>
      <c r="Q914" s="151"/>
    </row>
    <row r="915" spans="1:17" ht="20.100000000000001" hidden="1" customHeight="1">
      <c r="A915" s="141">
        <v>897</v>
      </c>
      <c r="B915" s="142" t="s">
        <v>1514</v>
      </c>
      <c r="C915" s="143" t="s">
        <v>1024</v>
      </c>
      <c r="D915" s="2795"/>
      <c r="E915" s="144"/>
      <c r="F915" s="144"/>
      <c r="G915" s="160">
        <v>1</v>
      </c>
      <c r="H915" s="144"/>
      <c r="I915" s="144"/>
      <c r="J915" s="145"/>
      <c r="K915" s="913"/>
      <c r="L915" s="914"/>
      <c r="M915" s="841" t="s">
        <v>49</v>
      </c>
      <c r="N915" s="916">
        <v>-43563891.890000001</v>
      </c>
      <c r="O915" s="150">
        <f t="shared" si="13"/>
        <v>1</v>
      </c>
      <c r="P915" s="151"/>
      <c r="Q915" s="151"/>
    </row>
    <row r="916" spans="1:17" ht="20.100000000000001" hidden="1" customHeight="1">
      <c r="A916" s="141">
        <v>898</v>
      </c>
      <c r="B916" s="142" t="s">
        <v>1514</v>
      </c>
      <c r="C916" s="143" t="s">
        <v>1024</v>
      </c>
      <c r="D916" s="2795"/>
      <c r="E916" s="144"/>
      <c r="F916" s="144"/>
      <c r="G916" s="160">
        <v>1</v>
      </c>
      <c r="H916" s="144"/>
      <c r="I916" s="144"/>
      <c r="J916" s="145"/>
      <c r="K916" s="913"/>
      <c r="L916" s="914"/>
      <c r="M916" s="841" t="s">
        <v>32</v>
      </c>
      <c r="N916" s="916">
        <v>0.62</v>
      </c>
      <c r="O916" s="150">
        <f t="shared" si="13"/>
        <v>1</v>
      </c>
      <c r="P916" s="151"/>
      <c r="Q916" s="151"/>
    </row>
    <row r="917" spans="1:17" ht="20.100000000000001" hidden="1" customHeight="1">
      <c r="A917" s="141">
        <v>899</v>
      </c>
      <c r="B917" s="142" t="s">
        <v>1514</v>
      </c>
      <c r="C917" s="143" t="s">
        <v>1024</v>
      </c>
      <c r="D917" s="2795"/>
      <c r="E917" s="144"/>
      <c r="F917" s="144"/>
      <c r="G917" s="160">
        <v>1</v>
      </c>
      <c r="H917" s="144"/>
      <c r="I917" s="144"/>
      <c r="J917" s="145"/>
      <c r="K917" s="917"/>
      <c r="L917" s="918"/>
      <c r="M917" s="841" t="s">
        <v>207</v>
      </c>
      <c r="N917" s="916">
        <v>18620.830000000002</v>
      </c>
      <c r="O917" s="150">
        <f t="shared" ref="O917:O980" si="14">E917+F917+G917+H917+I917+J917+K917</f>
        <v>1</v>
      </c>
      <c r="P917" s="151"/>
      <c r="Q917" s="151"/>
    </row>
    <row r="918" spans="1:17" ht="20.100000000000001" hidden="1" customHeight="1">
      <c r="A918" s="141">
        <v>900</v>
      </c>
      <c r="B918" s="142" t="s">
        <v>1514</v>
      </c>
      <c r="C918" s="143" t="s">
        <v>1024</v>
      </c>
      <c r="D918" s="2795"/>
      <c r="E918" s="144"/>
      <c r="F918" s="144"/>
      <c r="G918" s="160"/>
      <c r="H918" s="144"/>
      <c r="I918" s="144"/>
      <c r="J918" s="145"/>
      <c r="K918" s="917"/>
      <c r="L918" s="918"/>
      <c r="M918" s="919" t="s">
        <v>1028</v>
      </c>
      <c r="N918" s="920"/>
      <c r="O918" s="150">
        <f t="shared" si="14"/>
        <v>0</v>
      </c>
      <c r="P918" s="151"/>
      <c r="Q918" s="151"/>
    </row>
    <row r="919" spans="1:17" ht="20.100000000000001" hidden="1" customHeight="1">
      <c r="A919" s="141">
        <v>901</v>
      </c>
      <c r="B919" s="142" t="s">
        <v>1514</v>
      </c>
      <c r="C919" s="143" t="s">
        <v>1024</v>
      </c>
      <c r="D919" s="2795"/>
      <c r="E919" s="144"/>
      <c r="F919" s="144"/>
      <c r="G919" s="160">
        <v>1</v>
      </c>
      <c r="H919" s="144"/>
      <c r="I919" s="144"/>
      <c r="J919" s="145"/>
      <c r="K919" s="921"/>
      <c r="L919" s="922"/>
      <c r="M919" s="923" t="s">
        <v>1069</v>
      </c>
      <c r="N919" s="924">
        <v>7</v>
      </c>
      <c r="O919" s="150">
        <f t="shared" si="14"/>
        <v>1</v>
      </c>
      <c r="P919" s="151"/>
      <c r="Q919" s="151"/>
    </row>
    <row r="920" spans="1:17" ht="20.100000000000001" hidden="1" customHeight="1">
      <c r="A920" s="141">
        <v>902</v>
      </c>
      <c r="B920" s="142" t="s">
        <v>1514</v>
      </c>
      <c r="C920" s="143" t="s">
        <v>1024</v>
      </c>
      <c r="D920" s="2794"/>
      <c r="E920" s="144"/>
      <c r="F920" s="144"/>
      <c r="G920" s="160">
        <v>1</v>
      </c>
      <c r="H920" s="144"/>
      <c r="I920" s="144"/>
      <c r="J920" s="145"/>
      <c r="K920" s="921"/>
      <c r="L920" s="922"/>
      <c r="M920" s="925" t="s">
        <v>1517</v>
      </c>
      <c r="N920" s="924">
        <v>8232.66</v>
      </c>
      <c r="O920" s="150">
        <f t="shared" si="14"/>
        <v>1</v>
      </c>
      <c r="P920" s="151"/>
      <c r="Q920" s="151"/>
    </row>
    <row r="921" spans="1:17" ht="20.100000000000001" hidden="1" customHeight="1">
      <c r="A921" s="141">
        <v>903</v>
      </c>
      <c r="B921" s="927" t="s">
        <v>1514</v>
      </c>
      <c r="C921" s="928" t="s">
        <v>1024</v>
      </c>
      <c r="D921" s="929"/>
      <c r="E921" s="170"/>
      <c r="F921" s="170"/>
      <c r="G921" s="170"/>
      <c r="H921" s="170"/>
      <c r="I921" s="170"/>
      <c r="J921" s="171"/>
      <c r="K921" s="921"/>
      <c r="L921" s="922"/>
      <c r="M921" s="925"/>
      <c r="N921" s="930"/>
      <c r="O921" s="150">
        <f t="shared" si="14"/>
        <v>0</v>
      </c>
      <c r="P921" s="385"/>
      <c r="Q921" s="385"/>
    </row>
    <row r="922" spans="1:17" ht="20.100000000000001" customHeight="1">
      <c r="A922" s="141">
        <v>904</v>
      </c>
      <c r="B922" s="142" t="s">
        <v>1514</v>
      </c>
      <c r="C922" s="143" t="s">
        <v>1024</v>
      </c>
      <c r="D922" s="182" t="s">
        <v>68</v>
      </c>
      <c r="E922" s="144"/>
      <c r="F922" s="144"/>
      <c r="G922" s="144"/>
      <c r="H922" s="160"/>
      <c r="I922" s="144"/>
      <c r="J922" s="145"/>
      <c r="K922" s="921">
        <v>3</v>
      </c>
      <c r="L922" s="918"/>
      <c r="M922" s="931" t="s">
        <v>1061</v>
      </c>
      <c r="N922" s="930">
        <v>-268694.96999999997</v>
      </c>
      <c r="O922" s="150">
        <f t="shared" si="14"/>
        <v>3</v>
      </c>
      <c r="P922" s="151"/>
      <c r="Q922" s="151"/>
    </row>
    <row r="923" spans="1:17" ht="20.100000000000001" hidden="1" customHeight="1">
      <c r="A923" s="141">
        <v>905</v>
      </c>
      <c r="B923" s="927" t="s">
        <v>1514</v>
      </c>
      <c r="C923" s="928" t="s">
        <v>1024</v>
      </c>
      <c r="D923" s="929"/>
      <c r="E923" s="170"/>
      <c r="F923" s="170"/>
      <c r="G923" s="170"/>
      <c r="H923" s="170"/>
      <c r="I923" s="932"/>
      <c r="J923" s="171"/>
      <c r="K923" s="921"/>
      <c r="L923" s="922"/>
      <c r="M923" s="933"/>
      <c r="N923" s="930"/>
      <c r="O923" s="150">
        <f t="shared" si="14"/>
        <v>0</v>
      </c>
      <c r="P923" s="385"/>
      <c r="Q923" s="385"/>
    </row>
    <row r="924" spans="1:17" ht="20.100000000000001" hidden="1" customHeight="1">
      <c r="A924" s="141">
        <v>906</v>
      </c>
      <c r="B924" s="142" t="s">
        <v>1514</v>
      </c>
      <c r="C924" s="143" t="s">
        <v>1024</v>
      </c>
      <c r="D924" s="2796" t="s">
        <v>33</v>
      </c>
      <c r="E924" s="144"/>
      <c r="F924" s="144"/>
      <c r="G924" s="144"/>
      <c r="H924" s="144"/>
      <c r="I924" s="144"/>
      <c r="J924" s="145"/>
      <c r="K924" s="917"/>
      <c r="L924" s="918"/>
      <c r="M924" s="934" t="s">
        <v>1078</v>
      </c>
      <c r="N924" s="935"/>
      <c r="O924" s="150">
        <f t="shared" si="14"/>
        <v>0</v>
      </c>
      <c r="P924" s="151"/>
      <c r="Q924" s="151"/>
    </row>
    <row r="925" spans="1:17" ht="20.100000000000001" hidden="1" customHeight="1">
      <c r="A925" s="141">
        <v>907</v>
      </c>
      <c r="B925" s="142" t="s">
        <v>1514</v>
      </c>
      <c r="C925" s="143" t="s">
        <v>1024</v>
      </c>
      <c r="D925" s="2797"/>
      <c r="E925" s="144"/>
      <c r="F925" s="160"/>
      <c r="G925" s="144"/>
      <c r="H925" s="144">
        <v>193</v>
      </c>
      <c r="I925" s="144"/>
      <c r="J925" s="145"/>
      <c r="K925" s="921"/>
      <c r="L925" s="918"/>
      <c r="M925" s="936" t="s">
        <v>34</v>
      </c>
      <c r="N925" s="920">
        <v>0</v>
      </c>
      <c r="O925" s="150">
        <f t="shared" si="14"/>
        <v>193</v>
      </c>
      <c r="P925" s="151"/>
      <c r="Q925" s="151"/>
    </row>
    <row r="926" spans="1:17" ht="20.100000000000001" hidden="1" customHeight="1">
      <c r="A926" s="141">
        <v>908</v>
      </c>
      <c r="B926" s="142" t="s">
        <v>1514</v>
      </c>
      <c r="C926" s="143" t="s">
        <v>1024</v>
      </c>
      <c r="D926" s="2798"/>
      <c r="E926" s="160"/>
      <c r="F926" s="144"/>
      <c r="G926" s="144"/>
      <c r="H926" s="144"/>
      <c r="I926" s="144">
        <v>337</v>
      </c>
      <c r="J926" s="145"/>
      <c r="K926" s="906"/>
      <c r="L926" s="937"/>
      <c r="M926" s="936" t="s">
        <v>35</v>
      </c>
      <c r="N926" s="938">
        <v>472299.36</v>
      </c>
      <c r="O926" s="150">
        <f t="shared" si="14"/>
        <v>337</v>
      </c>
      <c r="P926" s="151"/>
      <c r="Q926" s="151"/>
    </row>
    <row r="927" spans="1:17" ht="20.100000000000001" hidden="1" customHeight="1">
      <c r="A927" s="141">
        <v>909</v>
      </c>
      <c r="B927" s="142" t="s">
        <v>1514</v>
      </c>
      <c r="C927" s="143" t="s">
        <v>1024</v>
      </c>
      <c r="D927" s="2793" t="s">
        <v>36</v>
      </c>
      <c r="E927" s="144"/>
      <c r="F927" s="144">
        <v>111</v>
      </c>
      <c r="G927" s="144"/>
      <c r="H927" s="144"/>
      <c r="I927" s="144"/>
      <c r="J927" s="145"/>
      <c r="K927" s="939"/>
      <c r="L927" s="940" t="s">
        <v>100</v>
      </c>
      <c r="M927" s="941" t="s">
        <v>1518</v>
      </c>
      <c r="N927" s="916">
        <v>0</v>
      </c>
      <c r="O927" s="150">
        <f t="shared" si="14"/>
        <v>111</v>
      </c>
      <c r="P927" s="151"/>
      <c r="Q927" s="151"/>
    </row>
    <row r="928" spans="1:17" ht="20.100000000000001" hidden="1" customHeight="1">
      <c r="A928" s="141">
        <v>910</v>
      </c>
      <c r="B928" s="142" t="s">
        <v>1514</v>
      </c>
      <c r="C928" s="143" t="s">
        <v>1024</v>
      </c>
      <c r="D928" s="2792"/>
      <c r="E928" s="144">
        <v>9</v>
      </c>
      <c r="F928" s="144"/>
      <c r="G928" s="144"/>
      <c r="H928" s="144"/>
      <c r="I928" s="144"/>
      <c r="J928" s="145"/>
      <c r="K928" s="939"/>
      <c r="L928" s="911" t="s">
        <v>100</v>
      </c>
      <c r="M928" s="942" t="s">
        <v>1519</v>
      </c>
      <c r="N928" s="916">
        <v>0</v>
      </c>
      <c r="O928" s="150">
        <f t="shared" si="14"/>
        <v>9</v>
      </c>
      <c r="P928" s="151"/>
      <c r="Q928" s="151"/>
    </row>
    <row r="929" spans="1:17" ht="20.100000000000001" hidden="1" customHeight="1">
      <c r="A929" s="141">
        <v>911</v>
      </c>
      <c r="B929" s="142" t="s">
        <v>1520</v>
      </c>
      <c r="C929" s="143" t="s">
        <v>1024</v>
      </c>
      <c r="D929" s="182"/>
      <c r="E929" s="144"/>
      <c r="F929" s="144"/>
      <c r="G929" s="144"/>
      <c r="H929" s="144"/>
      <c r="I929" s="144"/>
      <c r="J929" s="145"/>
      <c r="K929" s="778"/>
      <c r="L929" s="157"/>
      <c r="M929" s="829" t="s">
        <v>1026</v>
      </c>
      <c r="N929" s="159"/>
      <c r="O929" s="150">
        <f t="shared" si="14"/>
        <v>0</v>
      </c>
      <c r="P929" s="151"/>
      <c r="Q929" s="151"/>
    </row>
    <row r="930" spans="1:17" ht="20.100000000000001" hidden="1" customHeight="1">
      <c r="A930" s="141">
        <v>912</v>
      </c>
      <c r="B930" s="142" t="s">
        <v>1520</v>
      </c>
      <c r="C930" s="143" t="s">
        <v>1024</v>
      </c>
      <c r="D930" s="2793" t="s">
        <v>29</v>
      </c>
      <c r="E930" s="144"/>
      <c r="F930" s="144"/>
      <c r="G930" s="160">
        <v>1</v>
      </c>
      <c r="H930" s="144"/>
      <c r="I930" s="144"/>
      <c r="J930" s="145"/>
      <c r="K930" s="780"/>
      <c r="L930" s="153"/>
      <c r="M930" s="781" t="s">
        <v>119</v>
      </c>
      <c r="N930" s="155">
        <v>-2620660.12</v>
      </c>
      <c r="O930" s="150">
        <f t="shared" si="14"/>
        <v>1</v>
      </c>
      <c r="P930" s="151"/>
      <c r="Q930" s="151"/>
    </row>
    <row r="931" spans="1:17" ht="20.100000000000001" hidden="1" customHeight="1">
      <c r="A931" s="141">
        <v>913</v>
      </c>
      <c r="B931" s="142" t="s">
        <v>1520</v>
      </c>
      <c r="C931" s="143" t="s">
        <v>1024</v>
      </c>
      <c r="D931" s="2794"/>
      <c r="E931" s="144"/>
      <c r="F931" s="144"/>
      <c r="G931" s="160">
        <v>1</v>
      </c>
      <c r="H931" s="144"/>
      <c r="I931" s="144"/>
      <c r="J931" s="145"/>
      <c r="K931" s="783"/>
      <c r="L931" s="153"/>
      <c r="M931" s="781" t="s">
        <v>1521</v>
      </c>
      <c r="N931" s="606">
        <v>40300.06</v>
      </c>
      <c r="O931" s="150">
        <f t="shared" si="14"/>
        <v>1</v>
      </c>
      <c r="P931" s="151"/>
      <c r="Q931" s="151"/>
    </row>
    <row r="932" spans="1:17" ht="20.100000000000001" hidden="1" customHeight="1">
      <c r="A932" s="141">
        <v>914</v>
      </c>
      <c r="B932" s="142" t="s">
        <v>1520</v>
      </c>
      <c r="C932" s="143" t="s">
        <v>1024</v>
      </c>
      <c r="D932" s="182"/>
      <c r="E932" s="144"/>
      <c r="F932" s="144"/>
      <c r="G932" s="144"/>
      <c r="H932" s="144"/>
      <c r="I932" s="144"/>
      <c r="J932" s="145"/>
      <c r="K932" s="835"/>
      <c r="L932" s="167"/>
      <c r="M932" s="836" t="s">
        <v>1029</v>
      </c>
      <c r="N932" s="177"/>
      <c r="O932" s="150">
        <f t="shared" si="14"/>
        <v>0</v>
      </c>
      <c r="P932" s="151"/>
      <c r="Q932" s="151"/>
    </row>
    <row r="933" spans="1:17" ht="20.100000000000001" customHeight="1">
      <c r="A933" s="141">
        <v>915</v>
      </c>
      <c r="B933" s="142" t="s">
        <v>1520</v>
      </c>
      <c r="C933" s="143" t="s">
        <v>1024</v>
      </c>
      <c r="D933" s="182" t="s">
        <v>68</v>
      </c>
      <c r="E933" s="144"/>
      <c r="F933" s="144"/>
      <c r="G933" s="144"/>
      <c r="H933" s="144"/>
      <c r="I933" s="160"/>
      <c r="J933" s="145"/>
      <c r="K933" s="831">
        <v>1</v>
      </c>
      <c r="L933" s="179"/>
      <c r="M933" s="2826" t="s">
        <v>1061</v>
      </c>
      <c r="N933" s="943">
        <f>5096+0</f>
        <v>5096</v>
      </c>
      <c r="O933" s="150">
        <f t="shared" si="14"/>
        <v>1</v>
      </c>
      <c r="P933" s="151"/>
      <c r="Q933" s="151"/>
    </row>
    <row r="934" spans="1:17" ht="20.100000000000001" hidden="1" customHeight="1">
      <c r="A934" s="141">
        <v>916</v>
      </c>
      <c r="B934" s="142" t="s">
        <v>1520</v>
      </c>
      <c r="C934" s="143" t="s">
        <v>1024</v>
      </c>
      <c r="D934" s="182" t="s">
        <v>33</v>
      </c>
      <c r="E934" s="144"/>
      <c r="F934" s="160"/>
      <c r="G934" s="144"/>
      <c r="H934" s="144"/>
      <c r="I934" s="144">
        <v>303</v>
      </c>
      <c r="J934" s="145"/>
      <c r="K934" s="783"/>
      <c r="L934" s="407"/>
      <c r="M934" s="944" t="s">
        <v>35</v>
      </c>
      <c r="N934" s="332">
        <v>112420.12</v>
      </c>
      <c r="O934" s="150">
        <f t="shared" si="14"/>
        <v>303</v>
      </c>
      <c r="P934" s="151"/>
      <c r="Q934" s="151"/>
    </row>
    <row r="935" spans="1:17" ht="20.100000000000001" hidden="1" customHeight="1">
      <c r="A935" s="141">
        <v>917</v>
      </c>
      <c r="B935" s="142" t="s">
        <v>1520</v>
      </c>
      <c r="C935" s="143" t="s">
        <v>1024</v>
      </c>
      <c r="D935" s="2793" t="s">
        <v>36</v>
      </c>
      <c r="E935" s="160"/>
      <c r="F935" s="144">
        <v>397</v>
      </c>
      <c r="G935" s="144"/>
      <c r="H935" s="144"/>
      <c r="I935" s="144"/>
      <c r="J935" s="145"/>
      <c r="K935" s="776"/>
      <c r="L935" s="153"/>
      <c r="M935" s="781" t="s">
        <v>1522</v>
      </c>
      <c r="N935" s="175">
        <v>0</v>
      </c>
      <c r="O935" s="150">
        <f t="shared" si="14"/>
        <v>397</v>
      </c>
      <c r="P935" s="151"/>
      <c r="Q935" s="151"/>
    </row>
    <row r="936" spans="1:17" ht="20.100000000000001" hidden="1" customHeight="1">
      <c r="A936" s="141">
        <v>918</v>
      </c>
      <c r="B936" s="142" t="s">
        <v>1520</v>
      </c>
      <c r="C936" s="143" t="s">
        <v>1024</v>
      </c>
      <c r="D936" s="2792"/>
      <c r="E936" s="144">
        <v>214</v>
      </c>
      <c r="F936" s="144"/>
      <c r="G936" s="144"/>
      <c r="H936" s="144"/>
      <c r="I936" s="144"/>
      <c r="J936" s="145"/>
      <c r="K936" s="780"/>
      <c r="L936" s="153"/>
      <c r="M936" s="781" t="s">
        <v>1523</v>
      </c>
      <c r="N936" s="175">
        <v>0</v>
      </c>
      <c r="O936" s="150">
        <f t="shared" si="14"/>
        <v>214</v>
      </c>
      <c r="P936" s="151"/>
      <c r="Q936" s="151"/>
    </row>
    <row r="937" spans="1:17" ht="20.100000000000001" hidden="1" customHeight="1">
      <c r="A937" s="141">
        <v>919</v>
      </c>
      <c r="B937" s="142" t="s">
        <v>1520</v>
      </c>
      <c r="C937" s="143" t="s">
        <v>1024</v>
      </c>
      <c r="D937" s="2793" t="s">
        <v>29</v>
      </c>
      <c r="E937" s="144"/>
      <c r="F937" s="144"/>
      <c r="G937" s="144"/>
      <c r="H937" s="144"/>
      <c r="I937" s="144"/>
      <c r="J937" s="145"/>
      <c r="K937" s="778"/>
      <c r="L937" s="157"/>
      <c r="M937" s="829" t="s">
        <v>1026</v>
      </c>
      <c r="N937" s="159"/>
      <c r="O937" s="150">
        <f t="shared" si="14"/>
        <v>0</v>
      </c>
      <c r="P937" s="151"/>
      <c r="Q937" s="151"/>
    </row>
    <row r="938" spans="1:17" ht="20.100000000000001" hidden="1" customHeight="1">
      <c r="A938" s="141">
        <v>920</v>
      </c>
      <c r="B938" s="142" t="s">
        <v>1520</v>
      </c>
      <c r="C938" s="143" t="s">
        <v>1024</v>
      </c>
      <c r="D938" s="2795"/>
      <c r="E938" s="144"/>
      <c r="F938" s="144"/>
      <c r="G938" s="160">
        <v>1</v>
      </c>
      <c r="H938" s="144"/>
      <c r="I938" s="144"/>
      <c r="J938" s="145"/>
      <c r="K938" s="780"/>
      <c r="L938" s="153"/>
      <c r="M938" s="781" t="s">
        <v>119</v>
      </c>
      <c r="N938" s="155">
        <v>-2620660.12</v>
      </c>
      <c r="O938" s="150">
        <f t="shared" si="14"/>
        <v>1</v>
      </c>
      <c r="P938" s="151"/>
      <c r="Q938" s="151"/>
    </row>
    <row r="939" spans="1:17" ht="20.100000000000001" hidden="1" customHeight="1">
      <c r="A939" s="141">
        <v>921</v>
      </c>
      <c r="B939" s="142" t="s">
        <v>1520</v>
      </c>
      <c r="C939" s="143" t="s">
        <v>1024</v>
      </c>
      <c r="D939" s="2794"/>
      <c r="E939" s="144"/>
      <c r="F939" s="144"/>
      <c r="G939" s="160">
        <v>1</v>
      </c>
      <c r="H939" s="144"/>
      <c r="I939" s="144"/>
      <c r="J939" s="145"/>
      <c r="K939" s="783"/>
      <c r="L939" s="153"/>
      <c r="M939" s="781" t="s">
        <v>1521</v>
      </c>
      <c r="N939" s="606">
        <v>40300.06</v>
      </c>
      <c r="O939" s="150">
        <f t="shared" si="14"/>
        <v>1</v>
      </c>
      <c r="P939" s="151"/>
      <c r="Q939" s="151"/>
    </row>
    <row r="940" spans="1:17" ht="20.100000000000001" hidden="1" customHeight="1">
      <c r="A940" s="141">
        <v>922</v>
      </c>
      <c r="B940" s="142" t="s">
        <v>1520</v>
      </c>
      <c r="C940" s="143" t="s">
        <v>1024</v>
      </c>
      <c r="D940" s="182"/>
      <c r="E940" s="144"/>
      <c r="F940" s="144"/>
      <c r="G940" s="160"/>
      <c r="H940" s="144"/>
      <c r="I940" s="144"/>
      <c r="J940" s="145"/>
      <c r="K940" s="835"/>
      <c r="L940" s="167"/>
      <c r="M940" s="836" t="s">
        <v>1029</v>
      </c>
      <c r="N940" s="177"/>
      <c r="O940" s="150">
        <f t="shared" si="14"/>
        <v>0</v>
      </c>
      <c r="P940" s="151"/>
      <c r="Q940" s="151"/>
    </row>
    <row r="941" spans="1:17" ht="20.100000000000001" customHeight="1">
      <c r="A941" s="141">
        <v>923</v>
      </c>
      <c r="B941" s="142" t="s">
        <v>1520</v>
      </c>
      <c r="C941" s="143" t="s">
        <v>1024</v>
      </c>
      <c r="D941" s="182" t="s">
        <v>68</v>
      </c>
      <c r="E941" s="144"/>
      <c r="F941" s="144"/>
      <c r="G941" s="160"/>
      <c r="H941" s="144"/>
      <c r="I941" s="144"/>
      <c r="J941" s="145"/>
      <c r="K941" s="831">
        <v>1</v>
      </c>
      <c r="L941" s="179"/>
      <c r="M941" s="2826" t="s">
        <v>1061</v>
      </c>
      <c r="N941" s="943">
        <f>5096+0</f>
        <v>5096</v>
      </c>
      <c r="O941" s="150">
        <f t="shared" si="14"/>
        <v>1</v>
      </c>
      <c r="P941" s="151"/>
      <c r="Q941" s="151"/>
    </row>
    <row r="942" spans="1:17" ht="20.100000000000001" customHeight="1">
      <c r="A942" s="141">
        <v>924</v>
      </c>
      <c r="B942" s="142" t="s">
        <v>1524</v>
      </c>
      <c r="C942" s="143" t="s">
        <v>1024</v>
      </c>
      <c r="D942" s="182" t="s">
        <v>1525</v>
      </c>
      <c r="E942" s="144"/>
      <c r="F942" s="144"/>
      <c r="G942" s="144"/>
      <c r="H942" s="144"/>
      <c r="I942" s="144"/>
      <c r="J942" s="145"/>
      <c r="K942" s="776">
        <v>1</v>
      </c>
      <c r="L942" s="153"/>
      <c r="M942" s="777" t="s">
        <v>1526</v>
      </c>
      <c r="N942" s="181">
        <v>22808.91</v>
      </c>
      <c r="O942" s="150">
        <f t="shared" si="14"/>
        <v>1</v>
      </c>
      <c r="P942" s="151"/>
      <c r="Q942" s="151"/>
    </row>
    <row r="943" spans="1:17" ht="20.100000000000001" hidden="1" customHeight="1">
      <c r="A943" s="141">
        <v>925</v>
      </c>
      <c r="B943" s="142" t="s">
        <v>1524</v>
      </c>
      <c r="C943" s="143" t="s">
        <v>1024</v>
      </c>
      <c r="D943" s="2793" t="s">
        <v>29</v>
      </c>
      <c r="E943" s="144"/>
      <c r="F943" s="144"/>
      <c r="G943" s="144"/>
      <c r="H943" s="144"/>
      <c r="I943" s="144"/>
      <c r="J943" s="145"/>
      <c r="K943" s="778"/>
      <c r="L943" s="157"/>
      <c r="M943" s="829" t="s">
        <v>1026</v>
      </c>
      <c r="N943" s="159"/>
      <c r="O943" s="150">
        <f t="shared" si="14"/>
        <v>0</v>
      </c>
      <c r="P943" s="151"/>
      <c r="Q943" s="151"/>
    </row>
    <row r="944" spans="1:17" ht="20.100000000000001" hidden="1" customHeight="1">
      <c r="A944" s="141">
        <v>926</v>
      </c>
      <c r="B944" s="142" t="s">
        <v>1524</v>
      </c>
      <c r="C944" s="143" t="s">
        <v>1024</v>
      </c>
      <c r="D944" s="2795"/>
      <c r="E944" s="144"/>
      <c r="F944" s="144"/>
      <c r="G944" s="160">
        <v>1</v>
      </c>
      <c r="H944" s="144"/>
      <c r="I944" s="144"/>
      <c r="J944" s="145"/>
      <c r="K944" s="780"/>
      <c r="L944" s="153"/>
      <c r="M944" s="781" t="s">
        <v>119</v>
      </c>
      <c r="N944" s="155">
        <v>-1398733.57</v>
      </c>
      <c r="O944" s="150">
        <f t="shared" si="14"/>
        <v>1</v>
      </c>
      <c r="P944" s="151"/>
      <c r="Q944" s="151"/>
    </row>
    <row r="945" spans="1:17" ht="20.100000000000001" hidden="1" customHeight="1">
      <c r="A945" s="141">
        <v>927</v>
      </c>
      <c r="B945" s="142" t="s">
        <v>1524</v>
      </c>
      <c r="C945" s="143" t="s">
        <v>1024</v>
      </c>
      <c r="D945" s="2795"/>
      <c r="E945" s="144"/>
      <c r="F945" s="144"/>
      <c r="G945" s="160">
        <v>1</v>
      </c>
      <c r="H945" s="160"/>
      <c r="I945" s="144"/>
      <c r="J945" s="145"/>
      <c r="K945" s="780"/>
      <c r="L945" s="153"/>
      <c r="M945" s="781" t="s">
        <v>49</v>
      </c>
      <c r="N945" s="155">
        <v>-239472139.19999999</v>
      </c>
      <c r="O945" s="150">
        <f t="shared" si="14"/>
        <v>1</v>
      </c>
      <c r="P945" s="151"/>
      <c r="Q945" s="151"/>
    </row>
    <row r="946" spans="1:17" ht="20.100000000000001" hidden="1" customHeight="1">
      <c r="A946" s="141">
        <v>928</v>
      </c>
      <c r="B946" s="142" t="s">
        <v>1524</v>
      </c>
      <c r="C946" s="143" t="s">
        <v>1024</v>
      </c>
      <c r="D946" s="2795"/>
      <c r="E946" s="144"/>
      <c r="F946" s="144"/>
      <c r="G946" s="160">
        <v>1</v>
      </c>
      <c r="H946" s="144"/>
      <c r="I946" s="160"/>
      <c r="J946" s="145"/>
      <c r="K946" s="780"/>
      <c r="L946" s="153"/>
      <c r="M946" s="781" t="s">
        <v>32</v>
      </c>
      <c r="N946" s="155">
        <v>-0.02</v>
      </c>
      <c r="O946" s="150">
        <f t="shared" si="14"/>
        <v>1</v>
      </c>
      <c r="P946" s="151"/>
      <c r="Q946" s="151"/>
    </row>
    <row r="947" spans="1:17" ht="20.100000000000001" hidden="1" customHeight="1">
      <c r="A947" s="141">
        <v>929</v>
      </c>
      <c r="B947" s="142" t="s">
        <v>1524</v>
      </c>
      <c r="C947" s="143" t="s">
        <v>1024</v>
      </c>
      <c r="D947" s="2795"/>
      <c r="E947" s="144"/>
      <c r="F947" s="160"/>
      <c r="G947" s="160">
        <v>1</v>
      </c>
      <c r="H947" s="144"/>
      <c r="I947" s="144"/>
      <c r="J947" s="145"/>
      <c r="K947" s="831"/>
      <c r="L947" s="179"/>
      <c r="M947" s="781" t="s">
        <v>207</v>
      </c>
      <c r="N947" s="155">
        <f>-6799725.47</f>
        <v>-6799725.4699999997</v>
      </c>
      <c r="O947" s="150">
        <f t="shared" si="14"/>
        <v>1</v>
      </c>
      <c r="P947" s="151"/>
      <c r="Q947" s="151"/>
    </row>
    <row r="948" spans="1:17" ht="20.100000000000001" hidden="1" customHeight="1">
      <c r="A948" s="141">
        <v>930</v>
      </c>
      <c r="B948" s="142" t="s">
        <v>1524</v>
      </c>
      <c r="C948" s="143" t="s">
        <v>1024</v>
      </c>
      <c r="D948" s="2795"/>
      <c r="E948" s="160"/>
      <c r="F948" s="144"/>
      <c r="G948" s="144"/>
      <c r="H948" s="144"/>
      <c r="I948" s="144"/>
      <c r="J948" s="145"/>
      <c r="K948" s="839"/>
      <c r="L948" s="459"/>
      <c r="M948" s="945" t="s">
        <v>1527</v>
      </c>
      <c r="N948" s="946"/>
      <c r="O948" s="150">
        <f t="shared" si="14"/>
        <v>0</v>
      </c>
      <c r="P948" s="151"/>
      <c r="Q948" s="151"/>
    </row>
    <row r="949" spans="1:17" ht="20.100000000000001" hidden="1" customHeight="1">
      <c r="A949" s="141">
        <v>931</v>
      </c>
      <c r="B949" s="142" t="s">
        <v>1524</v>
      </c>
      <c r="C949" s="143" t="s">
        <v>1024</v>
      </c>
      <c r="D949" s="2795"/>
      <c r="E949" s="882"/>
      <c r="F949" s="882"/>
      <c r="G949" s="160">
        <v>1</v>
      </c>
      <c r="H949" s="882"/>
      <c r="I949" s="882"/>
      <c r="J949" s="359"/>
      <c r="K949" s="786"/>
      <c r="L949" s="173"/>
      <c r="M949" s="784" t="s">
        <v>183</v>
      </c>
      <c r="N949" s="457">
        <v>162045.93</v>
      </c>
      <c r="O949" s="150">
        <f t="shared" si="14"/>
        <v>1</v>
      </c>
      <c r="P949" s="256"/>
      <c r="Q949" s="256"/>
    </row>
    <row r="950" spans="1:17" ht="20.100000000000001" hidden="1" customHeight="1">
      <c r="A950" s="141">
        <v>932</v>
      </c>
      <c r="B950" s="142" t="s">
        <v>1524</v>
      </c>
      <c r="C950" s="143" t="s">
        <v>1024</v>
      </c>
      <c r="D950" s="2794"/>
      <c r="E950" s="882"/>
      <c r="F950" s="882"/>
      <c r="G950" s="160">
        <v>1</v>
      </c>
      <c r="H950" s="882"/>
      <c r="I950" s="882"/>
      <c r="J950" s="359"/>
      <c r="K950" s="786"/>
      <c r="L950" s="173"/>
      <c r="M950" s="784" t="s">
        <v>945</v>
      </c>
      <c r="N950" s="457">
        <v>18.75</v>
      </c>
      <c r="O950" s="150">
        <f t="shared" si="14"/>
        <v>1</v>
      </c>
      <c r="P950" s="256"/>
      <c r="Q950" s="256"/>
    </row>
    <row r="951" spans="1:17" ht="20.100000000000001" hidden="1" customHeight="1">
      <c r="A951" s="141">
        <v>933</v>
      </c>
      <c r="B951" s="142" t="s">
        <v>1524</v>
      </c>
      <c r="C951" s="143" t="s">
        <v>1024</v>
      </c>
      <c r="D951" s="182"/>
      <c r="E951" s="882"/>
      <c r="F951" s="882"/>
      <c r="G951" s="160"/>
      <c r="H951" s="882"/>
      <c r="I951" s="882"/>
      <c r="J951" s="359"/>
      <c r="K951" s="835"/>
      <c r="L951" s="167"/>
      <c r="M951" s="836" t="s">
        <v>1029</v>
      </c>
      <c r="N951" s="177"/>
      <c r="O951" s="150">
        <f t="shared" si="14"/>
        <v>0</v>
      </c>
      <c r="P951" s="256"/>
      <c r="Q951" s="256"/>
    </row>
    <row r="952" spans="1:17" ht="20.100000000000001" customHeight="1">
      <c r="A952" s="141">
        <v>934</v>
      </c>
      <c r="B952" s="142" t="s">
        <v>1524</v>
      </c>
      <c r="C952" s="143" t="s">
        <v>1024</v>
      </c>
      <c r="D952" s="182" t="s">
        <v>68</v>
      </c>
      <c r="E952" s="882"/>
      <c r="F952" s="882"/>
      <c r="G952" s="160"/>
      <c r="H952" s="882"/>
      <c r="I952" s="882"/>
      <c r="J952" s="359"/>
      <c r="K952" s="786">
        <v>1</v>
      </c>
      <c r="L952" s="173"/>
      <c r="M952" s="791" t="s">
        <v>1061</v>
      </c>
      <c r="N952" s="457">
        <v>179249.39</v>
      </c>
      <c r="O952" s="150">
        <f t="shared" si="14"/>
        <v>1</v>
      </c>
      <c r="P952" s="256"/>
      <c r="Q952" s="256"/>
    </row>
    <row r="953" spans="1:17" ht="20.100000000000001" hidden="1" customHeight="1">
      <c r="A953" s="141">
        <v>935</v>
      </c>
      <c r="B953" s="142" t="s">
        <v>1524</v>
      </c>
      <c r="C953" s="143" t="s">
        <v>1024</v>
      </c>
      <c r="D953" s="182" t="s">
        <v>33</v>
      </c>
      <c r="E953" s="882"/>
      <c r="F953" s="882"/>
      <c r="G953" s="160"/>
      <c r="H953" s="882"/>
      <c r="I953" s="882">
        <v>294</v>
      </c>
      <c r="J953" s="359"/>
      <c r="K953" s="780"/>
      <c r="L953" s="153"/>
      <c r="M953" s="841" t="s">
        <v>35</v>
      </c>
      <c r="N953" s="637">
        <v>592400.75</v>
      </c>
      <c r="O953" s="150">
        <f t="shared" si="14"/>
        <v>294</v>
      </c>
      <c r="P953" s="256"/>
      <c r="Q953" s="256"/>
    </row>
    <row r="954" spans="1:17" ht="20.100000000000001" hidden="1" customHeight="1">
      <c r="A954" s="141">
        <v>936</v>
      </c>
      <c r="B954" s="142" t="s">
        <v>1524</v>
      </c>
      <c r="C954" s="143" t="s">
        <v>1024</v>
      </c>
      <c r="D954" s="2793" t="s">
        <v>36</v>
      </c>
      <c r="E954" s="160"/>
      <c r="F954" s="160">
        <v>461</v>
      </c>
      <c r="G954" s="160"/>
      <c r="H954" s="160"/>
      <c r="I954" s="160"/>
      <c r="J954" s="282"/>
      <c r="K954" s="776"/>
      <c r="L954" s="153"/>
      <c r="M954" s="781" t="s">
        <v>1528</v>
      </c>
      <c r="N954" s="193" t="s">
        <v>67</v>
      </c>
      <c r="O954" s="150">
        <f t="shared" si="14"/>
        <v>461</v>
      </c>
      <c r="P954" s="256"/>
      <c r="Q954" s="256"/>
    </row>
    <row r="955" spans="1:17" ht="20.100000000000001" hidden="1" customHeight="1">
      <c r="A955" s="141">
        <v>937</v>
      </c>
      <c r="B955" s="142" t="s">
        <v>1524</v>
      </c>
      <c r="C955" s="143" t="s">
        <v>1024</v>
      </c>
      <c r="D955" s="2792"/>
      <c r="E955" s="882">
        <v>66</v>
      </c>
      <c r="F955" s="882"/>
      <c r="G955" s="882"/>
      <c r="H955" s="882"/>
      <c r="I955" s="882"/>
      <c r="J955" s="359"/>
      <c r="K955" s="780"/>
      <c r="L955" s="153"/>
      <c r="M955" s="781" t="s">
        <v>1529</v>
      </c>
      <c r="N955" s="175" t="s">
        <v>67</v>
      </c>
      <c r="O955" s="150">
        <f t="shared" si="14"/>
        <v>66</v>
      </c>
      <c r="P955" s="256"/>
      <c r="Q955" s="256"/>
    </row>
    <row r="956" spans="1:17" ht="20.100000000000001" customHeight="1">
      <c r="A956" s="141">
        <v>938</v>
      </c>
      <c r="B956" s="142" t="s">
        <v>1530</v>
      </c>
      <c r="C956" s="143" t="s">
        <v>1024</v>
      </c>
      <c r="D956" s="182" t="s">
        <v>1531</v>
      </c>
      <c r="E956" s="882"/>
      <c r="F956" s="882"/>
      <c r="G956" s="160"/>
      <c r="H956" s="882"/>
      <c r="I956" s="882"/>
      <c r="J956" s="359"/>
      <c r="K956" s="776">
        <v>1</v>
      </c>
      <c r="L956" s="153"/>
      <c r="M956" s="864" t="s">
        <v>1532</v>
      </c>
      <c r="N956" s="181">
        <v>161692.93</v>
      </c>
      <c r="O956" s="150">
        <f t="shared" si="14"/>
        <v>1</v>
      </c>
      <c r="P956" s="256"/>
      <c r="Q956" s="256"/>
    </row>
    <row r="957" spans="1:17" ht="20.100000000000001" hidden="1" customHeight="1">
      <c r="A957" s="141">
        <v>939</v>
      </c>
      <c r="B957" s="142" t="s">
        <v>1530</v>
      </c>
      <c r="C957" s="143" t="s">
        <v>1024</v>
      </c>
      <c r="D957" s="2793" t="s">
        <v>29</v>
      </c>
      <c r="E957" s="882"/>
      <c r="F957" s="882"/>
      <c r="G957" s="882"/>
      <c r="H957" s="882"/>
      <c r="I957" s="882"/>
      <c r="J957" s="359"/>
      <c r="K957" s="778"/>
      <c r="L957" s="157"/>
      <c r="M957" s="868" t="s">
        <v>1026</v>
      </c>
      <c r="N957" s="159"/>
      <c r="O957" s="150">
        <f t="shared" si="14"/>
        <v>0</v>
      </c>
      <c r="P957" s="256"/>
      <c r="Q957" s="256"/>
    </row>
    <row r="958" spans="1:17" ht="20.100000000000001" hidden="1" customHeight="1">
      <c r="A958" s="141">
        <v>940</v>
      </c>
      <c r="B958" s="142" t="s">
        <v>1530</v>
      </c>
      <c r="C958" s="143" t="s">
        <v>1024</v>
      </c>
      <c r="D958" s="2795"/>
      <c r="E958" s="882"/>
      <c r="F958" s="882"/>
      <c r="G958" s="160">
        <v>1</v>
      </c>
      <c r="H958" s="882"/>
      <c r="I958" s="882"/>
      <c r="J958" s="359"/>
      <c r="K958" s="780"/>
      <c r="L958" s="153"/>
      <c r="M958" s="843" t="s">
        <v>119</v>
      </c>
      <c r="N958" s="155">
        <v>-1941358.49</v>
      </c>
      <c r="O958" s="150">
        <f t="shared" si="14"/>
        <v>1</v>
      </c>
      <c r="P958" s="256"/>
      <c r="Q958" s="256"/>
    </row>
    <row r="959" spans="1:17" ht="20.100000000000001" hidden="1" customHeight="1">
      <c r="A959" s="141">
        <v>941</v>
      </c>
      <c r="B959" s="142" t="s">
        <v>1530</v>
      </c>
      <c r="C959" s="143" t="s">
        <v>1024</v>
      </c>
      <c r="D959" s="2795"/>
      <c r="E959" s="882"/>
      <c r="F959" s="882"/>
      <c r="G959" s="160">
        <v>1</v>
      </c>
      <c r="H959" s="882"/>
      <c r="I959" s="882"/>
      <c r="J959" s="359"/>
      <c r="K959" s="780"/>
      <c r="L959" s="153"/>
      <c r="M959" s="843" t="s">
        <v>1533</v>
      </c>
      <c r="N959" s="155">
        <v>-19518394.760000002</v>
      </c>
      <c r="O959" s="150">
        <f t="shared" si="14"/>
        <v>1</v>
      </c>
      <c r="P959" s="256"/>
      <c r="Q959" s="256"/>
    </row>
    <row r="960" spans="1:17" ht="20.100000000000001" hidden="1" customHeight="1">
      <c r="A960" s="141">
        <v>942</v>
      </c>
      <c r="B960" s="142" t="s">
        <v>1530</v>
      </c>
      <c r="C960" s="143" t="s">
        <v>1024</v>
      </c>
      <c r="D960" s="2795"/>
      <c r="E960" s="882"/>
      <c r="F960" s="882"/>
      <c r="G960" s="160">
        <v>1</v>
      </c>
      <c r="H960" s="882"/>
      <c r="I960" s="882"/>
      <c r="J960" s="359"/>
      <c r="K960" s="780"/>
      <c r="L960" s="153"/>
      <c r="M960" s="843" t="s">
        <v>32</v>
      </c>
      <c r="N960" s="162">
        <v>0.46</v>
      </c>
      <c r="O960" s="150">
        <f t="shared" si="14"/>
        <v>1</v>
      </c>
      <c r="P960" s="256"/>
      <c r="Q960" s="256"/>
    </row>
    <row r="961" spans="1:17" ht="20.100000000000001" hidden="1" customHeight="1">
      <c r="A961" s="141">
        <v>943</v>
      </c>
      <c r="B961" s="142" t="s">
        <v>1530</v>
      </c>
      <c r="C961" s="143" t="s">
        <v>1024</v>
      </c>
      <c r="D961" s="2795"/>
      <c r="E961" s="882"/>
      <c r="F961" s="882"/>
      <c r="G961" s="160">
        <v>1</v>
      </c>
      <c r="H961" s="160"/>
      <c r="I961" s="882"/>
      <c r="J961" s="359"/>
      <c r="K961" s="947"/>
      <c r="L961" s="164"/>
      <c r="M961" s="948" t="s">
        <v>1027</v>
      </c>
      <c r="N961" s="104">
        <v>328266.36</v>
      </c>
      <c r="O961" s="150">
        <f t="shared" si="14"/>
        <v>1</v>
      </c>
      <c r="P961" s="256"/>
      <c r="Q961" s="256"/>
    </row>
    <row r="962" spans="1:17" ht="20.100000000000001" hidden="1" customHeight="1">
      <c r="A962" s="141">
        <v>944</v>
      </c>
      <c r="B962" s="142" t="s">
        <v>1530</v>
      </c>
      <c r="C962" s="143" t="s">
        <v>1024</v>
      </c>
      <c r="D962" s="2795"/>
      <c r="E962" s="882"/>
      <c r="F962" s="882"/>
      <c r="G962" s="882"/>
      <c r="H962" s="882"/>
      <c r="I962" s="160"/>
      <c r="J962" s="359"/>
      <c r="K962" s="835"/>
      <c r="L962" s="167"/>
      <c r="M962" s="884" t="s">
        <v>1141</v>
      </c>
      <c r="N962" s="329"/>
      <c r="O962" s="150">
        <f t="shared" si="14"/>
        <v>0</v>
      </c>
      <c r="P962" s="256"/>
      <c r="Q962" s="256"/>
    </row>
    <row r="963" spans="1:17" ht="20.100000000000001" customHeight="1">
      <c r="A963" s="141">
        <v>945</v>
      </c>
      <c r="B963" s="142" t="s">
        <v>1530</v>
      </c>
      <c r="C963" s="143" t="s">
        <v>1024</v>
      </c>
      <c r="D963" s="2795"/>
      <c r="E963" s="882"/>
      <c r="F963" s="882"/>
      <c r="G963" s="882"/>
      <c r="H963" s="882"/>
      <c r="I963" s="882"/>
      <c r="J963" s="359"/>
      <c r="K963" s="831">
        <v>1</v>
      </c>
      <c r="L963" s="179"/>
      <c r="M963" s="949" t="s">
        <v>1534</v>
      </c>
      <c r="N963" s="102">
        <v>748333.33</v>
      </c>
      <c r="O963" s="150">
        <f t="shared" si="14"/>
        <v>1</v>
      </c>
      <c r="P963" s="256"/>
      <c r="Q963" s="256"/>
    </row>
    <row r="964" spans="1:17" ht="20.100000000000001" hidden="1" customHeight="1">
      <c r="A964" s="141">
        <v>946</v>
      </c>
      <c r="B964" s="142" t="s">
        <v>1530</v>
      </c>
      <c r="C964" s="143" t="s">
        <v>1024</v>
      </c>
      <c r="D964" s="2795"/>
      <c r="E964" s="882"/>
      <c r="F964" s="160"/>
      <c r="G964" s="882"/>
      <c r="H964" s="882"/>
      <c r="I964" s="882"/>
      <c r="J964" s="359"/>
      <c r="K964" s="835"/>
      <c r="L964" s="167"/>
      <c r="M964" s="950" t="s">
        <v>1535</v>
      </c>
      <c r="N964" s="951"/>
      <c r="O964" s="150">
        <f t="shared" si="14"/>
        <v>0</v>
      </c>
      <c r="P964" s="256"/>
      <c r="Q964" s="256"/>
    </row>
    <row r="965" spans="1:17" ht="20.100000000000001" hidden="1" customHeight="1">
      <c r="A965" s="141">
        <v>947</v>
      </c>
      <c r="B965" s="142" t="s">
        <v>1530</v>
      </c>
      <c r="C965" s="143" t="s">
        <v>1024</v>
      </c>
      <c r="D965" s="2795"/>
      <c r="E965" s="160"/>
      <c r="F965" s="882"/>
      <c r="G965" s="160">
        <v>1</v>
      </c>
      <c r="H965" s="882"/>
      <c r="I965" s="882"/>
      <c r="J965" s="359"/>
      <c r="K965" s="947"/>
      <c r="L965" s="164"/>
      <c r="M965" s="952" t="s">
        <v>183</v>
      </c>
      <c r="N965" s="104">
        <v>166.5</v>
      </c>
      <c r="O965" s="150">
        <f t="shared" si="14"/>
        <v>1</v>
      </c>
      <c r="P965" s="256"/>
      <c r="Q965" s="256"/>
    </row>
    <row r="966" spans="1:17" ht="20.100000000000001" hidden="1" customHeight="1">
      <c r="A966" s="141">
        <v>948</v>
      </c>
      <c r="B966" s="142" t="s">
        <v>1536</v>
      </c>
      <c r="C966" s="143" t="s">
        <v>1024</v>
      </c>
      <c r="D966" s="2794"/>
      <c r="E966" s="144"/>
      <c r="F966" s="144"/>
      <c r="G966" s="160">
        <v>1</v>
      </c>
      <c r="H966" s="144"/>
      <c r="I966" s="144"/>
      <c r="J966" s="145"/>
      <c r="K966" s="947"/>
      <c r="L966" s="164"/>
      <c r="M966" s="952" t="s">
        <v>1437</v>
      </c>
      <c r="N966" s="104">
        <v>166.5</v>
      </c>
      <c r="O966" s="150">
        <f t="shared" si="14"/>
        <v>1</v>
      </c>
      <c r="P966" s="151"/>
      <c r="Q966" s="151"/>
    </row>
    <row r="967" spans="1:17" ht="20.100000000000001" hidden="1" customHeight="1">
      <c r="A967" s="141">
        <v>949</v>
      </c>
      <c r="B967" s="142" t="s">
        <v>1536</v>
      </c>
      <c r="C967" s="143" t="s">
        <v>1024</v>
      </c>
      <c r="D967" s="2792"/>
      <c r="E967" s="144"/>
      <c r="F967" s="144"/>
      <c r="G967" s="144"/>
      <c r="H967" s="144"/>
      <c r="I967" s="144"/>
      <c r="J967" s="145"/>
      <c r="K967" s="835"/>
      <c r="L967" s="167"/>
      <c r="M967" s="872" t="s">
        <v>1029</v>
      </c>
      <c r="N967" s="953"/>
      <c r="O967" s="150">
        <f t="shared" si="14"/>
        <v>0</v>
      </c>
      <c r="P967" s="151"/>
      <c r="Q967" s="151"/>
    </row>
    <row r="968" spans="1:17" ht="20.100000000000001" hidden="1" customHeight="1">
      <c r="A968" s="141">
        <v>950</v>
      </c>
      <c r="B968" s="142" t="s">
        <v>1536</v>
      </c>
      <c r="C968" s="143" t="s">
        <v>1024</v>
      </c>
      <c r="D968" s="2793" t="s">
        <v>33</v>
      </c>
      <c r="E968" s="144"/>
      <c r="F968" s="144"/>
      <c r="G968" s="144"/>
      <c r="H968" s="144">
        <v>4</v>
      </c>
      <c r="I968" s="348"/>
      <c r="J968" s="282"/>
      <c r="K968" s="831"/>
      <c r="L968" s="179"/>
      <c r="M968" s="843" t="s">
        <v>34</v>
      </c>
      <c r="N968" s="186">
        <v>0</v>
      </c>
      <c r="O968" s="150">
        <f t="shared" si="14"/>
        <v>4</v>
      </c>
      <c r="P968" s="151"/>
      <c r="Q968" s="151"/>
    </row>
    <row r="969" spans="1:17" ht="20.100000000000001" hidden="1" customHeight="1">
      <c r="A969" s="141">
        <v>951</v>
      </c>
      <c r="B969" s="142" t="s">
        <v>1536</v>
      </c>
      <c r="C969" s="143" t="s">
        <v>1024</v>
      </c>
      <c r="D969" s="2794"/>
      <c r="E969" s="144"/>
      <c r="F969" s="144"/>
      <c r="G969" s="144"/>
      <c r="H969" s="144"/>
      <c r="I969" s="144">
        <v>3098</v>
      </c>
      <c r="J969" s="145"/>
      <c r="K969" s="776"/>
      <c r="L969" s="153"/>
      <c r="M969" s="873" t="s">
        <v>35</v>
      </c>
      <c r="N969" s="954">
        <v>2676150.86</v>
      </c>
      <c r="O969" s="150">
        <f t="shared" si="14"/>
        <v>3098</v>
      </c>
      <c r="P969" s="151"/>
      <c r="Q969" s="151"/>
    </row>
    <row r="970" spans="1:17" ht="20.100000000000001" customHeight="1">
      <c r="A970" s="141">
        <v>952</v>
      </c>
      <c r="B970" s="142" t="s">
        <v>1536</v>
      </c>
      <c r="C970" s="143" t="s">
        <v>1024</v>
      </c>
      <c r="D970" s="182" t="s">
        <v>29</v>
      </c>
      <c r="E970" s="144"/>
      <c r="F970" s="144"/>
      <c r="G970" s="160"/>
      <c r="H970" s="144"/>
      <c r="I970" s="144"/>
      <c r="J970" s="145"/>
      <c r="K970" s="780">
        <v>2</v>
      </c>
      <c r="L970" s="153"/>
      <c r="M970" s="843" t="s">
        <v>1344</v>
      </c>
      <c r="N970" s="155">
        <v>0</v>
      </c>
      <c r="O970" s="150">
        <f t="shared" si="14"/>
        <v>2</v>
      </c>
      <c r="P970" s="151"/>
      <c r="Q970" s="151"/>
    </row>
    <row r="971" spans="1:17" ht="20.100000000000001" hidden="1" customHeight="1">
      <c r="A971" s="141">
        <v>943</v>
      </c>
      <c r="B971" s="142" t="s">
        <v>1536</v>
      </c>
      <c r="C971" s="143" t="s">
        <v>1024</v>
      </c>
      <c r="D971" s="2793" t="s">
        <v>36</v>
      </c>
      <c r="E971" s="144"/>
      <c r="F971" s="144">
        <v>820</v>
      </c>
      <c r="G971" s="160"/>
      <c r="H971" s="144"/>
      <c r="I971" s="144"/>
      <c r="J971" s="145"/>
      <c r="K971" s="776"/>
      <c r="L971" s="153"/>
      <c r="M971" s="948" t="s">
        <v>1537</v>
      </c>
      <c r="N971" s="181">
        <v>0</v>
      </c>
      <c r="O971" s="150">
        <f t="shared" si="14"/>
        <v>820</v>
      </c>
      <c r="P971" s="151"/>
      <c r="Q971" s="151"/>
    </row>
    <row r="972" spans="1:17" ht="20.100000000000001" hidden="1" customHeight="1">
      <c r="A972" s="141">
        <v>944</v>
      </c>
      <c r="B972" s="142" t="s">
        <v>1536</v>
      </c>
      <c r="C972" s="143" t="s">
        <v>1024</v>
      </c>
      <c r="D972" s="2792"/>
      <c r="E972" s="144">
        <v>22</v>
      </c>
      <c r="F972" s="144"/>
      <c r="G972" s="160"/>
      <c r="H972" s="144"/>
      <c r="I972" s="144"/>
      <c r="J972" s="145"/>
      <c r="K972" s="780"/>
      <c r="L972" s="153"/>
      <c r="M972" s="843" t="s">
        <v>1479</v>
      </c>
      <c r="N972" s="155">
        <v>0</v>
      </c>
      <c r="O972" s="150">
        <f t="shared" si="14"/>
        <v>22</v>
      </c>
      <c r="P972" s="151"/>
      <c r="Q972" s="151"/>
    </row>
    <row r="973" spans="1:17" ht="20.100000000000001" customHeight="1">
      <c r="A973" s="141">
        <v>945</v>
      </c>
      <c r="B973" s="142" t="s">
        <v>1536</v>
      </c>
      <c r="C973" s="143" t="s">
        <v>1024</v>
      </c>
      <c r="D973" s="2793" t="s">
        <v>1525</v>
      </c>
      <c r="E973" s="144"/>
      <c r="F973" s="144"/>
      <c r="G973" s="160"/>
      <c r="H973" s="144"/>
      <c r="I973" s="144"/>
      <c r="J973" s="145"/>
      <c r="K973" s="776">
        <v>1</v>
      </c>
      <c r="L973" s="153"/>
      <c r="M973" s="781" t="s">
        <v>1538</v>
      </c>
      <c r="N973" s="181">
        <v>68360.44</v>
      </c>
      <c r="O973" s="150">
        <f t="shared" si="14"/>
        <v>1</v>
      </c>
      <c r="P973" s="151"/>
      <c r="Q973" s="151"/>
    </row>
    <row r="974" spans="1:17" ht="20.100000000000001" customHeight="1">
      <c r="A974" s="141">
        <v>946</v>
      </c>
      <c r="B974" s="142" t="s">
        <v>1536</v>
      </c>
      <c r="C974" s="143" t="s">
        <v>1024</v>
      </c>
      <c r="D974" s="2794"/>
      <c r="E974" s="144"/>
      <c r="F974" s="144"/>
      <c r="G974" s="144"/>
      <c r="H974" s="144"/>
      <c r="I974" s="144"/>
      <c r="J974" s="145"/>
      <c r="K974" s="776">
        <v>1</v>
      </c>
      <c r="L974" s="153"/>
      <c r="M974" s="777" t="s">
        <v>1539</v>
      </c>
      <c r="N974" s="181">
        <v>78756.13</v>
      </c>
      <c r="O974" s="150">
        <f t="shared" si="14"/>
        <v>1</v>
      </c>
      <c r="P974" s="151"/>
      <c r="Q974" s="151"/>
    </row>
    <row r="975" spans="1:17" ht="20.100000000000001" customHeight="1">
      <c r="A975" s="141">
        <v>947</v>
      </c>
      <c r="B975" s="142" t="s">
        <v>1536</v>
      </c>
      <c r="C975" s="143" t="s">
        <v>1024</v>
      </c>
      <c r="D975" s="182" t="s">
        <v>103</v>
      </c>
      <c r="E975" s="144"/>
      <c r="F975" s="144"/>
      <c r="G975" s="160"/>
      <c r="H975" s="144"/>
      <c r="I975" s="144"/>
      <c r="J975" s="145">
        <v>2</v>
      </c>
      <c r="K975" s="2827"/>
      <c r="L975" s="2811"/>
      <c r="M975" s="2828" t="s">
        <v>1540</v>
      </c>
      <c r="N975" s="2829">
        <v>0</v>
      </c>
      <c r="O975" s="2810">
        <f t="shared" si="14"/>
        <v>2</v>
      </c>
      <c r="P975" s="151"/>
      <c r="Q975" s="151"/>
    </row>
    <row r="976" spans="1:17" ht="20.100000000000001" hidden="1" customHeight="1">
      <c r="A976" s="141">
        <v>948</v>
      </c>
      <c r="B976" s="142" t="s">
        <v>1536</v>
      </c>
      <c r="C976" s="143" t="s">
        <v>1024</v>
      </c>
      <c r="D976" s="2793" t="s">
        <v>29</v>
      </c>
      <c r="E976" s="144"/>
      <c r="F976" s="144"/>
      <c r="G976" s="144"/>
      <c r="H976" s="144"/>
      <c r="I976" s="144"/>
      <c r="J976" s="145"/>
      <c r="K976" s="778"/>
      <c r="L976" s="157"/>
      <c r="M976" s="829" t="s">
        <v>1026</v>
      </c>
      <c r="N976" s="159"/>
      <c r="O976" s="150">
        <f t="shared" si="14"/>
        <v>0</v>
      </c>
      <c r="P976" s="151"/>
      <c r="Q976" s="151"/>
    </row>
    <row r="977" spans="1:17" ht="20.100000000000001" hidden="1" customHeight="1">
      <c r="A977" s="141">
        <v>949</v>
      </c>
      <c r="B977" s="142" t="s">
        <v>1536</v>
      </c>
      <c r="C977" s="143" t="s">
        <v>1024</v>
      </c>
      <c r="D977" s="2795"/>
      <c r="E977" s="144"/>
      <c r="F977" s="144"/>
      <c r="G977" s="160">
        <v>1</v>
      </c>
      <c r="H977" s="144"/>
      <c r="I977" s="144"/>
      <c r="J977" s="145"/>
      <c r="K977" s="780"/>
      <c r="L977" s="153"/>
      <c r="M977" s="781" t="s">
        <v>119</v>
      </c>
      <c r="N977" s="155">
        <v>-3028621.63</v>
      </c>
      <c r="O977" s="150">
        <f t="shared" si="14"/>
        <v>1</v>
      </c>
      <c r="P977" s="151"/>
      <c r="Q977" s="151"/>
    </row>
    <row r="978" spans="1:17" ht="20.100000000000001" hidden="1" customHeight="1">
      <c r="A978" s="141">
        <v>950</v>
      </c>
      <c r="B978" s="142" t="s">
        <v>1536</v>
      </c>
      <c r="C978" s="143" t="s">
        <v>1024</v>
      </c>
      <c r="D978" s="2795"/>
      <c r="E978" s="144"/>
      <c r="F978" s="144"/>
      <c r="G978" s="160">
        <v>1</v>
      </c>
      <c r="H978" s="144"/>
      <c r="I978" s="144"/>
      <c r="J978" s="145"/>
      <c r="K978" s="780"/>
      <c r="L978" s="153"/>
      <c r="M978" s="781" t="s">
        <v>49</v>
      </c>
      <c r="N978" s="155">
        <v>-37100770.210000001</v>
      </c>
      <c r="O978" s="150">
        <f t="shared" si="14"/>
        <v>1</v>
      </c>
      <c r="P978" s="151"/>
      <c r="Q978" s="151"/>
    </row>
    <row r="979" spans="1:17" ht="20.100000000000001" hidden="1" customHeight="1">
      <c r="A979" s="141">
        <v>951</v>
      </c>
      <c r="B979" s="142" t="s">
        <v>1536</v>
      </c>
      <c r="C979" s="143" t="s">
        <v>1024</v>
      </c>
      <c r="D979" s="2795"/>
      <c r="E979" s="144"/>
      <c r="F979" s="144"/>
      <c r="G979" s="160">
        <v>1</v>
      </c>
      <c r="H979" s="144"/>
      <c r="I979" s="144"/>
      <c r="J979" s="145"/>
      <c r="K979" s="780"/>
      <c r="L979" s="153"/>
      <c r="M979" s="781" t="s">
        <v>32</v>
      </c>
      <c r="N979" s="162">
        <v>37.92</v>
      </c>
      <c r="O979" s="150">
        <f t="shared" si="14"/>
        <v>1</v>
      </c>
      <c r="P979" s="151"/>
      <c r="Q979" s="151"/>
    </row>
    <row r="980" spans="1:17" ht="20.100000000000001" hidden="1" customHeight="1">
      <c r="A980" s="141">
        <v>952</v>
      </c>
      <c r="B980" s="142" t="s">
        <v>1536</v>
      </c>
      <c r="C980" s="143" t="s">
        <v>1024</v>
      </c>
      <c r="D980" s="2795"/>
      <c r="E980" s="144"/>
      <c r="F980" s="144"/>
      <c r="G980" s="160">
        <v>1</v>
      </c>
      <c r="H980" s="160"/>
      <c r="I980" s="144"/>
      <c r="J980" s="145"/>
      <c r="K980" s="831"/>
      <c r="L980" s="179"/>
      <c r="M980" s="781" t="s">
        <v>1541</v>
      </c>
      <c r="N980" s="186">
        <v>65526.5</v>
      </c>
      <c r="O980" s="150">
        <f t="shared" si="14"/>
        <v>1</v>
      </c>
      <c r="P980" s="151"/>
      <c r="Q980" s="151"/>
    </row>
    <row r="981" spans="1:17" ht="20.100000000000001" hidden="1" customHeight="1">
      <c r="A981" s="141">
        <v>953</v>
      </c>
      <c r="B981" s="142" t="s">
        <v>1536</v>
      </c>
      <c r="C981" s="143" t="s">
        <v>1024</v>
      </c>
      <c r="D981" s="2795"/>
      <c r="E981" s="144"/>
      <c r="F981" s="144"/>
      <c r="G981" s="144"/>
      <c r="H981" s="144"/>
      <c r="I981" s="160"/>
      <c r="J981" s="145"/>
      <c r="K981" s="839"/>
      <c r="L981" s="459"/>
      <c r="M981" s="945" t="s">
        <v>1490</v>
      </c>
      <c r="N981" s="946"/>
      <c r="O981" s="150">
        <f t="shared" ref="O981:O1044" si="15">E981+F981+G981+H981+I981+J981+K981</f>
        <v>0</v>
      </c>
      <c r="P981" s="151"/>
      <c r="Q981" s="151"/>
    </row>
    <row r="982" spans="1:17" ht="20.100000000000001" hidden="1" customHeight="1">
      <c r="A982" s="141">
        <v>954</v>
      </c>
      <c r="B982" s="142" t="s">
        <v>1536</v>
      </c>
      <c r="C982" s="143" t="s">
        <v>1024</v>
      </c>
      <c r="D982" s="2795"/>
      <c r="E982" s="144"/>
      <c r="F982" s="160"/>
      <c r="G982" s="160">
        <v>1</v>
      </c>
      <c r="H982" s="144"/>
      <c r="I982" s="144"/>
      <c r="J982" s="145"/>
      <c r="K982" s="947"/>
      <c r="L982" s="164"/>
      <c r="M982" s="956" t="s">
        <v>183</v>
      </c>
      <c r="N982" s="115">
        <v>901.1</v>
      </c>
      <c r="O982" s="150">
        <f t="shared" si="15"/>
        <v>1</v>
      </c>
      <c r="P982" s="151"/>
      <c r="Q982" s="151"/>
    </row>
    <row r="983" spans="1:17" ht="20.100000000000001" hidden="1" customHeight="1">
      <c r="A983" s="141">
        <v>955</v>
      </c>
      <c r="B983" s="142" t="s">
        <v>1536</v>
      </c>
      <c r="C983" s="143" t="s">
        <v>1024</v>
      </c>
      <c r="D983" s="2795"/>
      <c r="E983" s="160"/>
      <c r="F983" s="144"/>
      <c r="G983" s="160">
        <v>1</v>
      </c>
      <c r="H983" s="144"/>
      <c r="I983" s="144"/>
      <c r="J983" s="145"/>
      <c r="K983" s="947"/>
      <c r="L983" s="164"/>
      <c r="M983" s="956" t="s">
        <v>886</v>
      </c>
      <c r="N983" s="115">
        <v>118.5</v>
      </c>
      <c r="O983" s="150">
        <f t="shared" si="15"/>
        <v>1</v>
      </c>
      <c r="P983" s="151"/>
      <c r="Q983" s="151"/>
    </row>
    <row r="984" spans="1:17" ht="20.100000000000001" hidden="1" customHeight="1">
      <c r="A984" s="141">
        <v>956</v>
      </c>
      <c r="B984" s="142" t="s">
        <v>1536</v>
      </c>
      <c r="C984" s="143" t="s">
        <v>1024</v>
      </c>
      <c r="D984" s="2795"/>
      <c r="E984" s="144"/>
      <c r="F984" s="144"/>
      <c r="G984" s="144"/>
      <c r="H984" s="144"/>
      <c r="I984" s="144"/>
      <c r="J984" s="145"/>
      <c r="K984" s="835"/>
      <c r="L984" s="167"/>
      <c r="M984" s="836" t="s">
        <v>1029</v>
      </c>
      <c r="N984" s="177"/>
      <c r="O984" s="150">
        <f t="shared" si="15"/>
        <v>0</v>
      </c>
      <c r="P984" s="151"/>
      <c r="Q984" s="151"/>
    </row>
    <row r="985" spans="1:17" ht="20.100000000000001" customHeight="1">
      <c r="A985" s="141">
        <v>957</v>
      </c>
      <c r="B985" s="142" t="s">
        <v>1536</v>
      </c>
      <c r="C985" s="143" t="s">
        <v>1024</v>
      </c>
      <c r="D985" s="2795"/>
      <c r="E985" s="882"/>
      <c r="F985" s="882"/>
      <c r="G985" s="882"/>
      <c r="H985" s="882"/>
      <c r="I985" s="882"/>
      <c r="J985" s="359"/>
      <c r="K985" s="831">
        <v>1</v>
      </c>
      <c r="L985" s="179"/>
      <c r="M985" s="777" t="s">
        <v>1542</v>
      </c>
      <c r="N985" s="767">
        <v>-12657.28</v>
      </c>
      <c r="O985" s="150">
        <f t="shared" si="15"/>
        <v>1</v>
      </c>
      <c r="P985" s="957"/>
      <c r="Q985" s="957"/>
    </row>
    <row r="986" spans="1:17" ht="20.100000000000001" customHeight="1">
      <c r="A986" s="141">
        <v>958</v>
      </c>
      <c r="B986" s="142" t="s">
        <v>1536</v>
      </c>
      <c r="C986" s="143" t="s">
        <v>1024</v>
      </c>
      <c r="D986" s="2795"/>
      <c r="E986" s="882"/>
      <c r="F986" s="882"/>
      <c r="G986" s="882"/>
      <c r="H986" s="882"/>
      <c r="I986" s="958"/>
      <c r="J986" s="282"/>
      <c r="K986" s="831">
        <v>1</v>
      </c>
      <c r="L986" s="179"/>
      <c r="M986" s="837" t="s">
        <v>1543</v>
      </c>
      <c r="N986" s="463">
        <v>-3100</v>
      </c>
      <c r="O986" s="150">
        <f t="shared" si="15"/>
        <v>1</v>
      </c>
      <c r="P986" s="957"/>
      <c r="Q986" s="957"/>
    </row>
    <row r="987" spans="1:17" ht="20.100000000000001" customHeight="1">
      <c r="A987" s="141">
        <v>959</v>
      </c>
      <c r="B987" s="142" t="s">
        <v>1536</v>
      </c>
      <c r="C987" s="143" t="s">
        <v>1024</v>
      </c>
      <c r="D987" s="2795"/>
      <c r="E987" s="882"/>
      <c r="F987" s="882"/>
      <c r="G987" s="882"/>
      <c r="H987" s="882"/>
      <c r="I987" s="160"/>
      <c r="J987" s="359"/>
      <c r="K987" s="947">
        <v>1</v>
      </c>
      <c r="L987" s="164"/>
      <c r="M987" s="959" t="s">
        <v>1544</v>
      </c>
      <c r="N987" s="317">
        <v>-30788.79</v>
      </c>
      <c r="O987" s="150">
        <f t="shared" si="15"/>
        <v>1</v>
      </c>
      <c r="P987" s="957"/>
      <c r="Q987" s="957"/>
    </row>
    <row r="988" spans="1:17" ht="20.100000000000001" customHeight="1">
      <c r="A988" s="141">
        <v>960</v>
      </c>
      <c r="B988" s="142" t="s">
        <v>1536</v>
      </c>
      <c r="C988" s="143" t="s">
        <v>1024</v>
      </c>
      <c r="D988" s="2794"/>
      <c r="E988" s="882"/>
      <c r="F988" s="882"/>
      <c r="G988" s="882"/>
      <c r="H988" s="882"/>
      <c r="I988" s="882"/>
      <c r="J988" s="359"/>
      <c r="K988" s="831">
        <v>1</v>
      </c>
      <c r="L988" s="179"/>
      <c r="M988" s="837" t="s">
        <v>1545</v>
      </c>
      <c r="N988" s="767">
        <v>352.13</v>
      </c>
      <c r="O988" s="150">
        <f t="shared" si="15"/>
        <v>1</v>
      </c>
      <c r="P988" s="957"/>
      <c r="Q988" s="957"/>
    </row>
    <row r="989" spans="1:17" ht="20.100000000000001" hidden="1" customHeight="1">
      <c r="A989" s="141">
        <v>961</v>
      </c>
      <c r="B989" s="142" t="s">
        <v>1536</v>
      </c>
      <c r="C989" s="143" t="s">
        <v>1024</v>
      </c>
      <c r="D989" s="2793" t="s">
        <v>33</v>
      </c>
      <c r="E989" s="882"/>
      <c r="F989" s="882"/>
      <c r="G989" s="160"/>
      <c r="H989" s="882">
        <v>192</v>
      </c>
      <c r="I989" s="882"/>
      <c r="J989" s="359"/>
      <c r="K989" s="831"/>
      <c r="L989" s="179"/>
      <c r="M989" s="841" t="s">
        <v>34</v>
      </c>
      <c r="N989" s="186">
        <v>0</v>
      </c>
      <c r="O989" s="150">
        <f t="shared" si="15"/>
        <v>192</v>
      </c>
      <c r="P989" s="957"/>
      <c r="Q989" s="957"/>
    </row>
    <row r="990" spans="1:17" ht="20.100000000000001" hidden="1" customHeight="1">
      <c r="A990" s="141">
        <v>962</v>
      </c>
      <c r="B990" s="142" t="s">
        <v>1536</v>
      </c>
      <c r="C990" s="143" t="s">
        <v>1024</v>
      </c>
      <c r="D990" s="2794"/>
      <c r="E990" s="882"/>
      <c r="F990" s="882"/>
      <c r="G990" s="160"/>
      <c r="H990" s="882"/>
      <c r="I990" s="882">
        <v>3856</v>
      </c>
      <c r="J990" s="359"/>
      <c r="K990" s="780"/>
      <c r="L990" s="153"/>
      <c r="M990" s="841" t="s">
        <v>35</v>
      </c>
      <c r="N990" s="401">
        <v>5017574.0999999996</v>
      </c>
      <c r="O990" s="150">
        <f t="shared" si="15"/>
        <v>3856</v>
      </c>
      <c r="P990" s="957"/>
      <c r="Q990" s="957"/>
    </row>
    <row r="991" spans="1:17" ht="20.100000000000001" hidden="1" customHeight="1">
      <c r="A991" s="141">
        <v>963</v>
      </c>
      <c r="B991" s="142" t="s">
        <v>1536</v>
      </c>
      <c r="C991" s="143" t="s">
        <v>1024</v>
      </c>
      <c r="D991" s="2791" t="s">
        <v>36</v>
      </c>
      <c r="E991" s="882"/>
      <c r="F991" s="882">
        <v>883</v>
      </c>
      <c r="G991" s="160"/>
      <c r="H991" s="882"/>
      <c r="I991" s="882"/>
      <c r="J991" s="359"/>
      <c r="K991" s="776"/>
      <c r="L991" s="153"/>
      <c r="M991" s="781" t="s">
        <v>1546</v>
      </c>
      <c r="N991" s="181">
        <v>0</v>
      </c>
      <c r="O991" s="150">
        <f t="shared" si="15"/>
        <v>883</v>
      </c>
      <c r="P991" s="957"/>
      <c r="Q991" s="957"/>
    </row>
    <row r="992" spans="1:17" ht="20.100000000000001" hidden="1" customHeight="1">
      <c r="A992" s="141">
        <v>964</v>
      </c>
      <c r="B992" s="142" t="s">
        <v>1536</v>
      </c>
      <c r="C992" s="143" t="s">
        <v>1024</v>
      </c>
      <c r="D992" s="2792"/>
      <c r="E992" s="882">
        <v>66</v>
      </c>
      <c r="F992" s="882"/>
      <c r="G992" s="160"/>
      <c r="H992" s="882"/>
      <c r="I992" s="882"/>
      <c r="J992" s="359"/>
      <c r="K992" s="776"/>
      <c r="L992" s="153"/>
      <c r="M992" s="781" t="s">
        <v>1547</v>
      </c>
      <c r="N992" s="155">
        <v>0</v>
      </c>
      <c r="O992" s="150">
        <f t="shared" si="15"/>
        <v>66</v>
      </c>
      <c r="P992" s="957"/>
      <c r="Q992" s="957"/>
    </row>
    <row r="993" spans="1:17" ht="20.100000000000001" customHeight="1">
      <c r="A993" s="141">
        <v>965</v>
      </c>
      <c r="B993" s="142" t="s">
        <v>1548</v>
      </c>
      <c r="C993" s="143" t="s">
        <v>1024</v>
      </c>
      <c r="D993" s="182" t="s">
        <v>1549</v>
      </c>
      <c r="E993" s="882"/>
      <c r="F993" s="882"/>
      <c r="G993" s="882"/>
      <c r="H993" s="882"/>
      <c r="I993" s="882"/>
      <c r="J993" s="359"/>
      <c r="K993" s="960">
        <v>1</v>
      </c>
      <c r="L993" s="961" t="s">
        <v>1550</v>
      </c>
      <c r="M993" s="777" t="s">
        <v>1551</v>
      </c>
      <c r="N993" s="962">
        <v>67718.460000000006</v>
      </c>
      <c r="O993" s="150">
        <f t="shared" si="15"/>
        <v>1</v>
      </c>
      <c r="P993" s="957"/>
      <c r="Q993" s="957"/>
    </row>
    <row r="994" spans="1:17" ht="20.100000000000001" customHeight="1">
      <c r="A994" s="141">
        <v>966</v>
      </c>
      <c r="B994" s="142" t="s">
        <v>1548</v>
      </c>
      <c r="C994" s="143" t="s">
        <v>1024</v>
      </c>
      <c r="D994" s="2793" t="s">
        <v>103</v>
      </c>
      <c r="E994" s="882"/>
      <c r="F994" s="882"/>
      <c r="G994" s="882"/>
      <c r="H994" s="882"/>
      <c r="I994" s="882"/>
      <c r="J994" s="359">
        <v>3</v>
      </c>
      <c r="K994" s="963"/>
      <c r="L994" s="432"/>
      <c r="M994" s="955" t="s">
        <v>1540</v>
      </c>
      <c r="N994" s="434">
        <v>77.02</v>
      </c>
      <c r="O994" s="150">
        <f t="shared" si="15"/>
        <v>3</v>
      </c>
      <c r="P994" s="957"/>
      <c r="Q994" s="957"/>
    </row>
    <row r="995" spans="1:17" ht="20.100000000000001" hidden="1" customHeight="1">
      <c r="A995" s="141">
        <v>967</v>
      </c>
      <c r="B995" s="142" t="s">
        <v>1548</v>
      </c>
      <c r="C995" s="143" t="s">
        <v>1024</v>
      </c>
      <c r="D995" s="2794"/>
      <c r="E995" s="882"/>
      <c r="F995" s="882"/>
      <c r="G995" s="882"/>
      <c r="H995" s="882"/>
      <c r="I995" s="882"/>
      <c r="J995" s="359">
        <v>542</v>
      </c>
      <c r="K995" s="964"/>
      <c r="L995" s="432"/>
      <c r="M995" s="965" t="s">
        <v>1552</v>
      </c>
      <c r="N995" s="434">
        <v>22811.25</v>
      </c>
      <c r="O995" s="150">
        <f t="shared" si="15"/>
        <v>542</v>
      </c>
      <c r="P995" s="957"/>
      <c r="Q995" s="957"/>
    </row>
    <row r="996" spans="1:17" ht="20.100000000000001" hidden="1" customHeight="1">
      <c r="A996" s="141">
        <v>968</v>
      </c>
      <c r="B996" s="142" t="s">
        <v>1548</v>
      </c>
      <c r="C996" s="143" t="s">
        <v>1024</v>
      </c>
      <c r="D996" s="2793" t="s">
        <v>29</v>
      </c>
      <c r="E996" s="882"/>
      <c r="F996" s="882"/>
      <c r="G996" s="882"/>
      <c r="H996" s="882"/>
      <c r="I996" s="882"/>
      <c r="J996" s="359"/>
      <c r="K996" s="966"/>
      <c r="L996" s="967"/>
      <c r="M996" s="829" t="s">
        <v>1026</v>
      </c>
      <c r="N996" s="574"/>
      <c r="O996" s="150">
        <f t="shared" si="15"/>
        <v>0</v>
      </c>
      <c r="P996" s="957"/>
      <c r="Q996" s="957"/>
    </row>
    <row r="997" spans="1:17" ht="20.100000000000001" hidden="1" customHeight="1">
      <c r="A997" s="141">
        <v>969</v>
      </c>
      <c r="B997" s="142" t="s">
        <v>1548</v>
      </c>
      <c r="C997" s="143" t="s">
        <v>1024</v>
      </c>
      <c r="D997" s="2795"/>
      <c r="E997" s="882"/>
      <c r="F997" s="882"/>
      <c r="G997" s="160">
        <v>1</v>
      </c>
      <c r="H997" s="882"/>
      <c r="I997" s="882"/>
      <c r="J997" s="359"/>
      <c r="K997" s="964"/>
      <c r="L997" s="432"/>
      <c r="M997" s="781" t="s">
        <v>119</v>
      </c>
      <c r="N997" s="968">
        <v>-4014163.86</v>
      </c>
      <c r="O997" s="150">
        <f t="shared" si="15"/>
        <v>1</v>
      </c>
      <c r="P997" s="957"/>
      <c r="Q997" s="957"/>
    </row>
    <row r="998" spans="1:17" ht="20.100000000000001" hidden="1" customHeight="1">
      <c r="A998" s="141">
        <v>970</v>
      </c>
      <c r="B998" s="142" t="s">
        <v>1548</v>
      </c>
      <c r="C998" s="143" t="s">
        <v>1024</v>
      </c>
      <c r="D998" s="2795"/>
      <c r="E998" s="882"/>
      <c r="F998" s="882"/>
      <c r="G998" s="160">
        <v>1</v>
      </c>
      <c r="H998" s="882"/>
      <c r="I998" s="882"/>
      <c r="J998" s="359"/>
      <c r="K998" s="969"/>
      <c r="L998" s="432"/>
      <c r="M998" s="781" t="s">
        <v>49</v>
      </c>
      <c r="N998" s="968">
        <v>-298692445.19999999</v>
      </c>
      <c r="O998" s="150">
        <f t="shared" si="15"/>
        <v>1</v>
      </c>
      <c r="P998" s="957"/>
      <c r="Q998" s="957"/>
    </row>
    <row r="999" spans="1:17" ht="20.100000000000001" hidden="1" customHeight="1">
      <c r="A999" s="141">
        <v>971</v>
      </c>
      <c r="B999" s="142" t="s">
        <v>1548</v>
      </c>
      <c r="C999" s="143" t="s">
        <v>1024</v>
      </c>
      <c r="D999" s="2795"/>
      <c r="E999" s="882"/>
      <c r="F999" s="882"/>
      <c r="G999" s="160">
        <v>1</v>
      </c>
      <c r="H999" s="882"/>
      <c r="I999" s="882"/>
      <c r="J999" s="359"/>
      <c r="K999" s="964"/>
      <c r="L999" s="432"/>
      <c r="M999" s="781" t="s">
        <v>32</v>
      </c>
      <c r="N999" s="968">
        <v>21.05</v>
      </c>
      <c r="O999" s="150">
        <f t="shared" si="15"/>
        <v>1</v>
      </c>
      <c r="P999" s="957"/>
      <c r="Q999" s="957"/>
    </row>
    <row r="1000" spans="1:17" ht="20.100000000000001" hidden="1" customHeight="1">
      <c r="A1000" s="141">
        <v>972</v>
      </c>
      <c r="B1000" s="142" t="s">
        <v>1548</v>
      </c>
      <c r="C1000" s="143" t="s">
        <v>1024</v>
      </c>
      <c r="D1000" s="2795"/>
      <c r="E1000" s="882"/>
      <c r="F1000" s="882"/>
      <c r="G1000" s="160">
        <v>1</v>
      </c>
      <c r="H1000" s="882"/>
      <c r="I1000" s="882"/>
      <c r="J1000" s="359"/>
      <c r="K1000" s="963"/>
      <c r="L1000" s="436"/>
      <c r="M1000" s="781" t="s">
        <v>207</v>
      </c>
      <c r="N1000" s="970">
        <v>-1408798.01</v>
      </c>
      <c r="O1000" s="150">
        <f t="shared" si="15"/>
        <v>1</v>
      </c>
      <c r="P1000" s="957"/>
      <c r="Q1000" s="957"/>
    </row>
    <row r="1001" spans="1:17" ht="20.100000000000001" hidden="1" customHeight="1">
      <c r="A1001" s="141">
        <v>973</v>
      </c>
      <c r="B1001" s="142" t="s">
        <v>1548</v>
      </c>
      <c r="C1001" s="143" t="s">
        <v>1024</v>
      </c>
      <c r="D1001" s="2795"/>
      <c r="E1001" s="882"/>
      <c r="F1001" s="882"/>
      <c r="G1001" s="882"/>
      <c r="H1001" s="882"/>
      <c r="I1001" s="882"/>
      <c r="J1001" s="359"/>
      <c r="K1001" s="971"/>
      <c r="L1001" s="972"/>
      <c r="M1001" s="973" t="s">
        <v>1028</v>
      </c>
      <c r="N1001" s="870"/>
      <c r="O1001" s="150">
        <f t="shared" si="15"/>
        <v>0</v>
      </c>
      <c r="P1001" s="957"/>
      <c r="Q1001" s="957"/>
    </row>
    <row r="1002" spans="1:17" ht="20.100000000000001" hidden="1" customHeight="1">
      <c r="A1002" s="141">
        <v>974</v>
      </c>
      <c r="B1002" s="142" t="s">
        <v>1548</v>
      </c>
      <c r="C1002" s="143" t="s">
        <v>1024</v>
      </c>
      <c r="D1002" s="2795"/>
      <c r="E1002" s="932"/>
      <c r="F1002" s="932"/>
      <c r="G1002" s="160">
        <v>1</v>
      </c>
      <c r="H1002" s="160"/>
      <c r="I1002" s="932"/>
      <c r="J1002" s="974"/>
      <c r="K1002" s="899"/>
      <c r="L1002" s="566"/>
      <c r="M1002" s="784" t="s">
        <v>886</v>
      </c>
      <c r="N1002" s="593">
        <v>28.4</v>
      </c>
      <c r="O1002" s="150">
        <f t="shared" si="15"/>
        <v>1</v>
      </c>
      <c r="P1002" s="957"/>
      <c r="Q1002" s="957"/>
    </row>
    <row r="1003" spans="1:17" ht="20.100000000000001" hidden="1" customHeight="1">
      <c r="A1003" s="141">
        <v>975</v>
      </c>
      <c r="B1003" s="142" t="s">
        <v>1548</v>
      </c>
      <c r="C1003" s="143" t="s">
        <v>1024</v>
      </c>
      <c r="D1003" s="2795"/>
      <c r="E1003" s="882"/>
      <c r="F1003" s="882"/>
      <c r="G1003" s="882"/>
      <c r="H1003" s="882"/>
      <c r="I1003" s="160"/>
      <c r="J1003" s="359"/>
      <c r="K1003" s="971"/>
      <c r="L1003" s="972"/>
      <c r="M1003" s="836" t="s">
        <v>1029</v>
      </c>
      <c r="N1003" s="177"/>
      <c r="O1003" s="150">
        <f t="shared" si="15"/>
        <v>0</v>
      </c>
      <c r="P1003" s="957"/>
      <c r="Q1003" s="957"/>
    </row>
    <row r="1004" spans="1:17" ht="20.100000000000001" customHeight="1">
      <c r="A1004" s="141">
        <v>976</v>
      </c>
      <c r="B1004" s="142" t="s">
        <v>1548</v>
      </c>
      <c r="C1004" s="143" t="s">
        <v>1024</v>
      </c>
      <c r="D1004" s="2795"/>
      <c r="E1004" s="882"/>
      <c r="F1004" s="882"/>
      <c r="G1004" s="882"/>
      <c r="H1004" s="882"/>
      <c r="I1004" s="882"/>
      <c r="J1004" s="359"/>
      <c r="K1004" s="975">
        <v>1</v>
      </c>
      <c r="L1004" s="440"/>
      <c r="M1004" s="976" t="s">
        <v>1553</v>
      </c>
      <c r="N1004" s="977">
        <v>-161987.32</v>
      </c>
      <c r="O1004" s="150">
        <f t="shared" si="15"/>
        <v>1</v>
      </c>
      <c r="P1004" s="957"/>
      <c r="Q1004" s="957"/>
    </row>
    <row r="1005" spans="1:17" ht="20.100000000000001" customHeight="1">
      <c r="A1005" s="141">
        <v>977</v>
      </c>
      <c r="B1005" s="142" t="s">
        <v>1548</v>
      </c>
      <c r="C1005" s="143" t="s">
        <v>1024</v>
      </c>
      <c r="D1005" s="2795"/>
      <c r="E1005" s="882"/>
      <c r="F1005" s="160"/>
      <c r="G1005" s="882"/>
      <c r="H1005" s="882"/>
      <c r="I1005" s="882"/>
      <c r="J1005" s="359"/>
      <c r="K1005" s="975">
        <v>1</v>
      </c>
      <c r="L1005" s="440"/>
      <c r="M1005" s="976" t="s">
        <v>1554</v>
      </c>
      <c r="N1005" s="977">
        <v>-150</v>
      </c>
      <c r="O1005" s="150">
        <f t="shared" si="15"/>
        <v>1</v>
      </c>
      <c r="P1005" s="957"/>
      <c r="Q1005" s="957"/>
    </row>
    <row r="1006" spans="1:17" ht="20.100000000000001" customHeight="1">
      <c r="A1006" s="141">
        <v>978</v>
      </c>
      <c r="B1006" s="142" t="s">
        <v>1548</v>
      </c>
      <c r="C1006" s="143" t="s">
        <v>1024</v>
      </c>
      <c r="D1006" s="2795"/>
      <c r="E1006" s="160"/>
      <c r="F1006" s="882"/>
      <c r="G1006" s="882"/>
      <c r="H1006" s="882"/>
      <c r="I1006" s="882"/>
      <c r="J1006" s="359"/>
      <c r="K1006" s="963">
        <v>1</v>
      </c>
      <c r="L1006" s="436"/>
      <c r="M1006" s="978" t="s">
        <v>1555</v>
      </c>
      <c r="N1006" s="977">
        <v>130434.78</v>
      </c>
      <c r="O1006" s="150">
        <f t="shared" si="15"/>
        <v>1</v>
      </c>
      <c r="P1006" s="957"/>
      <c r="Q1006" s="957"/>
    </row>
    <row r="1007" spans="1:17" ht="20.100000000000001" customHeight="1">
      <c r="A1007" s="141">
        <v>979</v>
      </c>
      <c r="B1007" s="142" t="s">
        <v>1548</v>
      </c>
      <c r="C1007" s="143" t="s">
        <v>1024</v>
      </c>
      <c r="D1007" s="2794"/>
      <c r="E1007" s="882"/>
      <c r="F1007" s="882"/>
      <c r="G1007" s="882"/>
      <c r="H1007" s="882"/>
      <c r="I1007" s="882"/>
      <c r="J1007" s="359"/>
      <c r="K1007" s="963">
        <v>1</v>
      </c>
      <c r="L1007" s="436"/>
      <c r="M1007" s="978" t="s">
        <v>1556</v>
      </c>
      <c r="N1007" s="977">
        <v>9488.74</v>
      </c>
      <c r="O1007" s="150">
        <f t="shared" si="15"/>
        <v>1</v>
      </c>
      <c r="P1007" s="957"/>
      <c r="Q1007" s="957"/>
    </row>
    <row r="1008" spans="1:17" ht="20.100000000000001" customHeight="1">
      <c r="A1008" s="141">
        <v>980</v>
      </c>
      <c r="B1008" s="142" t="s">
        <v>1548</v>
      </c>
      <c r="C1008" s="143" t="s">
        <v>1024</v>
      </c>
      <c r="D1008" s="182" t="s">
        <v>68</v>
      </c>
      <c r="E1008" s="882"/>
      <c r="F1008" s="882"/>
      <c r="G1008" s="882"/>
      <c r="H1008" s="882"/>
      <c r="I1008" s="882"/>
      <c r="J1008" s="359"/>
      <c r="K1008" s="899">
        <v>12</v>
      </c>
      <c r="L1008" s="566" t="s">
        <v>1550</v>
      </c>
      <c r="M1008" s="979" t="s">
        <v>1061</v>
      </c>
      <c r="N1008" s="980">
        <v>33376238.460000001</v>
      </c>
      <c r="O1008" s="150">
        <f t="shared" si="15"/>
        <v>12</v>
      </c>
      <c r="P1008" s="151"/>
      <c r="Q1008" s="151"/>
    </row>
    <row r="1009" spans="1:17" ht="20.100000000000001" hidden="1" customHeight="1">
      <c r="A1009" s="141">
        <v>981</v>
      </c>
      <c r="B1009" s="142" t="s">
        <v>1548</v>
      </c>
      <c r="C1009" s="143" t="s">
        <v>1024</v>
      </c>
      <c r="D1009" s="2793" t="s">
        <v>33</v>
      </c>
      <c r="E1009" s="882"/>
      <c r="F1009" s="882"/>
      <c r="G1009" s="882"/>
      <c r="H1009" s="882">
        <v>581</v>
      </c>
      <c r="I1009" s="882"/>
      <c r="J1009" s="359"/>
      <c r="K1009" s="899"/>
      <c r="L1009" s="566"/>
      <c r="M1009" s="792" t="s">
        <v>34</v>
      </c>
      <c r="N1009" s="567">
        <v>0</v>
      </c>
      <c r="O1009" s="150">
        <f t="shared" si="15"/>
        <v>581</v>
      </c>
      <c r="P1009" s="151"/>
      <c r="Q1009" s="151"/>
    </row>
    <row r="1010" spans="1:17" ht="20.100000000000001" hidden="1" customHeight="1">
      <c r="A1010" s="141">
        <v>982</v>
      </c>
      <c r="B1010" s="142" t="s">
        <v>1548</v>
      </c>
      <c r="C1010" s="143" t="s">
        <v>1024</v>
      </c>
      <c r="D1010" s="2794"/>
      <c r="E1010" s="882"/>
      <c r="F1010" s="882"/>
      <c r="G1010" s="160"/>
      <c r="H1010" s="882"/>
      <c r="I1010" s="882">
        <v>1695</v>
      </c>
      <c r="J1010" s="359"/>
      <c r="K1010" s="964"/>
      <c r="L1010" s="432"/>
      <c r="M1010" s="781" t="s">
        <v>35</v>
      </c>
      <c r="N1010" s="433" t="s">
        <v>1557</v>
      </c>
      <c r="O1010" s="150">
        <f t="shared" si="15"/>
        <v>1695</v>
      </c>
      <c r="P1010" s="151"/>
      <c r="Q1010" s="151"/>
    </row>
    <row r="1011" spans="1:17" ht="20.100000000000001" customHeight="1">
      <c r="A1011" s="141">
        <v>983</v>
      </c>
      <c r="B1011" s="142" t="s">
        <v>1548</v>
      </c>
      <c r="C1011" s="143" t="s">
        <v>1024</v>
      </c>
      <c r="D1011" s="182" t="s">
        <v>195</v>
      </c>
      <c r="E1011" s="882"/>
      <c r="F1011" s="882"/>
      <c r="G1011" s="160"/>
      <c r="H1011" s="882"/>
      <c r="I1011" s="882"/>
      <c r="J1011" s="359"/>
      <c r="K1011" s="981">
        <v>2</v>
      </c>
      <c r="L1011" s="432"/>
      <c r="M1011" s="982" t="s">
        <v>196</v>
      </c>
      <c r="N1011" s="452">
        <v>0</v>
      </c>
      <c r="O1011" s="150">
        <f t="shared" si="15"/>
        <v>2</v>
      </c>
      <c r="P1011" s="151"/>
      <c r="Q1011" s="151"/>
    </row>
    <row r="1012" spans="1:17" ht="20.100000000000001" hidden="1" customHeight="1">
      <c r="A1012" s="141">
        <v>984</v>
      </c>
      <c r="B1012" s="142" t="s">
        <v>1548</v>
      </c>
      <c r="C1012" s="143" t="s">
        <v>1024</v>
      </c>
      <c r="D1012" s="2793" t="s">
        <v>36</v>
      </c>
      <c r="E1012" s="882"/>
      <c r="F1012" s="882">
        <v>1221</v>
      </c>
      <c r="G1012" s="160"/>
      <c r="H1012" s="882"/>
      <c r="I1012" s="882"/>
      <c r="J1012" s="359"/>
      <c r="K1012" s="964"/>
      <c r="L1012" s="432"/>
      <c r="M1012" s="781" t="s">
        <v>1558</v>
      </c>
      <c r="N1012" s="452">
        <v>0</v>
      </c>
      <c r="O1012" s="150">
        <f t="shared" si="15"/>
        <v>1221</v>
      </c>
      <c r="P1012" s="151"/>
      <c r="Q1012" s="151"/>
    </row>
    <row r="1013" spans="1:17" ht="20.100000000000001" hidden="1" customHeight="1">
      <c r="A1013" s="141">
        <v>985</v>
      </c>
      <c r="B1013" s="142" t="s">
        <v>1548</v>
      </c>
      <c r="C1013" s="143" t="s">
        <v>1024</v>
      </c>
      <c r="D1013" s="2792"/>
      <c r="E1013" s="882">
        <v>745</v>
      </c>
      <c r="F1013" s="882"/>
      <c r="G1013" s="160"/>
      <c r="H1013" s="882"/>
      <c r="I1013" s="882"/>
      <c r="J1013" s="359"/>
      <c r="K1013" s="964"/>
      <c r="L1013" s="432"/>
      <c r="M1013" s="781" t="s">
        <v>1479</v>
      </c>
      <c r="N1013" s="452"/>
      <c r="O1013" s="150">
        <f t="shared" si="15"/>
        <v>745</v>
      </c>
      <c r="P1013" s="151"/>
      <c r="Q1013" s="151"/>
    </row>
    <row r="1014" spans="1:17" ht="20.100000000000001" customHeight="1">
      <c r="A1014" s="141">
        <v>986</v>
      </c>
      <c r="B1014" s="142" t="s">
        <v>1559</v>
      </c>
      <c r="C1014" s="143" t="s">
        <v>1024</v>
      </c>
      <c r="D1014" s="182" t="s">
        <v>1549</v>
      </c>
      <c r="E1014" s="882"/>
      <c r="F1014" s="882"/>
      <c r="G1014" s="882"/>
      <c r="H1014" s="882"/>
      <c r="I1014" s="882"/>
      <c r="J1014" s="359"/>
      <c r="K1014" s="776">
        <v>1</v>
      </c>
      <c r="L1014" s="153"/>
      <c r="M1014" s="948" t="s">
        <v>1560</v>
      </c>
      <c r="N1014" s="401">
        <v>16350</v>
      </c>
      <c r="O1014" s="150">
        <f t="shared" si="15"/>
        <v>1</v>
      </c>
      <c r="P1014" s="151"/>
      <c r="Q1014" s="151"/>
    </row>
    <row r="1015" spans="1:17" ht="20.100000000000001" hidden="1" customHeight="1">
      <c r="A1015" s="141">
        <v>987</v>
      </c>
      <c r="B1015" s="142" t="s">
        <v>1559</v>
      </c>
      <c r="C1015" s="143" t="s">
        <v>1024</v>
      </c>
      <c r="D1015" s="2793" t="s">
        <v>29</v>
      </c>
      <c r="E1015" s="882"/>
      <c r="F1015" s="882"/>
      <c r="G1015" s="160"/>
      <c r="H1015" s="882"/>
      <c r="I1015" s="882"/>
      <c r="J1015" s="359"/>
      <c r="K1015" s="983"/>
      <c r="L1015" s="157"/>
      <c r="M1015" s="868" t="s">
        <v>1026</v>
      </c>
      <c r="N1015" s="159"/>
      <c r="O1015" s="150">
        <f t="shared" si="15"/>
        <v>0</v>
      </c>
      <c r="P1015" s="151"/>
      <c r="Q1015" s="151"/>
    </row>
    <row r="1016" spans="1:17" ht="20.100000000000001" hidden="1" customHeight="1">
      <c r="A1016" s="141">
        <v>988</v>
      </c>
      <c r="B1016" s="142" t="s">
        <v>1559</v>
      </c>
      <c r="C1016" s="143" t="s">
        <v>1024</v>
      </c>
      <c r="D1016" s="2795"/>
      <c r="E1016" s="882"/>
      <c r="F1016" s="882"/>
      <c r="G1016" s="160">
        <v>1</v>
      </c>
      <c r="H1016" s="882"/>
      <c r="I1016" s="882"/>
      <c r="J1016" s="359"/>
      <c r="K1016" s="776"/>
      <c r="L1016" s="147"/>
      <c r="M1016" s="843" t="s">
        <v>119</v>
      </c>
      <c r="N1016" s="181">
        <v>-2792347.48</v>
      </c>
      <c r="O1016" s="150">
        <f t="shared" si="15"/>
        <v>1</v>
      </c>
      <c r="P1016" s="151"/>
      <c r="Q1016" s="151"/>
    </row>
    <row r="1017" spans="1:17" ht="20.100000000000001" hidden="1" customHeight="1">
      <c r="A1017" s="141">
        <v>989</v>
      </c>
      <c r="B1017" s="142" t="s">
        <v>1559</v>
      </c>
      <c r="C1017" s="143" t="s">
        <v>1024</v>
      </c>
      <c r="D1017" s="2795"/>
      <c r="E1017" s="882"/>
      <c r="F1017" s="882"/>
      <c r="G1017" s="160">
        <v>1</v>
      </c>
      <c r="H1017" s="882"/>
      <c r="I1017" s="882"/>
      <c r="J1017" s="359"/>
      <c r="K1017" s="776"/>
      <c r="L1017" s="153"/>
      <c r="M1017" s="843" t="s">
        <v>49</v>
      </c>
      <c r="N1017" s="155">
        <v>-43947067.899999999</v>
      </c>
      <c r="O1017" s="150">
        <f t="shared" si="15"/>
        <v>1</v>
      </c>
      <c r="P1017" s="151"/>
      <c r="Q1017" s="151"/>
    </row>
    <row r="1018" spans="1:17" ht="20.100000000000001" hidden="1" customHeight="1">
      <c r="A1018" s="141">
        <v>990</v>
      </c>
      <c r="B1018" s="142" t="s">
        <v>1559</v>
      </c>
      <c r="C1018" s="143" t="s">
        <v>1024</v>
      </c>
      <c r="D1018" s="2795"/>
      <c r="E1018" s="882"/>
      <c r="F1018" s="882"/>
      <c r="G1018" s="160">
        <v>1</v>
      </c>
      <c r="H1018" s="160"/>
      <c r="I1018" s="882"/>
      <c r="J1018" s="359"/>
      <c r="K1018" s="776"/>
      <c r="L1018" s="153"/>
      <c r="M1018" s="843" t="s">
        <v>32</v>
      </c>
      <c r="N1018" s="155">
        <v>0.64</v>
      </c>
      <c r="O1018" s="150">
        <f t="shared" si="15"/>
        <v>1</v>
      </c>
      <c r="P1018" s="151"/>
      <c r="Q1018" s="151"/>
    </row>
    <row r="1019" spans="1:17" ht="20.100000000000001" hidden="1" customHeight="1">
      <c r="A1019" s="141">
        <v>991</v>
      </c>
      <c r="B1019" s="142" t="s">
        <v>1559</v>
      </c>
      <c r="C1019" s="143" t="s">
        <v>1024</v>
      </c>
      <c r="D1019" s="2795"/>
      <c r="E1019" s="882"/>
      <c r="F1019" s="882"/>
      <c r="G1019" s="160">
        <v>1</v>
      </c>
      <c r="H1019" s="882"/>
      <c r="I1019" s="160"/>
      <c r="J1019" s="359"/>
      <c r="K1019" s="831"/>
      <c r="L1019" s="179"/>
      <c r="M1019" s="843" t="s">
        <v>1508</v>
      </c>
      <c r="N1019" s="155">
        <v>22761.69</v>
      </c>
      <c r="O1019" s="150">
        <f t="shared" si="15"/>
        <v>1</v>
      </c>
      <c r="P1019" s="151"/>
      <c r="Q1019" s="151"/>
    </row>
    <row r="1020" spans="1:17" ht="20.100000000000001" hidden="1" customHeight="1">
      <c r="A1020" s="141">
        <v>992</v>
      </c>
      <c r="B1020" s="142" t="s">
        <v>1559</v>
      </c>
      <c r="C1020" s="143" t="s">
        <v>1024</v>
      </c>
      <c r="D1020" s="2795"/>
      <c r="E1020" s="882"/>
      <c r="F1020" s="882"/>
      <c r="G1020" s="882"/>
      <c r="H1020" s="882"/>
      <c r="I1020" s="882"/>
      <c r="J1020" s="359"/>
      <c r="K1020" s="983"/>
      <c r="L1020" s="157"/>
      <c r="M1020" s="984" t="s">
        <v>1490</v>
      </c>
      <c r="N1020" s="159"/>
      <c r="O1020" s="150">
        <f t="shared" si="15"/>
        <v>0</v>
      </c>
      <c r="P1020" s="151"/>
      <c r="Q1020" s="151"/>
    </row>
    <row r="1021" spans="1:17" ht="20.100000000000001" hidden="1" customHeight="1">
      <c r="A1021" s="141">
        <v>993</v>
      </c>
      <c r="B1021" s="142" t="s">
        <v>1559</v>
      </c>
      <c r="C1021" s="143" t="s">
        <v>1024</v>
      </c>
      <c r="D1021" s="2794"/>
      <c r="E1021" s="882"/>
      <c r="F1021" s="882"/>
      <c r="G1021" s="160">
        <v>1</v>
      </c>
      <c r="H1021" s="882"/>
      <c r="I1021" s="882"/>
      <c r="J1021" s="359"/>
      <c r="K1021" s="947"/>
      <c r="L1021" s="164"/>
      <c r="M1021" s="948" t="s">
        <v>1561</v>
      </c>
      <c r="N1021" s="104">
        <v>49.9</v>
      </c>
      <c r="O1021" s="150">
        <f t="shared" si="15"/>
        <v>1</v>
      </c>
      <c r="P1021" s="151"/>
      <c r="Q1021" s="151"/>
    </row>
    <row r="1022" spans="1:17" ht="20.100000000000001" hidden="1" customHeight="1">
      <c r="A1022" s="141">
        <v>994</v>
      </c>
      <c r="B1022" s="142" t="s">
        <v>1559</v>
      </c>
      <c r="C1022" s="143" t="s">
        <v>1024</v>
      </c>
      <c r="D1022" s="2793" t="s">
        <v>33</v>
      </c>
      <c r="E1022" s="882"/>
      <c r="F1022" s="160"/>
      <c r="G1022" s="882"/>
      <c r="H1022" s="882"/>
      <c r="I1022" s="882"/>
      <c r="J1022" s="359"/>
      <c r="K1022" s="835"/>
      <c r="L1022" s="167"/>
      <c r="M1022" s="872" t="s">
        <v>1029</v>
      </c>
      <c r="N1022" s="953"/>
      <c r="O1022" s="150">
        <f t="shared" si="15"/>
        <v>0</v>
      </c>
      <c r="P1022" s="151"/>
      <c r="Q1022" s="151"/>
    </row>
    <row r="1023" spans="1:17" ht="20.100000000000001" hidden="1" customHeight="1">
      <c r="A1023" s="141">
        <v>995</v>
      </c>
      <c r="B1023" s="142" t="s">
        <v>1559</v>
      </c>
      <c r="C1023" s="143" t="s">
        <v>1024</v>
      </c>
      <c r="D1023" s="2795"/>
      <c r="E1023" s="160"/>
      <c r="F1023" s="882"/>
      <c r="G1023" s="882"/>
      <c r="H1023" s="882">
        <v>113</v>
      </c>
      <c r="I1023" s="882"/>
      <c r="J1023" s="359"/>
      <c r="K1023" s="831"/>
      <c r="L1023" s="179"/>
      <c r="M1023" s="843" t="s">
        <v>34</v>
      </c>
      <c r="N1023" s="186">
        <v>0</v>
      </c>
      <c r="O1023" s="150">
        <f t="shared" si="15"/>
        <v>113</v>
      </c>
      <c r="P1023" s="151"/>
      <c r="Q1023" s="151"/>
    </row>
    <row r="1024" spans="1:17" ht="20.100000000000001" hidden="1" customHeight="1">
      <c r="A1024" s="141">
        <v>996</v>
      </c>
      <c r="B1024" s="142" t="s">
        <v>1559</v>
      </c>
      <c r="C1024" s="143" t="s">
        <v>1024</v>
      </c>
      <c r="D1024" s="2794"/>
      <c r="E1024" s="144"/>
      <c r="F1024" s="144"/>
      <c r="G1024" s="144"/>
      <c r="H1024" s="144"/>
      <c r="I1024" s="144">
        <v>1545</v>
      </c>
      <c r="J1024" s="145"/>
      <c r="K1024" s="776"/>
      <c r="L1024" s="153"/>
      <c r="M1024" s="843" t="s">
        <v>35</v>
      </c>
      <c r="N1024" s="637">
        <v>920819.47</v>
      </c>
      <c r="O1024" s="150">
        <f t="shared" si="15"/>
        <v>1545</v>
      </c>
      <c r="P1024" s="151"/>
      <c r="Q1024" s="151"/>
    </row>
    <row r="1025" spans="1:17" ht="20.100000000000001" customHeight="1">
      <c r="A1025" s="141">
        <v>997</v>
      </c>
      <c r="B1025" s="142" t="s">
        <v>1559</v>
      </c>
      <c r="C1025" s="143" t="s">
        <v>1024</v>
      </c>
      <c r="D1025" s="2793" t="s">
        <v>195</v>
      </c>
      <c r="E1025" s="144"/>
      <c r="F1025" s="144"/>
      <c r="G1025" s="144"/>
      <c r="H1025" s="144"/>
      <c r="I1025" s="144"/>
      <c r="J1025" s="145"/>
      <c r="K1025" s="776">
        <v>1</v>
      </c>
      <c r="L1025" s="153"/>
      <c r="M1025" s="842" t="s">
        <v>1562</v>
      </c>
      <c r="N1025" s="155">
        <v>22000</v>
      </c>
      <c r="O1025" s="150">
        <f t="shared" si="15"/>
        <v>1</v>
      </c>
      <c r="P1025" s="151"/>
      <c r="Q1025" s="151"/>
    </row>
    <row r="1026" spans="1:17" ht="20.100000000000001" customHeight="1">
      <c r="A1026" s="141">
        <v>998</v>
      </c>
      <c r="B1026" s="142" t="s">
        <v>1559</v>
      </c>
      <c r="C1026" s="143" t="s">
        <v>1024</v>
      </c>
      <c r="D1026" s="2794"/>
      <c r="E1026" s="144"/>
      <c r="F1026" s="144"/>
      <c r="G1026" s="144"/>
      <c r="H1026" s="144"/>
      <c r="I1026" s="144"/>
      <c r="J1026" s="145"/>
      <c r="K1026" s="776">
        <v>1</v>
      </c>
      <c r="L1026" s="153"/>
      <c r="M1026" s="842" t="s">
        <v>1563</v>
      </c>
      <c r="N1026" s="155">
        <v>39801.5</v>
      </c>
      <c r="O1026" s="150">
        <f t="shared" si="15"/>
        <v>1</v>
      </c>
      <c r="P1026" s="151"/>
      <c r="Q1026" s="151"/>
    </row>
    <row r="1027" spans="1:17" ht="20.100000000000001" hidden="1" customHeight="1">
      <c r="A1027" s="141">
        <v>999</v>
      </c>
      <c r="B1027" s="142" t="s">
        <v>1559</v>
      </c>
      <c r="C1027" s="143" t="s">
        <v>1024</v>
      </c>
      <c r="D1027" s="2791" t="s">
        <v>36</v>
      </c>
      <c r="E1027" s="144"/>
      <c r="F1027" s="144">
        <v>191</v>
      </c>
      <c r="G1027" s="160"/>
      <c r="H1027" s="144"/>
      <c r="I1027" s="144"/>
      <c r="J1027" s="145"/>
      <c r="K1027" s="794"/>
      <c r="L1027" s="407"/>
      <c r="M1027" s="874" t="s">
        <v>1564</v>
      </c>
      <c r="N1027" s="193">
        <v>0</v>
      </c>
      <c r="O1027" s="150">
        <f t="shared" si="15"/>
        <v>191</v>
      </c>
      <c r="P1027" s="151"/>
      <c r="Q1027" s="151"/>
    </row>
    <row r="1028" spans="1:17" ht="20.100000000000001" hidden="1" customHeight="1">
      <c r="A1028" s="141">
        <v>1000</v>
      </c>
      <c r="B1028" s="142" t="s">
        <v>1559</v>
      </c>
      <c r="C1028" s="143" t="s">
        <v>1024</v>
      </c>
      <c r="D1028" s="2792"/>
      <c r="E1028" s="144">
        <v>100</v>
      </c>
      <c r="F1028" s="144"/>
      <c r="G1028" s="160"/>
      <c r="H1028" s="144"/>
      <c r="I1028" s="144"/>
      <c r="J1028" s="145"/>
      <c r="K1028" s="794"/>
      <c r="L1028" s="407"/>
      <c r="M1028" s="874" t="s">
        <v>1479</v>
      </c>
      <c r="N1028" s="193">
        <v>0</v>
      </c>
      <c r="O1028" s="150">
        <f t="shared" si="15"/>
        <v>100</v>
      </c>
      <c r="P1028" s="151"/>
      <c r="Q1028" s="151"/>
    </row>
    <row r="1029" spans="1:17" ht="20.100000000000001" customHeight="1">
      <c r="A1029" s="141">
        <v>1001</v>
      </c>
      <c r="B1029" s="142" t="s">
        <v>1565</v>
      </c>
      <c r="C1029" s="143" t="s">
        <v>1024</v>
      </c>
      <c r="D1029" s="2791" t="s">
        <v>1566</v>
      </c>
      <c r="E1029" s="144"/>
      <c r="F1029" s="144"/>
      <c r="G1029" s="160"/>
      <c r="H1029" s="144"/>
      <c r="I1029" s="144"/>
      <c r="J1029" s="145"/>
      <c r="K1029" s="776">
        <v>1</v>
      </c>
      <c r="L1029" s="147"/>
      <c r="M1029" s="792" t="s">
        <v>1567</v>
      </c>
      <c r="N1029" s="186">
        <v>-1000</v>
      </c>
      <c r="O1029" s="150">
        <f t="shared" si="15"/>
        <v>1</v>
      </c>
      <c r="P1029" s="151"/>
      <c r="Q1029" s="151"/>
    </row>
    <row r="1030" spans="1:17" ht="20.100000000000001" customHeight="1">
      <c r="A1030" s="141">
        <v>1002</v>
      </c>
      <c r="B1030" s="142" t="s">
        <v>1565</v>
      </c>
      <c r="C1030" s="143" t="s">
        <v>1024</v>
      </c>
      <c r="D1030" s="2799"/>
      <c r="E1030" s="144"/>
      <c r="F1030" s="144"/>
      <c r="G1030" s="144"/>
      <c r="H1030" s="144"/>
      <c r="I1030" s="144"/>
      <c r="J1030" s="145"/>
      <c r="K1030" s="776">
        <v>1</v>
      </c>
      <c r="L1030" s="153"/>
      <c r="M1030" s="777" t="s">
        <v>1568</v>
      </c>
      <c r="N1030" s="186">
        <v>217200</v>
      </c>
      <c r="O1030" s="150">
        <f t="shared" si="15"/>
        <v>1</v>
      </c>
      <c r="P1030" s="151"/>
      <c r="Q1030" s="151"/>
    </row>
    <row r="1031" spans="1:17" ht="20.100000000000001" hidden="1" customHeight="1">
      <c r="A1031" s="141">
        <v>1003</v>
      </c>
      <c r="B1031" s="142" t="s">
        <v>1565</v>
      </c>
      <c r="C1031" s="143" t="s">
        <v>1024</v>
      </c>
      <c r="D1031" s="2793" t="s">
        <v>29</v>
      </c>
      <c r="E1031" s="144"/>
      <c r="F1031" s="144"/>
      <c r="G1031" s="160"/>
      <c r="H1031" s="144"/>
      <c r="I1031" s="144"/>
      <c r="J1031" s="145"/>
      <c r="K1031" s="778"/>
      <c r="L1031" s="157"/>
      <c r="M1031" s="985" t="s">
        <v>1026</v>
      </c>
      <c r="N1031" s="159"/>
      <c r="O1031" s="150">
        <f t="shared" si="15"/>
        <v>0</v>
      </c>
      <c r="P1031" s="151"/>
      <c r="Q1031" s="151"/>
    </row>
    <row r="1032" spans="1:17" ht="20.100000000000001" hidden="1" customHeight="1">
      <c r="A1032" s="141">
        <v>1004</v>
      </c>
      <c r="B1032" s="142" t="s">
        <v>1565</v>
      </c>
      <c r="C1032" s="143" t="s">
        <v>1024</v>
      </c>
      <c r="D1032" s="2795"/>
      <c r="E1032" s="144"/>
      <c r="F1032" s="144"/>
      <c r="G1032" s="160">
        <v>1</v>
      </c>
      <c r="H1032" s="144"/>
      <c r="I1032" s="144"/>
      <c r="J1032" s="145"/>
      <c r="K1032" s="780"/>
      <c r="L1032" s="147"/>
      <c r="M1032" s="986" t="s">
        <v>119</v>
      </c>
      <c r="N1032" s="155">
        <v>-2582576.65</v>
      </c>
      <c r="O1032" s="150">
        <f t="shared" si="15"/>
        <v>1</v>
      </c>
      <c r="P1032" s="151"/>
      <c r="Q1032" s="151"/>
    </row>
    <row r="1033" spans="1:17" ht="20.100000000000001" hidden="1" customHeight="1">
      <c r="A1033" s="141">
        <v>1005</v>
      </c>
      <c r="B1033" s="142" t="s">
        <v>1565</v>
      </c>
      <c r="C1033" s="143" t="s">
        <v>1024</v>
      </c>
      <c r="D1033" s="2795"/>
      <c r="E1033" s="144"/>
      <c r="F1033" s="144"/>
      <c r="G1033" s="160">
        <v>1</v>
      </c>
      <c r="H1033" s="144"/>
      <c r="I1033" s="144"/>
      <c r="J1033" s="145"/>
      <c r="K1033" s="780"/>
      <c r="L1033" s="153"/>
      <c r="M1033" s="781" t="s">
        <v>49</v>
      </c>
      <c r="N1033" s="155">
        <v>-34656224.829999998</v>
      </c>
      <c r="O1033" s="150">
        <f t="shared" si="15"/>
        <v>1</v>
      </c>
      <c r="P1033" s="151"/>
      <c r="Q1033" s="151"/>
    </row>
    <row r="1034" spans="1:17" ht="20.100000000000001" hidden="1" customHeight="1">
      <c r="A1034" s="141">
        <v>1006</v>
      </c>
      <c r="B1034" s="142" t="s">
        <v>1565</v>
      </c>
      <c r="C1034" s="143" t="s">
        <v>1024</v>
      </c>
      <c r="D1034" s="2795"/>
      <c r="E1034" s="144"/>
      <c r="F1034" s="144"/>
      <c r="G1034" s="160">
        <v>1</v>
      </c>
      <c r="H1034" s="144"/>
      <c r="I1034" s="144"/>
      <c r="J1034" s="145"/>
      <c r="K1034" s="831"/>
      <c r="L1034" s="179"/>
      <c r="M1034" s="781" t="s">
        <v>1027</v>
      </c>
      <c r="N1034" s="155">
        <v>6864.46</v>
      </c>
      <c r="O1034" s="150">
        <f t="shared" si="15"/>
        <v>1</v>
      </c>
      <c r="P1034" s="151"/>
      <c r="Q1034" s="151"/>
    </row>
    <row r="1035" spans="1:17" ht="20.100000000000001" hidden="1" customHeight="1">
      <c r="A1035" s="141">
        <v>1007</v>
      </c>
      <c r="B1035" s="142" t="s">
        <v>1565</v>
      </c>
      <c r="C1035" s="143" t="s">
        <v>1024</v>
      </c>
      <c r="D1035" s="2795"/>
      <c r="E1035" s="144"/>
      <c r="F1035" s="144"/>
      <c r="G1035" s="144"/>
      <c r="H1035" s="144"/>
      <c r="I1035" s="144"/>
      <c r="J1035" s="145"/>
      <c r="K1035" s="987"/>
      <c r="L1035" s="555"/>
      <c r="M1035" s="988" t="s">
        <v>1028</v>
      </c>
      <c r="N1035" s="989"/>
      <c r="O1035" s="150">
        <f t="shared" si="15"/>
        <v>0</v>
      </c>
      <c r="P1035" s="151"/>
      <c r="Q1035" s="151"/>
    </row>
    <row r="1036" spans="1:17" ht="20.100000000000001" hidden="1" customHeight="1">
      <c r="A1036" s="141">
        <v>1008</v>
      </c>
      <c r="B1036" s="142" t="s">
        <v>1565</v>
      </c>
      <c r="C1036" s="143" t="s">
        <v>1024</v>
      </c>
      <c r="D1036" s="2795"/>
      <c r="E1036" s="144"/>
      <c r="F1036" s="144"/>
      <c r="G1036" s="160">
        <v>1</v>
      </c>
      <c r="H1036" s="144"/>
      <c r="I1036" s="144"/>
      <c r="J1036" s="145"/>
      <c r="K1036" s="831"/>
      <c r="L1036" s="179"/>
      <c r="M1036" s="784" t="s">
        <v>1069</v>
      </c>
      <c r="N1036" s="155">
        <v>754</v>
      </c>
      <c r="O1036" s="150">
        <f t="shared" si="15"/>
        <v>1</v>
      </c>
      <c r="P1036" s="151"/>
      <c r="Q1036" s="151"/>
    </row>
    <row r="1037" spans="1:17" ht="20.100000000000001" hidden="1" customHeight="1">
      <c r="A1037" s="141">
        <v>1009</v>
      </c>
      <c r="B1037" s="142" t="s">
        <v>1565</v>
      </c>
      <c r="C1037" s="143" t="s">
        <v>1024</v>
      </c>
      <c r="D1037" s="2795"/>
      <c r="E1037" s="144"/>
      <c r="F1037" s="144"/>
      <c r="G1037" s="144">
        <v>2</v>
      </c>
      <c r="H1037" s="160"/>
      <c r="I1037" s="144"/>
      <c r="J1037" s="145"/>
      <c r="K1037" s="780"/>
      <c r="L1037" s="173"/>
      <c r="M1037" s="784" t="s">
        <v>183</v>
      </c>
      <c r="N1037" s="155">
        <v>657.26</v>
      </c>
      <c r="O1037" s="150">
        <f t="shared" si="15"/>
        <v>2</v>
      </c>
      <c r="P1037" s="151"/>
      <c r="Q1037" s="151"/>
    </row>
    <row r="1038" spans="1:17" ht="20.100000000000001" hidden="1" customHeight="1">
      <c r="A1038" s="141">
        <v>1010</v>
      </c>
      <c r="B1038" s="142" t="s">
        <v>1565</v>
      </c>
      <c r="C1038" s="143" t="s">
        <v>1024</v>
      </c>
      <c r="D1038" s="2795"/>
      <c r="E1038" s="144"/>
      <c r="F1038" s="144"/>
      <c r="G1038" s="144"/>
      <c r="H1038" s="144"/>
      <c r="I1038" s="160"/>
      <c r="J1038" s="145"/>
      <c r="K1038" s="835"/>
      <c r="L1038" s="167"/>
      <c r="M1038" s="836" t="s">
        <v>1029</v>
      </c>
      <c r="N1038" s="177"/>
      <c r="O1038" s="150">
        <f t="shared" si="15"/>
        <v>0</v>
      </c>
      <c r="P1038" s="151"/>
      <c r="Q1038" s="151"/>
    </row>
    <row r="1039" spans="1:17" ht="20.100000000000001" customHeight="1">
      <c r="A1039" s="141">
        <v>1011</v>
      </c>
      <c r="B1039" s="142" t="s">
        <v>1565</v>
      </c>
      <c r="C1039" s="143" t="s">
        <v>1024</v>
      </c>
      <c r="D1039" s="2795"/>
      <c r="E1039" s="144"/>
      <c r="F1039" s="144"/>
      <c r="G1039" s="144"/>
      <c r="H1039" s="144"/>
      <c r="I1039" s="160"/>
      <c r="J1039" s="145"/>
      <c r="K1039" s="831">
        <v>1</v>
      </c>
      <c r="L1039" s="179"/>
      <c r="M1039" s="990" t="s">
        <v>1569</v>
      </c>
      <c r="N1039" s="155">
        <v>21500</v>
      </c>
      <c r="O1039" s="150">
        <f t="shared" si="15"/>
        <v>1</v>
      </c>
      <c r="P1039" s="151"/>
      <c r="Q1039" s="151"/>
    </row>
    <row r="1040" spans="1:17" ht="20.100000000000001" customHeight="1">
      <c r="A1040" s="141">
        <v>1012</v>
      </c>
      <c r="B1040" s="142" t="s">
        <v>1565</v>
      </c>
      <c r="C1040" s="143" t="s">
        <v>1024</v>
      </c>
      <c r="D1040" s="2794"/>
      <c r="E1040" s="144"/>
      <c r="F1040" s="144"/>
      <c r="G1040" s="144"/>
      <c r="H1040" s="144"/>
      <c r="I1040" s="160"/>
      <c r="J1040" s="145"/>
      <c r="K1040" s="831">
        <v>1</v>
      </c>
      <c r="L1040" s="179"/>
      <c r="M1040" s="990" t="s">
        <v>1570</v>
      </c>
      <c r="N1040" s="155">
        <v>1000</v>
      </c>
      <c r="O1040" s="150">
        <f t="shared" si="15"/>
        <v>1</v>
      </c>
      <c r="P1040" s="151"/>
      <c r="Q1040" s="151"/>
    </row>
    <row r="1041" spans="1:17" ht="20.100000000000001" customHeight="1">
      <c r="A1041" s="141">
        <v>1013</v>
      </c>
      <c r="B1041" s="142" t="s">
        <v>1565</v>
      </c>
      <c r="C1041" s="143" t="s">
        <v>1024</v>
      </c>
      <c r="D1041" s="991" t="s">
        <v>68</v>
      </c>
      <c r="E1041" s="144"/>
      <c r="F1041" s="144"/>
      <c r="G1041" s="144"/>
      <c r="H1041" s="144"/>
      <c r="I1041" s="160"/>
      <c r="J1041" s="145"/>
      <c r="K1041" s="786">
        <v>5</v>
      </c>
      <c r="L1041" s="173"/>
      <c r="M1041" s="791" t="s">
        <v>1061</v>
      </c>
      <c r="N1041" s="193">
        <v>2441812.64</v>
      </c>
      <c r="O1041" s="150">
        <f t="shared" si="15"/>
        <v>5</v>
      </c>
      <c r="P1041" s="151"/>
      <c r="Q1041" s="151"/>
    </row>
    <row r="1042" spans="1:17" ht="20.100000000000001" hidden="1" customHeight="1">
      <c r="A1042" s="141">
        <v>1014</v>
      </c>
      <c r="B1042" s="142" t="s">
        <v>1565</v>
      </c>
      <c r="C1042" s="143" t="s">
        <v>1024</v>
      </c>
      <c r="D1042" s="2793" t="s">
        <v>33</v>
      </c>
      <c r="E1042" s="144"/>
      <c r="F1042" s="144"/>
      <c r="G1042" s="144"/>
      <c r="H1042" s="144">
        <v>590</v>
      </c>
      <c r="I1042" s="160"/>
      <c r="J1042" s="145"/>
      <c r="K1042" s="947"/>
      <c r="L1042" s="164"/>
      <c r="M1042" s="992" t="s">
        <v>34</v>
      </c>
      <c r="N1042" s="104">
        <v>0</v>
      </c>
      <c r="O1042" s="150">
        <f t="shared" si="15"/>
        <v>590</v>
      </c>
      <c r="P1042" s="151"/>
      <c r="Q1042" s="151"/>
    </row>
    <row r="1043" spans="1:17" ht="20.100000000000001" hidden="1" customHeight="1">
      <c r="A1043" s="141">
        <v>1015</v>
      </c>
      <c r="B1043" s="142" t="s">
        <v>1565</v>
      </c>
      <c r="C1043" s="143" t="s">
        <v>1024</v>
      </c>
      <c r="D1043" s="2794"/>
      <c r="E1043" s="144"/>
      <c r="F1043" s="144"/>
      <c r="G1043" s="144"/>
      <c r="H1043" s="144"/>
      <c r="I1043" s="160">
        <v>3378</v>
      </c>
      <c r="J1043" s="145"/>
      <c r="K1043" s="780"/>
      <c r="L1043" s="153"/>
      <c r="M1043" s="841" t="s">
        <v>35</v>
      </c>
      <c r="N1043" s="466">
        <v>1823512.51</v>
      </c>
      <c r="O1043" s="150">
        <f t="shared" si="15"/>
        <v>3378</v>
      </c>
      <c r="P1043" s="151"/>
      <c r="Q1043" s="151"/>
    </row>
    <row r="1044" spans="1:17" ht="20.100000000000001" hidden="1" customHeight="1">
      <c r="A1044" s="141">
        <v>1016</v>
      </c>
      <c r="B1044" s="142" t="s">
        <v>1565</v>
      </c>
      <c r="C1044" s="143" t="s">
        <v>1024</v>
      </c>
      <c r="D1044" s="2793" t="s">
        <v>36</v>
      </c>
      <c r="E1044" s="144"/>
      <c r="F1044" s="144">
        <v>730</v>
      </c>
      <c r="G1044" s="144"/>
      <c r="H1044" s="144"/>
      <c r="I1044" s="160"/>
      <c r="J1044" s="145"/>
      <c r="K1044" s="776"/>
      <c r="L1044" s="147"/>
      <c r="M1044" s="781" t="s">
        <v>1571</v>
      </c>
      <c r="N1044" s="181">
        <v>0</v>
      </c>
      <c r="O1044" s="150">
        <f t="shared" si="15"/>
        <v>730</v>
      </c>
      <c r="P1044" s="151"/>
      <c r="Q1044" s="151"/>
    </row>
    <row r="1045" spans="1:17" ht="20.100000000000001" hidden="1" customHeight="1">
      <c r="A1045" s="141">
        <v>1017</v>
      </c>
      <c r="B1045" s="142" t="s">
        <v>1565</v>
      </c>
      <c r="C1045" s="143" t="s">
        <v>1024</v>
      </c>
      <c r="D1045" s="2792"/>
      <c r="E1045" s="144">
        <v>92</v>
      </c>
      <c r="F1045" s="160"/>
      <c r="G1045" s="144"/>
      <c r="H1045" s="144"/>
      <c r="I1045" s="144"/>
      <c r="J1045" s="145"/>
      <c r="K1045" s="776"/>
      <c r="L1045" s="147"/>
      <c r="M1045" s="781" t="s">
        <v>1464</v>
      </c>
      <c r="N1045" s="181">
        <v>0</v>
      </c>
      <c r="O1045" s="150">
        <f>E1045+F1045+G1045+H1045+I1045+J1045+K1045</f>
        <v>92</v>
      </c>
      <c r="P1045" s="151"/>
      <c r="Q1045" s="151"/>
    </row>
    <row r="1046" spans="1:17" ht="20.100000000000001" customHeight="1">
      <c r="A1046" s="141">
        <v>1018</v>
      </c>
      <c r="B1046" s="2830" t="s">
        <v>3059</v>
      </c>
      <c r="C1046" s="143" t="s">
        <v>1024</v>
      </c>
      <c r="D1046" s="3471" t="s">
        <v>1566</v>
      </c>
      <c r="E1046" s="144"/>
      <c r="F1046" s="160"/>
      <c r="G1046" s="144"/>
      <c r="H1046" s="144"/>
      <c r="I1046" s="144"/>
      <c r="J1046" s="145"/>
      <c r="K1046" s="776">
        <v>1</v>
      </c>
      <c r="L1046" s="147"/>
      <c r="M1046" s="2831" t="s">
        <v>3060</v>
      </c>
      <c r="N1046" s="2805"/>
      <c r="O1046" s="2832">
        <f>K1046-P1046</f>
        <v>1</v>
      </c>
      <c r="P1046" s="151"/>
      <c r="Q1046" s="151"/>
    </row>
    <row r="1047" spans="1:17" ht="20.100000000000001" customHeight="1">
      <c r="A1047" s="141">
        <v>1019</v>
      </c>
      <c r="B1047" s="2830" t="s">
        <v>3059</v>
      </c>
      <c r="C1047" s="143" t="s">
        <v>1024</v>
      </c>
      <c r="D1047" s="3473"/>
      <c r="E1047" s="144"/>
      <c r="F1047" s="160"/>
      <c r="G1047" s="144"/>
      <c r="H1047" s="144"/>
      <c r="I1047" s="144"/>
      <c r="J1047" s="145"/>
      <c r="K1047" s="776">
        <v>1</v>
      </c>
      <c r="L1047" s="147"/>
      <c r="M1047" s="2833" t="s">
        <v>3061</v>
      </c>
      <c r="N1047" s="2805"/>
      <c r="O1047" s="2832">
        <f t="shared" ref="O1047:O1064" si="16">K1047-P1047</f>
        <v>1</v>
      </c>
      <c r="P1047" s="151"/>
      <c r="Q1047" s="151"/>
    </row>
    <row r="1048" spans="1:17" ht="20.100000000000001" customHeight="1">
      <c r="A1048" s="141">
        <v>1020</v>
      </c>
      <c r="B1048" s="2830" t="s">
        <v>3059</v>
      </c>
      <c r="C1048" s="143" t="s">
        <v>1024</v>
      </c>
      <c r="D1048" s="3471" t="s">
        <v>3062</v>
      </c>
      <c r="E1048" s="144"/>
      <c r="F1048" s="160"/>
      <c r="G1048" s="144"/>
      <c r="H1048" s="144"/>
      <c r="I1048" s="144"/>
      <c r="J1048" s="145"/>
      <c r="K1048" s="776">
        <v>1</v>
      </c>
      <c r="L1048" s="147"/>
      <c r="M1048" s="2833" t="s">
        <v>3063</v>
      </c>
      <c r="N1048" s="2805">
        <v>588.27</v>
      </c>
      <c r="O1048" s="2832">
        <f t="shared" si="16"/>
        <v>1</v>
      </c>
      <c r="P1048" s="151"/>
      <c r="Q1048" s="151"/>
    </row>
    <row r="1049" spans="1:17" ht="20.100000000000001" customHeight="1">
      <c r="A1049" s="141">
        <v>1021</v>
      </c>
      <c r="B1049" s="2830" t="s">
        <v>3059</v>
      </c>
      <c r="C1049" s="143" t="s">
        <v>1024</v>
      </c>
      <c r="D1049" s="3473"/>
      <c r="E1049" s="144"/>
      <c r="F1049" s="160"/>
      <c r="G1049" s="144"/>
      <c r="H1049" s="144"/>
      <c r="I1049" s="144"/>
      <c r="J1049" s="145"/>
      <c r="K1049" s="776">
        <v>1</v>
      </c>
      <c r="L1049" s="147"/>
      <c r="M1049" s="2833" t="s">
        <v>3064</v>
      </c>
      <c r="N1049" s="2805">
        <v>7560.33</v>
      </c>
      <c r="O1049" s="2832">
        <f t="shared" si="16"/>
        <v>1</v>
      </c>
      <c r="P1049" s="151"/>
      <c r="Q1049" s="151"/>
    </row>
    <row r="1050" spans="1:17" ht="20.100000000000001" customHeight="1">
      <c r="A1050" s="141">
        <v>1022</v>
      </c>
      <c r="B1050" s="2830" t="s">
        <v>3059</v>
      </c>
      <c r="C1050" s="143" t="s">
        <v>1024</v>
      </c>
      <c r="D1050" s="3471" t="s">
        <v>38</v>
      </c>
      <c r="E1050" s="144"/>
      <c r="F1050" s="160"/>
      <c r="G1050" s="144"/>
      <c r="H1050" s="144"/>
      <c r="I1050" s="144"/>
      <c r="J1050" s="145"/>
      <c r="K1050" s="776">
        <v>1</v>
      </c>
      <c r="L1050" s="147">
        <v>43138</v>
      </c>
      <c r="M1050" s="2834" t="s">
        <v>3065</v>
      </c>
      <c r="N1050" s="2805"/>
      <c r="O1050" s="2832">
        <f t="shared" si="16"/>
        <v>1</v>
      </c>
      <c r="P1050" s="151"/>
      <c r="Q1050" s="151"/>
    </row>
    <row r="1051" spans="1:17" ht="20.100000000000001" customHeight="1">
      <c r="A1051" s="141">
        <v>1023</v>
      </c>
      <c r="B1051" s="2830" t="s">
        <v>3059</v>
      </c>
      <c r="C1051" s="143" t="s">
        <v>1024</v>
      </c>
      <c r="D1051" s="3472"/>
      <c r="E1051" s="144"/>
      <c r="F1051" s="160"/>
      <c r="G1051" s="144"/>
      <c r="H1051" s="144"/>
      <c r="I1051" s="144"/>
      <c r="J1051" s="145"/>
      <c r="K1051" s="776">
        <v>1</v>
      </c>
      <c r="L1051" s="147"/>
      <c r="M1051" s="781" t="s">
        <v>3066</v>
      </c>
      <c r="N1051" s="2805">
        <v>7299.87</v>
      </c>
      <c r="O1051" s="2832">
        <f t="shared" si="16"/>
        <v>1</v>
      </c>
      <c r="P1051" s="151"/>
      <c r="Q1051" s="151"/>
    </row>
    <row r="1052" spans="1:17" ht="20.100000000000001" customHeight="1">
      <c r="A1052" s="141">
        <v>1024</v>
      </c>
      <c r="B1052" s="2830" t="s">
        <v>3059</v>
      </c>
      <c r="C1052" s="143" t="s">
        <v>1024</v>
      </c>
      <c r="D1052" s="3472"/>
      <c r="E1052" s="144"/>
      <c r="F1052" s="160"/>
      <c r="G1052" s="144"/>
      <c r="H1052" s="144"/>
      <c r="I1052" s="144"/>
      <c r="J1052" s="145"/>
      <c r="K1052" s="776">
        <v>1</v>
      </c>
      <c r="L1052" s="147">
        <v>46174</v>
      </c>
      <c r="M1052" s="2835" t="s">
        <v>3067</v>
      </c>
      <c r="N1052" s="2805"/>
      <c r="O1052" s="2832">
        <f t="shared" si="16"/>
        <v>1</v>
      </c>
      <c r="P1052" s="151"/>
      <c r="Q1052" s="151"/>
    </row>
    <row r="1053" spans="1:17" ht="20.100000000000001" customHeight="1">
      <c r="A1053" s="141">
        <v>1025</v>
      </c>
      <c r="B1053" s="2830" t="s">
        <v>3059</v>
      </c>
      <c r="C1053" s="143" t="s">
        <v>1024</v>
      </c>
      <c r="D1053" s="3472"/>
      <c r="E1053" s="144"/>
      <c r="F1053" s="160"/>
      <c r="G1053" s="144"/>
      <c r="H1053" s="144"/>
      <c r="I1053" s="144"/>
      <c r="J1053" s="145"/>
      <c r="K1053" s="776">
        <v>1</v>
      </c>
      <c r="L1053" s="147"/>
      <c r="M1053" s="2835" t="s">
        <v>3068</v>
      </c>
      <c r="N1053" s="2805"/>
      <c r="O1053" s="2832">
        <f t="shared" si="16"/>
        <v>1</v>
      </c>
      <c r="P1053" s="151"/>
      <c r="Q1053" s="151"/>
    </row>
    <row r="1054" spans="1:17" ht="20.100000000000001" customHeight="1">
      <c r="A1054" s="141">
        <v>1026</v>
      </c>
      <c r="B1054" s="2830" t="s">
        <v>3059</v>
      </c>
      <c r="C1054" s="143" t="s">
        <v>1024</v>
      </c>
      <c r="D1054" s="3473"/>
      <c r="E1054" s="144"/>
      <c r="F1054" s="160"/>
      <c r="G1054" s="144"/>
      <c r="H1054" s="144"/>
      <c r="I1054" s="144"/>
      <c r="J1054" s="145"/>
      <c r="K1054" s="776">
        <v>12</v>
      </c>
      <c r="L1054" s="147"/>
      <c r="M1054" s="2835" t="s">
        <v>3069</v>
      </c>
      <c r="N1054" s="2805"/>
      <c r="O1054" s="2832">
        <f t="shared" si="16"/>
        <v>12</v>
      </c>
      <c r="P1054" s="151"/>
      <c r="Q1054" s="151"/>
    </row>
    <row r="1055" spans="1:17" ht="20.100000000000001" customHeight="1">
      <c r="A1055" s="141">
        <v>1027</v>
      </c>
      <c r="B1055" s="2830" t="s">
        <v>3059</v>
      </c>
      <c r="C1055" s="143" t="s">
        <v>1024</v>
      </c>
      <c r="D1055" s="3471" t="s">
        <v>3070</v>
      </c>
      <c r="E1055" s="144"/>
      <c r="F1055" s="160"/>
      <c r="G1055" s="144"/>
      <c r="H1055" s="144"/>
      <c r="I1055" s="144"/>
      <c r="J1055" s="145"/>
      <c r="K1055" s="776"/>
      <c r="L1055" s="147"/>
      <c r="M1055" s="2836" t="s">
        <v>3071</v>
      </c>
      <c r="N1055" s="2805"/>
      <c r="O1055" s="2832">
        <f t="shared" si="16"/>
        <v>0</v>
      </c>
      <c r="P1055" s="151"/>
      <c r="Q1055" s="151"/>
    </row>
    <row r="1056" spans="1:17" ht="20.100000000000001" customHeight="1">
      <c r="A1056" s="141">
        <v>1028</v>
      </c>
      <c r="B1056" s="2830" t="s">
        <v>3059</v>
      </c>
      <c r="C1056" s="143" t="s">
        <v>1024</v>
      </c>
      <c r="D1056" s="3472"/>
      <c r="E1056" s="144"/>
      <c r="F1056" s="160"/>
      <c r="G1056" s="144"/>
      <c r="H1056" s="144"/>
      <c r="I1056" s="144"/>
      <c r="J1056" s="145"/>
      <c r="K1056" s="776">
        <v>1</v>
      </c>
      <c r="L1056" s="147"/>
      <c r="M1056" s="2837" t="s">
        <v>3072</v>
      </c>
      <c r="N1056" s="2805"/>
      <c r="O1056" s="2832">
        <f t="shared" si="16"/>
        <v>1</v>
      </c>
      <c r="P1056" s="151"/>
      <c r="Q1056" s="151"/>
    </row>
    <row r="1057" spans="1:17" ht="20.100000000000001" customHeight="1">
      <c r="A1057" s="141">
        <v>1029</v>
      </c>
      <c r="B1057" s="2830" t="s">
        <v>3059</v>
      </c>
      <c r="C1057" s="143" t="s">
        <v>1024</v>
      </c>
      <c r="D1057" s="3473"/>
      <c r="E1057" s="144"/>
      <c r="F1057" s="160"/>
      <c r="G1057" s="144"/>
      <c r="H1057" s="144"/>
      <c r="I1057" s="144"/>
      <c r="J1057" s="145"/>
      <c r="K1057" s="776">
        <v>1</v>
      </c>
      <c r="L1057" s="147"/>
      <c r="M1057" s="2835" t="s">
        <v>3073</v>
      </c>
      <c r="N1057" s="2805"/>
      <c r="O1057" s="2832">
        <f t="shared" si="16"/>
        <v>1</v>
      </c>
      <c r="P1057" s="151"/>
      <c r="Q1057" s="151"/>
    </row>
    <row r="1058" spans="1:17" ht="20.100000000000001" customHeight="1">
      <c r="A1058" s="141">
        <v>1030</v>
      </c>
      <c r="B1058" s="2830" t="s">
        <v>3059</v>
      </c>
      <c r="C1058" s="143" t="s">
        <v>1024</v>
      </c>
      <c r="D1058" s="3472" t="s">
        <v>3074</v>
      </c>
      <c r="E1058" s="144"/>
      <c r="F1058" s="160"/>
      <c r="G1058" s="144"/>
      <c r="H1058" s="144"/>
      <c r="I1058" s="144"/>
      <c r="J1058" s="145"/>
      <c r="K1058" s="776">
        <v>1</v>
      </c>
      <c r="L1058" s="147"/>
      <c r="M1058" s="2835" t="s">
        <v>3075</v>
      </c>
      <c r="N1058" s="2805"/>
      <c r="O1058" s="2832">
        <f>K1058-P1058</f>
        <v>1</v>
      </c>
      <c r="P1058" s="151"/>
      <c r="Q1058" s="151"/>
    </row>
    <row r="1059" spans="1:17" ht="20.100000000000001" customHeight="1">
      <c r="A1059" s="141">
        <v>1031</v>
      </c>
      <c r="B1059" s="2830" t="s">
        <v>3059</v>
      </c>
      <c r="C1059" s="143" t="s">
        <v>1024</v>
      </c>
      <c r="D1059" s="3472"/>
      <c r="E1059" s="144"/>
      <c r="F1059" s="160"/>
      <c r="G1059" s="144"/>
      <c r="H1059" s="144"/>
      <c r="I1059" s="144"/>
      <c r="J1059" s="145"/>
      <c r="K1059" s="776">
        <v>1</v>
      </c>
      <c r="L1059" s="147"/>
      <c r="M1059" s="2835" t="s">
        <v>3076</v>
      </c>
      <c r="N1059" s="2805"/>
      <c r="O1059" s="2832">
        <f t="shared" si="16"/>
        <v>1</v>
      </c>
      <c r="P1059" s="151"/>
      <c r="Q1059" s="151"/>
    </row>
    <row r="1060" spans="1:17" ht="20.100000000000001" customHeight="1">
      <c r="A1060" s="141">
        <v>1032</v>
      </c>
      <c r="B1060" s="2830" t="s">
        <v>3059</v>
      </c>
      <c r="C1060" s="143" t="s">
        <v>1024</v>
      </c>
      <c r="D1060" s="3472"/>
      <c r="E1060" s="144"/>
      <c r="F1060" s="160"/>
      <c r="G1060" s="144"/>
      <c r="H1060" s="144"/>
      <c r="I1060" s="144"/>
      <c r="J1060" s="145"/>
      <c r="K1060" s="776">
        <v>1</v>
      </c>
      <c r="L1060" s="147"/>
      <c r="M1060" s="2835" t="s">
        <v>3077</v>
      </c>
      <c r="N1060" s="2805"/>
      <c r="O1060" s="2832">
        <f t="shared" si="16"/>
        <v>1</v>
      </c>
      <c r="P1060" s="151"/>
      <c r="Q1060" s="151"/>
    </row>
    <row r="1061" spans="1:17" ht="20.100000000000001" customHeight="1">
      <c r="A1061" s="141">
        <v>1033</v>
      </c>
      <c r="B1061" s="2830" t="s">
        <v>3059</v>
      </c>
      <c r="C1061" s="143" t="s">
        <v>1024</v>
      </c>
      <c r="D1061" s="3472"/>
      <c r="E1061" s="144"/>
      <c r="F1061" s="160"/>
      <c r="G1061" s="144"/>
      <c r="H1061" s="144"/>
      <c r="I1061" s="144"/>
      <c r="J1061" s="145"/>
      <c r="K1061" s="776">
        <v>1</v>
      </c>
      <c r="L1061" s="147"/>
      <c r="M1061" s="2838" t="s">
        <v>3078</v>
      </c>
      <c r="N1061" s="2805"/>
      <c r="O1061" s="2832">
        <f t="shared" si="16"/>
        <v>1</v>
      </c>
      <c r="P1061" s="151"/>
      <c r="Q1061" s="151"/>
    </row>
    <row r="1062" spans="1:17" ht="20.100000000000001" customHeight="1">
      <c r="A1062" s="141">
        <v>1034</v>
      </c>
      <c r="B1062" s="2830" t="s">
        <v>3059</v>
      </c>
      <c r="C1062" s="143" t="s">
        <v>1024</v>
      </c>
      <c r="D1062" s="3472"/>
      <c r="E1062" s="144"/>
      <c r="F1062" s="160"/>
      <c r="G1062" s="144"/>
      <c r="H1062" s="144"/>
      <c r="I1062" s="144"/>
      <c r="J1062" s="145"/>
      <c r="K1062" s="776">
        <v>1</v>
      </c>
      <c r="L1062" s="147"/>
      <c r="M1062" s="2838" t="s">
        <v>3079</v>
      </c>
      <c r="N1062" s="2805"/>
      <c r="O1062" s="2832">
        <f t="shared" si="16"/>
        <v>1</v>
      </c>
      <c r="P1062" s="151"/>
      <c r="Q1062" s="151"/>
    </row>
    <row r="1063" spans="1:17" ht="20.100000000000001" customHeight="1">
      <c r="A1063" s="141">
        <v>1035</v>
      </c>
      <c r="B1063" s="2830" t="s">
        <v>3059</v>
      </c>
      <c r="C1063" s="143" t="s">
        <v>1024</v>
      </c>
      <c r="D1063" s="3472"/>
      <c r="E1063" s="144"/>
      <c r="F1063" s="160"/>
      <c r="G1063" s="144"/>
      <c r="H1063" s="144"/>
      <c r="I1063" s="144"/>
      <c r="J1063" s="145"/>
      <c r="K1063" s="776">
        <v>1</v>
      </c>
      <c r="L1063" s="147"/>
      <c r="M1063" s="2839" t="s">
        <v>3080</v>
      </c>
      <c r="N1063" s="2805"/>
      <c r="O1063" s="2832">
        <f t="shared" si="16"/>
        <v>1</v>
      </c>
      <c r="P1063" s="151"/>
      <c r="Q1063" s="151"/>
    </row>
    <row r="1064" spans="1:17" ht="20.100000000000001" customHeight="1">
      <c r="A1064" s="141">
        <v>1036</v>
      </c>
      <c r="B1064" s="2830" t="s">
        <v>3059</v>
      </c>
      <c r="C1064" s="143" t="s">
        <v>1024</v>
      </c>
      <c r="D1064" s="3473"/>
      <c r="E1064" s="144"/>
      <c r="F1064" s="160"/>
      <c r="G1064" s="144"/>
      <c r="H1064" s="144"/>
      <c r="I1064" s="144"/>
      <c r="J1064" s="145"/>
      <c r="K1064" s="776">
        <v>1</v>
      </c>
      <c r="L1064" s="147"/>
      <c r="M1064" s="2839" t="s">
        <v>3081</v>
      </c>
      <c r="N1064" s="2805"/>
      <c r="O1064" s="2832">
        <f t="shared" si="16"/>
        <v>1</v>
      </c>
      <c r="P1064" s="151"/>
      <c r="Q1064" s="151"/>
    </row>
    <row r="1065" spans="1:17" ht="20.100000000000001" customHeight="1">
      <c r="A1065" s="141">
        <v>1037</v>
      </c>
      <c r="B1065" s="2830" t="s">
        <v>3059</v>
      </c>
      <c r="C1065" s="143" t="s">
        <v>1024</v>
      </c>
      <c r="D1065" s="2792" t="s">
        <v>3082</v>
      </c>
      <c r="E1065" s="144"/>
      <c r="F1065" s="160"/>
      <c r="G1065" s="144"/>
      <c r="H1065" s="144"/>
      <c r="I1065" s="144"/>
      <c r="J1065" s="145"/>
      <c r="K1065" s="776">
        <v>1</v>
      </c>
      <c r="L1065" s="147"/>
      <c r="M1065" s="2840" t="s">
        <v>3083</v>
      </c>
      <c r="N1065" s="2805"/>
      <c r="O1065" s="2832">
        <f>K1065-P1065</f>
        <v>1</v>
      </c>
      <c r="P1065" s="151"/>
      <c r="Q1065" s="151"/>
    </row>
    <row r="1066" spans="1:17" ht="20.100000000000001" customHeight="1">
      <c r="A1066" s="993"/>
      <c r="B1066" s="3495" t="s">
        <v>1572</v>
      </c>
      <c r="C1066" s="3496"/>
      <c r="D1066" s="994"/>
      <c r="E1066" s="995">
        <f>SUM(E7:E1065)</f>
        <v>8018</v>
      </c>
      <c r="F1066" s="995">
        <f t="shared" ref="F1066:K1066" si="17">SUM(F7:F1065)</f>
        <v>27504</v>
      </c>
      <c r="G1066" s="995">
        <f t="shared" si="17"/>
        <v>312</v>
      </c>
      <c r="H1066" s="995">
        <f t="shared" si="17"/>
        <v>9969</v>
      </c>
      <c r="I1066" s="995">
        <f t="shared" si="17"/>
        <v>158159</v>
      </c>
      <c r="J1066" s="995">
        <f t="shared" si="17"/>
        <v>971</v>
      </c>
      <c r="K1066" s="995">
        <f t="shared" si="17"/>
        <v>818</v>
      </c>
      <c r="L1066" s="407"/>
      <c r="M1066" s="997"/>
      <c r="N1066" s="998">
        <f>SUM(N7:N1045)</f>
        <v>-3277679667.9700022</v>
      </c>
      <c r="O1066" s="999">
        <f t="shared" ref="O1066" si="18">E1066+F1066+G1066+H1066+I1066+J1066+K1066</f>
        <v>205751</v>
      </c>
      <c r="P1066" s="1000">
        <f>SUM(P7:P1065)</f>
        <v>8</v>
      </c>
      <c r="Q1066" s="1000"/>
    </row>
    <row r="1067" spans="1:17" ht="20.100000000000001" customHeight="1">
      <c r="A1067" s="3487" t="s">
        <v>764</v>
      </c>
      <c r="B1067" s="3497" t="s">
        <v>4</v>
      </c>
      <c r="C1067" s="3497" t="s">
        <v>5</v>
      </c>
      <c r="D1067" s="3498" t="s">
        <v>6</v>
      </c>
      <c r="E1067" s="3499" t="s">
        <v>7</v>
      </c>
      <c r="F1067" s="3500"/>
      <c r="G1067" s="3474" t="s">
        <v>8</v>
      </c>
      <c r="H1067" s="3474" t="s">
        <v>9</v>
      </c>
      <c r="I1067" s="3474" t="s">
        <v>10</v>
      </c>
      <c r="J1067" s="3476" t="s">
        <v>11</v>
      </c>
      <c r="K1067" s="3477" t="s">
        <v>12</v>
      </c>
      <c r="L1067" s="3479" t="s">
        <v>13</v>
      </c>
      <c r="M1067" s="3480" t="s">
        <v>14</v>
      </c>
      <c r="N1067" s="3481" t="s">
        <v>1022</v>
      </c>
      <c r="O1067" s="3470" t="s">
        <v>16</v>
      </c>
      <c r="P1067" s="3470"/>
      <c r="Q1067" s="3470"/>
    </row>
    <row r="1068" spans="1:17" ht="20.100000000000001" customHeight="1">
      <c r="A1068" s="3488"/>
      <c r="B1068" s="3497"/>
      <c r="C1068" s="3497"/>
      <c r="D1068" s="3498" t="s">
        <v>6</v>
      </c>
      <c r="E1068" s="138" t="s">
        <v>17</v>
      </c>
      <c r="F1068" s="138" t="s">
        <v>18</v>
      </c>
      <c r="G1068" s="3475"/>
      <c r="H1068" s="3475"/>
      <c r="I1068" s="3475"/>
      <c r="J1068" s="3476"/>
      <c r="K1068" s="3478" t="s">
        <v>19</v>
      </c>
      <c r="L1068" s="3479"/>
      <c r="M1068" s="3480" t="s">
        <v>20</v>
      </c>
      <c r="N1068" s="3482"/>
      <c r="O1068" s="139" t="s">
        <v>21</v>
      </c>
      <c r="P1068" s="2696" t="s">
        <v>22</v>
      </c>
      <c r="Q1068" s="2696" t="s">
        <v>23</v>
      </c>
    </row>
    <row r="1069" spans="1:17" ht="20.100000000000001" customHeight="1">
      <c r="A1069" s="2698"/>
      <c r="B1069" s="1001"/>
      <c r="C1069" s="1001"/>
      <c r="D1069" s="994"/>
      <c r="E1069" s="995">
        <f t="shared" ref="E1069:K1069" si="19">E1066</f>
        <v>8018</v>
      </c>
      <c r="F1069" s="995">
        <f t="shared" si="19"/>
        <v>27504</v>
      </c>
      <c r="G1069" s="1002">
        <f t="shared" si="19"/>
        <v>312</v>
      </c>
      <c r="H1069" s="995">
        <f t="shared" si="19"/>
        <v>9969</v>
      </c>
      <c r="I1069" s="995">
        <f t="shared" si="19"/>
        <v>158159</v>
      </c>
      <c r="J1069" s="1003">
        <f t="shared" si="19"/>
        <v>971</v>
      </c>
      <c r="K1069" s="996">
        <f t="shared" si="19"/>
        <v>818</v>
      </c>
      <c r="L1069" s="153"/>
      <c r="M1069" s="1004"/>
      <c r="N1069" s="876"/>
      <c r="O1069" s="2698"/>
      <c r="P1069" s="2698"/>
      <c r="Q1069" s="2698"/>
    </row>
    <row r="1070" spans="1:17" ht="20.100000000000001" customHeight="1">
      <c r="A1070" s="2698"/>
      <c r="B1070" s="1001"/>
      <c r="C1070" s="1001"/>
      <c r="D1070" s="994"/>
      <c r="E1070" s="310"/>
      <c r="F1070" s="310"/>
      <c r="G1070" s="310"/>
      <c r="H1070" s="310"/>
      <c r="I1070" s="310"/>
      <c r="J1070" s="1005"/>
      <c r="K1070" s="310"/>
      <c r="L1070" s="1006"/>
      <c r="M1070" s="1004"/>
      <c r="N1070" s="876"/>
      <c r="O1070" s="2698"/>
      <c r="P1070" s="2698"/>
      <c r="Q1070" s="2698"/>
    </row>
    <row r="1071" spans="1:17" ht="20.100000000000001" customHeight="1">
      <c r="A1071" s="2698"/>
      <c r="B1071" s="1001"/>
      <c r="C1071" s="1001"/>
      <c r="D1071" s="994"/>
      <c r="E1071" s="310"/>
      <c r="F1071" s="310"/>
      <c r="G1071" s="310"/>
      <c r="H1071" s="310"/>
      <c r="I1071" s="310"/>
      <c r="J1071" s="1005"/>
      <c r="K1071" s="310"/>
      <c r="L1071" s="1006"/>
      <c r="M1071" s="2841"/>
      <c r="N1071" s="1007"/>
      <c r="O1071" s="1008" t="s">
        <v>22</v>
      </c>
      <c r="P1071" s="118" t="s">
        <v>754</v>
      </c>
      <c r="Q1071" s="118" t="s">
        <v>755</v>
      </c>
    </row>
    <row r="1072" spans="1:17" ht="20.100000000000001" customHeight="1">
      <c r="A1072" s="2698"/>
      <c r="B1072" s="1001"/>
      <c r="C1072" s="1001"/>
      <c r="D1072" s="994"/>
      <c r="E1072" s="310"/>
      <c r="F1072" s="310"/>
      <c r="G1072" s="310"/>
      <c r="H1072" s="310"/>
      <c r="I1072" s="310"/>
      <c r="J1072" s="1005"/>
      <c r="K1072" s="310"/>
      <c r="L1072" s="1006"/>
      <c r="M1072" s="2842" t="s">
        <v>7</v>
      </c>
      <c r="N1072" s="1009" t="s">
        <v>17</v>
      </c>
      <c r="O1072" s="1010">
        <f>P27+P59+P85+P104+P129+P152+P179+P192+P212+P227+P243+P264+P285+P326+P340+P362+P386+P411+P451+P472+P488+P507+P548+P568+P581+P599+P620+P637+P653+P673+P692+P708+P720+P738+P754+P776+P798+P823+P842+P855+P876+P895+P909+P928+P936+P955+P972+P992+P1013+P1028+P1045</f>
        <v>0</v>
      </c>
      <c r="P1072" s="1011">
        <f>E1069</f>
        <v>8018</v>
      </c>
      <c r="Q1072" s="1011">
        <f>P1072-O1072</f>
        <v>8018</v>
      </c>
    </row>
    <row r="1073" spans="1:17" ht="20.100000000000001" customHeight="1">
      <c r="A1073" s="2698"/>
      <c r="B1073" s="1001"/>
      <c r="C1073" s="1001"/>
      <c r="D1073" s="994"/>
      <c r="E1073" s="310"/>
      <c r="F1073" s="310"/>
      <c r="G1073" s="310"/>
      <c r="H1073" s="310"/>
      <c r="I1073" s="310"/>
      <c r="J1073" s="1005"/>
      <c r="K1073" s="310"/>
      <c r="L1073" s="1006"/>
      <c r="M1073" s="2842"/>
      <c r="N1073" s="1012" t="s">
        <v>18</v>
      </c>
      <c r="O1073" s="1010">
        <f>P26+P58+P84+P103+P128+P151+P164+P178+P191+P211+P226+P242+P263+P271+P284+P309+P325+P339+P361+P385+P410+P450+P471+P487+P506+P547+P567+P580+P598+P619+P636+P652+P672+P691+P707+P713+P737+P753+P775+P797+P822+P841+P856+P875+P894+P908+P927+P935+P954+P971+P991+P1012+P1027+P1044+P600</f>
        <v>0</v>
      </c>
      <c r="P1073" s="1011">
        <f>F1069</f>
        <v>27504</v>
      </c>
      <c r="Q1073" s="1011">
        <f t="shared" ref="Q1073:Q1078" si="20">P1073-O1073</f>
        <v>27504</v>
      </c>
    </row>
    <row r="1074" spans="1:17" ht="20.100000000000001" customHeight="1">
      <c r="A1074" s="2698"/>
      <c r="B1074" s="1001"/>
      <c r="C1074" s="1001"/>
      <c r="D1074" s="994"/>
      <c r="E1074" s="310"/>
      <c r="F1074" s="310"/>
      <c r="G1074" s="310"/>
      <c r="H1074" s="310"/>
      <c r="I1074" s="310"/>
      <c r="J1074" s="1005"/>
      <c r="K1074" s="310"/>
      <c r="L1074" s="1006"/>
      <c r="M1074" s="2843" t="s">
        <v>756</v>
      </c>
      <c r="N1074" s="1009"/>
      <c r="O1074" s="1010">
        <f>P10+P11+P12+P13+P15+P16+P37+P38+P39+P40+P41+P45+P46+P63+P64+P65+P66+P67+P69+P70+P90+P91+P92+P93+P95+P97+P110+P111+P112+P113+P114+P116+P118+P134+P135+P137+P138+P139+P140+P142+P143+P154+P155+P156+P157+P158+P167+P168+P169+P172+P173+P182+P183+P185+P186+P195+P196+P197+P200+P201+P214+P215+P216+P217+P218+P220+P230+P231+P232+P233+P234+P236+P237+P250+P251+P252+P253+P254+P256+P267+P275+P276+P277+P278+P295+P296+P297+P298+P300+P301+P312+P313+P314+P315+P318+P319+P328+P329+P330+P331+P332+P343+P344+P345+P346+P347+P351+P352+P366+P368+P367+P371+P372+P392+P393+P394+P395+P396+P398+P415+P416+P417+P419+P420+P424+P426+P456+P457+P458+P459+P466+P475+P476+P477+P478+P480+P481+P492+P493+P494+P495+P496+P511+P512+P513+P514+P529+P530+P531+P532+P535+P536+P551+P552+P553+P554+P556+P557+P570+P571+P572+P573+P587+P588+P589+P590+P591+P605+P606+P607+P608+P609+P611+P627+P628+P629+P630+P632+P640+P641+P642+P643+P644+P645+P656+P657+P658+P659+P661+P662+P676+P677+P678+P679+P682+P683+P695+P696+P697+P699+P700+P701+P724+P725+P726+P727+P729+P730+P742+P744+P743+P745+P747+P748+P761+P762+P763+P766+P764+P767+P785+P786+P787+P788+P792+P802+P803+P804+P805+P807+P810+P826+P827+P828+P829+P830+P831+P832+P834+P845+P846+P847+P848+P850+P859+P860+P861+P862+P863+P865+P866+P879+P880+P881+P884+P885+P898+P899+P900+P902+P903+P914+P915+P916+P917+P919+P920+P930+P931+P938+P939+P944+P945+P946+P947+P949+P950+P958+P959+P960+P961+P965+P966+P977+P978+P979+P980+P982+P983+P997+P998+P999+P1000+P1002+P1016+P1017+P1018+P1019+P1021+P1032+P1033+P1034+P1036+P1037</f>
        <v>0</v>
      </c>
      <c r="P1074" s="1011">
        <f>G1069</f>
        <v>312</v>
      </c>
      <c r="Q1074" s="1011">
        <f t="shared" si="20"/>
        <v>312</v>
      </c>
    </row>
    <row r="1075" spans="1:17" ht="20.100000000000001" customHeight="1">
      <c r="A1075" s="2698"/>
      <c r="B1075" s="1001"/>
      <c r="C1075" s="1001"/>
      <c r="D1075" s="994"/>
      <c r="E1075" s="310"/>
      <c r="F1075" s="310"/>
      <c r="G1075" s="310"/>
      <c r="H1075" s="310"/>
      <c r="I1075" s="310"/>
      <c r="J1075" s="1005"/>
      <c r="K1075" s="310"/>
      <c r="L1075" s="1006"/>
      <c r="M1075" s="2843" t="s">
        <v>1573</v>
      </c>
      <c r="N1075" s="1009"/>
      <c r="O1075" s="1010">
        <f>P1037+P1018+P1002+P980+P961+P945+P922+P907+P893+P876+P853+P842+P818+P805+P785+P747+P733+P717+P703+P690+P673+P655+P636+P619+P603+P581+P563+P551+P533+P511+P486+P467+P442+P404+P381+P358+P334+P317+P303+P282+P271+P263+P227+P212+P191+P178+P165+P151+P128+P104+P75+P50+P23</f>
        <v>0</v>
      </c>
      <c r="P1075" s="1011">
        <f>H1069</f>
        <v>9969</v>
      </c>
      <c r="Q1075" s="1011">
        <f t="shared" si="20"/>
        <v>9969</v>
      </c>
    </row>
    <row r="1076" spans="1:17" ht="20.100000000000001" customHeight="1">
      <c r="A1076" s="2698"/>
      <c r="B1076" s="1001"/>
      <c r="C1076" s="1001"/>
      <c r="D1076" s="994"/>
      <c r="E1076" s="310"/>
      <c r="F1076" s="310"/>
      <c r="G1076" s="310"/>
      <c r="H1076" s="310"/>
      <c r="I1076" s="310"/>
      <c r="J1076" s="1005"/>
      <c r="K1076" s="310"/>
      <c r="L1076" s="1006"/>
      <c r="M1076" s="2844" t="s">
        <v>757</v>
      </c>
      <c r="N1076" s="1013"/>
      <c r="O1076" s="1010">
        <f>P1038+P1019+P1003+P987+P981+P962+P946+P933+P923+P913+P908+P894+P877+P858+P854+P830+P819+P806+P786+P770+P755+P748+P734+P718+P704+P691+P674+P656+P637+P620+P604+P582+P564+P552+P534+P512+P487+P468+P450+P443+P405+P382+P359+P335+P318+P304+P283+P264+P245+P228+P213+P192+P179+P166+P152+P129+P105+P76+P51+P24</f>
        <v>0</v>
      </c>
      <c r="P1076" s="1011">
        <f>I1069</f>
        <v>158159</v>
      </c>
      <c r="Q1076" s="1011">
        <f t="shared" si="20"/>
        <v>158159</v>
      </c>
    </row>
    <row r="1077" spans="1:17" ht="20.100000000000001" customHeight="1">
      <c r="A1077" s="2698"/>
      <c r="B1077" s="1001"/>
      <c r="C1077" s="1001"/>
      <c r="D1077" s="994"/>
      <c r="E1077" s="310"/>
      <c r="F1077" s="310"/>
      <c r="G1077" s="310"/>
      <c r="H1077" s="310"/>
      <c r="I1077" s="310"/>
      <c r="J1077" s="1005"/>
      <c r="K1077" s="310"/>
      <c r="L1077" s="1006"/>
      <c r="M1077" s="2843" t="s">
        <v>758</v>
      </c>
      <c r="N1077" s="1012"/>
      <c r="O1077" s="1010">
        <f>P108+P265+P364+P390+P454+P603+P759+P975+P995+P994</f>
        <v>0</v>
      </c>
      <c r="P1077" s="1011">
        <f>J1069</f>
        <v>971</v>
      </c>
      <c r="Q1077" s="1011">
        <f t="shared" si="20"/>
        <v>971</v>
      </c>
    </row>
    <row r="1078" spans="1:17" ht="20.100000000000001" customHeight="1">
      <c r="A1078" s="2698"/>
      <c r="B1078" s="1001"/>
      <c r="C1078" s="1001"/>
      <c r="D1078" s="994"/>
      <c r="E1078" s="310"/>
      <c r="F1078" s="310"/>
      <c r="G1078" s="310"/>
      <c r="H1078" s="310"/>
      <c r="I1078" s="310"/>
      <c r="J1078" s="1005"/>
      <c r="K1078" s="310"/>
      <c r="L1078" s="1006"/>
      <c r="M1078" s="2843" t="s">
        <v>759</v>
      </c>
      <c r="N1078" s="1012"/>
      <c r="O1078" s="1010">
        <f>P7+P8+P18+P19+P20+P21+P22+P25+P28+P29+P30+P31+P32+P33+P34+P35+P43+P44+P48+P49+P50+P51+P52+P53+P54+P57+P60+P61+P72+P73+P74+P75+P76+P77+P78+P82+P83+P86+P87+P88+P96+P99+P102+P105+P106+P107+P117+P119+P121+P122+P123+P124+P125+P130+P131+P132+P145+P146+P147+P150+P160+P165+P171+P175+P177+P180+P188+P189+P193+P203+P205+P206+P207+P222+P223+P228+P239+P240+P244+P245+P246+P247+P248+P257+P259+P260+P270+P272+P273+P280+P283+P286+P287+P288+P289+P290+P291+P292+P293+P302+P304+P308+P310+P316+P321+P322+P334+P338+P341+P349+P354+P355+P356+P357+P358+P363+P369+P374+P376+P377+P378+P379+P380+P384+P387+P388+P389+P400+P402+P403+P404+P405+P406+P407+P412+P413+P418+P421+P422+P425+P427+P429+P431+P432+P433+P434+P435+P436+P437+P438+P439+P440+P441+P442+P443+P444+P445+P446+P449+P452+P453+P461+P462+P463+P464+P467+P468+P473+P483+P485+P486+P489+P490+P497+P499+P500+P501+P502+P503+P508+P509+P516+P517+P519+P521+P522+P523+P524+P526+P527+P533+P538+P539+P540+P541+P542+P549+P558+P560+P562+P563+P566+P575+P576+P579+P582+P583+P584+P585+P593+P594+P597+P601+P602+P613+P614+P615+P621+P622+P623+P624+P625+P633+P638+P647+P649+P650+P654+P663+P665+P666+P667+P669+P674+P680+P685+P687+P688+P693+P703+P704+P705+P709+P721+P722+P732+P733+P734+P739+P740+P750+P751+P755+P756+P757+P758+P770+P771+P772+P777+P778+P779+P780+P781+P782+P783+P790+P793+P796+P799+P800+P808+P809+P812+P813+P814+P815+P816+P817+P818+P821+P824+P836+P837+P839+P840+P843+P846+P857+P868+P869+P870++P872+P877+P883+P887+P888+P889+P890+P893+P896+P905+P910+P911+P912+P922+P933+P941+P942+P952+P956+P963+P970+P973+P974+P985+P986+P987+P988+P993+P1004+P1005+P1006+P1007+P1008+P1011+P1014+P1025+P1026+P1029+P1030+P1039+P1040+P1041+P1046+P1047+P1048+P1049+P1050+P1051+P1052+P1053+P1054+P1056+P1057+P1058+P1059+P1062+P1061+P1062+P1063+P1064+P1065</f>
        <v>8</v>
      </c>
      <c r="P1078" s="1011">
        <f>K1069</f>
        <v>818</v>
      </c>
      <c r="Q1078" s="1011">
        <f t="shared" si="20"/>
        <v>810</v>
      </c>
    </row>
    <row r="1079" spans="1:17" ht="20.100000000000001" customHeight="1">
      <c r="A1079" s="2698"/>
      <c r="B1079" s="1001"/>
      <c r="C1079" s="1001"/>
      <c r="D1079" s="994"/>
      <c r="E1079" s="310"/>
      <c r="F1079" s="310"/>
      <c r="G1079" s="310"/>
      <c r="H1079" s="310"/>
      <c r="I1079" s="310"/>
      <c r="J1079" s="1005"/>
      <c r="K1079" s="310"/>
      <c r="L1079" s="1006"/>
      <c r="M1079" s="2845" t="s">
        <v>760</v>
      </c>
      <c r="N1079" s="1014"/>
      <c r="O1079" s="1015">
        <f>SUBTOTAL(9,O1072:O1078)</f>
        <v>8</v>
      </c>
      <c r="P1079" s="1015">
        <f>SUM(P1072:P1078)</f>
        <v>205751</v>
      </c>
      <c r="Q1079" s="1015">
        <f>SUM(Q1072:Q1078)</f>
        <v>205743</v>
      </c>
    </row>
  </sheetData>
  <autoFilter ref="A5:Q1069">
    <filterColumn colId="10">
      <filters>
        <filter val="0"/>
        <filter val="1"/>
        <filter val="1,194"/>
        <filter val="10"/>
        <filter val="109"/>
        <filter val="11"/>
        <filter val="12"/>
        <filter val="2"/>
        <filter val="20"/>
        <filter val="24"/>
        <filter val="29"/>
        <filter val="3"/>
        <filter val="325"/>
        <filter val="38"/>
        <filter val="4"/>
        <filter val="47"/>
        <filter val="5"/>
        <filter val="6"/>
        <filter val="60"/>
        <filter val="8"/>
        <filter val="9"/>
        <filter val="finding NO."/>
        <filter val="Other cases"/>
      </filters>
    </filterColumn>
    <filterColumn colId="14" showButton="0"/>
    <filterColumn colId="15" showButton="0"/>
  </autoFilter>
  <mergeCells count="38">
    <mergeCell ref="O1067:Q1067"/>
    <mergeCell ref="E1067:F1067"/>
    <mergeCell ref="G1067:G1068"/>
    <mergeCell ref="H1067:H1068"/>
    <mergeCell ref="I1067:I1068"/>
    <mergeCell ref="J1067:J1068"/>
    <mergeCell ref="K1067:K1068"/>
    <mergeCell ref="L1067:L1068"/>
    <mergeCell ref="M1067:M1068"/>
    <mergeCell ref="N1067:N1068"/>
    <mergeCell ref="D1046:D1047"/>
    <mergeCell ref="D1048:D1049"/>
    <mergeCell ref="D1050:D1054"/>
    <mergeCell ref="D1055:D1057"/>
    <mergeCell ref="D1058:D1064"/>
    <mergeCell ref="B1066:C1066"/>
    <mergeCell ref="A1067:A1068"/>
    <mergeCell ref="B1067:B1068"/>
    <mergeCell ref="C1067:C1068"/>
    <mergeCell ref="D1067:D1068"/>
    <mergeCell ref="B1:N1"/>
    <mergeCell ref="B2:N2"/>
    <mergeCell ref="B3:N3"/>
    <mergeCell ref="B4:N4"/>
    <mergeCell ref="A5:A6"/>
    <mergeCell ref="B5:B6"/>
    <mergeCell ref="C5:C6"/>
    <mergeCell ref="D5:D6"/>
    <mergeCell ref="G5:G6"/>
    <mergeCell ref="H5:H6"/>
    <mergeCell ref="O5:Q5"/>
    <mergeCell ref="D9:D21"/>
    <mergeCell ref="I5:I6"/>
    <mergeCell ref="J5:J6"/>
    <mergeCell ref="K5:K6"/>
    <mergeCell ref="L5:L6"/>
    <mergeCell ref="M5:M6"/>
    <mergeCell ref="N5:N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1"/>
  <sheetViews>
    <sheetView topLeftCell="A511" workbookViewId="0">
      <selection activeCell="O514" sqref="O514"/>
    </sheetView>
  </sheetViews>
  <sheetFormatPr defaultRowHeight="15"/>
  <cols>
    <col min="2" max="2" width="16" customWidth="1"/>
    <col min="7" max="7" width="14.85546875" customWidth="1"/>
    <col min="8" max="8" width="15.85546875" customWidth="1"/>
    <col min="13" max="13" width="27.85546875" customWidth="1"/>
    <col min="14" max="14" width="21.7109375" customWidth="1"/>
  </cols>
  <sheetData>
    <row r="1" spans="1:17" ht="20.100000000000001" customHeight="1">
      <c r="A1" s="3512" t="s">
        <v>0</v>
      </c>
      <c r="B1" s="3512"/>
      <c r="C1" s="3512"/>
      <c r="D1" s="3512"/>
      <c r="E1" s="3512"/>
      <c r="F1" s="3512"/>
      <c r="G1" s="3512"/>
      <c r="H1" s="3512"/>
      <c r="I1" s="3512"/>
      <c r="J1" s="3512"/>
      <c r="K1" s="3512"/>
      <c r="L1" s="3512"/>
      <c r="M1" s="3512"/>
      <c r="N1" s="3512"/>
      <c r="O1" s="3512"/>
      <c r="P1" s="3512"/>
      <c r="Q1" s="3512"/>
    </row>
    <row r="2" spans="1:17" ht="20.100000000000001" customHeight="1">
      <c r="A2" s="3512" t="s">
        <v>1577</v>
      </c>
      <c r="B2" s="3512"/>
      <c r="C2" s="3512"/>
      <c r="D2" s="3512"/>
      <c r="E2" s="3512"/>
      <c r="F2" s="3512"/>
      <c r="G2" s="3512"/>
      <c r="H2" s="3512"/>
      <c r="I2" s="3512"/>
      <c r="J2" s="3512"/>
      <c r="K2" s="3512"/>
      <c r="L2" s="3512"/>
      <c r="M2" s="3512"/>
      <c r="N2" s="3512"/>
      <c r="O2" s="3512"/>
      <c r="P2" s="3512"/>
      <c r="Q2" s="3512"/>
    </row>
    <row r="3" spans="1:17" ht="20.100000000000001" customHeight="1">
      <c r="A3" s="3512" t="s">
        <v>770</v>
      </c>
      <c r="B3" s="3512"/>
      <c r="C3" s="3512"/>
      <c r="D3" s="3512"/>
      <c r="E3" s="3512"/>
      <c r="F3" s="3512"/>
      <c r="G3" s="3512"/>
      <c r="H3" s="3512"/>
      <c r="I3" s="3512"/>
      <c r="J3" s="3512"/>
      <c r="K3" s="3512"/>
      <c r="L3" s="3512"/>
      <c r="M3" s="3512"/>
      <c r="N3" s="3512"/>
      <c r="O3" s="3512"/>
      <c r="P3" s="3512"/>
      <c r="Q3" s="3512"/>
    </row>
    <row r="4" spans="1:17" ht="20.100000000000001" customHeight="1">
      <c r="A4" s="3513" t="s">
        <v>1578</v>
      </c>
      <c r="B4" s="3513"/>
      <c r="C4" s="3513"/>
      <c r="D4" s="3513"/>
      <c r="E4" s="3513"/>
      <c r="F4" s="3513"/>
      <c r="G4" s="3513"/>
      <c r="H4" s="3513"/>
      <c r="I4" s="3513"/>
      <c r="J4" s="3513"/>
      <c r="K4" s="3513"/>
      <c r="L4" s="3513"/>
      <c r="M4" s="3513"/>
      <c r="N4" s="3513"/>
      <c r="O4" s="3513"/>
      <c r="P4" s="3513"/>
      <c r="Q4" s="3513"/>
    </row>
    <row r="5" spans="1:17" ht="20.100000000000001" customHeight="1">
      <c r="A5" s="3506" t="s">
        <v>1579</v>
      </c>
      <c r="B5" s="1016"/>
      <c r="C5" s="1016"/>
      <c r="D5" s="3505" t="s">
        <v>6</v>
      </c>
      <c r="E5" s="3501" t="s">
        <v>1580</v>
      </c>
      <c r="F5" s="3501"/>
      <c r="G5" s="3506" t="s">
        <v>1581</v>
      </c>
      <c r="H5" s="3506" t="s">
        <v>9</v>
      </c>
      <c r="I5" s="3506" t="s">
        <v>1582</v>
      </c>
      <c r="J5" s="3506" t="s">
        <v>1583</v>
      </c>
      <c r="K5" s="3515" t="s">
        <v>1584</v>
      </c>
      <c r="L5" s="3506" t="s">
        <v>1585</v>
      </c>
      <c r="M5" s="3505" t="s">
        <v>14</v>
      </c>
      <c r="N5" s="3507" t="s">
        <v>1022</v>
      </c>
      <c r="O5" s="3509" t="s">
        <v>16</v>
      </c>
      <c r="P5" s="3510"/>
      <c r="Q5" s="3511"/>
    </row>
    <row r="6" spans="1:17" ht="20.100000000000001" customHeight="1">
      <c r="A6" s="3514"/>
      <c r="B6" s="1017"/>
      <c r="C6" s="1017"/>
      <c r="D6" s="3505"/>
      <c r="E6" s="1018" t="s">
        <v>779</v>
      </c>
      <c r="F6" s="1018" t="s">
        <v>1586</v>
      </c>
      <c r="G6" s="3514"/>
      <c r="H6" s="3514"/>
      <c r="I6" s="3514"/>
      <c r="J6" s="3514"/>
      <c r="K6" s="3516"/>
      <c r="L6" s="3514"/>
      <c r="M6" s="3505"/>
      <c r="N6" s="3508" t="s">
        <v>15</v>
      </c>
      <c r="O6" s="1020" t="s">
        <v>21</v>
      </c>
      <c r="P6" s="1020" t="s">
        <v>22</v>
      </c>
      <c r="Q6" s="1021" t="s">
        <v>23</v>
      </c>
    </row>
    <row r="7" spans="1:17" ht="20.100000000000001" customHeight="1">
      <c r="A7" s="3514"/>
      <c r="B7" s="1017" t="s">
        <v>4</v>
      </c>
      <c r="C7" s="1017" t="s">
        <v>5</v>
      </c>
      <c r="D7" s="3506" t="s">
        <v>6</v>
      </c>
      <c r="E7" s="1022"/>
      <c r="F7" s="1022"/>
      <c r="G7" s="1022"/>
      <c r="H7" s="1022"/>
      <c r="I7" s="1022"/>
      <c r="J7" s="1022"/>
      <c r="K7" s="3516" t="s">
        <v>19</v>
      </c>
      <c r="L7" s="3514"/>
      <c r="M7" s="3506" t="s">
        <v>20</v>
      </c>
      <c r="N7" s="3508"/>
      <c r="O7" s="1023"/>
      <c r="P7" s="1024"/>
      <c r="Q7" s="1025"/>
    </row>
    <row r="8" spans="1:17" ht="20.100000000000001" customHeight="1">
      <c r="A8" s="92">
        <v>1</v>
      </c>
      <c r="B8" s="1026" t="s">
        <v>1587</v>
      </c>
      <c r="C8" s="1026" t="s">
        <v>1588</v>
      </c>
      <c r="D8" s="1026" t="s">
        <v>29</v>
      </c>
      <c r="E8" s="92"/>
      <c r="F8" s="92"/>
      <c r="G8" s="92">
        <v>1</v>
      </c>
      <c r="H8" s="92"/>
      <c r="I8" s="92"/>
      <c r="J8" s="92"/>
      <c r="K8" s="100"/>
      <c r="L8" s="92"/>
      <c r="M8" s="1027" t="s">
        <v>119</v>
      </c>
      <c r="N8" s="1028">
        <v>-2279042.33</v>
      </c>
      <c r="O8" s="1029">
        <f>E8+F8+G8+H8+I8+J8+K8-P8</f>
        <v>1</v>
      </c>
      <c r="P8" s="92"/>
      <c r="Q8" s="92"/>
    </row>
    <row r="9" spans="1:17" ht="20.100000000000001" customHeight="1">
      <c r="A9" s="92">
        <v>2</v>
      </c>
      <c r="B9" s="1026" t="s">
        <v>1587</v>
      </c>
      <c r="C9" s="1026" t="s">
        <v>1588</v>
      </c>
      <c r="D9" s="112"/>
      <c r="E9" s="92"/>
      <c r="F9" s="92"/>
      <c r="G9" s="92">
        <v>1</v>
      </c>
      <c r="H9" s="92"/>
      <c r="I9" s="92"/>
      <c r="J9" s="92"/>
      <c r="K9" s="100"/>
      <c r="L9" s="92"/>
      <c r="M9" s="1027" t="s">
        <v>49</v>
      </c>
      <c r="N9" s="1030">
        <v>-12136111.199999999</v>
      </c>
      <c r="O9" s="1029">
        <f>E9+F9+G9+H9+I9+J9+K9-P9</f>
        <v>1</v>
      </c>
      <c r="P9" s="92"/>
      <c r="Q9" s="92"/>
    </row>
    <row r="10" spans="1:17" ht="20.100000000000001" customHeight="1">
      <c r="A10" s="92">
        <v>3</v>
      </c>
      <c r="B10" s="1026" t="s">
        <v>1587</v>
      </c>
      <c r="C10" s="1026" t="s">
        <v>1588</v>
      </c>
      <c r="D10" s="112"/>
      <c r="E10" s="92"/>
      <c r="F10" s="92"/>
      <c r="G10" s="92"/>
      <c r="H10" s="92"/>
      <c r="I10" s="92"/>
      <c r="J10" s="92"/>
      <c r="K10" s="114">
        <v>1</v>
      </c>
      <c r="L10" s="92"/>
      <c r="M10" s="1031" t="s">
        <v>1589</v>
      </c>
      <c r="N10" s="1032">
        <v>-39309.21</v>
      </c>
      <c r="O10" s="1029">
        <f t="shared" ref="O10:O73" si="0">E10+F10+G10+H10+I10+J10+K10-P10</f>
        <v>1</v>
      </c>
      <c r="P10" s="92"/>
      <c r="Q10" s="92"/>
    </row>
    <row r="11" spans="1:17" ht="20.100000000000001" customHeight="1">
      <c r="A11" s="92">
        <v>4</v>
      </c>
      <c r="B11" s="1026" t="s">
        <v>1587</v>
      </c>
      <c r="C11" s="1026" t="s">
        <v>1588</v>
      </c>
      <c r="D11" s="1026"/>
      <c r="E11" s="92"/>
      <c r="F11" s="92"/>
      <c r="G11" s="92"/>
      <c r="H11" s="92">
        <v>6</v>
      </c>
      <c r="I11" s="92"/>
      <c r="J11" s="92"/>
      <c r="K11" s="114"/>
      <c r="L11" s="92"/>
      <c r="M11" s="1034" t="s">
        <v>34</v>
      </c>
      <c r="N11" s="1033"/>
      <c r="O11" s="1029">
        <f t="shared" si="0"/>
        <v>6</v>
      </c>
      <c r="P11" s="92"/>
      <c r="Q11" s="92"/>
    </row>
    <row r="12" spans="1:17" ht="20.100000000000001" customHeight="1">
      <c r="A12" s="92">
        <v>5</v>
      </c>
      <c r="B12" s="1026" t="s">
        <v>1587</v>
      </c>
      <c r="C12" s="1026" t="s">
        <v>1588</v>
      </c>
      <c r="D12" s="112"/>
      <c r="E12" s="92"/>
      <c r="F12" s="92"/>
      <c r="G12" s="92"/>
      <c r="H12" s="92"/>
      <c r="I12" s="92">
        <v>1734</v>
      </c>
      <c r="J12" s="92"/>
      <c r="K12" s="1035"/>
      <c r="L12" s="92"/>
      <c r="M12" s="1036" t="s">
        <v>35</v>
      </c>
      <c r="N12" s="1032"/>
      <c r="O12" s="1029">
        <f t="shared" si="0"/>
        <v>1734</v>
      </c>
      <c r="P12" s="92"/>
      <c r="Q12" s="92"/>
    </row>
    <row r="13" spans="1:17" ht="20.100000000000001" customHeight="1">
      <c r="A13" s="92">
        <v>6</v>
      </c>
      <c r="B13" s="1026" t="s">
        <v>1587</v>
      </c>
      <c r="C13" s="1026" t="s">
        <v>1588</v>
      </c>
      <c r="D13" s="1026" t="s">
        <v>36</v>
      </c>
      <c r="E13" s="92"/>
      <c r="F13" s="92">
        <v>90</v>
      </c>
      <c r="G13" s="92"/>
      <c r="H13" s="92"/>
      <c r="I13" s="92"/>
      <c r="J13" s="92"/>
      <c r="K13" s="110"/>
      <c r="L13" s="92"/>
      <c r="M13" s="1037" t="s">
        <v>1590</v>
      </c>
      <c r="N13" s="1032"/>
      <c r="O13" s="1029">
        <f t="shared" si="0"/>
        <v>90</v>
      </c>
      <c r="P13" s="92"/>
      <c r="Q13" s="92"/>
    </row>
    <row r="14" spans="1:17" ht="20.100000000000001" customHeight="1">
      <c r="A14" s="92">
        <v>7</v>
      </c>
      <c r="B14" s="1026" t="s">
        <v>1587</v>
      </c>
      <c r="C14" s="1026" t="s">
        <v>1588</v>
      </c>
      <c r="D14" s="1026"/>
      <c r="E14" s="92">
        <v>62</v>
      </c>
      <c r="F14" s="92"/>
      <c r="G14" s="92"/>
      <c r="H14" s="92"/>
      <c r="I14" s="92"/>
      <c r="J14" s="92"/>
      <c r="K14" s="110"/>
      <c r="L14" s="92"/>
      <c r="M14" s="1037" t="s">
        <v>1591</v>
      </c>
      <c r="N14" s="1032"/>
      <c r="O14" s="1029">
        <f t="shared" si="0"/>
        <v>62</v>
      </c>
      <c r="P14" s="92"/>
      <c r="Q14" s="92"/>
    </row>
    <row r="15" spans="1:17" ht="20.100000000000001" customHeight="1">
      <c r="A15" s="92">
        <v>8</v>
      </c>
      <c r="B15" s="1026" t="s">
        <v>1592</v>
      </c>
      <c r="C15" s="1026" t="s">
        <v>1588</v>
      </c>
      <c r="D15" s="1026" t="s">
        <v>26</v>
      </c>
      <c r="E15" s="92"/>
      <c r="F15" s="92"/>
      <c r="G15" s="92"/>
      <c r="H15" s="92"/>
      <c r="I15" s="92"/>
      <c r="J15" s="92"/>
      <c r="K15" s="100">
        <v>1</v>
      </c>
      <c r="L15" s="100"/>
      <c r="M15" s="1038" t="s">
        <v>1593</v>
      </c>
      <c r="N15" s="1039">
        <v>1050</v>
      </c>
      <c r="O15" s="1029">
        <f t="shared" si="0"/>
        <v>1</v>
      </c>
      <c r="P15" s="92"/>
      <c r="Q15" s="92"/>
    </row>
    <row r="16" spans="1:17" ht="20.100000000000001" customHeight="1">
      <c r="A16" s="92">
        <v>9</v>
      </c>
      <c r="B16" s="1026" t="s">
        <v>1592</v>
      </c>
      <c r="C16" s="1026" t="s">
        <v>1588</v>
      </c>
      <c r="D16" s="1026" t="s">
        <v>29</v>
      </c>
      <c r="E16" s="92"/>
      <c r="F16" s="92"/>
      <c r="G16" s="92">
        <v>1</v>
      </c>
      <c r="H16" s="92"/>
      <c r="I16" s="92"/>
      <c r="J16" s="92"/>
      <c r="K16" s="100"/>
      <c r="L16" s="100"/>
      <c r="M16" s="1040" t="s">
        <v>119</v>
      </c>
      <c r="N16" s="1039">
        <v>947228.67</v>
      </c>
      <c r="O16" s="1029">
        <f t="shared" si="0"/>
        <v>1</v>
      </c>
      <c r="P16" s="92"/>
      <c r="Q16" s="92"/>
    </row>
    <row r="17" spans="1:17" ht="20.100000000000001" customHeight="1">
      <c r="A17" s="92">
        <v>10</v>
      </c>
      <c r="B17" s="1026" t="s">
        <v>1592</v>
      </c>
      <c r="C17" s="1026" t="s">
        <v>1588</v>
      </c>
      <c r="D17" s="112"/>
      <c r="E17" s="92"/>
      <c r="F17" s="92"/>
      <c r="G17" s="92">
        <v>1</v>
      </c>
      <c r="H17" s="92"/>
      <c r="I17" s="92"/>
      <c r="J17" s="92"/>
      <c r="K17" s="100"/>
      <c r="L17" s="100"/>
      <c r="M17" s="1040" t="s">
        <v>49</v>
      </c>
      <c r="N17" s="1039">
        <v>9472903.0500000007</v>
      </c>
      <c r="O17" s="1029">
        <f t="shared" si="0"/>
        <v>1</v>
      </c>
      <c r="P17" s="92"/>
      <c r="Q17" s="92"/>
    </row>
    <row r="18" spans="1:17" ht="20.100000000000001" customHeight="1">
      <c r="A18" s="92">
        <v>11</v>
      </c>
      <c r="B18" s="1026" t="s">
        <v>1592</v>
      </c>
      <c r="C18" s="1026" t="s">
        <v>1588</v>
      </c>
      <c r="D18" s="112"/>
      <c r="E18" s="92"/>
      <c r="F18" s="92"/>
      <c r="G18" s="92">
        <v>1</v>
      </c>
      <c r="H18" s="92"/>
      <c r="I18" s="92"/>
      <c r="J18" s="92"/>
      <c r="K18" s="100"/>
      <c r="L18" s="100"/>
      <c r="M18" s="1040" t="s">
        <v>32</v>
      </c>
      <c r="N18" s="1039">
        <v>-1089.24</v>
      </c>
      <c r="O18" s="1029">
        <f t="shared" si="0"/>
        <v>1</v>
      </c>
      <c r="P18" s="92"/>
      <c r="Q18" s="92"/>
    </row>
    <row r="19" spans="1:17" ht="20.100000000000001" customHeight="1">
      <c r="A19" s="92">
        <v>12</v>
      </c>
      <c r="B19" s="1026" t="s">
        <v>1592</v>
      </c>
      <c r="C19" s="1026" t="s">
        <v>1588</v>
      </c>
      <c r="D19" s="112" t="s">
        <v>68</v>
      </c>
      <c r="E19" s="92"/>
      <c r="F19" s="92"/>
      <c r="G19" s="92"/>
      <c r="H19" s="92"/>
      <c r="I19" s="92"/>
      <c r="J19" s="92"/>
      <c r="K19" s="103">
        <v>1</v>
      </c>
      <c r="L19" s="103"/>
      <c r="M19" s="1041" t="s">
        <v>1594</v>
      </c>
      <c r="N19" s="1042">
        <v>120492.56</v>
      </c>
      <c r="O19" s="1029">
        <f t="shared" si="0"/>
        <v>1</v>
      </c>
      <c r="P19" s="92"/>
      <c r="Q19" s="92"/>
    </row>
    <row r="20" spans="1:17" ht="20.100000000000001" customHeight="1">
      <c r="A20" s="92">
        <v>13</v>
      </c>
      <c r="B20" s="1026" t="s">
        <v>1592</v>
      </c>
      <c r="C20" s="1026" t="s">
        <v>1588</v>
      </c>
      <c r="D20" s="92"/>
      <c r="E20" s="92"/>
      <c r="F20" s="92"/>
      <c r="G20" s="92"/>
      <c r="H20" s="92"/>
      <c r="I20" s="92"/>
      <c r="J20" s="92"/>
      <c r="K20" s="103">
        <v>1</v>
      </c>
      <c r="L20" s="103"/>
      <c r="M20" s="1043" t="s">
        <v>1595</v>
      </c>
      <c r="N20" s="104">
        <v>40334.980000000003</v>
      </c>
      <c r="O20" s="1029">
        <f t="shared" si="0"/>
        <v>1</v>
      </c>
      <c r="P20" s="92"/>
      <c r="Q20" s="92"/>
    </row>
    <row r="21" spans="1:17" ht="20.100000000000001" customHeight="1">
      <c r="A21" s="92">
        <v>14</v>
      </c>
      <c r="B21" s="1026" t="s">
        <v>1592</v>
      </c>
      <c r="C21" s="1026" t="s">
        <v>1588</v>
      </c>
      <c r="D21" s="112" t="s">
        <v>33</v>
      </c>
      <c r="E21" s="92"/>
      <c r="F21" s="92"/>
      <c r="G21" s="92"/>
      <c r="H21" s="92"/>
      <c r="I21" s="92">
        <v>4887</v>
      </c>
      <c r="J21" s="92"/>
      <c r="K21" s="100"/>
      <c r="L21" s="100"/>
      <c r="M21" s="1036" t="s">
        <v>35</v>
      </c>
      <c r="N21" s="102">
        <v>1348868.56</v>
      </c>
      <c r="O21" s="1029">
        <f t="shared" si="0"/>
        <v>4887</v>
      </c>
      <c r="P21" s="92"/>
      <c r="Q21" s="92"/>
    </row>
    <row r="22" spans="1:17" ht="20.100000000000001" customHeight="1">
      <c r="A22" s="92">
        <v>15</v>
      </c>
      <c r="B22" s="1026" t="s">
        <v>1592</v>
      </c>
      <c r="C22" s="1026" t="s">
        <v>1588</v>
      </c>
      <c r="D22" s="112" t="s">
        <v>195</v>
      </c>
      <c r="E22" s="92"/>
      <c r="F22" s="92"/>
      <c r="G22" s="92"/>
      <c r="H22" s="92"/>
      <c r="I22" s="92"/>
      <c r="J22" s="92"/>
      <c r="K22" s="100">
        <v>1</v>
      </c>
      <c r="L22" s="100"/>
      <c r="M22" s="1044" t="s">
        <v>1596</v>
      </c>
      <c r="N22" s="1042"/>
      <c r="O22" s="1029">
        <f t="shared" si="0"/>
        <v>1</v>
      </c>
      <c r="P22" s="92"/>
      <c r="Q22" s="92"/>
    </row>
    <row r="23" spans="1:17" ht="20.100000000000001" customHeight="1">
      <c r="A23" s="92">
        <v>16</v>
      </c>
      <c r="B23" s="1026" t="s">
        <v>1592</v>
      </c>
      <c r="C23" s="1026" t="s">
        <v>1588</v>
      </c>
      <c r="D23" s="112"/>
      <c r="E23" s="92"/>
      <c r="F23" s="92"/>
      <c r="G23" s="92"/>
      <c r="H23" s="92"/>
      <c r="I23" s="92"/>
      <c r="J23" s="92"/>
      <c r="K23" s="100">
        <v>1</v>
      </c>
      <c r="L23" s="100"/>
      <c r="M23" s="1045" t="s">
        <v>1597</v>
      </c>
      <c r="N23" s="1039"/>
      <c r="O23" s="1029">
        <f t="shared" si="0"/>
        <v>1</v>
      </c>
      <c r="P23" s="92"/>
      <c r="Q23" s="92"/>
    </row>
    <row r="24" spans="1:17" ht="20.100000000000001" customHeight="1">
      <c r="A24" s="92">
        <v>17</v>
      </c>
      <c r="B24" s="1026" t="s">
        <v>1592</v>
      </c>
      <c r="C24" s="1026" t="s">
        <v>1588</v>
      </c>
      <c r="D24" s="1026" t="s">
        <v>36</v>
      </c>
      <c r="E24" s="92"/>
      <c r="F24" s="92">
        <v>229</v>
      </c>
      <c r="G24" s="92"/>
      <c r="H24" s="92"/>
      <c r="I24" s="92"/>
      <c r="J24" s="92"/>
      <c r="K24" s="100"/>
      <c r="L24" s="100"/>
      <c r="M24" s="109" t="s">
        <v>1598</v>
      </c>
      <c r="N24" s="1039"/>
      <c r="O24" s="1029">
        <f t="shared" si="0"/>
        <v>229</v>
      </c>
      <c r="P24" s="92"/>
      <c r="Q24" s="92"/>
    </row>
    <row r="25" spans="1:17" ht="20.100000000000001" customHeight="1">
      <c r="A25" s="92">
        <v>18</v>
      </c>
      <c r="B25" s="1026" t="s">
        <v>1592</v>
      </c>
      <c r="C25" s="1026" t="s">
        <v>1588</v>
      </c>
      <c r="D25" s="1026" t="s">
        <v>36</v>
      </c>
      <c r="E25" s="92">
        <v>110</v>
      </c>
      <c r="F25" s="92"/>
      <c r="G25" s="92"/>
      <c r="H25" s="92"/>
      <c r="I25" s="92"/>
      <c r="J25" s="92"/>
      <c r="K25" s="100"/>
      <c r="L25" s="100"/>
      <c r="M25" s="1037" t="s">
        <v>1591</v>
      </c>
      <c r="N25" s="1039"/>
      <c r="O25" s="1029">
        <f t="shared" si="0"/>
        <v>110</v>
      </c>
      <c r="P25" s="92"/>
      <c r="Q25" s="92"/>
    </row>
    <row r="26" spans="1:17" ht="20.100000000000001" customHeight="1">
      <c r="A26" s="92">
        <v>19</v>
      </c>
      <c r="B26" s="1026" t="s">
        <v>1599</v>
      </c>
      <c r="C26" s="1026" t="s">
        <v>1588</v>
      </c>
      <c r="D26" s="1046" t="s">
        <v>29</v>
      </c>
      <c r="E26" s="92"/>
      <c r="F26" s="92"/>
      <c r="G26" s="92">
        <v>1</v>
      </c>
      <c r="H26" s="92"/>
      <c r="I26" s="92"/>
      <c r="J26" s="92"/>
      <c r="K26" s="1047"/>
      <c r="L26" s="1047"/>
      <c r="M26" s="1027" t="s">
        <v>1600</v>
      </c>
      <c r="N26" s="1048">
        <v>10215</v>
      </c>
      <c r="O26" s="1029">
        <f t="shared" si="0"/>
        <v>1</v>
      </c>
      <c r="P26" s="92"/>
      <c r="Q26" s="92"/>
    </row>
    <row r="27" spans="1:17" ht="20.100000000000001" customHeight="1">
      <c r="A27" s="92">
        <v>20</v>
      </c>
      <c r="B27" s="1026" t="s">
        <v>1599</v>
      </c>
      <c r="C27" s="1026" t="s">
        <v>1588</v>
      </c>
      <c r="D27" s="1049"/>
      <c r="E27" s="92"/>
      <c r="F27" s="92"/>
      <c r="G27" s="92">
        <v>1</v>
      </c>
      <c r="H27" s="92"/>
      <c r="I27" s="92"/>
      <c r="J27" s="92"/>
      <c r="K27" s="1047"/>
      <c r="L27" s="1047"/>
      <c r="M27" s="1027" t="s">
        <v>32</v>
      </c>
      <c r="N27" s="1048">
        <v>0.27</v>
      </c>
      <c r="O27" s="1029">
        <f t="shared" si="0"/>
        <v>1</v>
      </c>
      <c r="P27" s="92"/>
      <c r="Q27" s="92"/>
    </row>
    <row r="28" spans="1:17" ht="20.100000000000001" customHeight="1">
      <c r="A28" s="92">
        <v>21</v>
      </c>
      <c r="B28" s="1026" t="s">
        <v>1599</v>
      </c>
      <c r="C28" s="1026" t="s">
        <v>1588</v>
      </c>
      <c r="D28" s="1046" t="s">
        <v>68</v>
      </c>
      <c r="E28" s="92"/>
      <c r="F28" s="92"/>
      <c r="G28" s="92"/>
      <c r="H28" s="92"/>
      <c r="I28" s="92"/>
      <c r="J28" s="92"/>
      <c r="K28" s="1047">
        <v>1</v>
      </c>
      <c r="L28" s="1047"/>
      <c r="M28" s="1050" t="s">
        <v>1601</v>
      </c>
      <c r="N28" s="1051">
        <v>41659.800000000003</v>
      </c>
      <c r="O28" s="1029">
        <f t="shared" si="0"/>
        <v>1</v>
      </c>
      <c r="P28" s="92"/>
      <c r="Q28" s="92"/>
    </row>
    <row r="29" spans="1:17" ht="20.100000000000001" customHeight="1">
      <c r="A29" s="92">
        <v>22</v>
      </c>
      <c r="B29" s="1026" t="s">
        <v>1599</v>
      </c>
      <c r="C29" s="1026" t="s">
        <v>1588</v>
      </c>
      <c r="D29" s="1046" t="s">
        <v>36</v>
      </c>
      <c r="E29" s="92"/>
      <c r="F29" s="92">
        <v>123</v>
      </c>
      <c r="G29" s="92"/>
      <c r="H29" s="92"/>
      <c r="I29" s="92"/>
      <c r="J29" s="92"/>
      <c r="K29" s="1047"/>
      <c r="L29" s="1047"/>
      <c r="M29" s="1052" t="s">
        <v>1602</v>
      </c>
      <c r="N29" s="1053"/>
      <c r="O29" s="1029">
        <f t="shared" si="0"/>
        <v>123</v>
      </c>
      <c r="P29" s="92"/>
      <c r="Q29" s="92"/>
    </row>
    <row r="30" spans="1:17" ht="20.100000000000001" customHeight="1">
      <c r="A30" s="92">
        <v>23</v>
      </c>
      <c r="B30" s="1026" t="s">
        <v>1599</v>
      </c>
      <c r="C30" s="1026" t="s">
        <v>1588</v>
      </c>
      <c r="D30" s="1046" t="s">
        <v>36</v>
      </c>
      <c r="E30" s="92">
        <v>101</v>
      </c>
      <c r="F30" s="92"/>
      <c r="G30" s="92"/>
      <c r="H30" s="92"/>
      <c r="I30" s="92"/>
      <c r="J30" s="92"/>
      <c r="K30" s="1047"/>
      <c r="L30" s="1047"/>
      <c r="M30" s="1037" t="s">
        <v>1591</v>
      </c>
      <c r="N30" s="1053"/>
      <c r="O30" s="1029">
        <f t="shared" si="0"/>
        <v>101</v>
      </c>
      <c r="P30" s="92"/>
      <c r="Q30" s="92"/>
    </row>
    <row r="31" spans="1:17" ht="20.100000000000001" customHeight="1">
      <c r="A31" s="92">
        <v>24</v>
      </c>
      <c r="B31" s="1026" t="s">
        <v>1603</v>
      </c>
      <c r="C31" s="1026" t="s">
        <v>1588</v>
      </c>
      <c r="D31" s="1049" t="s">
        <v>26</v>
      </c>
      <c r="E31" s="92"/>
      <c r="F31" s="92"/>
      <c r="G31" s="92"/>
      <c r="H31" s="92"/>
      <c r="I31" s="92"/>
      <c r="J31" s="92"/>
      <c r="K31" s="1054">
        <v>1</v>
      </c>
      <c r="L31" s="1055"/>
      <c r="M31" s="1056" t="s">
        <v>1604</v>
      </c>
      <c r="N31" s="1057">
        <v>10.01</v>
      </c>
      <c r="O31" s="1029">
        <f t="shared" si="0"/>
        <v>1</v>
      </c>
      <c r="P31" s="92"/>
      <c r="Q31" s="92"/>
    </row>
    <row r="32" spans="1:17" ht="20.100000000000001" customHeight="1">
      <c r="A32" s="92">
        <v>25</v>
      </c>
      <c r="B32" s="1026" t="s">
        <v>1603</v>
      </c>
      <c r="C32" s="1026" t="s">
        <v>1588</v>
      </c>
      <c r="D32" s="1049"/>
      <c r="E32" s="92"/>
      <c r="F32" s="92"/>
      <c r="G32" s="92"/>
      <c r="H32" s="92"/>
      <c r="I32" s="92"/>
      <c r="J32" s="92"/>
      <c r="K32" s="1047">
        <v>1</v>
      </c>
      <c r="L32" s="1047"/>
      <c r="M32" s="1058" t="s">
        <v>1605</v>
      </c>
      <c r="N32" s="1048">
        <v>67631.929999999993</v>
      </c>
      <c r="O32" s="1029">
        <f t="shared" si="0"/>
        <v>1</v>
      </c>
      <c r="P32" s="92"/>
      <c r="Q32" s="92"/>
    </row>
    <row r="33" spans="1:17" ht="20.100000000000001" customHeight="1">
      <c r="A33" s="92">
        <v>26</v>
      </c>
      <c r="B33" s="1026" t="s">
        <v>1603</v>
      </c>
      <c r="C33" s="1026" t="s">
        <v>1588</v>
      </c>
      <c r="D33" s="1049"/>
      <c r="E33" s="92"/>
      <c r="F33" s="92"/>
      <c r="G33" s="92">
        <v>1</v>
      </c>
      <c r="H33" s="92"/>
      <c r="I33" s="92"/>
      <c r="J33" s="92"/>
      <c r="K33" s="1047"/>
      <c r="L33" s="1047"/>
      <c r="M33" s="1040" t="s">
        <v>119</v>
      </c>
      <c r="N33" s="155">
        <v>-2761532.45</v>
      </c>
      <c r="O33" s="1029">
        <f t="shared" si="0"/>
        <v>1</v>
      </c>
      <c r="P33" s="92"/>
      <c r="Q33" s="92"/>
    </row>
    <row r="34" spans="1:17" ht="20.100000000000001" customHeight="1">
      <c r="A34" s="92">
        <v>27</v>
      </c>
      <c r="B34" s="1026" t="s">
        <v>1603</v>
      </c>
      <c r="C34" s="1026" t="s">
        <v>1588</v>
      </c>
      <c r="D34" s="1049"/>
      <c r="E34" s="92"/>
      <c r="F34" s="92"/>
      <c r="G34" s="92">
        <v>1</v>
      </c>
      <c r="H34" s="92"/>
      <c r="I34" s="92"/>
      <c r="J34" s="92"/>
      <c r="K34" s="1047"/>
      <c r="L34" s="1047"/>
      <c r="M34" s="1040" t="s">
        <v>49</v>
      </c>
      <c r="N34" s="155">
        <v>-72826784.5</v>
      </c>
      <c r="O34" s="1029">
        <f t="shared" si="0"/>
        <v>1</v>
      </c>
      <c r="P34" s="92"/>
      <c r="Q34" s="92"/>
    </row>
    <row r="35" spans="1:17" ht="20.100000000000001" customHeight="1">
      <c r="A35" s="92">
        <v>28</v>
      </c>
      <c r="B35" s="1026" t="s">
        <v>1603</v>
      </c>
      <c r="C35" s="1026" t="s">
        <v>1588</v>
      </c>
      <c r="D35" s="1049"/>
      <c r="E35" s="92"/>
      <c r="F35" s="92"/>
      <c r="G35" s="92">
        <v>1</v>
      </c>
      <c r="H35" s="92"/>
      <c r="I35" s="92"/>
      <c r="J35" s="92"/>
      <c r="K35" s="1047"/>
      <c r="L35" s="1047"/>
      <c r="M35" s="1027" t="s">
        <v>32</v>
      </c>
      <c r="N35" s="155">
        <v>20.420000000000002</v>
      </c>
      <c r="O35" s="1029">
        <f t="shared" si="0"/>
        <v>1</v>
      </c>
      <c r="P35" s="92"/>
      <c r="Q35" s="92"/>
    </row>
    <row r="36" spans="1:17" ht="20.100000000000001" customHeight="1">
      <c r="A36" s="92">
        <v>29</v>
      </c>
      <c r="B36" s="1026" t="s">
        <v>1603</v>
      </c>
      <c r="C36" s="1026" t="s">
        <v>1588</v>
      </c>
      <c r="D36" s="1049" t="s">
        <v>33</v>
      </c>
      <c r="E36" s="92"/>
      <c r="F36" s="92"/>
      <c r="G36" s="92"/>
      <c r="H36" s="92">
        <v>6</v>
      </c>
      <c r="I36" s="92"/>
      <c r="J36" s="92"/>
      <c r="K36" s="1059"/>
      <c r="L36" s="1059"/>
      <c r="M36" s="1044" t="s">
        <v>34</v>
      </c>
      <c r="N36" s="1060"/>
      <c r="O36" s="1029">
        <f t="shared" si="0"/>
        <v>6</v>
      </c>
      <c r="P36" s="92"/>
      <c r="Q36" s="92"/>
    </row>
    <row r="37" spans="1:17" ht="20.100000000000001" customHeight="1">
      <c r="A37" s="92">
        <v>30</v>
      </c>
      <c r="B37" s="1026" t="s">
        <v>1603</v>
      </c>
      <c r="C37" s="1026" t="s">
        <v>1588</v>
      </c>
      <c r="D37" s="1049"/>
      <c r="E37" s="92"/>
      <c r="F37" s="92"/>
      <c r="G37" s="92"/>
      <c r="H37" s="92"/>
      <c r="I37" s="92">
        <v>1069</v>
      </c>
      <c r="J37" s="92"/>
      <c r="K37" s="1047"/>
      <c r="L37" s="1047"/>
      <c r="M37" s="1036" t="s">
        <v>35</v>
      </c>
      <c r="N37" s="155"/>
      <c r="O37" s="1029">
        <f t="shared" si="0"/>
        <v>1069</v>
      </c>
      <c r="P37" s="92"/>
      <c r="Q37" s="92"/>
    </row>
    <row r="38" spans="1:17" ht="20.100000000000001" customHeight="1">
      <c r="A38" s="92">
        <v>31</v>
      </c>
      <c r="B38" s="1026" t="s">
        <v>1603</v>
      </c>
      <c r="C38" s="1026" t="s">
        <v>1588</v>
      </c>
      <c r="D38" s="1049" t="s">
        <v>36</v>
      </c>
      <c r="E38" s="92"/>
      <c r="F38" s="92">
        <v>264</v>
      </c>
      <c r="G38" s="92"/>
      <c r="H38" s="92"/>
      <c r="I38" s="92"/>
      <c r="J38" s="92"/>
      <c r="K38" s="1047"/>
      <c r="L38" s="1047"/>
      <c r="M38" s="1061" t="s">
        <v>1606</v>
      </c>
      <c r="N38" s="1048"/>
      <c r="O38" s="1029">
        <f t="shared" si="0"/>
        <v>264</v>
      </c>
      <c r="P38" s="92"/>
      <c r="Q38" s="92"/>
    </row>
    <row r="39" spans="1:17" ht="20.100000000000001" customHeight="1">
      <c r="A39" s="92">
        <v>32</v>
      </c>
      <c r="B39" s="1026" t="s">
        <v>1603</v>
      </c>
      <c r="C39" s="1026" t="s">
        <v>1588</v>
      </c>
      <c r="D39" s="1049" t="s">
        <v>36</v>
      </c>
      <c r="E39" s="92">
        <v>30</v>
      </c>
      <c r="F39" s="92"/>
      <c r="G39" s="92"/>
      <c r="H39" s="92"/>
      <c r="I39" s="92"/>
      <c r="J39" s="92"/>
      <c r="K39" s="1047"/>
      <c r="L39" s="1047"/>
      <c r="M39" s="1037" t="s">
        <v>1591</v>
      </c>
      <c r="N39" s="1048"/>
      <c r="O39" s="1029">
        <f t="shared" si="0"/>
        <v>30</v>
      </c>
      <c r="P39" s="92"/>
      <c r="Q39" s="92"/>
    </row>
    <row r="40" spans="1:17" ht="20.100000000000001" customHeight="1">
      <c r="A40" s="92">
        <v>33</v>
      </c>
      <c r="B40" s="1026" t="s">
        <v>1607</v>
      </c>
      <c r="C40" s="1026" t="s">
        <v>1588</v>
      </c>
      <c r="D40" s="1049" t="s">
        <v>29</v>
      </c>
      <c r="E40" s="92"/>
      <c r="F40" s="92"/>
      <c r="G40" s="92">
        <v>1</v>
      </c>
      <c r="H40" s="92"/>
      <c r="I40" s="92"/>
      <c r="J40" s="92"/>
      <c r="K40" s="1047"/>
      <c r="L40" s="100"/>
      <c r="M40" s="1062" t="s">
        <v>49</v>
      </c>
      <c r="N40" s="1063">
        <v>-1912138266</v>
      </c>
      <c r="O40" s="1029">
        <f t="shared" si="0"/>
        <v>1</v>
      </c>
      <c r="P40" s="92"/>
      <c r="Q40" s="92"/>
    </row>
    <row r="41" spans="1:17" ht="20.100000000000001" customHeight="1">
      <c r="A41" s="92">
        <v>34</v>
      </c>
      <c r="B41" s="1026" t="s">
        <v>1607</v>
      </c>
      <c r="C41" s="1026" t="s">
        <v>1588</v>
      </c>
      <c r="D41" s="1064"/>
      <c r="E41" s="92"/>
      <c r="F41" s="92"/>
      <c r="G41" s="92">
        <v>1</v>
      </c>
      <c r="H41" s="92"/>
      <c r="I41" s="92"/>
      <c r="J41" s="92"/>
      <c r="K41" s="1047"/>
      <c r="L41" s="100"/>
      <c r="M41" s="1062" t="s">
        <v>32</v>
      </c>
      <c r="N41" s="102">
        <v>-79826.61</v>
      </c>
      <c r="O41" s="1029">
        <f t="shared" si="0"/>
        <v>1</v>
      </c>
      <c r="P41" s="92"/>
      <c r="Q41" s="92"/>
    </row>
    <row r="42" spans="1:17" ht="20.100000000000001" customHeight="1">
      <c r="A42" s="92">
        <v>35</v>
      </c>
      <c r="B42" s="1026" t="s">
        <v>1607</v>
      </c>
      <c r="C42" s="1026" t="s">
        <v>1588</v>
      </c>
      <c r="D42" s="1064"/>
      <c r="E42" s="92"/>
      <c r="F42" s="92"/>
      <c r="G42" s="92">
        <v>1</v>
      </c>
      <c r="H42" s="92"/>
      <c r="I42" s="92"/>
      <c r="J42" s="92"/>
      <c r="K42" s="1059"/>
      <c r="L42" s="103"/>
      <c r="M42" s="1062" t="s">
        <v>207</v>
      </c>
      <c r="N42" s="104">
        <v>-25169571.789999999</v>
      </c>
      <c r="O42" s="1029">
        <f t="shared" si="0"/>
        <v>1</v>
      </c>
      <c r="P42" s="92"/>
      <c r="Q42" s="92"/>
    </row>
    <row r="43" spans="1:17" ht="20.100000000000001" customHeight="1">
      <c r="A43" s="92">
        <v>36</v>
      </c>
      <c r="B43" s="1026" t="s">
        <v>1607</v>
      </c>
      <c r="C43" s="1026" t="s">
        <v>1588</v>
      </c>
      <c r="D43" s="1064"/>
      <c r="E43" s="92"/>
      <c r="F43" s="92"/>
      <c r="G43" s="92"/>
      <c r="H43" s="92"/>
      <c r="I43" s="92"/>
      <c r="J43" s="92"/>
      <c r="K43" s="1059">
        <v>1</v>
      </c>
      <c r="L43" s="103"/>
      <c r="M43" s="1045" t="s">
        <v>1608</v>
      </c>
      <c r="N43" s="1065">
        <v>-15840.87</v>
      </c>
      <c r="O43" s="1029">
        <f t="shared" si="0"/>
        <v>1</v>
      </c>
      <c r="P43" s="92"/>
      <c r="Q43" s="92"/>
    </row>
    <row r="44" spans="1:17" ht="20.100000000000001" customHeight="1">
      <c r="A44" s="92">
        <v>37</v>
      </c>
      <c r="B44" s="1026" t="s">
        <v>1607</v>
      </c>
      <c r="C44" s="1026" t="s">
        <v>1588</v>
      </c>
      <c r="D44" s="1064"/>
      <c r="E44" s="92"/>
      <c r="F44" s="92"/>
      <c r="G44" s="92"/>
      <c r="H44" s="92"/>
      <c r="I44" s="92"/>
      <c r="J44" s="92"/>
      <c r="K44" s="1059">
        <v>1</v>
      </c>
      <c r="L44" s="103"/>
      <c r="M44" s="1045" t="s">
        <v>678</v>
      </c>
      <c r="N44" s="1065">
        <v>-25041.42</v>
      </c>
      <c r="O44" s="1029">
        <f t="shared" si="0"/>
        <v>1</v>
      </c>
      <c r="P44" s="92"/>
      <c r="Q44" s="92"/>
    </row>
    <row r="45" spans="1:17" ht="20.100000000000001" customHeight="1">
      <c r="A45" s="92">
        <v>38</v>
      </c>
      <c r="B45" s="1026" t="s">
        <v>1607</v>
      </c>
      <c r="C45" s="1026" t="s">
        <v>1588</v>
      </c>
      <c r="D45" s="1066" t="s">
        <v>68</v>
      </c>
      <c r="E45" s="92"/>
      <c r="F45" s="92"/>
      <c r="G45" s="92"/>
      <c r="H45" s="92"/>
      <c r="I45" s="92"/>
      <c r="J45" s="92"/>
      <c r="K45" s="1059">
        <v>1</v>
      </c>
      <c r="L45" s="103"/>
      <c r="M45" s="1067" t="s">
        <v>1609</v>
      </c>
      <c r="N45" s="1068">
        <v>1018068.54</v>
      </c>
      <c r="O45" s="1029">
        <f t="shared" si="0"/>
        <v>1</v>
      </c>
      <c r="P45" s="92"/>
      <c r="Q45" s="92"/>
    </row>
    <row r="46" spans="1:17" ht="20.100000000000001" customHeight="1">
      <c r="A46" s="92">
        <v>39</v>
      </c>
      <c r="B46" s="1026" t="s">
        <v>1607</v>
      </c>
      <c r="C46" s="1026" t="s">
        <v>1588</v>
      </c>
      <c r="D46" s="1064"/>
      <c r="E46" s="92"/>
      <c r="F46" s="92"/>
      <c r="G46" s="92"/>
      <c r="H46" s="92"/>
      <c r="I46" s="92">
        <v>3227</v>
      </c>
      <c r="J46" s="92"/>
      <c r="K46" s="1069"/>
      <c r="L46" s="100"/>
      <c r="M46" s="1052" t="s">
        <v>35</v>
      </c>
      <c r="N46" s="1039"/>
      <c r="O46" s="1029">
        <f t="shared" si="0"/>
        <v>3227</v>
      </c>
      <c r="P46" s="92"/>
      <c r="Q46" s="92"/>
    </row>
    <row r="47" spans="1:17" ht="20.100000000000001" customHeight="1">
      <c r="A47" s="92">
        <v>40</v>
      </c>
      <c r="B47" s="1026" t="s">
        <v>1607</v>
      </c>
      <c r="C47" s="1026" t="s">
        <v>1588</v>
      </c>
      <c r="D47" s="1070" t="s">
        <v>36</v>
      </c>
      <c r="E47" s="92"/>
      <c r="F47" s="92">
        <v>747</v>
      </c>
      <c r="G47" s="92"/>
      <c r="H47" s="92"/>
      <c r="I47" s="92"/>
      <c r="J47" s="92"/>
      <c r="K47" s="1071"/>
      <c r="L47" s="100"/>
      <c r="M47" s="1052" t="s">
        <v>1610</v>
      </c>
      <c r="N47" s="1039"/>
      <c r="O47" s="1029">
        <f t="shared" si="0"/>
        <v>747</v>
      </c>
      <c r="P47" s="92"/>
      <c r="Q47" s="92"/>
    </row>
    <row r="48" spans="1:17" ht="20.100000000000001" customHeight="1">
      <c r="A48" s="92">
        <v>41</v>
      </c>
      <c r="B48" s="1026" t="s">
        <v>1607</v>
      </c>
      <c r="C48" s="1026" t="s">
        <v>1588</v>
      </c>
      <c r="D48" s="1070" t="s">
        <v>36</v>
      </c>
      <c r="E48" s="92">
        <v>374</v>
      </c>
      <c r="F48" s="92"/>
      <c r="G48" s="92"/>
      <c r="H48" s="92"/>
      <c r="I48" s="92"/>
      <c r="J48" s="92"/>
      <c r="K48" s="1071"/>
      <c r="L48" s="100"/>
      <c r="M48" s="1037" t="s">
        <v>1591</v>
      </c>
      <c r="N48" s="1039"/>
      <c r="O48" s="1029">
        <f t="shared" si="0"/>
        <v>374</v>
      </c>
      <c r="P48" s="92"/>
      <c r="Q48" s="92"/>
    </row>
    <row r="49" spans="1:17" ht="20.100000000000001" customHeight="1">
      <c r="A49" s="92">
        <v>42</v>
      </c>
      <c r="B49" s="1026" t="s">
        <v>1611</v>
      </c>
      <c r="C49" s="1026" t="s">
        <v>1588</v>
      </c>
      <c r="D49" s="1049" t="s">
        <v>29</v>
      </c>
      <c r="E49" s="92"/>
      <c r="F49" s="92"/>
      <c r="G49" s="92">
        <v>1</v>
      </c>
      <c r="H49" s="92"/>
      <c r="I49" s="92"/>
      <c r="J49" s="92"/>
      <c r="K49" s="1047"/>
      <c r="L49" s="1047"/>
      <c r="M49" s="1040" t="s">
        <v>119</v>
      </c>
      <c r="N49" s="1048">
        <v>-1838626.17</v>
      </c>
      <c r="O49" s="1029">
        <f t="shared" si="0"/>
        <v>1</v>
      </c>
      <c r="P49" s="92"/>
      <c r="Q49" s="92"/>
    </row>
    <row r="50" spans="1:17" ht="20.100000000000001" customHeight="1">
      <c r="A50" s="92">
        <v>43</v>
      </c>
      <c r="B50" s="1026" t="s">
        <v>1611</v>
      </c>
      <c r="C50" s="1026" t="s">
        <v>1588</v>
      </c>
      <c r="D50" s="1049"/>
      <c r="E50" s="92"/>
      <c r="F50" s="92"/>
      <c r="G50" s="92">
        <v>1</v>
      </c>
      <c r="H50" s="92"/>
      <c r="I50" s="92"/>
      <c r="J50" s="92"/>
      <c r="K50" s="1047"/>
      <c r="L50" s="1047"/>
      <c r="M50" s="1027" t="s">
        <v>49</v>
      </c>
      <c r="N50" s="1048">
        <v>-16666436.35</v>
      </c>
      <c r="O50" s="1029">
        <f t="shared" si="0"/>
        <v>1</v>
      </c>
      <c r="P50" s="92"/>
      <c r="Q50" s="92"/>
    </row>
    <row r="51" spans="1:17" ht="20.100000000000001" customHeight="1">
      <c r="A51" s="92">
        <v>44</v>
      </c>
      <c r="B51" s="1026" t="s">
        <v>1611</v>
      </c>
      <c r="C51" s="1026" t="s">
        <v>1588</v>
      </c>
      <c r="D51" s="1049"/>
      <c r="E51" s="92"/>
      <c r="F51" s="92"/>
      <c r="G51" s="92">
        <v>1</v>
      </c>
      <c r="H51" s="92"/>
      <c r="I51" s="92"/>
      <c r="J51" s="92"/>
      <c r="K51" s="1047"/>
      <c r="L51" s="1047"/>
      <c r="M51" s="1040" t="s">
        <v>32</v>
      </c>
      <c r="N51" s="1048">
        <v>-240.09</v>
      </c>
      <c r="O51" s="1029">
        <f t="shared" si="0"/>
        <v>1</v>
      </c>
      <c r="P51" s="92"/>
      <c r="Q51" s="92"/>
    </row>
    <row r="52" spans="1:17" ht="20.100000000000001" customHeight="1">
      <c r="A52" s="92">
        <v>45</v>
      </c>
      <c r="B52" s="1026" t="s">
        <v>1611</v>
      </c>
      <c r="C52" s="1026" t="s">
        <v>1588</v>
      </c>
      <c r="D52" s="1049"/>
      <c r="E52" s="92"/>
      <c r="F52" s="92"/>
      <c r="G52" s="92"/>
      <c r="H52" s="92"/>
      <c r="I52" s="92"/>
      <c r="J52" s="92"/>
      <c r="K52" s="1072">
        <v>1</v>
      </c>
      <c r="L52" s="1059"/>
      <c r="M52" s="1031" t="s">
        <v>904</v>
      </c>
      <c r="N52" s="1060">
        <v>-12541.17</v>
      </c>
      <c r="O52" s="1029">
        <f t="shared" si="0"/>
        <v>1</v>
      </c>
      <c r="P52" s="92"/>
      <c r="Q52" s="92"/>
    </row>
    <row r="53" spans="1:17" ht="20.100000000000001" customHeight="1">
      <c r="A53" s="92">
        <v>46</v>
      </c>
      <c r="B53" s="1026" t="s">
        <v>1611</v>
      </c>
      <c r="C53" s="1026" t="s">
        <v>1588</v>
      </c>
      <c r="D53" s="1049" t="s">
        <v>33</v>
      </c>
      <c r="E53" s="92"/>
      <c r="F53" s="92"/>
      <c r="G53" s="92"/>
      <c r="H53" s="92"/>
      <c r="I53" s="92">
        <v>1294</v>
      </c>
      <c r="J53" s="92"/>
      <c r="K53" s="1047"/>
      <c r="L53" s="1047"/>
      <c r="M53" s="1044" t="s">
        <v>35</v>
      </c>
      <c r="N53" s="1048"/>
      <c r="O53" s="1029">
        <f t="shared" si="0"/>
        <v>1294</v>
      </c>
      <c r="P53" s="92"/>
      <c r="Q53" s="92"/>
    </row>
    <row r="54" spans="1:17" ht="20.100000000000001" customHeight="1">
      <c r="A54" s="92">
        <v>47</v>
      </c>
      <c r="B54" s="1026" t="s">
        <v>1611</v>
      </c>
      <c r="C54" s="1026" t="s">
        <v>1588</v>
      </c>
      <c r="D54" s="1049" t="s">
        <v>36</v>
      </c>
      <c r="E54" s="92"/>
      <c r="F54" s="92">
        <v>1289</v>
      </c>
      <c r="G54" s="92"/>
      <c r="H54" s="92"/>
      <c r="I54" s="92"/>
      <c r="J54" s="92"/>
      <c r="K54" s="1047"/>
      <c r="L54" s="1047"/>
      <c r="M54" s="109" t="s">
        <v>1612</v>
      </c>
      <c r="N54" s="1048"/>
      <c r="O54" s="1029">
        <f t="shared" si="0"/>
        <v>1289</v>
      </c>
      <c r="P54" s="92"/>
      <c r="Q54" s="92"/>
    </row>
    <row r="55" spans="1:17" ht="20.100000000000001" customHeight="1">
      <c r="A55" s="92">
        <v>48</v>
      </c>
      <c r="B55" s="1026" t="s">
        <v>1611</v>
      </c>
      <c r="C55" s="1026" t="s">
        <v>1588</v>
      </c>
      <c r="D55" s="1049" t="s">
        <v>36</v>
      </c>
      <c r="E55" s="92">
        <v>17</v>
      </c>
      <c r="F55" s="92"/>
      <c r="G55" s="92"/>
      <c r="H55" s="92"/>
      <c r="I55" s="92"/>
      <c r="J55" s="92"/>
      <c r="K55" s="1047"/>
      <c r="L55" s="1047"/>
      <c r="M55" s="1037" t="s">
        <v>1591</v>
      </c>
      <c r="N55" s="1048"/>
      <c r="O55" s="1029">
        <f t="shared" si="0"/>
        <v>17</v>
      </c>
      <c r="P55" s="92"/>
      <c r="Q55" s="92"/>
    </row>
    <row r="56" spans="1:17" ht="20.100000000000001" customHeight="1">
      <c r="A56" s="92">
        <v>49</v>
      </c>
      <c r="B56" s="1026" t="s">
        <v>1613</v>
      </c>
      <c r="C56" s="1026" t="s">
        <v>1588</v>
      </c>
      <c r="D56" s="1049" t="s">
        <v>26</v>
      </c>
      <c r="E56" s="92"/>
      <c r="F56" s="92"/>
      <c r="G56" s="92"/>
      <c r="H56" s="92"/>
      <c r="I56" s="92"/>
      <c r="J56" s="92"/>
      <c r="K56" s="1047">
        <v>1</v>
      </c>
      <c r="L56" s="1047"/>
      <c r="M56" s="1058" t="s">
        <v>1614</v>
      </c>
      <c r="N56" s="1048">
        <v>41600</v>
      </c>
      <c r="O56" s="1029">
        <f t="shared" si="0"/>
        <v>1</v>
      </c>
      <c r="P56" s="92"/>
      <c r="Q56" s="92"/>
    </row>
    <row r="57" spans="1:17" ht="20.100000000000001" customHeight="1">
      <c r="A57" s="92">
        <v>50</v>
      </c>
      <c r="B57" s="1026" t="s">
        <v>1613</v>
      </c>
      <c r="C57" s="1026" t="s">
        <v>1588</v>
      </c>
      <c r="D57" s="1049" t="s">
        <v>29</v>
      </c>
      <c r="E57" s="92"/>
      <c r="F57" s="92"/>
      <c r="G57" s="92">
        <v>1</v>
      </c>
      <c r="H57" s="92"/>
      <c r="I57" s="92"/>
      <c r="J57" s="92"/>
      <c r="K57" s="1047"/>
      <c r="L57" s="1047"/>
      <c r="M57" s="1040" t="s">
        <v>119</v>
      </c>
      <c r="N57" s="1073">
        <v>-2006473.24</v>
      </c>
      <c r="O57" s="1029">
        <f t="shared" si="0"/>
        <v>1</v>
      </c>
      <c r="P57" s="92"/>
      <c r="Q57" s="92"/>
    </row>
    <row r="58" spans="1:17" ht="20.100000000000001" customHeight="1">
      <c r="A58" s="92">
        <v>51</v>
      </c>
      <c r="B58" s="1026" t="s">
        <v>1613</v>
      </c>
      <c r="C58" s="1026" t="s">
        <v>1588</v>
      </c>
      <c r="D58" s="1049"/>
      <c r="E58" s="92"/>
      <c r="F58" s="92"/>
      <c r="G58" s="92">
        <v>1</v>
      </c>
      <c r="H58" s="92"/>
      <c r="I58" s="92"/>
      <c r="J58" s="92"/>
      <c r="K58" s="1047"/>
      <c r="L58" s="1047"/>
      <c r="M58" s="1040" t="s">
        <v>49</v>
      </c>
      <c r="N58" s="1048">
        <v>-135032012.09999999</v>
      </c>
      <c r="O58" s="1029">
        <f t="shared" si="0"/>
        <v>1</v>
      </c>
      <c r="P58" s="92"/>
      <c r="Q58" s="92"/>
    </row>
    <row r="59" spans="1:17" ht="20.100000000000001" customHeight="1">
      <c r="A59" s="92">
        <v>52</v>
      </c>
      <c r="B59" s="1026" t="s">
        <v>1613</v>
      </c>
      <c r="C59" s="1026" t="s">
        <v>1588</v>
      </c>
      <c r="D59" s="1049"/>
      <c r="E59" s="92"/>
      <c r="F59" s="92"/>
      <c r="G59" s="92">
        <v>1</v>
      </c>
      <c r="H59" s="92"/>
      <c r="I59" s="92"/>
      <c r="J59" s="92"/>
      <c r="K59" s="1047"/>
      <c r="L59" s="1047"/>
      <c r="M59" s="1027" t="s">
        <v>32</v>
      </c>
      <c r="N59" s="1048">
        <v>600.67999999999995</v>
      </c>
      <c r="O59" s="1029">
        <f t="shared" si="0"/>
        <v>1</v>
      </c>
      <c r="P59" s="92"/>
      <c r="Q59" s="92"/>
    </row>
    <row r="60" spans="1:17" ht="20.100000000000001" customHeight="1">
      <c r="A60" s="92">
        <v>53</v>
      </c>
      <c r="B60" s="1026" t="s">
        <v>1613</v>
      </c>
      <c r="C60" s="1026" t="s">
        <v>1588</v>
      </c>
      <c r="D60" s="1049"/>
      <c r="E60" s="92"/>
      <c r="F60" s="92"/>
      <c r="G60" s="92">
        <v>1</v>
      </c>
      <c r="H60" s="92"/>
      <c r="I60" s="92"/>
      <c r="J60" s="92"/>
      <c r="K60" s="1059"/>
      <c r="L60" s="1059"/>
      <c r="M60" s="1027" t="s">
        <v>207</v>
      </c>
      <c r="N60" s="186">
        <v>-21734776.920000002</v>
      </c>
      <c r="O60" s="1029">
        <f t="shared" si="0"/>
        <v>1</v>
      </c>
      <c r="P60" s="92"/>
      <c r="Q60" s="92"/>
    </row>
    <row r="61" spans="1:17" ht="20.100000000000001" customHeight="1">
      <c r="A61" s="92">
        <v>54</v>
      </c>
      <c r="B61" s="1026" t="s">
        <v>1613</v>
      </c>
      <c r="C61" s="1026" t="s">
        <v>1588</v>
      </c>
      <c r="D61" s="92"/>
      <c r="E61" s="92"/>
      <c r="F61" s="92"/>
      <c r="G61" s="92"/>
      <c r="H61" s="92">
        <v>8</v>
      </c>
      <c r="I61" s="92"/>
      <c r="J61" s="92"/>
      <c r="K61" s="1059"/>
      <c r="L61" s="1059"/>
      <c r="M61" s="1044" t="s">
        <v>34</v>
      </c>
      <c r="N61" s="1060"/>
      <c r="O61" s="1029">
        <f t="shared" si="0"/>
        <v>8</v>
      </c>
      <c r="P61" s="92"/>
      <c r="Q61" s="92"/>
    </row>
    <row r="62" spans="1:17" ht="20.100000000000001" customHeight="1">
      <c r="A62" s="92">
        <v>55</v>
      </c>
      <c r="B62" s="1026" t="s">
        <v>1613</v>
      </c>
      <c r="C62" s="1026" t="s">
        <v>1588</v>
      </c>
      <c r="D62" s="1049"/>
      <c r="E62" s="92"/>
      <c r="F62" s="92"/>
      <c r="G62" s="92"/>
      <c r="H62" s="92"/>
      <c r="I62" s="92">
        <v>923</v>
      </c>
      <c r="J62" s="92"/>
      <c r="K62" s="1047"/>
      <c r="L62" s="1047"/>
      <c r="M62" s="1036" t="s">
        <v>35</v>
      </c>
      <c r="N62" s="155">
        <v>3911654.35</v>
      </c>
      <c r="O62" s="1029">
        <f t="shared" si="0"/>
        <v>923</v>
      </c>
      <c r="P62" s="92"/>
      <c r="Q62" s="92"/>
    </row>
    <row r="63" spans="1:17" ht="20.100000000000001" customHeight="1">
      <c r="A63" s="92">
        <v>56</v>
      </c>
      <c r="B63" s="1026" t="s">
        <v>1613</v>
      </c>
      <c r="C63" s="1026" t="s">
        <v>1588</v>
      </c>
      <c r="D63" s="1049" t="s">
        <v>36</v>
      </c>
      <c r="E63" s="92"/>
      <c r="F63" s="92">
        <v>866</v>
      </c>
      <c r="G63" s="92"/>
      <c r="H63" s="92"/>
      <c r="I63" s="92"/>
      <c r="J63" s="92"/>
      <c r="K63" s="1047"/>
      <c r="L63" s="1047"/>
      <c r="M63" s="1061" t="s">
        <v>1615</v>
      </c>
      <c r="N63" s="1048"/>
      <c r="O63" s="1029">
        <f t="shared" si="0"/>
        <v>866</v>
      </c>
      <c r="P63" s="92"/>
      <c r="Q63" s="92"/>
    </row>
    <row r="64" spans="1:17" ht="20.100000000000001" customHeight="1">
      <c r="A64" s="92">
        <v>57</v>
      </c>
      <c r="B64" s="1026" t="s">
        <v>1613</v>
      </c>
      <c r="C64" s="1026" t="s">
        <v>1588</v>
      </c>
      <c r="D64" s="1049" t="s">
        <v>36</v>
      </c>
      <c r="E64" s="92">
        <v>79</v>
      </c>
      <c r="F64" s="92"/>
      <c r="G64" s="92"/>
      <c r="H64" s="92"/>
      <c r="I64" s="92"/>
      <c r="J64" s="92"/>
      <c r="K64" s="1047"/>
      <c r="L64" s="1047"/>
      <c r="M64" s="1037" t="s">
        <v>1591</v>
      </c>
      <c r="N64" s="1048"/>
      <c r="O64" s="1029">
        <f t="shared" si="0"/>
        <v>79</v>
      </c>
      <c r="P64" s="92"/>
      <c r="Q64" s="92"/>
    </row>
    <row r="65" spans="1:17" ht="20.100000000000001" customHeight="1">
      <c r="A65" s="92">
        <v>58</v>
      </c>
      <c r="B65" s="1026" t="s">
        <v>1613</v>
      </c>
      <c r="C65" s="1026" t="s">
        <v>1588</v>
      </c>
      <c r="D65" s="112" t="s">
        <v>38</v>
      </c>
      <c r="E65" s="92"/>
      <c r="F65" s="92"/>
      <c r="G65" s="92"/>
      <c r="H65" s="92"/>
      <c r="I65" s="92"/>
      <c r="J65" s="92"/>
      <c r="K65" s="100">
        <v>1</v>
      </c>
      <c r="L65" s="1074" t="s">
        <v>930</v>
      </c>
      <c r="M65" s="109" t="s">
        <v>1616</v>
      </c>
      <c r="N65" s="102">
        <v>10000</v>
      </c>
      <c r="O65" s="1029">
        <f t="shared" si="0"/>
        <v>0</v>
      </c>
      <c r="P65" s="92">
        <v>1</v>
      </c>
      <c r="Q65" s="92"/>
    </row>
    <row r="66" spans="1:17" ht="20.100000000000001" customHeight="1">
      <c r="A66" s="92">
        <v>59</v>
      </c>
      <c r="B66" s="1026" t="s">
        <v>1613</v>
      </c>
      <c r="C66" s="1026" t="s">
        <v>1588</v>
      </c>
      <c r="D66" s="112"/>
      <c r="E66" s="92"/>
      <c r="F66" s="92"/>
      <c r="G66" s="92"/>
      <c r="H66" s="92"/>
      <c r="I66" s="92"/>
      <c r="J66" s="92"/>
      <c r="K66" s="100">
        <v>1</v>
      </c>
      <c r="L66" s="1074" t="s">
        <v>986</v>
      </c>
      <c r="M66" s="109" t="s">
        <v>1617</v>
      </c>
      <c r="N66" s="102">
        <v>85556.7</v>
      </c>
      <c r="O66" s="1029">
        <f t="shared" si="0"/>
        <v>0</v>
      </c>
      <c r="P66" s="92">
        <v>1</v>
      </c>
      <c r="Q66" s="92"/>
    </row>
    <row r="67" spans="1:17" ht="20.100000000000001" customHeight="1">
      <c r="A67" s="92">
        <v>60</v>
      </c>
      <c r="B67" s="1026" t="s">
        <v>1618</v>
      </c>
      <c r="C67" s="1026" t="s">
        <v>1588</v>
      </c>
      <c r="D67" s="1075" t="s">
        <v>26</v>
      </c>
      <c r="E67" s="92"/>
      <c r="F67" s="92"/>
      <c r="G67" s="92"/>
      <c r="H67" s="92"/>
      <c r="I67" s="92"/>
      <c r="J67" s="92"/>
      <c r="K67" s="100">
        <v>1</v>
      </c>
      <c r="L67" s="100"/>
      <c r="M67" s="1038" t="s">
        <v>1619</v>
      </c>
      <c r="N67" s="1039">
        <v>63190.06</v>
      </c>
      <c r="O67" s="1029">
        <f t="shared" si="0"/>
        <v>1</v>
      </c>
      <c r="P67" s="92"/>
      <c r="Q67" s="92"/>
    </row>
    <row r="68" spans="1:17" ht="20.100000000000001" customHeight="1">
      <c r="A68" s="92">
        <v>61</v>
      </c>
      <c r="B68" s="1026" t="s">
        <v>1618</v>
      </c>
      <c r="C68" s="1026" t="s">
        <v>1588</v>
      </c>
      <c r="D68" s="1076"/>
      <c r="E68" s="92"/>
      <c r="F68" s="92"/>
      <c r="G68" s="92">
        <v>1</v>
      </c>
      <c r="H68" s="92"/>
      <c r="I68" s="92"/>
      <c r="J68" s="92"/>
      <c r="K68" s="100"/>
      <c r="L68" s="100"/>
      <c r="M68" s="1077" t="s">
        <v>119</v>
      </c>
      <c r="N68" s="102">
        <v>-2438929.77</v>
      </c>
      <c r="O68" s="1029">
        <f t="shared" si="0"/>
        <v>1</v>
      </c>
      <c r="P68" s="92"/>
      <c r="Q68" s="92"/>
    </row>
    <row r="69" spans="1:17" ht="20.100000000000001" customHeight="1">
      <c r="A69" s="92">
        <v>62</v>
      </c>
      <c r="B69" s="1026" t="s">
        <v>1618</v>
      </c>
      <c r="C69" s="1026" t="s">
        <v>1588</v>
      </c>
      <c r="D69" s="1076"/>
      <c r="E69" s="92"/>
      <c r="F69" s="92"/>
      <c r="G69" s="92">
        <v>1</v>
      </c>
      <c r="H69" s="92"/>
      <c r="I69" s="92"/>
      <c r="J69" s="92"/>
      <c r="K69" s="100"/>
      <c r="L69" s="100"/>
      <c r="M69" s="1077" t="s">
        <v>49</v>
      </c>
      <c r="N69" s="102">
        <v>-8604330.1999999993</v>
      </c>
      <c r="O69" s="1029">
        <f t="shared" si="0"/>
        <v>1</v>
      </c>
      <c r="P69" s="92"/>
      <c r="Q69" s="92"/>
    </row>
    <row r="70" spans="1:17" ht="20.100000000000001" customHeight="1">
      <c r="A70" s="92">
        <v>63</v>
      </c>
      <c r="B70" s="1026" t="s">
        <v>1618</v>
      </c>
      <c r="C70" s="1026" t="s">
        <v>1588</v>
      </c>
      <c r="D70" s="1076"/>
      <c r="E70" s="92"/>
      <c r="F70" s="92"/>
      <c r="G70" s="92">
        <v>1</v>
      </c>
      <c r="H70" s="92"/>
      <c r="I70" s="92"/>
      <c r="J70" s="92"/>
      <c r="K70" s="100"/>
      <c r="L70" s="100"/>
      <c r="M70" s="1077" t="s">
        <v>32</v>
      </c>
      <c r="N70" s="102">
        <v>47.23</v>
      </c>
      <c r="O70" s="1029">
        <f t="shared" si="0"/>
        <v>1</v>
      </c>
      <c r="P70" s="92"/>
      <c r="Q70" s="92"/>
    </row>
    <row r="71" spans="1:17" ht="20.100000000000001" customHeight="1">
      <c r="A71" s="92">
        <v>64</v>
      </c>
      <c r="B71" s="1026" t="s">
        <v>1618</v>
      </c>
      <c r="C71" s="1026" t="s">
        <v>1588</v>
      </c>
      <c r="D71" s="1076"/>
      <c r="E71" s="92"/>
      <c r="F71" s="92"/>
      <c r="G71" s="92">
        <v>1</v>
      </c>
      <c r="H71" s="92"/>
      <c r="I71" s="92"/>
      <c r="J71" s="92"/>
      <c r="K71" s="100"/>
      <c r="L71" s="100"/>
      <c r="M71" s="1077" t="s">
        <v>1620</v>
      </c>
      <c r="N71" s="102">
        <v>128.5</v>
      </c>
      <c r="O71" s="1029">
        <f t="shared" si="0"/>
        <v>1</v>
      </c>
      <c r="P71" s="92"/>
      <c r="Q71" s="92"/>
    </row>
    <row r="72" spans="1:17" ht="20.100000000000001" customHeight="1">
      <c r="A72" s="92">
        <v>65</v>
      </c>
      <c r="B72" s="1026" t="s">
        <v>1618</v>
      </c>
      <c r="C72" s="1026" t="s">
        <v>1588</v>
      </c>
      <c r="D72" s="1075" t="s">
        <v>33</v>
      </c>
      <c r="E72" s="92"/>
      <c r="F72" s="92"/>
      <c r="G72" s="92"/>
      <c r="H72" s="92"/>
      <c r="I72" s="92">
        <v>69</v>
      </c>
      <c r="J72" s="92"/>
      <c r="K72" s="100"/>
      <c r="L72" s="100"/>
      <c r="M72" s="1036" t="s">
        <v>35</v>
      </c>
      <c r="N72" s="155">
        <v>455010.37</v>
      </c>
      <c r="O72" s="1029">
        <f t="shared" si="0"/>
        <v>69</v>
      </c>
      <c r="P72" s="92"/>
      <c r="Q72" s="92"/>
    </row>
    <row r="73" spans="1:17" ht="20.100000000000001" customHeight="1">
      <c r="A73" s="92">
        <v>66</v>
      </c>
      <c r="B73" s="1026" t="s">
        <v>1618</v>
      </c>
      <c r="C73" s="1026" t="s">
        <v>1588</v>
      </c>
      <c r="D73" s="1075" t="s">
        <v>36</v>
      </c>
      <c r="E73" s="92"/>
      <c r="F73" s="92">
        <v>314</v>
      </c>
      <c r="G73" s="92"/>
      <c r="H73" s="92"/>
      <c r="I73" s="92"/>
      <c r="J73" s="92"/>
      <c r="K73" s="100"/>
      <c r="L73" s="100"/>
      <c r="M73" s="1078" t="s">
        <v>1621</v>
      </c>
      <c r="N73" s="1039"/>
      <c r="O73" s="1029">
        <f t="shared" si="0"/>
        <v>314</v>
      </c>
      <c r="P73" s="92"/>
      <c r="Q73" s="92"/>
    </row>
    <row r="74" spans="1:17" ht="20.100000000000001" customHeight="1">
      <c r="A74" s="92">
        <v>67</v>
      </c>
      <c r="B74" s="1026" t="s">
        <v>1618</v>
      </c>
      <c r="C74" s="1026" t="s">
        <v>1588</v>
      </c>
      <c r="D74" s="1075" t="s">
        <v>36</v>
      </c>
      <c r="E74" s="92">
        <v>229</v>
      </c>
      <c r="F74" s="92"/>
      <c r="G74" s="92"/>
      <c r="H74" s="92"/>
      <c r="I74" s="92"/>
      <c r="J74" s="92"/>
      <c r="K74" s="100"/>
      <c r="L74" s="100"/>
      <c r="M74" s="1037" t="s">
        <v>1591</v>
      </c>
      <c r="N74" s="1039"/>
      <c r="O74" s="1029">
        <f t="shared" ref="O74:O137" si="1">E74+F74+G74+H74+I74+J74+K74-P74</f>
        <v>229</v>
      </c>
      <c r="P74" s="92"/>
      <c r="Q74" s="92"/>
    </row>
    <row r="75" spans="1:17" ht="20.100000000000001" customHeight="1">
      <c r="A75" s="92">
        <v>68</v>
      </c>
      <c r="B75" s="1026" t="s">
        <v>1622</v>
      </c>
      <c r="C75" s="1026" t="s">
        <v>1588</v>
      </c>
      <c r="D75" s="1049" t="s">
        <v>26</v>
      </c>
      <c r="E75" s="92"/>
      <c r="F75" s="92"/>
      <c r="G75" s="92"/>
      <c r="H75" s="92"/>
      <c r="I75" s="92"/>
      <c r="J75" s="92"/>
      <c r="K75" s="1047">
        <v>1</v>
      </c>
      <c r="L75" s="92"/>
      <c r="M75" s="1058" t="s">
        <v>1623</v>
      </c>
      <c r="N75" s="1079">
        <v>40886.81</v>
      </c>
      <c r="O75" s="1029">
        <f t="shared" si="1"/>
        <v>1</v>
      </c>
      <c r="P75" s="92"/>
      <c r="Q75" s="92"/>
    </row>
    <row r="76" spans="1:17" ht="20.100000000000001" customHeight="1">
      <c r="A76" s="92">
        <v>69</v>
      </c>
      <c r="B76" s="1026" t="s">
        <v>1622</v>
      </c>
      <c r="C76" s="1026" t="s">
        <v>1588</v>
      </c>
      <c r="D76" s="1049" t="s">
        <v>29</v>
      </c>
      <c r="E76" s="92"/>
      <c r="F76" s="92"/>
      <c r="G76" s="92">
        <v>1</v>
      </c>
      <c r="H76" s="92"/>
      <c r="I76" s="92"/>
      <c r="J76" s="92"/>
      <c r="K76" s="1047"/>
      <c r="L76" s="92"/>
      <c r="M76" s="1040" t="s">
        <v>49</v>
      </c>
      <c r="N76" s="1048">
        <v>-10090251.76</v>
      </c>
      <c r="O76" s="1029">
        <f t="shared" si="1"/>
        <v>1</v>
      </c>
      <c r="P76" s="92"/>
      <c r="Q76" s="92"/>
    </row>
    <row r="77" spans="1:17" ht="20.100000000000001" customHeight="1">
      <c r="A77" s="92">
        <v>70</v>
      </c>
      <c r="B77" s="1026" t="s">
        <v>1622</v>
      </c>
      <c r="C77" s="1026" t="s">
        <v>1588</v>
      </c>
      <c r="D77" s="1049"/>
      <c r="E77" s="92"/>
      <c r="F77" s="92"/>
      <c r="G77" s="92">
        <v>1</v>
      </c>
      <c r="H77" s="92"/>
      <c r="I77" s="92"/>
      <c r="J77" s="92"/>
      <c r="K77" s="1047"/>
      <c r="L77" s="92"/>
      <c r="M77" s="1027" t="s">
        <v>32</v>
      </c>
      <c r="N77" s="1048">
        <v>1969.43</v>
      </c>
      <c r="O77" s="1029">
        <f t="shared" si="1"/>
        <v>1</v>
      </c>
      <c r="P77" s="92"/>
      <c r="Q77" s="92"/>
    </row>
    <row r="78" spans="1:17" ht="20.100000000000001" customHeight="1">
      <c r="A78" s="92">
        <v>71</v>
      </c>
      <c r="B78" s="1026" t="s">
        <v>1622</v>
      </c>
      <c r="C78" s="1026" t="s">
        <v>1588</v>
      </c>
      <c r="D78" s="1049"/>
      <c r="E78" s="92"/>
      <c r="F78" s="92"/>
      <c r="G78" s="92">
        <v>1</v>
      </c>
      <c r="H78" s="92"/>
      <c r="I78" s="92"/>
      <c r="J78" s="92"/>
      <c r="K78" s="1047"/>
      <c r="L78" s="92"/>
      <c r="M78" s="1027" t="s">
        <v>1624</v>
      </c>
      <c r="N78" s="1048">
        <v>-299732.71000000002</v>
      </c>
      <c r="O78" s="1029">
        <f t="shared" si="1"/>
        <v>1</v>
      </c>
      <c r="P78" s="92"/>
      <c r="Q78" s="92"/>
    </row>
    <row r="79" spans="1:17" ht="20.100000000000001" customHeight="1">
      <c r="A79" s="92">
        <v>72</v>
      </c>
      <c r="B79" s="1026" t="s">
        <v>1622</v>
      </c>
      <c r="C79" s="1026" t="s">
        <v>1588</v>
      </c>
      <c r="D79" s="1049"/>
      <c r="E79" s="92"/>
      <c r="F79" s="92"/>
      <c r="G79" s="92">
        <v>1</v>
      </c>
      <c r="H79" s="92"/>
      <c r="I79" s="92"/>
      <c r="J79" s="92"/>
      <c r="K79" s="1059"/>
      <c r="L79" s="92"/>
      <c r="M79" s="1080" t="s">
        <v>1625</v>
      </c>
      <c r="N79" s="175">
        <v>75</v>
      </c>
      <c r="O79" s="1029">
        <f t="shared" si="1"/>
        <v>1</v>
      </c>
      <c r="P79" s="92"/>
      <c r="Q79" s="92"/>
    </row>
    <row r="80" spans="1:17" ht="20.100000000000001" customHeight="1">
      <c r="A80" s="92">
        <v>73</v>
      </c>
      <c r="B80" s="1026" t="s">
        <v>1622</v>
      </c>
      <c r="C80" s="1026" t="s">
        <v>1588</v>
      </c>
      <c r="D80" s="1049" t="s">
        <v>33</v>
      </c>
      <c r="E80" s="92"/>
      <c r="F80" s="92"/>
      <c r="G80" s="92"/>
      <c r="H80" s="92">
        <v>12</v>
      </c>
      <c r="I80" s="92"/>
      <c r="J80" s="92"/>
      <c r="K80" s="1059"/>
      <c r="L80" s="92"/>
      <c r="M80" s="1044" t="s">
        <v>34</v>
      </c>
      <c r="N80" s="1042"/>
      <c r="O80" s="1029">
        <f t="shared" si="1"/>
        <v>12</v>
      </c>
      <c r="P80" s="92"/>
      <c r="Q80" s="92"/>
    </row>
    <row r="81" spans="1:17" ht="20.100000000000001" customHeight="1">
      <c r="A81" s="92">
        <v>74</v>
      </c>
      <c r="B81" s="1026" t="s">
        <v>1622</v>
      </c>
      <c r="C81" s="1026" t="s">
        <v>1588</v>
      </c>
      <c r="D81" s="1049"/>
      <c r="E81" s="92"/>
      <c r="F81" s="92"/>
      <c r="G81" s="92"/>
      <c r="H81" s="92"/>
      <c r="I81" s="92">
        <v>1192</v>
      </c>
      <c r="J81" s="92"/>
      <c r="K81" s="1047"/>
      <c r="L81" s="92"/>
      <c r="M81" s="1036" t="s">
        <v>35</v>
      </c>
      <c r="N81" s="1039"/>
      <c r="O81" s="1029">
        <f t="shared" si="1"/>
        <v>1192</v>
      </c>
      <c r="P81" s="92"/>
      <c r="Q81" s="92"/>
    </row>
    <row r="82" spans="1:17" ht="20.100000000000001" customHeight="1">
      <c r="A82" s="92">
        <v>75</v>
      </c>
      <c r="B82" s="1026" t="s">
        <v>1622</v>
      </c>
      <c r="C82" s="1026" t="s">
        <v>1588</v>
      </c>
      <c r="D82" s="1046" t="s">
        <v>195</v>
      </c>
      <c r="E82" s="92"/>
      <c r="F82" s="92"/>
      <c r="G82" s="92"/>
      <c r="H82" s="92"/>
      <c r="I82" s="92"/>
      <c r="J82" s="92"/>
      <c r="K82" s="1047">
        <v>1</v>
      </c>
      <c r="L82" s="92"/>
      <c r="M82" s="1038" t="s">
        <v>1626</v>
      </c>
      <c r="N82" s="1039"/>
      <c r="O82" s="1029">
        <f t="shared" si="1"/>
        <v>0</v>
      </c>
      <c r="P82" s="92">
        <v>1</v>
      </c>
      <c r="Q82" s="92"/>
    </row>
    <row r="83" spans="1:17" ht="20.100000000000001" customHeight="1">
      <c r="A83" s="92">
        <v>76</v>
      </c>
      <c r="B83" s="1026" t="s">
        <v>1622</v>
      </c>
      <c r="C83" s="1026" t="s">
        <v>1588</v>
      </c>
      <c r="D83" s="1049"/>
      <c r="E83" s="92"/>
      <c r="F83" s="92"/>
      <c r="G83" s="92"/>
      <c r="H83" s="92"/>
      <c r="I83" s="92"/>
      <c r="J83" s="92"/>
      <c r="K83" s="1047">
        <v>2</v>
      </c>
      <c r="L83" s="92"/>
      <c r="M83" s="1081" t="s">
        <v>1627</v>
      </c>
      <c r="N83" s="1039"/>
      <c r="O83" s="1029">
        <f t="shared" si="1"/>
        <v>0</v>
      </c>
      <c r="P83" s="92">
        <v>2</v>
      </c>
      <c r="Q83" s="92"/>
    </row>
    <row r="84" spans="1:17" ht="20.100000000000001" customHeight="1">
      <c r="A84" s="92">
        <v>77</v>
      </c>
      <c r="B84" s="1026" t="s">
        <v>1622</v>
      </c>
      <c r="C84" s="1026" t="s">
        <v>1588</v>
      </c>
      <c r="D84" s="1082" t="s">
        <v>36</v>
      </c>
      <c r="E84" s="92"/>
      <c r="F84" s="92">
        <v>350</v>
      </c>
      <c r="G84" s="92"/>
      <c r="H84" s="92"/>
      <c r="I84" s="92"/>
      <c r="J84" s="92"/>
      <c r="K84" s="1083"/>
      <c r="L84" s="92"/>
      <c r="M84" s="1061" t="s">
        <v>1628</v>
      </c>
      <c r="N84" s="1079"/>
      <c r="O84" s="1029">
        <f t="shared" si="1"/>
        <v>350</v>
      </c>
      <c r="P84" s="92"/>
      <c r="Q84" s="92"/>
    </row>
    <row r="85" spans="1:17" ht="20.100000000000001" customHeight="1">
      <c r="A85" s="92">
        <v>78</v>
      </c>
      <c r="B85" s="1026" t="s">
        <v>1622</v>
      </c>
      <c r="C85" s="1026" t="s">
        <v>1588</v>
      </c>
      <c r="D85" s="1082" t="s">
        <v>36</v>
      </c>
      <c r="E85" s="92">
        <v>117</v>
      </c>
      <c r="F85" s="92"/>
      <c r="G85" s="92"/>
      <c r="H85" s="92"/>
      <c r="I85" s="92"/>
      <c r="J85" s="92"/>
      <c r="K85" s="1083"/>
      <c r="L85" s="92"/>
      <c r="M85" s="1037" t="s">
        <v>1591</v>
      </c>
      <c r="N85" s="1079"/>
      <c r="O85" s="1029">
        <f t="shared" si="1"/>
        <v>117</v>
      </c>
      <c r="P85" s="92"/>
      <c r="Q85" s="92"/>
    </row>
    <row r="86" spans="1:17" ht="20.100000000000001" customHeight="1">
      <c r="A86" s="92">
        <v>79</v>
      </c>
      <c r="B86" s="1026" t="s">
        <v>1629</v>
      </c>
      <c r="C86" s="1026" t="s">
        <v>1588</v>
      </c>
      <c r="D86" s="1049" t="s">
        <v>26</v>
      </c>
      <c r="E86" s="92"/>
      <c r="F86" s="92"/>
      <c r="G86" s="92"/>
      <c r="H86" s="92"/>
      <c r="I86" s="92"/>
      <c r="J86" s="92"/>
      <c r="K86" s="1084">
        <v>1</v>
      </c>
      <c r="L86" s="1084"/>
      <c r="M86" s="1085" t="s">
        <v>1630</v>
      </c>
      <c r="N86" s="1086">
        <v>190651</v>
      </c>
      <c r="O86" s="1029">
        <f t="shared" si="1"/>
        <v>1</v>
      </c>
      <c r="P86" s="92"/>
      <c r="Q86" s="92"/>
    </row>
    <row r="87" spans="1:17" ht="20.100000000000001" customHeight="1">
      <c r="A87" s="92">
        <v>80</v>
      </c>
      <c r="B87" s="1026" t="s">
        <v>1629</v>
      </c>
      <c r="C87" s="1026" t="s">
        <v>1588</v>
      </c>
      <c r="D87" s="1049" t="s">
        <v>29</v>
      </c>
      <c r="E87" s="92"/>
      <c r="F87" s="92"/>
      <c r="G87" s="92">
        <v>1</v>
      </c>
      <c r="H87" s="92"/>
      <c r="I87" s="92"/>
      <c r="J87" s="92"/>
      <c r="K87" s="1084"/>
      <c r="L87" s="1084"/>
      <c r="M87" s="1087" t="s">
        <v>49</v>
      </c>
      <c r="N87" s="1088">
        <v>6516018628</v>
      </c>
      <c r="O87" s="1029">
        <f t="shared" si="1"/>
        <v>1</v>
      </c>
      <c r="P87" s="92"/>
      <c r="Q87" s="92"/>
    </row>
    <row r="88" spans="1:17" ht="20.100000000000001" customHeight="1">
      <c r="A88" s="92">
        <v>81</v>
      </c>
      <c r="B88" s="1026" t="s">
        <v>1629</v>
      </c>
      <c r="C88" s="1026" t="s">
        <v>1588</v>
      </c>
      <c r="D88" s="1089"/>
      <c r="E88" s="92"/>
      <c r="F88" s="92"/>
      <c r="G88" s="92">
        <v>1</v>
      </c>
      <c r="H88" s="92"/>
      <c r="I88" s="92"/>
      <c r="J88" s="92"/>
      <c r="K88" s="1084"/>
      <c r="L88" s="1084"/>
      <c r="M88" s="1087" t="s">
        <v>708</v>
      </c>
      <c r="N88" s="1088">
        <v>42716.87</v>
      </c>
      <c r="O88" s="1029">
        <f t="shared" si="1"/>
        <v>1</v>
      </c>
      <c r="P88" s="92"/>
      <c r="Q88" s="92"/>
    </row>
    <row r="89" spans="1:17" ht="20.100000000000001" customHeight="1">
      <c r="A89" s="92">
        <v>82</v>
      </c>
      <c r="B89" s="1026" t="s">
        <v>1629</v>
      </c>
      <c r="C89" s="1026" t="s">
        <v>1588</v>
      </c>
      <c r="D89" s="1089"/>
      <c r="E89" s="92"/>
      <c r="F89" s="92"/>
      <c r="G89" s="92">
        <v>1</v>
      </c>
      <c r="H89" s="92"/>
      <c r="I89" s="92"/>
      <c r="J89" s="92"/>
      <c r="K89" s="1084"/>
      <c r="L89" s="1084"/>
      <c r="M89" s="1087" t="s">
        <v>32</v>
      </c>
      <c r="N89" s="1088">
        <v>-60191.1</v>
      </c>
      <c r="O89" s="1029">
        <f t="shared" si="1"/>
        <v>1</v>
      </c>
      <c r="P89" s="92"/>
      <c r="Q89" s="92"/>
    </row>
    <row r="90" spans="1:17" ht="20.100000000000001" customHeight="1">
      <c r="A90" s="92">
        <v>83</v>
      </c>
      <c r="B90" s="1026" t="s">
        <v>1629</v>
      </c>
      <c r="C90" s="1026" t="s">
        <v>1588</v>
      </c>
      <c r="D90" s="1089"/>
      <c r="E90" s="92"/>
      <c r="F90" s="92"/>
      <c r="G90" s="92">
        <v>1</v>
      </c>
      <c r="H90" s="92"/>
      <c r="I90" s="92"/>
      <c r="J90" s="92"/>
      <c r="K90" s="1090"/>
      <c r="L90" s="1090"/>
      <c r="M90" s="1087" t="s">
        <v>183</v>
      </c>
      <c r="N90" s="1091">
        <v>97.9</v>
      </c>
      <c r="O90" s="1029">
        <f t="shared" si="1"/>
        <v>1</v>
      </c>
      <c r="P90" s="92"/>
      <c r="Q90" s="92"/>
    </row>
    <row r="91" spans="1:17" ht="20.100000000000001" customHeight="1">
      <c r="A91" s="92">
        <v>84</v>
      </c>
      <c r="B91" s="1026" t="s">
        <v>1629</v>
      </c>
      <c r="C91" s="1026" t="s">
        <v>1588</v>
      </c>
      <c r="D91" s="1089"/>
      <c r="E91" s="92"/>
      <c r="F91" s="92"/>
      <c r="G91" s="92"/>
      <c r="H91" s="92"/>
      <c r="I91" s="92"/>
      <c r="J91" s="92"/>
      <c r="K91" s="1090">
        <v>1</v>
      </c>
      <c r="L91" s="1090"/>
      <c r="M91" s="1092" t="s">
        <v>1631</v>
      </c>
      <c r="N91" s="1093">
        <v>-19668.060000000001</v>
      </c>
      <c r="O91" s="1029">
        <f t="shared" si="1"/>
        <v>1</v>
      </c>
      <c r="P91" s="92"/>
      <c r="Q91" s="92"/>
    </row>
    <row r="92" spans="1:17" ht="20.100000000000001" customHeight="1">
      <c r="A92" s="92">
        <v>85</v>
      </c>
      <c r="B92" s="1026" t="s">
        <v>1629</v>
      </c>
      <c r="C92" s="1026" t="s">
        <v>1588</v>
      </c>
      <c r="D92" s="1089"/>
      <c r="E92" s="92"/>
      <c r="F92" s="92"/>
      <c r="G92" s="92"/>
      <c r="H92" s="92"/>
      <c r="I92" s="92"/>
      <c r="J92" s="92"/>
      <c r="K92" s="1090">
        <v>2</v>
      </c>
      <c r="L92" s="1090"/>
      <c r="M92" s="1094" t="s">
        <v>1632</v>
      </c>
      <c r="N92" s="1091">
        <v>142781.07999999999</v>
      </c>
      <c r="O92" s="1029">
        <f t="shared" si="1"/>
        <v>2</v>
      </c>
      <c r="P92" s="92"/>
      <c r="Q92" s="92"/>
    </row>
    <row r="93" spans="1:17" ht="20.100000000000001" customHeight="1">
      <c r="A93" s="92">
        <v>86</v>
      </c>
      <c r="B93" s="1026" t="s">
        <v>1629</v>
      </c>
      <c r="C93" s="1026" t="s">
        <v>1588</v>
      </c>
      <c r="D93" s="1089"/>
      <c r="E93" s="92"/>
      <c r="F93" s="92"/>
      <c r="G93" s="92"/>
      <c r="H93" s="92"/>
      <c r="I93" s="92"/>
      <c r="J93" s="92"/>
      <c r="K93" s="1090">
        <v>1</v>
      </c>
      <c r="L93" s="1090"/>
      <c r="M93" s="1092" t="s">
        <v>1074</v>
      </c>
      <c r="N93" s="1088">
        <v>-6233143.6399999997</v>
      </c>
      <c r="O93" s="1029">
        <f t="shared" si="1"/>
        <v>1</v>
      </c>
      <c r="P93" s="92"/>
      <c r="Q93" s="92"/>
    </row>
    <row r="94" spans="1:17" ht="20.100000000000001" customHeight="1">
      <c r="A94" s="92">
        <v>87</v>
      </c>
      <c r="B94" s="1026" t="s">
        <v>1629</v>
      </c>
      <c r="C94" s="1026" t="s">
        <v>1588</v>
      </c>
      <c r="D94" s="1049" t="s">
        <v>33</v>
      </c>
      <c r="E94" s="92"/>
      <c r="F94" s="92"/>
      <c r="G94" s="92"/>
      <c r="H94" s="92"/>
      <c r="I94" s="92">
        <v>614</v>
      </c>
      <c r="J94" s="92"/>
      <c r="K94" s="1084"/>
      <c r="L94" s="1084"/>
      <c r="M94" s="1095" t="s">
        <v>35</v>
      </c>
      <c r="N94" s="1096"/>
      <c r="O94" s="1029">
        <f t="shared" si="1"/>
        <v>614</v>
      </c>
      <c r="P94" s="92"/>
      <c r="Q94" s="92"/>
    </row>
    <row r="95" spans="1:17" ht="20.100000000000001" customHeight="1">
      <c r="A95" s="92">
        <v>88</v>
      </c>
      <c r="B95" s="1026" t="s">
        <v>1629</v>
      </c>
      <c r="C95" s="1026" t="s">
        <v>1588</v>
      </c>
      <c r="D95" s="1049" t="s">
        <v>365</v>
      </c>
      <c r="E95" s="92"/>
      <c r="F95" s="92"/>
      <c r="G95" s="92"/>
      <c r="H95" s="92"/>
      <c r="I95" s="92"/>
      <c r="J95" s="92"/>
      <c r="K95" s="1084">
        <v>1</v>
      </c>
      <c r="L95" s="1084"/>
      <c r="M95" s="1095" t="s">
        <v>1633</v>
      </c>
      <c r="N95" s="1097"/>
      <c r="O95" s="1029">
        <f t="shared" si="1"/>
        <v>1</v>
      </c>
      <c r="P95" s="92"/>
      <c r="Q95" s="92"/>
    </row>
    <row r="96" spans="1:17" ht="20.100000000000001" customHeight="1">
      <c r="A96" s="92">
        <v>89</v>
      </c>
      <c r="B96" s="1026" t="s">
        <v>1629</v>
      </c>
      <c r="C96" s="1026" t="s">
        <v>1588</v>
      </c>
      <c r="D96" s="1049" t="s">
        <v>36</v>
      </c>
      <c r="E96" s="92"/>
      <c r="F96" s="92">
        <v>22</v>
      </c>
      <c r="G96" s="92"/>
      <c r="H96" s="92"/>
      <c r="I96" s="92"/>
      <c r="J96" s="92"/>
      <c r="K96" s="1084"/>
      <c r="L96" s="1084"/>
      <c r="M96" s="1092" t="s">
        <v>1634</v>
      </c>
      <c r="N96" s="1097"/>
      <c r="O96" s="1029">
        <f t="shared" si="1"/>
        <v>22</v>
      </c>
      <c r="P96" s="92"/>
      <c r="Q96" s="92"/>
    </row>
    <row r="97" spans="1:17" ht="20.100000000000001" customHeight="1">
      <c r="A97" s="92">
        <v>90</v>
      </c>
      <c r="B97" s="1026" t="s">
        <v>1629</v>
      </c>
      <c r="C97" s="1026" t="s">
        <v>1588</v>
      </c>
      <c r="D97" s="1049" t="s">
        <v>36</v>
      </c>
      <c r="E97" s="92">
        <v>14</v>
      </c>
      <c r="F97" s="92"/>
      <c r="G97" s="92"/>
      <c r="H97" s="92"/>
      <c r="I97" s="92"/>
      <c r="J97" s="92"/>
      <c r="K97" s="1084"/>
      <c r="L97" s="1084"/>
      <c r="M97" s="1037" t="s">
        <v>1591</v>
      </c>
      <c r="N97" s="1097"/>
      <c r="O97" s="1029">
        <f t="shared" si="1"/>
        <v>14</v>
      </c>
      <c r="P97" s="92"/>
      <c r="Q97" s="92"/>
    </row>
    <row r="98" spans="1:17" ht="20.100000000000001" customHeight="1">
      <c r="A98" s="2049">
        <v>91</v>
      </c>
      <c r="B98" s="2724" t="s">
        <v>1635</v>
      </c>
      <c r="C98" s="2724" t="s">
        <v>1588</v>
      </c>
      <c r="D98" s="2725" t="s">
        <v>29</v>
      </c>
      <c r="E98" s="2049"/>
      <c r="F98" s="2049"/>
      <c r="G98" s="2049">
        <v>1</v>
      </c>
      <c r="H98" s="2049"/>
      <c r="I98" s="2049"/>
      <c r="J98" s="2049"/>
      <c r="K98" s="2726"/>
      <c r="L98" s="2726"/>
      <c r="M98" s="2727" t="s">
        <v>32</v>
      </c>
      <c r="N98" s="1099">
        <v>-282.17</v>
      </c>
      <c r="O98" s="1029">
        <f t="shared" si="1"/>
        <v>1</v>
      </c>
      <c r="P98" s="92"/>
      <c r="Q98" s="92"/>
    </row>
    <row r="99" spans="1:17" ht="20.100000000000001" customHeight="1">
      <c r="A99" s="2049">
        <v>92</v>
      </c>
      <c r="B99" s="2724" t="s">
        <v>1635</v>
      </c>
      <c r="C99" s="2724" t="s">
        <v>1588</v>
      </c>
      <c r="D99" s="2725"/>
      <c r="E99" s="2049"/>
      <c r="F99" s="2049"/>
      <c r="G99" s="2049">
        <v>1</v>
      </c>
      <c r="H99" s="2049"/>
      <c r="I99" s="2049"/>
      <c r="J99" s="2049"/>
      <c r="K99" s="2728"/>
      <c r="L99" s="2728"/>
      <c r="M99" s="2727" t="s">
        <v>50</v>
      </c>
      <c r="N99" s="1099">
        <v>5</v>
      </c>
      <c r="O99" s="1029">
        <f t="shared" si="1"/>
        <v>1</v>
      </c>
      <c r="P99" s="92"/>
      <c r="Q99" s="92"/>
    </row>
    <row r="100" spans="1:17" ht="20.100000000000001" customHeight="1">
      <c r="A100" s="92">
        <v>93</v>
      </c>
      <c r="B100" s="1026" t="s">
        <v>1635</v>
      </c>
      <c r="C100" s="1026" t="s">
        <v>1588</v>
      </c>
      <c r="D100" s="1049"/>
      <c r="E100" s="92"/>
      <c r="F100" s="92"/>
      <c r="G100" s="92">
        <v>1</v>
      </c>
      <c r="H100" s="92"/>
      <c r="I100" s="92"/>
      <c r="J100" s="92"/>
      <c r="K100" s="1059"/>
      <c r="L100" s="1059"/>
      <c r="M100" s="1100" t="s">
        <v>1099</v>
      </c>
      <c r="N100" s="1099">
        <v>0.61</v>
      </c>
      <c r="O100" s="1029">
        <f t="shared" si="1"/>
        <v>1</v>
      </c>
      <c r="P100" s="92"/>
      <c r="Q100" s="92"/>
    </row>
    <row r="101" spans="1:17" ht="20.100000000000001" customHeight="1">
      <c r="A101" s="92">
        <v>94</v>
      </c>
      <c r="B101" s="1026" t="s">
        <v>1635</v>
      </c>
      <c r="C101" s="1026" t="s">
        <v>1588</v>
      </c>
      <c r="D101" s="1049" t="s">
        <v>33</v>
      </c>
      <c r="E101" s="92"/>
      <c r="F101" s="92"/>
      <c r="G101" s="92"/>
      <c r="H101" s="92"/>
      <c r="I101" s="92">
        <v>2156</v>
      </c>
      <c r="J101" s="92"/>
      <c r="K101" s="1047"/>
      <c r="L101" s="1101"/>
      <c r="M101" s="1102" t="s">
        <v>35</v>
      </c>
      <c r="N101" s="1099"/>
      <c r="O101" s="1029">
        <f t="shared" si="1"/>
        <v>2156</v>
      </c>
      <c r="P101" s="92"/>
      <c r="Q101" s="92"/>
    </row>
    <row r="102" spans="1:17" ht="20.100000000000001" customHeight="1">
      <c r="A102" s="92">
        <v>95</v>
      </c>
      <c r="B102" s="1026" t="s">
        <v>1635</v>
      </c>
      <c r="C102" s="1026" t="s">
        <v>1588</v>
      </c>
      <c r="D102" s="1049" t="s">
        <v>36</v>
      </c>
      <c r="E102" s="92"/>
      <c r="F102" s="92">
        <v>295</v>
      </c>
      <c r="G102" s="92"/>
      <c r="H102" s="92"/>
      <c r="I102" s="92"/>
      <c r="J102" s="92"/>
      <c r="K102" s="1047"/>
      <c r="L102" s="1047"/>
      <c r="M102" s="1103" t="s">
        <v>1636</v>
      </c>
      <c r="N102" s="1099"/>
      <c r="O102" s="1029">
        <f t="shared" si="1"/>
        <v>295</v>
      </c>
      <c r="P102" s="92"/>
      <c r="Q102" s="92"/>
    </row>
    <row r="103" spans="1:17" ht="20.100000000000001" customHeight="1">
      <c r="A103" s="92">
        <v>96</v>
      </c>
      <c r="B103" s="1026" t="s">
        <v>1635</v>
      </c>
      <c r="C103" s="1026" t="s">
        <v>1588</v>
      </c>
      <c r="D103" s="1049" t="s">
        <v>36</v>
      </c>
      <c r="E103" s="92">
        <v>27</v>
      </c>
      <c r="F103" s="92"/>
      <c r="G103" s="92"/>
      <c r="H103" s="92"/>
      <c r="I103" s="92"/>
      <c r="J103" s="92"/>
      <c r="K103" s="1047"/>
      <c r="L103" s="1047"/>
      <c r="M103" s="1037" t="s">
        <v>1591</v>
      </c>
      <c r="N103" s="1099"/>
      <c r="O103" s="1029">
        <f t="shared" si="1"/>
        <v>27</v>
      </c>
      <c r="P103" s="92"/>
      <c r="Q103" s="92"/>
    </row>
    <row r="104" spans="1:17" ht="20.100000000000001" customHeight="1">
      <c r="A104" s="92">
        <v>97</v>
      </c>
      <c r="B104" s="1026" t="s">
        <v>1637</v>
      </c>
      <c r="C104" s="1026" t="s">
        <v>1588</v>
      </c>
      <c r="D104" s="1066" t="s">
        <v>26</v>
      </c>
      <c r="E104" s="92"/>
      <c r="F104" s="92"/>
      <c r="G104" s="92"/>
      <c r="H104" s="92"/>
      <c r="I104" s="92"/>
      <c r="J104" s="92"/>
      <c r="K104" s="1047">
        <v>1</v>
      </c>
      <c r="L104" s="1047"/>
      <c r="M104" s="1104" t="s">
        <v>1638</v>
      </c>
      <c r="N104" s="1105">
        <v>291741.5</v>
      </c>
      <c r="O104" s="1029">
        <f t="shared" si="1"/>
        <v>1</v>
      </c>
      <c r="P104" s="92"/>
      <c r="Q104" s="92"/>
    </row>
    <row r="105" spans="1:17" ht="20.100000000000001" customHeight="1">
      <c r="A105" s="92">
        <v>98</v>
      </c>
      <c r="B105" s="1026" t="s">
        <v>1637</v>
      </c>
      <c r="C105" s="1026" t="s">
        <v>1588</v>
      </c>
      <c r="D105" s="1066" t="s">
        <v>29</v>
      </c>
      <c r="E105" s="92"/>
      <c r="F105" s="92"/>
      <c r="G105" s="92">
        <v>1</v>
      </c>
      <c r="H105" s="92"/>
      <c r="I105" s="92"/>
      <c r="J105" s="92"/>
      <c r="K105" s="1047"/>
      <c r="L105" s="1047"/>
      <c r="M105" s="1040" t="s">
        <v>119</v>
      </c>
      <c r="N105" s="1106">
        <v>-3185141.38</v>
      </c>
      <c r="O105" s="1029">
        <f t="shared" si="1"/>
        <v>1</v>
      </c>
      <c r="P105" s="92"/>
      <c r="Q105" s="92"/>
    </row>
    <row r="106" spans="1:17" ht="20.100000000000001" customHeight="1">
      <c r="A106" s="92">
        <v>99</v>
      </c>
      <c r="B106" s="1026" t="s">
        <v>1637</v>
      </c>
      <c r="C106" s="1026" t="s">
        <v>1588</v>
      </c>
      <c r="D106" s="1049"/>
      <c r="E106" s="92"/>
      <c r="F106" s="92"/>
      <c r="G106" s="92">
        <v>1</v>
      </c>
      <c r="H106" s="92"/>
      <c r="I106" s="92"/>
      <c r="J106" s="92"/>
      <c r="K106" s="1047"/>
      <c r="L106" s="1047"/>
      <c r="M106" s="1040" t="s">
        <v>49</v>
      </c>
      <c r="N106" s="1106">
        <v>-182106114.30000001</v>
      </c>
      <c r="O106" s="1029">
        <f t="shared" si="1"/>
        <v>1</v>
      </c>
      <c r="P106" s="92"/>
      <c r="Q106" s="92"/>
    </row>
    <row r="107" spans="1:17" ht="20.100000000000001" customHeight="1">
      <c r="A107" s="92">
        <v>100</v>
      </c>
      <c r="B107" s="1026" t="s">
        <v>1637</v>
      </c>
      <c r="C107" s="1026" t="s">
        <v>1588</v>
      </c>
      <c r="D107" s="1049"/>
      <c r="E107" s="92"/>
      <c r="F107" s="92"/>
      <c r="G107" s="92">
        <v>1</v>
      </c>
      <c r="H107" s="92"/>
      <c r="I107" s="92"/>
      <c r="J107" s="92"/>
      <c r="K107" s="1047"/>
      <c r="L107" s="1047"/>
      <c r="M107" s="1040" t="s">
        <v>32</v>
      </c>
      <c r="N107" s="1106">
        <v>-0.89</v>
      </c>
      <c r="O107" s="1029">
        <f t="shared" si="1"/>
        <v>1</v>
      </c>
      <c r="P107" s="92"/>
      <c r="Q107" s="92"/>
    </row>
    <row r="108" spans="1:17" ht="20.100000000000001" customHeight="1">
      <c r="A108" s="92">
        <v>101</v>
      </c>
      <c r="B108" s="1026" t="s">
        <v>1637</v>
      </c>
      <c r="C108" s="1026" t="s">
        <v>1588</v>
      </c>
      <c r="D108" s="1049" t="s">
        <v>33</v>
      </c>
      <c r="E108" s="92"/>
      <c r="F108" s="92"/>
      <c r="G108" s="92"/>
      <c r="H108" s="92">
        <v>8</v>
      </c>
      <c r="I108" s="92"/>
      <c r="J108" s="92"/>
      <c r="K108" s="1107"/>
      <c r="L108" s="1059"/>
      <c r="M108" s="1036" t="s">
        <v>34</v>
      </c>
      <c r="N108" s="1107"/>
      <c r="O108" s="1029">
        <f t="shared" si="1"/>
        <v>8</v>
      </c>
      <c r="P108" s="92"/>
      <c r="Q108" s="92"/>
    </row>
    <row r="109" spans="1:17" ht="20.100000000000001" customHeight="1">
      <c r="A109" s="92">
        <v>102</v>
      </c>
      <c r="B109" s="1026" t="s">
        <v>1637</v>
      </c>
      <c r="C109" s="1026" t="s">
        <v>1588</v>
      </c>
      <c r="D109" s="1049"/>
      <c r="E109" s="92"/>
      <c r="F109" s="92"/>
      <c r="G109" s="92"/>
      <c r="H109" s="92"/>
      <c r="I109" s="92">
        <v>1036</v>
      </c>
      <c r="J109" s="92"/>
      <c r="K109" s="1108"/>
      <c r="L109" s="1047"/>
      <c r="M109" s="1044" t="s">
        <v>35</v>
      </c>
      <c r="N109" s="1108"/>
      <c r="O109" s="1029">
        <f t="shared" si="1"/>
        <v>1036</v>
      </c>
      <c r="P109" s="92"/>
      <c r="Q109" s="92"/>
    </row>
    <row r="110" spans="1:17" ht="20.100000000000001" customHeight="1">
      <c r="A110" s="92">
        <v>103</v>
      </c>
      <c r="B110" s="1026" t="s">
        <v>1637</v>
      </c>
      <c r="C110" s="1026" t="s">
        <v>1588</v>
      </c>
      <c r="D110" s="1066" t="s">
        <v>195</v>
      </c>
      <c r="E110" s="92"/>
      <c r="F110" s="92"/>
      <c r="G110" s="92"/>
      <c r="H110" s="92"/>
      <c r="I110" s="92"/>
      <c r="J110" s="92"/>
      <c r="K110" s="1109">
        <v>1</v>
      </c>
      <c r="L110" s="1047"/>
      <c r="M110" s="1036" t="s">
        <v>1639</v>
      </c>
      <c r="N110" s="1109"/>
      <c r="O110" s="1029">
        <f t="shared" si="1"/>
        <v>1</v>
      </c>
      <c r="P110" s="92"/>
      <c r="Q110" s="92"/>
    </row>
    <row r="111" spans="1:17" ht="20.100000000000001" customHeight="1">
      <c r="A111" s="92">
        <v>104</v>
      </c>
      <c r="B111" s="1026" t="s">
        <v>1637</v>
      </c>
      <c r="C111" s="1026" t="s">
        <v>1588</v>
      </c>
      <c r="D111" s="1066" t="s">
        <v>365</v>
      </c>
      <c r="E111" s="92"/>
      <c r="F111" s="92"/>
      <c r="G111" s="92"/>
      <c r="H111" s="92"/>
      <c r="I111" s="92"/>
      <c r="J111" s="92"/>
      <c r="K111" s="1109">
        <v>1</v>
      </c>
      <c r="L111" s="1110"/>
      <c r="M111" s="1037" t="s">
        <v>104</v>
      </c>
      <c r="N111" s="1109"/>
      <c r="O111" s="1029">
        <f t="shared" si="1"/>
        <v>1</v>
      </c>
      <c r="P111" s="92"/>
      <c r="Q111" s="92"/>
    </row>
    <row r="112" spans="1:17" ht="20.100000000000001" customHeight="1">
      <c r="A112" s="92">
        <v>105</v>
      </c>
      <c r="B112" s="1026" t="s">
        <v>1637</v>
      </c>
      <c r="C112" s="1026" t="s">
        <v>1588</v>
      </c>
      <c r="D112" s="1049" t="s">
        <v>36</v>
      </c>
      <c r="E112" s="92"/>
      <c r="F112" s="92">
        <v>312</v>
      </c>
      <c r="G112" s="92"/>
      <c r="H112" s="92"/>
      <c r="I112" s="92"/>
      <c r="J112" s="92"/>
      <c r="K112" s="1111"/>
      <c r="L112" s="1112"/>
      <c r="M112" s="109" t="s">
        <v>1640</v>
      </c>
      <c r="N112" s="1048"/>
      <c r="O112" s="1029">
        <f t="shared" si="1"/>
        <v>312</v>
      </c>
      <c r="P112" s="92"/>
      <c r="Q112" s="92"/>
    </row>
    <row r="113" spans="1:17" ht="20.100000000000001" customHeight="1">
      <c r="A113" s="92">
        <v>106</v>
      </c>
      <c r="B113" s="1026" t="s">
        <v>1637</v>
      </c>
      <c r="C113" s="1026" t="s">
        <v>1588</v>
      </c>
      <c r="D113" s="1049" t="s">
        <v>36</v>
      </c>
      <c r="E113" s="92">
        <v>119</v>
      </c>
      <c r="F113" s="92"/>
      <c r="G113" s="92"/>
      <c r="H113" s="92"/>
      <c r="I113" s="92"/>
      <c r="J113" s="92"/>
      <c r="K113" s="1111"/>
      <c r="L113" s="1112"/>
      <c r="M113" s="1037" t="s">
        <v>1591</v>
      </c>
      <c r="N113" s="1048"/>
      <c r="O113" s="1029">
        <f t="shared" si="1"/>
        <v>119</v>
      </c>
      <c r="P113" s="92"/>
      <c r="Q113" s="92"/>
    </row>
    <row r="114" spans="1:17" ht="20.100000000000001" customHeight="1">
      <c r="A114" s="92">
        <v>107</v>
      </c>
      <c r="B114" s="1026" t="s">
        <v>1637</v>
      </c>
      <c r="C114" s="1026" t="s">
        <v>1588</v>
      </c>
      <c r="D114" s="112" t="s">
        <v>38</v>
      </c>
      <c r="E114" s="92"/>
      <c r="F114" s="92"/>
      <c r="G114" s="92"/>
      <c r="H114" s="92"/>
      <c r="I114" s="92"/>
      <c r="J114" s="92"/>
      <c r="K114" s="1113">
        <v>1</v>
      </c>
      <c r="L114" s="1114">
        <v>46302</v>
      </c>
      <c r="M114" s="109" t="s">
        <v>1641</v>
      </c>
      <c r="N114" s="155">
        <v>57200</v>
      </c>
      <c r="O114" s="1029">
        <f t="shared" si="1"/>
        <v>1</v>
      </c>
      <c r="P114" s="92"/>
      <c r="Q114" s="92"/>
    </row>
    <row r="115" spans="1:17" ht="20.100000000000001" customHeight="1">
      <c r="A115" s="92">
        <v>108</v>
      </c>
      <c r="B115" s="1026" t="s">
        <v>1637</v>
      </c>
      <c r="C115" s="1026" t="s">
        <v>1588</v>
      </c>
      <c r="D115" s="112"/>
      <c r="E115" s="92"/>
      <c r="F115" s="92"/>
      <c r="G115" s="92"/>
      <c r="H115" s="92"/>
      <c r="I115" s="92"/>
      <c r="J115" s="92"/>
      <c r="K115" s="1113">
        <v>1</v>
      </c>
      <c r="L115" s="1115">
        <v>46302</v>
      </c>
      <c r="M115" s="109" t="s">
        <v>1642</v>
      </c>
      <c r="N115" s="155">
        <v>85000</v>
      </c>
      <c r="O115" s="1029">
        <f t="shared" si="1"/>
        <v>1</v>
      </c>
      <c r="P115" s="92"/>
      <c r="Q115" s="92"/>
    </row>
    <row r="116" spans="1:17" ht="20.100000000000001" customHeight="1">
      <c r="A116" s="92">
        <v>109</v>
      </c>
      <c r="B116" s="1026" t="s">
        <v>1637</v>
      </c>
      <c r="C116" s="1026" t="s">
        <v>1588</v>
      </c>
      <c r="D116" s="112"/>
      <c r="E116" s="92"/>
      <c r="F116" s="92"/>
      <c r="G116" s="92"/>
      <c r="H116" s="92"/>
      <c r="I116" s="92"/>
      <c r="J116" s="92"/>
      <c r="K116" s="1113">
        <v>1</v>
      </c>
      <c r="L116" s="1116" t="s">
        <v>234</v>
      </c>
      <c r="M116" s="109" t="s">
        <v>1643</v>
      </c>
      <c r="N116" s="155">
        <v>350000</v>
      </c>
      <c r="O116" s="1029">
        <f t="shared" si="1"/>
        <v>1</v>
      </c>
      <c r="P116" s="92"/>
      <c r="Q116" s="92"/>
    </row>
    <row r="117" spans="1:17" ht="20.100000000000001" customHeight="1">
      <c r="A117" s="92">
        <v>110</v>
      </c>
      <c r="B117" s="1026" t="s">
        <v>1637</v>
      </c>
      <c r="C117" s="1026" t="s">
        <v>1588</v>
      </c>
      <c r="D117" s="112"/>
      <c r="E117" s="92"/>
      <c r="F117" s="92"/>
      <c r="G117" s="92"/>
      <c r="H117" s="92"/>
      <c r="I117" s="92"/>
      <c r="J117" s="92"/>
      <c r="K117" s="1113">
        <v>1</v>
      </c>
      <c r="L117" s="1116" t="s">
        <v>489</v>
      </c>
      <c r="M117" s="109" t="s">
        <v>1644</v>
      </c>
      <c r="N117" s="155">
        <v>7000</v>
      </c>
      <c r="O117" s="1029">
        <f t="shared" si="1"/>
        <v>0</v>
      </c>
      <c r="P117" s="92">
        <v>1</v>
      </c>
      <c r="Q117" s="92"/>
    </row>
    <row r="118" spans="1:17" ht="20.100000000000001" customHeight="1">
      <c r="A118" s="92">
        <v>111</v>
      </c>
      <c r="B118" s="1026" t="s">
        <v>1645</v>
      </c>
      <c r="C118" s="1026" t="s">
        <v>1588</v>
      </c>
      <c r="D118" s="1117" t="s">
        <v>26</v>
      </c>
      <c r="E118" s="92"/>
      <c r="F118" s="92"/>
      <c r="G118" s="92"/>
      <c r="H118" s="92"/>
      <c r="I118" s="92"/>
      <c r="J118" s="92"/>
      <c r="K118" s="1118">
        <v>1</v>
      </c>
      <c r="L118" s="1118"/>
      <c r="M118" s="1119" t="s">
        <v>1646</v>
      </c>
      <c r="N118" s="1120">
        <v>236542.95</v>
      </c>
      <c r="O118" s="1029">
        <f t="shared" si="1"/>
        <v>1</v>
      </c>
      <c r="P118" s="92"/>
      <c r="Q118" s="92"/>
    </row>
    <row r="119" spans="1:17" ht="20.100000000000001" customHeight="1">
      <c r="A119" s="92">
        <v>112</v>
      </c>
      <c r="B119" s="1026" t="s">
        <v>1645</v>
      </c>
      <c r="C119" s="1026" t="s">
        <v>1588</v>
      </c>
      <c r="D119" s="1049" t="s">
        <v>29</v>
      </c>
      <c r="E119" s="92"/>
      <c r="F119" s="92"/>
      <c r="G119" s="92">
        <v>1</v>
      </c>
      <c r="H119" s="92"/>
      <c r="I119" s="92"/>
      <c r="J119" s="92"/>
      <c r="K119" s="1118"/>
      <c r="L119" s="1118"/>
      <c r="M119" s="1100" t="s">
        <v>119</v>
      </c>
      <c r="N119" s="1121">
        <v>-3680107.48</v>
      </c>
      <c r="O119" s="1029">
        <f t="shared" si="1"/>
        <v>1</v>
      </c>
      <c r="P119" s="92"/>
      <c r="Q119" s="92"/>
    </row>
    <row r="120" spans="1:17" ht="20.100000000000001" customHeight="1">
      <c r="A120" s="92">
        <v>113</v>
      </c>
      <c r="B120" s="1026" t="s">
        <v>1645</v>
      </c>
      <c r="C120" s="1026" t="s">
        <v>1588</v>
      </c>
      <c r="D120" s="1049"/>
      <c r="E120" s="92"/>
      <c r="F120" s="92"/>
      <c r="G120" s="92">
        <v>1</v>
      </c>
      <c r="H120" s="92"/>
      <c r="I120" s="92"/>
      <c r="J120" s="92"/>
      <c r="K120" s="1118"/>
      <c r="L120" s="1118"/>
      <c r="M120" s="1100" t="s">
        <v>49</v>
      </c>
      <c r="N120" s="1121">
        <v>-103759587.2</v>
      </c>
      <c r="O120" s="1029">
        <f t="shared" si="1"/>
        <v>1</v>
      </c>
      <c r="P120" s="92"/>
      <c r="Q120" s="92"/>
    </row>
    <row r="121" spans="1:17" ht="20.100000000000001" customHeight="1">
      <c r="A121" s="92">
        <v>114</v>
      </c>
      <c r="B121" s="1026" t="s">
        <v>1645</v>
      </c>
      <c r="C121" s="1026" t="s">
        <v>1588</v>
      </c>
      <c r="D121" s="1049"/>
      <c r="E121" s="92"/>
      <c r="F121" s="92"/>
      <c r="G121" s="92">
        <v>1</v>
      </c>
      <c r="H121" s="92"/>
      <c r="I121" s="92"/>
      <c r="J121" s="92"/>
      <c r="K121" s="1118"/>
      <c r="L121" s="1118"/>
      <c r="M121" s="1100" t="s">
        <v>32</v>
      </c>
      <c r="N121" s="1121">
        <v>-10.54</v>
      </c>
      <c r="O121" s="1029">
        <f t="shared" si="1"/>
        <v>1</v>
      </c>
      <c r="P121" s="92"/>
      <c r="Q121" s="92"/>
    </row>
    <row r="122" spans="1:17" ht="20.100000000000001" customHeight="1">
      <c r="A122" s="92">
        <v>115</v>
      </c>
      <c r="B122" s="1026" t="s">
        <v>1645</v>
      </c>
      <c r="C122" s="1026" t="s">
        <v>1588</v>
      </c>
      <c r="D122" s="1049"/>
      <c r="E122" s="92"/>
      <c r="F122" s="92"/>
      <c r="G122" s="92">
        <v>1</v>
      </c>
      <c r="H122" s="92"/>
      <c r="I122" s="92"/>
      <c r="J122" s="92"/>
      <c r="K122" s="1122"/>
      <c r="L122" s="1122"/>
      <c r="M122" s="1123" t="s">
        <v>50</v>
      </c>
      <c r="N122" s="1124">
        <v>-4.3</v>
      </c>
      <c r="O122" s="1029">
        <f t="shared" si="1"/>
        <v>1</v>
      </c>
      <c r="P122" s="92"/>
      <c r="Q122" s="92"/>
    </row>
    <row r="123" spans="1:17" ht="20.100000000000001" customHeight="1">
      <c r="A123" s="92">
        <v>116</v>
      </c>
      <c r="B123" s="1026" t="s">
        <v>1645</v>
      </c>
      <c r="C123" s="1026" t="s">
        <v>1588</v>
      </c>
      <c r="D123" s="1049"/>
      <c r="E123" s="92"/>
      <c r="F123" s="92"/>
      <c r="G123" s="92">
        <v>1</v>
      </c>
      <c r="H123" s="92"/>
      <c r="I123" s="92"/>
      <c r="J123" s="92"/>
      <c r="K123" s="1122"/>
      <c r="L123" s="1122"/>
      <c r="M123" s="1100" t="s">
        <v>1647</v>
      </c>
      <c r="N123" s="1124">
        <v>89.5</v>
      </c>
      <c r="O123" s="1029">
        <f t="shared" si="1"/>
        <v>1</v>
      </c>
      <c r="P123" s="92"/>
      <c r="Q123" s="92"/>
    </row>
    <row r="124" spans="1:17" ht="20.100000000000001" customHeight="1">
      <c r="A124" s="92">
        <v>117</v>
      </c>
      <c r="B124" s="1026" t="s">
        <v>1645</v>
      </c>
      <c r="C124" s="1026" t="s">
        <v>1588</v>
      </c>
      <c r="D124" s="1049"/>
      <c r="E124" s="92"/>
      <c r="F124" s="92"/>
      <c r="G124" s="92"/>
      <c r="H124" s="92"/>
      <c r="I124" s="92"/>
      <c r="J124" s="92"/>
      <c r="K124" s="1122">
        <v>1</v>
      </c>
      <c r="L124" s="1122"/>
      <c r="M124" s="1125" t="s">
        <v>1648</v>
      </c>
      <c r="N124" s="1124">
        <v>125737.91</v>
      </c>
      <c r="O124" s="1029">
        <f t="shared" si="1"/>
        <v>1</v>
      </c>
      <c r="P124" s="92"/>
      <c r="Q124" s="92"/>
    </row>
    <row r="125" spans="1:17" ht="20.100000000000001" customHeight="1">
      <c r="A125" s="92">
        <v>118</v>
      </c>
      <c r="B125" s="1026" t="s">
        <v>1645</v>
      </c>
      <c r="C125" s="1026" t="s">
        <v>1588</v>
      </c>
      <c r="D125" s="1117" t="s">
        <v>33</v>
      </c>
      <c r="E125" s="92"/>
      <c r="F125" s="92"/>
      <c r="G125" s="92"/>
      <c r="H125" s="92"/>
      <c r="I125" s="92">
        <v>3513</v>
      </c>
      <c r="J125" s="92"/>
      <c r="K125" s="1126"/>
      <c r="L125" s="1118"/>
      <c r="M125" s="1127" t="s">
        <v>35</v>
      </c>
      <c r="N125" s="1128"/>
      <c r="O125" s="1029">
        <f t="shared" si="1"/>
        <v>3513</v>
      </c>
      <c r="P125" s="92"/>
      <c r="Q125" s="92"/>
    </row>
    <row r="126" spans="1:17" ht="20.100000000000001" customHeight="1">
      <c r="A126" s="92">
        <v>119</v>
      </c>
      <c r="B126" s="1026" t="s">
        <v>1645</v>
      </c>
      <c r="C126" s="1026" t="s">
        <v>1588</v>
      </c>
      <c r="D126" s="1117" t="s">
        <v>36</v>
      </c>
      <c r="E126" s="92"/>
      <c r="F126" s="92">
        <v>1006</v>
      </c>
      <c r="G126" s="92"/>
      <c r="H126" s="92"/>
      <c r="I126" s="92"/>
      <c r="J126" s="92"/>
      <c r="K126" s="1129"/>
      <c r="L126" s="1118"/>
      <c r="M126" s="1130" t="s">
        <v>1649</v>
      </c>
      <c r="N126" s="1120"/>
      <c r="O126" s="1029">
        <f t="shared" si="1"/>
        <v>1006</v>
      </c>
      <c r="P126" s="92"/>
      <c r="Q126" s="92"/>
    </row>
    <row r="127" spans="1:17" ht="20.100000000000001" customHeight="1">
      <c r="A127" s="92">
        <v>120</v>
      </c>
      <c r="B127" s="1026" t="s">
        <v>1645</v>
      </c>
      <c r="C127" s="1026" t="s">
        <v>1588</v>
      </c>
      <c r="D127" s="1117" t="s">
        <v>36</v>
      </c>
      <c r="E127" s="92">
        <v>19</v>
      </c>
      <c r="F127" s="92"/>
      <c r="G127" s="92"/>
      <c r="H127" s="92"/>
      <c r="I127" s="92"/>
      <c r="J127" s="92"/>
      <c r="K127" s="1129"/>
      <c r="L127" s="1118"/>
      <c r="M127" s="1037" t="s">
        <v>1591</v>
      </c>
      <c r="N127" s="1120"/>
      <c r="O127" s="1029">
        <f t="shared" si="1"/>
        <v>19</v>
      </c>
      <c r="P127" s="92"/>
      <c r="Q127" s="92"/>
    </row>
    <row r="128" spans="1:17" ht="20.100000000000001" customHeight="1">
      <c r="A128" s="92">
        <v>121</v>
      </c>
      <c r="B128" s="1026" t="s">
        <v>1650</v>
      </c>
      <c r="C128" s="1026" t="s">
        <v>1588</v>
      </c>
      <c r="D128" s="1131" t="s">
        <v>26</v>
      </c>
      <c r="E128" s="92"/>
      <c r="F128" s="92"/>
      <c r="G128" s="92"/>
      <c r="H128" s="92"/>
      <c r="I128" s="92"/>
      <c r="J128" s="92"/>
      <c r="K128" s="1118">
        <v>1</v>
      </c>
      <c r="L128" s="1118"/>
      <c r="M128" s="1119" t="s">
        <v>1651</v>
      </c>
      <c r="N128" s="1132">
        <v>67179.3</v>
      </c>
      <c r="O128" s="1029">
        <f t="shared" si="1"/>
        <v>1</v>
      </c>
      <c r="P128" s="92"/>
      <c r="Q128" s="92"/>
    </row>
    <row r="129" spans="1:17" ht="20.100000000000001" customHeight="1">
      <c r="A129" s="92">
        <v>122</v>
      </c>
      <c r="B129" s="1026" t="s">
        <v>1650</v>
      </c>
      <c r="C129" s="1026" t="s">
        <v>1588</v>
      </c>
      <c r="D129" s="1117" t="s">
        <v>29</v>
      </c>
      <c r="E129" s="92"/>
      <c r="F129" s="92"/>
      <c r="G129" s="92">
        <v>1</v>
      </c>
      <c r="H129" s="92"/>
      <c r="I129" s="92"/>
      <c r="J129" s="92"/>
      <c r="K129" s="1118"/>
      <c r="L129" s="1118"/>
      <c r="M129" s="1123" t="s">
        <v>49</v>
      </c>
      <c r="N129" s="1133">
        <v>-400449514.74000001</v>
      </c>
      <c r="O129" s="1029">
        <f t="shared" si="1"/>
        <v>1</v>
      </c>
      <c r="P129" s="92"/>
      <c r="Q129" s="92"/>
    </row>
    <row r="130" spans="1:17" ht="20.100000000000001" customHeight="1">
      <c r="A130" s="92">
        <v>123</v>
      </c>
      <c r="B130" s="1026" t="s">
        <v>1650</v>
      </c>
      <c r="C130" s="1026" t="s">
        <v>1588</v>
      </c>
      <c r="D130" s="1049"/>
      <c r="E130" s="92"/>
      <c r="F130" s="92"/>
      <c r="G130" s="92">
        <v>1</v>
      </c>
      <c r="H130" s="92"/>
      <c r="I130" s="92"/>
      <c r="J130" s="92"/>
      <c r="K130" s="1118"/>
      <c r="L130" s="1118"/>
      <c r="M130" s="1123" t="s">
        <v>32</v>
      </c>
      <c r="N130" s="1134">
        <v>3046846.17</v>
      </c>
      <c r="O130" s="1029">
        <f t="shared" si="1"/>
        <v>1</v>
      </c>
      <c r="P130" s="92"/>
      <c r="Q130" s="92"/>
    </row>
    <row r="131" spans="1:17" ht="20.100000000000001" customHeight="1">
      <c r="A131" s="92">
        <v>124</v>
      </c>
      <c r="B131" s="1026" t="s">
        <v>1650</v>
      </c>
      <c r="C131" s="1026" t="s">
        <v>1588</v>
      </c>
      <c r="D131" s="1049"/>
      <c r="E131" s="92"/>
      <c r="F131" s="92"/>
      <c r="G131" s="92">
        <v>1</v>
      </c>
      <c r="H131" s="92"/>
      <c r="I131" s="92"/>
      <c r="J131" s="92"/>
      <c r="K131" s="1122"/>
      <c r="L131" s="1122"/>
      <c r="M131" s="1123" t="s">
        <v>207</v>
      </c>
      <c r="N131" s="1121">
        <v>-2620512.66</v>
      </c>
      <c r="O131" s="1029">
        <f t="shared" si="1"/>
        <v>1</v>
      </c>
      <c r="P131" s="92"/>
      <c r="Q131" s="92"/>
    </row>
    <row r="132" spans="1:17" ht="20.100000000000001" customHeight="1">
      <c r="A132" s="92">
        <v>125</v>
      </c>
      <c r="B132" s="1026" t="s">
        <v>1650</v>
      </c>
      <c r="C132" s="1026" t="s">
        <v>1588</v>
      </c>
      <c r="D132" s="1049"/>
      <c r="E132" s="92"/>
      <c r="F132" s="92"/>
      <c r="G132" s="92">
        <v>1</v>
      </c>
      <c r="H132" s="92"/>
      <c r="I132" s="92"/>
      <c r="J132" s="92"/>
      <c r="K132" s="1122"/>
      <c r="L132" s="1122"/>
      <c r="M132" s="1123" t="s">
        <v>675</v>
      </c>
      <c r="N132" s="1121">
        <v>13.45</v>
      </c>
      <c r="O132" s="1029">
        <f t="shared" si="1"/>
        <v>1</v>
      </c>
      <c r="P132" s="92"/>
      <c r="Q132" s="92"/>
    </row>
    <row r="133" spans="1:17" ht="20.100000000000001" customHeight="1">
      <c r="A133" s="92">
        <v>126</v>
      </c>
      <c r="B133" s="1026" t="s">
        <v>1650</v>
      </c>
      <c r="C133" s="1026" t="s">
        <v>1588</v>
      </c>
      <c r="D133" s="1049"/>
      <c r="E133" s="92"/>
      <c r="F133" s="92"/>
      <c r="G133" s="92"/>
      <c r="H133" s="92"/>
      <c r="I133" s="92"/>
      <c r="J133" s="92"/>
      <c r="K133" s="1135">
        <v>1</v>
      </c>
      <c r="L133" s="1122"/>
      <c r="M133" s="1119" t="s">
        <v>1652</v>
      </c>
      <c r="N133" s="1132">
        <v>486083.32</v>
      </c>
      <c r="O133" s="1029">
        <f t="shared" si="1"/>
        <v>1</v>
      </c>
      <c r="P133" s="92"/>
      <c r="Q133" s="92"/>
    </row>
    <row r="134" spans="1:17" ht="20.100000000000001" customHeight="1">
      <c r="A134" s="92">
        <v>127</v>
      </c>
      <c r="B134" s="1026" t="s">
        <v>1650</v>
      </c>
      <c r="C134" s="1026" t="s">
        <v>1588</v>
      </c>
      <c r="D134" s="1117" t="s">
        <v>33</v>
      </c>
      <c r="E134" s="92"/>
      <c r="F134" s="92"/>
      <c r="G134" s="92"/>
      <c r="H134" s="92"/>
      <c r="I134" s="92">
        <v>1705</v>
      </c>
      <c r="J134" s="92"/>
      <c r="K134" s="1136"/>
      <c r="L134" s="1122"/>
      <c r="M134" s="1137" t="s">
        <v>35</v>
      </c>
      <c r="N134" s="1138"/>
      <c r="O134" s="1029">
        <f t="shared" si="1"/>
        <v>1705</v>
      </c>
      <c r="P134" s="92"/>
      <c r="Q134" s="92"/>
    </row>
    <row r="135" spans="1:17" ht="20.100000000000001" customHeight="1">
      <c r="A135" s="92">
        <v>128</v>
      </c>
      <c r="B135" s="1026" t="s">
        <v>1650</v>
      </c>
      <c r="C135" s="1026" t="s">
        <v>1588</v>
      </c>
      <c r="D135" s="1117" t="s">
        <v>36</v>
      </c>
      <c r="E135" s="92"/>
      <c r="F135" s="92">
        <v>506</v>
      </c>
      <c r="G135" s="92"/>
      <c r="H135" s="92"/>
      <c r="I135" s="92"/>
      <c r="J135" s="92"/>
      <c r="K135" s="1139"/>
      <c r="L135" s="1118"/>
      <c r="M135" s="1119" t="s">
        <v>1653</v>
      </c>
      <c r="N135" s="1139"/>
      <c r="O135" s="1029">
        <f t="shared" si="1"/>
        <v>506</v>
      </c>
      <c r="P135" s="92"/>
      <c r="Q135" s="92"/>
    </row>
    <row r="136" spans="1:17" ht="20.100000000000001" customHeight="1">
      <c r="A136" s="92">
        <v>129</v>
      </c>
      <c r="B136" s="1026" t="s">
        <v>1650</v>
      </c>
      <c r="C136" s="1026" t="s">
        <v>1588</v>
      </c>
      <c r="D136" s="1117" t="s">
        <v>36</v>
      </c>
      <c r="E136" s="92">
        <v>289</v>
      </c>
      <c r="F136" s="92"/>
      <c r="G136" s="92"/>
      <c r="H136" s="92"/>
      <c r="I136" s="92"/>
      <c r="J136" s="92"/>
      <c r="K136" s="1139"/>
      <c r="L136" s="1118"/>
      <c r="M136" s="1037" t="s">
        <v>1591</v>
      </c>
      <c r="N136" s="1139"/>
      <c r="O136" s="1029">
        <f t="shared" si="1"/>
        <v>289</v>
      </c>
      <c r="P136" s="92"/>
      <c r="Q136" s="92"/>
    </row>
    <row r="137" spans="1:17" ht="20.100000000000001" customHeight="1">
      <c r="A137" s="92">
        <v>130</v>
      </c>
      <c r="B137" s="1026" t="s">
        <v>1654</v>
      </c>
      <c r="C137" s="1026" t="s">
        <v>1588</v>
      </c>
      <c r="D137" s="1066" t="s">
        <v>26</v>
      </c>
      <c r="E137" s="92"/>
      <c r="F137" s="92"/>
      <c r="G137" s="92"/>
      <c r="H137" s="92"/>
      <c r="I137" s="92"/>
      <c r="J137" s="92"/>
      <c r="K137" s="1140">
        <v>1</v>
      </c>
      <c r="L137" s="1141"/>
      <c r="M137" s="1142" t="s">
        <v>1655</v>
      </c>
      <c r="N137" s="1143">
        <v>319956.39</v>
      </c>
      <c r="O137" s="1029">
        <f t="shared" si="1"/>
        <v>1</v>
      </c>
      <c r="P137" s="92"/>
      <c r="Q137" s="92"/>
    </row>
    <row r="138" spans="1:17" ht="20.100000000000001" customHeight="1">
      <c r="A138" s="92">
        <v>131</v>
      </c>
      <c r="B138" s="1026" t="s">
        <v>1654</v>
      </c>
      <c r="C138" s="1026" t="s">
        <v>1588</v>
      </c>
      <c r="D138" s="1049" t="s">
        <v>29</v>
      </c>
      <c r="E138" s="92"/>
      <c r="F138" s="92"/>
      <c r="G138" s="92">
        <v>1</v>
      </c>
      <c r="H138" s="92"/>
      <c r="I138" s="92"/>
      <c r="J138" s="92"/>
      <c r="K138" s="1140"/>
      <c r="L138" s="1140"/>
      <c r="M138" s="1123" t="s">
        <v>119</v>
      </c>
      <c r="N138" s="1128">
        <v>-3777204.56</v>
      </c>
      <c r="O138" s="1029">
        <f t="shared" ref="O138:O201" si="2">E138+F138+G138+H138+I138+J138+K138-P138</f>
        <v>1</v>
      </c>
      <c r="P138" s="92"/>
      <c r="Q138" s="92"/>
    </row>
    <row r="139" spans="1:17" ht="20.100000000000001" customHeight="1">
      <c r="A139" s="92">
        <v>132</v>
      </c>
      <c r="B139" s="1026" t="s">
        <v>1654</v>
      </c>
      <c r="C139" s="1026" t="s">
        <v>1588</v>
      </c>
      <c r="D139" s="1049"/>
      <c r="E139" s="92"/>
      <c r="F139" s="92"/>
      <c r="G139" s="92">
        <v>1</v>
      </c>
      <c r="H139" s="92"/>
      <c r="I139" s="92"/>
      <c r="J139" s="92"/>
      <c r="K139" s="1140"/>
      <c r="L139" s="1140"/>
      <c r="M139" s="1123" t="s">
        <v>49</v>
      </c>
      <c r="N139" s="1144">
        <v>-129548297.40000001</v>
      </c>
      <c r="O139" s="1029">
        <f t="shared" si="2"/>
        <v>1</v>
      </c>
      <c r="P139" s="92"/>
      <c r="Q139" s="92"/>
    </row>
    <row r="140" spans="1:17" ht="20.100000000000001" customHeight="1">
      <c r="A140" s="92">
        <v>133</v>
      </c>
      <c r="B140" s="1026" t="s">
        <v>1654</v>
      </c>
      <c r="C140" s="1026" t="s">
        <v>1588</v>
      </c>
      <c r="D140" s="1049"/>
      <c r="E140" s="92"/>
      <c r="F140" s="92"/>
      <c r="G140" s="92">
        <v>1</v>
      </c>
      <c r="H140" s="92"/>
      <c r="I140" s="92"/>
      <c r="J140" s="92"/>
      <c r="K140" s="1140"/>
      <c r="L140" s="1140"/>
      <c r="M140" s="1123" t="s">
        <v>32</v>
      </c>
      <c r="N140" s="1143">
        <v>-212.17</v>
      </c>
      <c r="O140" s="1029">
        <f t="shared" si="2"/>
        <v>1</v>
      </c>
      <c r="P140" s="92"/>
      <c r="Q140" s="92"/>
    </row>
    <row r="141" spans="1:17" ht="20.100000000000001" customHeight="1">
      <c r="A141" s="92">
        <v>134</v>
      </c>
      <c r="B141" s="1026" t="s">
        <v>1654</v>
      </c>
      <c r="C141" s="1026" t="s">
        <v>1588</v>
      </c>
      <c r="D141" s="1049" t="s">
        <v>33</v>
      </c>
      <c r="E141" s="92"/>
      <c r="F141" s="92"/>
      <c r="G141" s="92"/>
      <c r="H141" s="92"/>
      <c r="I141" s="92">
        <v>1873</v>
      </c>
      <c r="J141" s="92"/>
      <c r="K141" s="1126"/>
      <c r="L141" s="1145"/>
      <c r="M141" s="1130" t="s">
        <v>35</v>
      </c>
      <c r="N141" s="1143">
        <v>4994784.09</v>
      </c>
      <c r="O141" s="1029">
        <f t="shared" si="2"/>
        <v>1873</v>
      </c>
      <c r="P141" s="92"/>
      <c r="Q141" s="92"/>
    </row>
    <row r="142" spans="1:17" ht="20.100000000000001" customHeight="1">
      <c r="A142" s="92">
        <v>135</v>
      </c>
      <c r="B142" s="1026" t="s">
        <v>1654</v>
      </c>
      <c r="C142" s="1026" t="s">
        <v>1588</v>
      </c>
      <c r="D142" s="1117" t="s">
        <v>36</v>
      </c>
      <c r="E142" s="92"/>
      <c r="F142" s="92">
        <v>27</v>
      </c>
      <c r="G142" s="92"/>
      <c r="H142" s="92"/>
      <c r="I142" s="92"/>
      <c r="J142" s="92"/>
      <c r="K142" s="1146"/>
      <c r="L142" s="1147"/>
      <c r="M142" s="1125" t="s">
        <v>1656</v>
      </c>
      <c r="N142" s="1128"/>
      <c r="O142" s="1029">
        <f t="shared" si="2"/>
        <v>27</v>
      </c>
      <c r="P142" s="92"/>
      <c r="Q142" s="92"/>
    </row>
    <row r="143" spans="1:17" ht="20.100000000000001" customHeight="1">
      <c r="A143" s="92">
        <v>136</v>
      </c>
      <c r="B143" s="1026" t="s">
        <v>1654</v>
      </c>
      <c r="C143" s="1026" t="s">
        <v>1588</v>
      </c>
      <c r="D143" s="1117" t="s">
        <v>36</v>
      </c>
      <c r="E143" s="92">
        <v>15</v>
      </c>
      <c r="F143" s="92"/>
      <c r="G143" s="92"/>
      <c r="H143" s="92"/>
      <c r="I143" s="92"/>
      <c r="J143" s="92"/>
      <c r="K143" s="1146"/>
      <c r="L143" s="1147"/>
      <c r="M143" s="1037" t="s">
        <v>1591</v>
      </c>
      <c r="N143" s="1128"/>
      <c r="O143" s="1029">
        <f t="shared" si="2"/>
        <v>15</v>
      </c>
      <c r="P143" s="92"/>
      <c r="Q143" s="92"/>
    </row>
    <row r="144" spans="1:17" ht="20.100000000000001" customHeight="1">
      <c r="A144" s="92">
        <v>137</v>
      </c>
      <c r="B144" s="1026" t="s">
        <v>1657</v>
      </c>
      <c r="C144" s="1026" t="s">
        <v>1588</v>
      </c>
      <c r="D144" s="1117" t="s">
        <v>26</v>
      </c>
      <c r="E144" s="92"/>
      <c r="F144" s="92"/>
      <c r="G144" s="92"/>
      <c r="H144" s="92"/>
      <c r="I144" s="92"/>
      <c r="J144" s="92"/>
      <c r="K144" s="1118">
        <v>1</v>
      </c>
      <c r="L144" s="1148"/>
      <c r="M144" s="1119" t="s">
        <v>1658</v>
      </c>
      <c r="N144" s="1128">
        <v>15474.74</v>
      </c>
      <c r="O144" s="1029">
        <f t="shared" si="2"/>
        <v>1</v>
      </c>
      <c r="P144" s="92"/>
      <c r="Q144" s="92"/>
    </row>
    <row r="145" spans="1:17" ht="20.100000000000001" customHeight="1">
      <c r="A145" s="92">
        <v>138</v>
      </c>
      <c r="B145" s="1026" t="s">
        <v>1657</v>
      </c>
      <c r="C145" s="1026" t="s">
        <v>1588</v>
      </c>
      <c r="D145" s="1049" t="s">
        <v>29</v>
      </c>
      <c r="E145" s="92"/>
      <c r="F145" s="92"/>
      <c r="G145" s="92">
        <v>1</v>
      </c>
      <c r="H145" s="92"/>
      <c r="I145" s="92"/>
      <c r="J145" s="92"/>
      <c r="K145" s="1047"/>
      <c r="L145" s="1148"/>
      <c r="M145" s="1123" t="s">
        <v>119</v>
      </c>
      <c r="N145" s="1149">
        <v>-2126579.9300000002</v>
      </c>
      <c r="O145" s="1029">
        <f t="shared" si="2"/>
        <v>1</v>
      </c>
      <c r="P145" s="92"/>
      <c r="Q145" s="92"/>
    </row>
    <row r="146" spans="1:17" ht="20.100000000000001" customHeight="1">
      <c r="A146" s="92">
        <v>139</v>
      </c>
      <c r="B146" s="1026" t="s">
        <v>1657</v>
      </c>
      <c r="C146" s="1026" t="s">
        <v>1588</v>
      </c>
      <c r="D146" s="1049"/>
      <c r="E146" s="92"/>
      <c r="F146" s="92"/>
      <c r="G146" s="92">
        <v>1</v>
      </c>
      <c r="H146" s="92"/>
      <c r="I146" s="92"/>
      <c r="J146" s="92"/>
      <c r="K146" s="1047"/>
      <c r="L146" s="1148"/>
      <c r="M146" s="1123" t="s">
        <v>49</v>
      </c>
      <c r="N146" s="1143">
        <v>-36216020.219999999</v>
      </c>
      <c r="O146" s="1029">
        <f t="shared" si="2"/>
        <v>1</v>
      </c>
      <c r="P146" s="92"/>
      <c r="Q146" s="92"/>
    </row>
    <row r="147" spans="1:17" ht="20.100000000000001" customHeight="1">
      <c r="A147" s="92">
        <v>140</v>
      </c>
      <c r="B147" s="1026" t="s">
        <v>1657</v>
      </c>
      <c r="C147" s="1026" t="s">
        <v>1588</v>
      </c>
      <c r="D147" s="1049"/>
      <c r="E147" s="92"/>
      <c r="F147" s="92"/>
      <c r="G147" s="92">
        <v>1</v>
      </c>
      <c r="H147" s="92"/>
      <c r="I147" s="92"/>
      <c r="J147" s="92"/>
      <c r="K147" s="1047"/>
      <c r="L147" s="1148"/>
      <c r="M147" s="1123" t="s">
        <v>32</v>
      </c>
      <c r="N147" s="1128">
        <v>0.44</v>
      </c>
      <c r="O147" s="1029">
        <f t="shared" si="2"/>
        <v>1</v>
      </c>
      <c r="P147" s="92"/>
      <c r="Q147" s="92"/>
    </row>
    <row r="148" spans="1:17" ht="20.100000000000001" customHeight="1">
      <c r="A148" s="92">
        <v>141</v>
      </c>
      <c r="B148" s="1026" t="s">
        <v>1657</v>
      </c>
      <c r="C148" s="1026" t="s">
        <v>1588</v>
      </c>
      <c r="D148" s="1049"/>
      <c r="E148" s="92"/>
      <c r="F148" s="92"/>
      <c r="G148" s="92">
        <v>1</v>
      </c>
      <c r="H148" s="92"/>
      <c r="I148" s="92"/>
      <c r="J148" s="92"/>
      <c r="K148" s="1059"/>
      <c r="L148" s="1148"/>
      <c r="M148" s="1123" t="s">
        <v>207</v>
      </c>
      <c r="N148" s="1150">
        <v>-136919.9</v>
      </c>
      <c r="O148" s="1029">
        <f t="shared" si="2"/>
        <v>1</v>
      </c>
      <c r="P148" s="92"/>
      <c r="Q148" s="92"/>
    </row>
    <row r="149" spans="1:17" ht="20.100000000000001" customHeight="1">
      <c r="A149" s="92">
        <v>142</v>
      </c>
      <c r="B149" s="1026" t="s">
        <v>1657</v>
      </c>
      <c r="C149" s="1026" t="s">
        <v>1588</v>
      </c>
      <c r="D149" s="1049"/>
      <c r="E149" s="92"/>
      <c r="F149" s="92"/>
      <c r="G149" s="92">
        <v>1</v>
      </c>
      <c r="H149" s="92"/>
      <c r="I149" s="92"/>
      <c r="J149" s="92"/>
      <c r="K149" s="1059"/>
      <c r="L149" s="1148"/>
      <c r="M149" s="1100" t="s">
        <v>1659</v>
      </c>
      <c r="N149" s="1151">
        <v>10</v>
      </c>
      <c r="O149" s="1029">
        <f t="shared" si="2"/>
        <v>1</v>
      </c>
      <c r="P149" s="92"/>
      <c r="Q149" s="92"/>
    </row>
    <row r="150" spans="1:17" ht="20.100000000000001" customHeight="1">
      <c r="A150" s="92">
        <v>143</v>
      </c>
      <c r="B150" s="1026" t="s">
        <v>1657</v>
      </c>
      <c r="C150" s="1026" t="s">
        <v>1588</v>
      </c>
      <c r="D150" s="1117" t="s">
        <v>33</v>
      </c>
      <c r="E150" s="92"/>
      <c r="F150" s="92"/>
      <c r="G150" s="92"/>
      <c r="H150" s="92"/>
      <c r="I150" s="92">
        <v>265</v>
      </c>
      <c r="J150" s="92"/>
      <c r="K150" s="1152"/>
      <c r="L150" s="1148"/>
      <c r="M150" s="1127" t="s">
        <v>1660</v>
      </c>
      <c r="N150" s="1152">
        <v>265</v>
      </c>
      <c r="O150" s="1029">
        <f t="shared" si="2"/>
        <v>265</v>
      </c>
      <c r="P150" s="92"/>
      <c r="Q150" s="92"/>
    </row>
    <row r="151" spans="1:17" ht="20.100000000000001" customHeight="1">
      <c r="A151" s="92">
        <v>144</v>
      </c>
      <c r="B151" s="1026" t="s">
        <v>1657</v>
      </c>
      <c r="C151" s="1026" t="s">
        <v>1588</v>
      </c>
      <c r="D151" s="1117" t="s">
        <v>36</v>
      </c>
      <c r="E151" s="92"/>
      <c r="F151" s="92">
        <v>296</v>
      </c>
      <c r="G151" s="92"/>
      <c r="H151" s="92"/>
      <c r="I151" s="92"/>
      <c r="J151" s="92"/>
      <c r="K151" s="1118"/>
      <c r="L151" s="1148"/>
      <c r="M151" s="1153" t="s">
        <v>1661</v>
      </c>
      <c r="N151" s="1154"/>
      <c r="O151" s="1029">
        <f t="shared" si="2"/>
        <v>296</v>
      </c>
      <c r="P151" s="92"/>
      <c r="Q151" s="92"/>
    </row>
    <row r="152" spans="1:17" ht="20.100000000000001" customHeight="1">
      <c r="A152" s="92">
        <v>145</v>
      </c>
      <c r="B152" s="1026" t="s">
        <v>1657</v>
      </c>
      <c r="C152" s="1026" t="s">
        <v>1588</v>
      </c>
      <c r="D152" s="1117" t="s">
        <v>36</v>
      </c>
      <c r="E152" s="92">
        <v>269</v>
      </c>
      <c r="F152" s="92"/>
      <c r="G152" s="92"/>
      <c r="H152" s="92"/>
      <c r="I152" s="92"/>
      <c r="J152" s="92"/>
      <c r="K152" s="1118"/>
      <c r="L152" s="1148"/>
      <c r="M152" s="1037" t="s">
        <v>1591</v>
      </c>
      <c r="N152" s="1154"/>
      <c r="O152" s="1029">
        <f t="shared" si="2"/>
        <v>269</v>
      </c>
      <c r="P152" s="92"/>
      <c r="Q152" s="92"/>
    </row>
    <row r="153" spans="1:17" ht="20.100000000000001" customHeight="1">
      <c r="A153" s="92">
        <v>146</v>
      </c>
      <c r="B153" s="1026" t="s">
        <v>1662</v>
      </c>
      <c r="C153" s="1026" t="s">
        <v>1588</v>
      </c>
      <c r="D153" s="1117" t="s">
        <v>26</v>
      </c>
      <c r="E153" s="92"/>
      <c r="F153" s="92"/>
      <c r="G153" s="92"/>
      <c r="H153" s="92"/>
      <c r="I153" s="92"/>
      <c r="J153" s="92"/>
      <c r="K153" s="1155">
        <v>1</v>
      </c>
      <c r="L153" s="1155"/>
      <c r="M153" s="1156" t="s">
        <v>1663</v>
      </c>
      <c r="N153" s="1157">
        <v>51047.8</v>
      </c>
      <c r="O153" s="1029">
        <f t="shared" si="2"/>
        <v>1</v>
      </c>
      <c r="P153" s="92"/>
      <c r="Q153" s="92"/>
    </row>
    <row r="154" spans="1:17" ht="20.100000000000001" customHeight="1">
      <c r="A154" s="92">
        <v>147</v>
      </c>
      <c r="B154" s="1026" t="s">
        <v>1662</v>
      </c>
      <c r="C154" s="1026" t="s">
        <v>1588</v>
      </c>
      <c r="D154" s="1049" t="s">
        <v>29</v>
      </c>
      <c r="E154" s="92"/>
      <c r="F154" s="92"/>
      <c r="G154" s="92">
        <v>1</v>
      </c>
      <c r="H154" s="92"/>
      <c r="I154" s="92"/>
      <c r="J154" s="92"/>
      <c r="K154" s="1155"/>
      <c r="L154" s="1155"/>
      <c r="M154" s="1123" t="s">
        <v>119</v>
      </c>
      <c r="N154" s="1158">
        <v>1883424.72</v>
      </c>
      <c r="O154" s="1029">
        <f t="shared" si="2"/>
        <v>1</v>
      </c>
      <c r="P154" s="92"/>
      <c r="Q154" s="92"/>
    </row>
    <row r="155" spans="1:17" ht="20.100000000000001" customHeight="1">
      <c r="A155" s="92">
        <v>148</v>
      </c>
      <c r="B155" s="1026" t="s">
        <v>1662</v>
      </c>
      <c r="C155" s="1026" t="s">
        <v>1588</v>
      </c>
      <c r="D155" s="1049"/>
      <c r="E155" s="92"/>
      <c r="F155" s="92"/>
      <c r="G155" s="92">
        <v>1</v>
      </c>
      <c r="H155" s="92"/>
      <c r="I155" s="92"/>
      <c r="J155" s="92"/>
      <c r="K155" s="1155"/>
      <c r="L155" s="1155"/>
      <c r="M155" s="1123" t="s">
        <v>49</v>
      </c>
      <c r="N155" s="1158">
        <v>6363539.7999999998</v>
      </c>
      <c r="O155" s="1029">
        <f t="shared" si="2"/>
        <v>1</v>
      </c>
      <c r="P155" s="92"/>
      <c r="Q155" s="92"/>
    </row>
    <row r="156" spans="1:17" ht="20.100000000000001" customHeight="1">
      <c r="A156" s="92">
        <v>149</v>
      </c>
      <c r="B156" s="1026" t="s">
        <v>1662</v>
      </c>
      <c r="C156" s="1026" t="s">
        <v>1588</v>
      </c>
      <c r="D156" s="1049"/>
      <c r="E156" s="92"/>
      <c r="F156" s="92"/>
      <c r="G156" s="92">
        <v>1</v>
      </c>
      <c r="H156" s="92"/>
      <c r="I156" s="92"/>
      <c r="J156" s="92"/>
      <c r="K156" s="1155"/>
      <c r="L156" s="1155"/>
      <c r="M156" s="1123" t="s">
        <v>32</v>
      </c>
      <c r="N156" s="1158">
        <v>356.89</v>
      </c>
      <c r="O156" s="1029">
        <f t="shared" si="2"/>
        <v>1</v>
      </c>
      <c r="P156" s="92"/>
      <c r="Q156" s="92"/>
    </row>
    <row r="157" spans="1:17" ht="20.100000000000001" customHeight="1">
      <c r="A157" s="92">
        <v>150</v>
      </c>
      <c r="B157" s="1026" t="s">
        <v>1662</v>
      </c>
      <c r="C157" s="1026" t="s">
        <v>1588</v>
      </c>
      <c r="D157" s="1049"/>
      <c r="E157" s="92"/>
      <c r="F157" s="92"/>
      <c r="G157" s="92">
        <v>1</v>
      </c>
      <c r="H157" s="92"/>
      <c r="I157" s="92"/>
      <c r="J157" s="92"/>
      <c r="K157" s="1159"/>
      <c r="L157" s="1159"/>
      <c r="M157" s="1123" t="s">
        <v>50</v>
      </c>
      <c r="N157" s="1160">
        <v>0.06</v>
      </c>
      <c r="O157" s="1029">
        <f t="shared" si="2"/>
        <v>1</v>
      </c>
      <c r="P157" s="92"/>
      <c r="Q157" s="92"/>
    </row>
    <row r="158" spans="1:17" ht="20.100000000000001" customHeight="1">
      <c r="A158" s="92">
        <v>151</v>
      </c>
      <c r="B158" s="1026" t="s">
        <v>1662</v>
      </c>
      <c r="C158" s="1026" t="s">
        <v>1588</v>
      </c>
      <c r="D158" s="1049" t="s">
        <v>33</v>
      </c>
      <c r="E158" s="92"/>
      <c r="F158" s="92"/>
      <c r="G158" s="92"/>
      <c r="H158" s="92"/>
      <c r="I158" s="92">
        <v>1921</v>
      </c>
      <c r="J158" s="92"/>
      <c r="K158" s="1126"/>
      <c r="L158" s="1159"/>
      <c r="M158" s="1130" t="s">
        <v>35</v>
      </c>
      <c r="N158" s="1143"/>
      <c r="O158" s="1029">
        <f t="shared" si="2"/>
        <v>1921</v>
      </c>
      <c r="P158" s="92"/>
      <c r="Q158" s="92"/>
    </row>
    <row r="159" spans="1:17" ht="20.100000000000001" customHeight="1">
      <c r="A159" s="92">
        <v>152</v>
      </c>
      <c r="B159" s="1026" t="s">
        <v>1662</v>
      </c>
      <c r="C159" s="1026" t="s">
        <v>1588</v>
      </c>
      <c r="D159" s="1117" t="s">
        <v>36</v>
      </c>
      <c r="E159" s="92"/>
      <c r="F159" s="92">
        <v>224</v>
      </c>
      <c r="G159" s="92"/>
      <c r="H159" s="92"/>
      <c r="I159" s="92"/>
      <c r="J159" s="92"/>
      <c r="K159" s="1118"/>
      <c r="L159" s="1155"/>
      <c r="M159" s="1130" t="s">
        <v>1664</v>
      </c>
      <c r="N159" s="1157"/>
      <c r="O159" s="1029">
        <f t="shared" si="2"/>
        <v>224</v>
      </c>
      <c r="P159" s="92"/>
      <c r="Q159" s="92"/>
    </row>
    <row r="160" spans="1:17" ht="20.100000000000001" customHeight="1">
      <c r="A160" s="92">
        <v>153</v>
      </c>
      <c r="B160" s="1026" t="s">
        <v>1662</v>
      </c>
      <c r="C160" s="1026" t="s">
        <v>1588</v>
      </c>
      <c r="D160" s="1117" t="s">
        <v>36</v>
      </c>
      <c r="E160" s="92">
        <v>22</v>
      </c>
      <c r="F160" s="92"/>
      <c r="G160" s="92"/>
      <c r="H160" s="92"/>
      <c r="I160" s="92"/>
      <c r="J160" s="92"/>
      <c r="K160" s="1118"/>
      <c r="L160" s="1155"/>
      <c r="M160" s="1037" t="s">
        <v>1591</v>
      </c>
      <c r="N160" s="1157"/>
      <c r="O160" s="1029">
        <f t="shared" si="2"/>
        <v>22</v>
      </c>
      <c r="P160" s="92"/>
      <c r="Q160" s="92"/>
    </row>
    <row r="161" spans="1:17" ht="20.100000000000001" customHeight="1">
      <c r="A161" s="92">
        <v>154</v>
      </c>
      <c r="B161" s="1026" t="s">
        <v>1665</v>
      </c>
      <c r="C161" s="1026" t="s">
        <v>1588</v>
      </c>
      <c r="D161" s="1117" t="s">
        <v>26</v>
      </c>
      <c r="E161" s="92"/>
      <c r="F161" s="92"/>
      <c r="G161" s="92"/>
      <c r="H161" s="92"/>
      <c r="I161" s="92"/>
      <c r="J161" s="92"/>
      <c r="K161" s="1047">
        <v>1</v>
      </c>
      <c r="L161" s="1047"/>
      <c r="M161" s="1130" t="s">
        <v>1666</v>
      </c>
      <c r="N161" s="1161" t="s">
        <v>1667</v>
      </c>
      <c r="O161" s="1029">
        <f t="shared" si="2"/>
        <v>1</v>
      </c>
      <c r="P161" s="92"/>
      <c r="Q161" s="92"/>
    </row>
    <row r="162" spans="1:17" ht="20.100000000000001" customHeight="1">
      <c r="A162" s="92">
        <v>155</v>
      </c>
      <c r="B162" s="1026" t="s">
        <v>1665</v>
      </c>
      <c r="C162" s="1026" t="s">
        <v>1588</v>
      </c>
      <c r="D162" s="1049"/>
      <c r="E162" s="92"/>
      <c r="F162" s="92"/>
      <c r="G162" s="92"/>
      <c r="H162" s="92"/>
      <c r="I162" s="92"/>
      <c r="J162" s="92"/>
      <c r="K162" s="1118">
        <v>1</v>
      </c>
      <c r="L162" s="1118"/>
      <c r="M162" s="1156" t="s">
        <v>1668</v>
      </c>
      <c r="N162" s="1162">
        <f>59400-30882.7</f>
        <v>28517.3</v>
      </c>
      <c r="O162" s="1029">
        <f t="shared" si="2"/>
        <v>1</v>
      </c>
      <c r="P162" s="92"/>
      <c r="Q162" s="92"/>
    </row>
    <row r="163" spans="1:17" ht="20.100000000000001" customHeight="1">
      <c r="A163" s="92">
        <v>156</v>
      </c>
      <c r="B163" s="1026" t="s">
        <v>1665</v>
      </c>
      <c r="C163" s="1026" t="s">
        <v>1588</v>
      </c>
      <c r="D163" s="1049" t="s">
        <v>29</v>
      </c>
      <c r="E163" s="92"/>
      <c r="F163" s="92"/>
      <c r="G163" s="92">
        <v>1</v>
      </c>
      <c r="H163" s="92"/>
      <c r="I163" s="92"/>
      <c r="J163" s="92"/>
      <c r="K163" s="1118"/>
      <c r="L163" s="1118"/>
      <c r="M163" s="1100" t="s">
        <v>119</v>
      </c>
      <c r="N163" s="1143">
        <v>2839468.34</v>
      </c>
      <c r="O163" s="1029">
        <f t="shared" si="2"/>
        <v>1</v>
      </c>
      <c r="P163" s="92"/>
      <c r="Q163" s="92"/>
    </row>
    <row r="164" spans="1:17" ht="20.100000000000001" customHeight="1">
      <c r="A164" s="92">
        <v>157</v>
      </c>
      <c r="B164" s="1026" t="s">
        <v>1665</v>
      </c>
      <c r="C164" s="1026" t="s">
        <v>1588</v>
      </c>
      <c r="D164" s="1049"/>
      <c r="E164" s="92"/>
      <c r="F164" s="92"/>
      <c r="G164" s="92">
        <v>1</v>
      </c>
      <c r="H164" s="92"/>
      <c r="I164" s="92"/>
      <c r="J164" s="92"/>
      <c r="K164" s="1118"/>
      <c r="L164" s="1118"/>
      <c r="M164" s="1100" t="s">
        <v>49</v>
      </c>
      <c r="N164" s="1143">
        <v>10341123.970000001</v>
      </c>
      <c r="O164" s="1029">
        <f t="shared" si="2"/>
        <v>1</v>
      </c>
      <c r="P164" s="92"/>
      <c r="Q164" s="92"/>
    </row>
    <row r="165" spans="1:17" ht="20.100000000000001" customHeight="1">
      <c r="A165" s="92">
        <v>158</v>
      </c>
      <c r="B165" s="1026" t="s">
        <v>1665</v>
      </c>
      <c r="C165" s="1026" t="s">
        <v>1588</v>
      </c>
      <c r="D165" s="1049"/>
      <c r="E165" s="92"/>
      <c r="F165" s="92"/>
      <c r="G165" s="92">
        <v>1</v>
      </c>
      <c r="H165" s="92"/>
      <c r="I165" s="92"/>
      <c r="J165" s="92"/>
      <c r="K165" s="1118"/>
      <c r="L165" s="1118"/>
      <c r="M165" s="1123" t="s">
        <v>32</v>
      </c>
      <c r="N165" s="1143">
        <v>30.5</v>
      </c>
      <c r="O165" s="1029">
        <f t="shared" si="2"/>
        <v>1</v>
      </c>
      <c r="P165" s="92"/>
      <c r="Q165" s="92"/>
    </row>
    <row r="166" spans="1:17" ht="20.100000000000001" customHeight="1">
      <c r="A166" s="92">
        <v>159</v>
      </c>
      <c r="B166" s="1026" t="s">
        <v>1665</v>
      </c>
      <c r="C166" s="1026" t="s">
        <v>1588</v>
      </c>
      <c r="D166" s="1049"/>
      <c r="E166" s="92"/>
      <c r="F166" s="92"/>
      <c r="G166" s="92">
        <v>1</v>
      </c>
      <c r="H166" s="92"/>
      <c r="I166" s="92"/>
      <c r="J166" s="92"/>
      <c r="K166" s="1122"/>
      <c r="L166" s="1122"/>
      <c r="M166" s="1123" t="s">
        <v>50</v>
      </c>
      <c r="N166" s="1163">
        <v>120.5</v>
      </c>
      <c r="O166" s="1029">
        <f t="shared" si="2"/>
        <v>1</v>
      </c>
      <c r="P166" s="92"/>
      <c r="Q166" s="92"/>
    </row>
    <row r="167" spans="1:17" ht="20.100000000000001" customHeight="1">
      <c r="A167" s="92">
        <v>160</v>
      </c>
      <c r="B167" s="1026" t="s">
        <v>1665</v>
      </c>
      <c r="C167" s="1026" t="s">
        <v>1588</v>
      </c>
      <c r="D167" s="1049" t="s">
        <v>33</v>
      </c>
      <c r="E167" s="92"/>
      <c r="F167" s="92"/>
      <c r="G167" s="92"/>
      <c r="H167" s="92">
        <v>3</v>
      </c>
      <c r="I167" s="92"/>
      <c r="J167" s="92"/>
      <c r="K167" s="1164"/>
      <c r="L167" s="1122"/>
      <c r="M167" s="1130" t="s">
        <v>34</v>
      </c>
      <c r="N167" s="1165"/>
      <c r="O167" s="1029">
        <f t="shared" si="2"/>
        <v>3</v>
      </c>
      <c r="P167" s="92"/>
      <c r="Q167" s="92"/>
    </row>
    <row r="168" spans="1:17" ht="20.100000000000001" customHeight="1">
      <c r="A168" s="92">
        <v>161</v>
      </c>
      <c r="B168" s="1026" t="s">
        <v>1665</v>
      </c>
      <c r="C168" s="1026" t="s">
        <v>1588</v>
      </c>
      <c r="D168" s="1049"/>
      <c r="E168" s="92"/>
      <c r="F168" s="92"/>
      <c r="G168" s="92"/>
      <c r="H168" s="92"/>
      <c r="I168" s="92">
        <v>2023</v>
      </c>
      <c r="J168" s="92"/>
      <c r="K168" s="1126"/>
      <c r="L168" s="1118"/>
      <c r="M168" s="1130" t="s">
        <v>35</v>
      </c>
      <c r="N168" s="1166"/>
      <c r="O168" s="1029">
        <f t="shared" si="2"/>
        <v>2023</v>
      </c>
      <c r="P168" s="92"/>
      <c r="Q168" s="92"/>
    </row>
    <row r="169" spans="1:17" ht="20.100000000000001" customHeight="1">
      <c r="A169" s="92">
        <v>162</v>
      </c>
      <c r="B169" s="1026" t="s">
        <v>1665</v>
      </c>
      <c r="C169" s="1026" t="s">
        <v>1588</v>
      </c>
      <c r="D169" s="1049" t="s">
        <v>36</v>
      </c>
      <c r="E169" s="92"/>
      <c r="F169" s="92">
        <v>239</v>
      </c>
      <c r="G169" s="92"/>
      <c r="H169" s="92"/>
      <c r="I169" s="92"/>
      <c r="J169" s="92"/>
      <c r="K169" s="1167"/>
      <c r="L169" s="1118"/>
      <c r="M169" s="1119" t="s">
        <v>1669</v>
      </c>
      <c r="N169" s="1128"/>
      <c r="O169" s="1029">
        <f t="shared" si="2"/>
        <v>239</v>
      </c>
      <c r="P169" s="92"/>
      <c r="Q169" s="92"/>
    </row>
    <row r="170" spans="1:17" ht="20.100000000000001" customHeight="1">
      <c r="A170" s="92">
        <v>163</v>
      </c>
      <c r="B170" s="1026" t="s">
        <v>1665</v>
      </c>
      <c r="C170" s="1026" t="s">
        <v>1588</v>
      </c>
      <c r="D170" s="1049" t="s">
        <v>36</v>
      </c>
      <c r="E170" s="92">
        <v>22</v>
      </c>
      <c r="F170" s="92"/>
      <c r="G170" s="92"/>
      <c r="H170" s="92"/>
      <c r="I170" s="92"/>
      <c r="J170" s="92"/>
      <c r="K170" s="1167"/>
      <c r="L170" s="1118"/>
      <c r="M170" s="1037" t="s">
        <v>1591</v>
      </c>
      <c r="N170" s="1128"/>
      <c r="O170" s="1029">
        <f t="shared" si="2"/>
        <v>22</v>
      </c>
      <c r="P170" s="92"/>
      <c r="Q170" s="92"/>
    </row>
    <row r="171" spans="1:17" ht="20.100000000000001" customHeight="1">
      <c r="A171" s="92">
        <v>164</v>
      </c>
      <c r="B171" s="1026" t="s">
        <v>1670</v>
      </c>
      <c r="C171" s="1026" t="s">
        <v>1588</v>
      </c>
      <c r="D171" s="1049" t="s">
        <v>29</v>
      </c>
      <c r="E171" s="92"/>
      <c r="F171" s="92"/>
      <c r="G171" s="92">
        <v>1</v>
      </c>
      <c r="H171" s="92"/>
      <c r="I171" s="92"/>
      <c r="J171" s="92"/>
      <c r="K171" s="1118"/>
      <c r="L171" s="1118"/>
      <c r="M171" s="1123" t="s">
        <v>119</v>
      </c>
      <c r="N171" s="1161" t="s">
        <v>1671</v>
      </c>
      <c r="O171" s="1029">
        <f t="shared" si="2"/>
        <v>1</v>
      </c>
      <c r="P171" s="92"/>
      <c r="Q171" s="92"/>
    </row>
    <row r="172" spans="1:17" ht="20.100000000000001" customHeight="1">
      <c r="A172" s="92">
        <v>165</v>
      </c>
      <c r="B172" s="1026" t="s">
        <v>1670</v>
      </c>
      <c r="C172" s="1026" t="s">
        <v>1588</v>
      </c>
      <c r="D172" s="1049"/>
      <c r="E172" s="92"/>
      <c r="F172" s="92"/>
      <c r="G172" s="92">
        <v>1</v>
      </c>
      <c r="H172" s="92"/>
      <c r="I172" s="92"/>
      <c r="J172" s="92"/>
      <c r="K172" s="1118"/>
      <c r="L172" s="1118"/>
      <c r="M172" s="1123" t="s">
        <v>49</v>
      </c>
      <c r="N172" s="1161" t="s">
        <v>1672</v>
      </c>
      <c r="O172" s="1029">
        <f t="shared" si="2"/>
        <v>1</v>
      </c>
      <c r="P172" s="92"/>
      <c r="Q172" s="92"/>
    </row>
    <row r="173" spans="1:17" ht="20.100000000000001" customHeight="1">
      <c r="A173" s="92">
        <v>166</v>
      </c>
      <c r="B173" s="1026" t="s">
        <v>1670</v>
      </c>
      <c r="C173" s="1026" t="s">
        <v>1588</v>
      </c>
      <c r="D173" s="1049"/>
      <c r="E173" s="92"/>
      <c r="F173" s="92"/>
      <c r="G173" s="92">
        <v>1</v>
      </c>
      <c r="H173" s="92"/>
      <c r="I173" s="92"/>
      <c r="J173" s="92"/>
      <c r="K173" s="1118"/>
      <c r="L173" s="1118"/>
      <c r="M173" s="1123" t="s">
        <v>32</v>
      </c>
      <c r="N173" s="1161">
        <v>417.39</v>
      </c>
      <c r="O173" s="1029">
        <f t="shared" si="2"/>
        <v>1</v>
      </c>
      <c r="P173" s="92"/>
      <c r="Q173" s="92"/>
    </row>
    <row r="174" spans="1:17" ht="20.100000000000001" customHeight="1">
      <c r="A174" s="92">
        <v>167</v>
      </c>
      <c r="B174" s="1026" t="s">
        <v>1670</v>
      </c>
      <c r="C174" s="1026" t="s">
        <v>1588</v>
      </c>
      <c r="D174" s="1049" t="s">
        <v>33</v>
      </c>
      <c r="E174" s="92"/>
      <c r="F174" s="92"/>
      <c r="G174" s="92"/>
      <c r="H174" s="92"/>
      <c r="I174" s="92">
        <v>307</v>
      </c>
      <c r="J174" s="92"/>
      <c r="K174" s="1126"/>
      <c r="L174" s="1118"/>
      <c r="M174" s="1130" t="s">
        <v>35</v>
      </c>
      <c r="N174" s="1161"/>
      <c r="O174" s="1029">
        <f t="shared" si="2"/>
        <v>307</v>
      </c>
      <c r="P174" s="92"/>
      <c r="Q174" s="92"/>
    </row>
    <row r="175" spans="1:17" ht="20.100000000000001" customHeight="1">
      <c r="A175" s="92">
        <v>168</v>
      </c>
      <c r="B175" s="1026" t="s">
        <v>1670</v>
      </c>
      <c r="C175" s="1026" t="s">
        <v>1588</v>
      </c>
      <c r="D175" s="1117" t="s">
        <v>36</v>
      </c>
      <c r="E175" s="92"/>
      <c r="F175" s="92">
        <v>47</v>
      </c>
      <c r="G175" s="92"/>
      <c r="H175" s="92"/>
      <c r="I175" s="92"/>
      <c r="J175" s="92"/>
      <c r="K175" s="1168"/>
      <c r="L175" s="1118"/>
      <c r="M175" s="1127" t="s">
        <v>1673</v>
      </c>
      <c r="N175" s="1169"/>
      <c r="O175" s="1029">
        <f t="shared" si="2"/>
        <v>47</v>
      </c>
      <c r="P175" s="92"/>
      <c r="Q175" s="92"/>
    </row>
    <row r="176" spans="1:17" ht="20.100000000000001" customHeight="1">
      <c r="A176" s="92">
        <v>169</v>
      </c>
      <c r="B176" s="1026" t="s">
        <v>1670</v>
      </c>
      <c r="C176" s="1026" t="s">
        <v>1588</v>
      </c>
      <c r="D176" s="1117" t="s">
        <v>36</v>
      </c>
      <c r="E176" s="92">
        <v>15</v>
      </c>
      <c r="F176" s="92"/>
      <c r="G176" s="92"/>
      <c r="H176" s="92"/>
      <c r="I176" s="92"/>
      <c r="J176" s="92"/>
      <c r="K176" s="1168"/>
      <c r="L176" s="1118"/>
      <c r="M176" s="1127"/>
      <c r="N176" s="1169"/>
      <c r="O176" s="1029">
        <f t="shared" si="2"/>
        <v>15</v>
      </c>
      <c r="P176" s="92"/>
      <c r="Q176" s="92"/>
    </row>
    <row r="177" spans="1:17" ht="20.100000000000001" customHeight="1">
      <c r="A177" s="92">
        <v>170</v>
      </c>
      <c r="B177" s="1026" t="s">
        <v>1674</v>
      </c>
      <c r="C177" s="1026" t="s">
        <v>1588</v>
      </c>
      <c r="D177" s="1131" t="s">
        <v>26</v>
      </c>
      <c r="E177" s="92"/>
      <c r="F177" s="92"/>
      <c r="G177" s="92"/>
      <c r="H177" s="92"/>
      <c r="I177" s="92"/>
      <c r="J177" s="92"/>
      <c r="K177" s="1118">
        <v>1</v>
      </c>
      <c r="L177" s="1118"/>
      <c r="M177" s="1130" t="s">
        <v>1675</v>
      </c>
      <c r="N177" s="1128">
        <v>10500</v>
      </c>
      <c r="O177" s="1029">
        <f t="shared" si="2"/>
        <v>1</v>
      </c>
      <c r="P177" s="92"/>
      <c r="Q177" s="92"/>
    </row>
    <row r="178" spans="1:17" ht="20.100000000000001" customHeight="1">
      <c r="A178" s="92">
        <v>171</v>
      </c>
      <c r="B178" s="1026" t="s">
        <v>1674</v>
      </c>
      <c r="C178" s="1026" t="s">
        <v>1588</v>
      </c>
      <c r="D178" s="1049"/>
      <c r="E178" s="92"/>
      <c r="F178" s="92"/>
      <c r="G178" s="92"/>
      <c r="H178" s="92"/>
      <c r="I178" s="92"/>
      <c r="J178" s="92"/>
      <c r="K178" s="1118">
        <v>1</v>
      </c>
      <c r="L178" s="1118"/>
      <c r="M178" s="1125" t="s">
        <v>1676</v>
      </c>
      <c r="N178" s="1143">
        <v>-96632.26</v>
      </c>
      <c r="O178" s="1029">
        <f t="shared" si="2"/>
        <v>1</v>
      </c>
      <c r="P178" s="92"/>
      <c r="Q178" s="92"/>
    </row>
    <row r="179" spans="1:17" ht="20.100000000000001" customHeight="1">
      <c r="A179" s="92">
        <v>172</v>
      </c>
      <c r="B179" s="1026" t="s">
        <v>1674</v>
      </c>
      <c r="C179" s="1026" t="s">
        <v>1588</v>
      </c>
      <c r="D179" s="1117" t="s">
        <v>29</v>
      </c>
      <c r="E179" s="92"/>
      <c r="F179" s="92"/>
      <c r="G179" s="92">
        <v>1</v>
      </c>
      <c r="H179" s="92"/>
      <c r="I179" s="92"/>
      <c r="J179" s="92"/>
      <c r="K179" s="1118"/>
      <c r="L179" s="1118"/>
      <c r="M179" s="1123" t="s">
        <v>49</v>
      </c>
      <c r="N179" s="1143">
        <v>-204501667.59999999</v>
      </c>
      <c r="O179" s="1029">
        <f t="shared" si="2"/>
        <v>1</v>
      </c>
      <c r="P179" s="92"/>
      <c r="Q179" s="92"/>
    </row>
    <row r="180" spans="1:17" ht="20.100000000000001" customHeight="1">
      <c r="A180" s="92">
        <v>173</v>
      </c>
      <c r="B180" s="1026" t="s">
        <v>1674</v>
      </c>
      <c r="C180" s="1026" t="s">
        <v>1588</v>
      </c>
      <c r="D180" s="1049"/>
      <c r="E180" s="92"/>
      <c r="F180" s="92"/>
      <c r="G180" s="92">
        <v>1</v>
      </c>
      <c r="H180" s="92"/>
      <c r="I180" s="92"/>
      <c r="J180" s="92"/>
      <c r="K180" s="1118"/>
      <c r="L180" s="1118"/>
      <c r="M180" s="1123" t="s">
        <v>32</v>
      </c>
      <c r="N180" s="1143">
        <v>-24578.82</v>
      </c>
      <c r="O180" s="1029">
        <f t="shared" si="2"/>
        <v>1</v>
      </c>
      <c r="P180" s="92"/>
      <c r="Q180" s="92"/>
    </row>
    <row r="181" spans="1:17" ht="20.100000000000001" customHeight="1">
      <c r="A181" s="92">
        <v>174</v>
      </c>
      <c r="B181" s="1026" t="s">
        <v>1674</v>
      </c>
      <c r="C181" s="1026" t="s">
        <v>1588</v>
      </c>
      <c r="D181" s="1049"/>
      <c r="E181" s="92"/>
      <c r="F181" s="92"/>
      <c r="G181" s="92">
        <v>1</v>
      </c>
      <c r="H181" s="92"/>
      <c r="I181" s="92"/>
      <c r="J181" s="92"/>
      <c r="K181" s="1122"/>
      <c r="L181" s="1170"/>
      <c r="M181" s="1100" t="s">
        <v>1677</v>
      </c>
      <c r="N181" s="1171">
        <v>1</v>
      </c>
      <c r="O181" s="1029">
        <f t="shared" si="2"/>
        <v>1</v>
      </c>
      <c r="P181" s="92"/>
      <c r="Q181" s="92"/>
    </row>
    <row r="182" spans="1:17" ht="20.100000000000001" customHeight="1">
      <c r="A182" s="92">
        <v>175</v>
      </c>
      <c r="B182" s="1026" t="s">
        <v>1674</v>
      </c>
      <c r="C182" s="1026" t="s">
        <v>1588</v>
      </c>
      <c r="D182" s="1049"/>
      <c r="E182" s="92"/>
      <c r="F182" s="92"/>
      <c r="G182" s="92"/>
      <c r="H182" s="92"/>
      <c r="I182" s="92"/>
      <c r="J182" s="92"/>
      <c r="K182" s="1122">
        <v>1</v>
      </c>
      <c r="L182" s="1122"/>
      <c r="M182" s="1119" t="s">
        <v>1678</v>
      </c>
      <c r="N182" s="1172">
        <v>-11606.72</v>
      </c>
      <c r="O182" s="1029">
        <f t="shared" si="2"/>
        <v>1</v>
      </c>
      <c r="P182" s="92"/>
      <c r="Q182" s="92"/>
    </row>
    <row r="183" spans="1:17" ht="20.100000000000001" customHeight="1">
      <c r="A183" s="92">
        <v>176</v>
      </c>
      <c r="B183" s="1026" t="s">
        <v>1674</v>
      </c>
      <c r="C183" s="1026" t="s">
        <v>1588</v>
      </c>
      <c r="D183" s="1049"/>
      <c r="E183" s="92"/>
      <c r="F183" s="92"/>
      <c r="G183" s="92"/>
      <c r="H183" s="92"/>
      <c r="I183" s="92"/>
      <c r="J183" s="92"/>
      <c r="K183" s="1122">
        <v>1</v>
      </c>
      <c r="L183" s="1122"/>
      <c r="M183" s="1125" t="s">
        <v>1679</v>
      </c>
      <c r="N183" s="1150">
        <v>12119.27</v>
      </c>
      <c r="O183" s="1029">
        <f t="shared" si="2"/>
        <v>1</v>
      </c>
      <c r="P183" s="92"/>
      <c r="Q183" s="92"/>
    </row>
    <row r="184" spans="1:17" ht="20.100000000000001" customHeight="1">
      <c r="A184" s="92">
        <v>177</v>
      </c>
      <c r="B184" s="1026" t="s">
        <v>1674</v>
      </c>
      <c r="C184" s="1026" t="s">
        <v>1588</v>
      </c>
      <c r="D184" s="1117" t="s">
        <v>33</v>
      </c>
      <c r="E184" s="92"/>
      <c r="F184" s="92"/>
      <c r="G184" s="92"/>
      <c r="H184" s="92"/>
      <c r="I184" s="92">
        <v>3370</v>
      </c>
      <c r="J184" s="92"/>
      <c r="K184" s="1118"/>
      <c r="L184" s="1118"/>
      <c r="M184" s="1130" t="s">
        <v>35</v>
      </c>
      <c r="N184" s="1118"/>
      <c r="O184" s="1029">
        <f t="shared" si="2"/>
        <v>3370</v>
      </c>
      <c r="P184" s="92"/>
      <c r="Q184" s="92"/>
    </row>
    <row r="185" spans="1:17" ht="20.100000000000001" customHeight="1">
      <c r="A185" s="92">
        <v>178</v>
      </c>
      <c r="B185" s="1026" t="s">
        <v>1674</v>
      </c>
      <c r="C185" s="1026" t="s">
        <v>1588</v>
      </c>
      <c r="D185" s="1117" t="s">
        <v>36</v>
      </c>
      <c r="E185" s="92"/>
      <c r="F185" s="92">
        <v>168</v>
      </c>
      <c r="G185" s="92"/>
      <c r="H185" s="92"/>
      <c r="I185" s="92"/>
      <c r="J185" s="92"/>
      <c r="K185" s="1168"/>
      <c r="L185" s="1118"/>
      <c r="M185" s="1127" t="s">
        <v>1680</v>
      </c>
      <c r="N185" s="1169"/>
      <c r="O185" s="1029">
        <f t="shared" si="2"/>
        <v>168</v>
      </c>
      <c r="P185" s="92"/>
      <c r="Q185" s="92"/>
    </row>
    <row r="186" spans="1:17" ht="20.100000000000001" customHeight="1">
      <c r="A186" s="92">
        <v>179</v>
      </c>
      <c r="B186" s="1026" t="s">
        <v>1674</v>
      </c>
      <c r="C186" s="1026" t="s">
        <v>1588</v>
      </c>
      <c r="D186" s="1117" t="s">
        <v>36</v>
      </c>
      <c r="E186" s="92">
        <v>53</v>
      </c>
      <c r="F186" s="92"/>
      <c r="G186" s="92"/>
      <c r="H186" s="92"/>
      <c r="I186" s="92"/>
      <c r="J186" s="92"/>
      <c r="K186" s="1168"/>
      <c r="L186" s="1118"/>
      <c r="M186" s="1037" t="s">
        <v>1591</v>
      </c>
      <c r="N186" s="1169"/>
      <c r="O186" s="1029">
        <f t="shared" si="2"/>
        <v>53</v>
      </c>
      <c r="P186" s="92"/>
      <c r="Q186" s="92"/>
    </row>
    <row r="187" spans="1:17" ht="20.100000000000001" customHeight="1">
      <c r="A187" s="92">
        <v>180</v>
      </c>
      <c r="B187" s="1026" t="s">
        <v>1681</v>
      </c>
      <c r="C187" s="1026" t="s">
        <v>1588</v>
      </c>
      <c r="D187" s="1117" t="s">
        <v>26</v>
      </c>
      <c r="E187" s="92"/>
      <c r="F187" s="92"/>
      <c r="G187" s="92"/>
      <c r="H187" s="92"/>
      <c r="I187" s="92"/>
      <c r="J187" s="92"/>
      <c r="K187" s="1173">
        <v>1</v>
      </c>
      <c r="L187" s="1118"/>
      <c r="M187" s="1125" t="s">
        <v>1682</v>
      </c>
      <c r="N187" s="1169">
        <v>16999.54</v>
      </c>
      <c r="O187" s="1029">
        <f t="shared" si="2"/>
        <v>1</v>
      </c>
      <c r="P187" s="92"/>
      <c r="Q187" s="92"/>
    </row>
    <row r="188" spans="1:17" ht="20.100000000000001" customHeight="1">
      <c r="A188" s="92">
        <v>181</v>
      </c>
      <c r="B188" s="1026" t="s">
        <v>1681</v>
      </c>
      <c r="C188" s="1026" t="s">
        <v>1588</v>
      </c>
      <c r="D188" s="1049" t="s">
        <v>103</v>
      </c>
      <c r="E188" s="92"/>
      <c r="F188" s="92"/>
      <c r="G188" s="92"/>
      <c r="H188" s="92"/>
      <c r="I188" s="92"/>
      <c r="J188" s="92">
        <v>89</v>
      </c>
      <c r="K188" s="1173"/>
      <c r="L188" s="1118"/>
      <c r="M188" s="1174" t="s">
        <v>1683</v>
      </c>
      <c r="N188" s="1147"/>
      <c r="O188" s="1029">
        <f t="shared" si="2"/>
        <v>89</v>
      </c>
      <c r="P188" s="92"/>
      <c r="Q188" s="92"/>
    </row>
    <row r="189" spans="1:17" ht="20.100000000000001" customHeight="1">
      <c r="A189" s="92">
        <v>182</v>
      </c>
      <c r="B189" s="1026" t="s">
        <v>1681</v>
      </c>
      <c r="C189" s="1026" t="s">
        <v>1588</v>
      </c>
      <c r="D189" s="1117" t="s">
        <v>29</v>
      </c>
      <c r="E189" s="92"/>
      <c r="F189" s="92"/>
      <c r="G189" s="92">
        <v>1</v>
      </c>
      <c r="H189" s="92"/>
      <c r="I189" s="92"/>
      <c r="J189" s="92"/>
      <c r="K189" s="1173"/>
      <c r="L189" s="1118"/>
      <c r="M189" s="1123" t="s">
        <v>49</v>
      </c>
      <c r="N189" s="1128">
        <v>1150145732</v>
      </c>
      <c r="O189" s="1029">
        <f t="shared" si="2"/>
        <v>1</v>
      </c>
      <c r="P189" s="92"/>
      <c r="Q189" s="92"/>
    </row>
    <row r="190" spans="1:17" ht="20.100000000000001" customHeight="1">
      <c r="A190" s="92">
        <v>183</v>
      </c>
      <c r="B190" s="1026" t="s">
        <v>1681</v>
      </c>
      <c r="C190" s="1026" t="s">
        <v>1588</v>
      </c>
      <c r="D190" s="1049"/>
      <c r="E190" s="92"/>
      <c r="F190" s="92"/>
      <c r="G190" s="92">
        <v>1</v>
      </c>
      <c r="H190" s="92"/>
      <c r="I190" s="92"/>
      <c r="J190" s="92"/>
      <c r="K190" s="1173"/>
      <c r="L190" s="1118"/>
      <c r="M190" s="1123" t="s">
        <v>32</v>
      </c>
      <c r="N190" s="1128">
        <v>707129.74</v>
      </c>
      <c r="O190" s="1029">
        <f t="shared" si="2"/>
        <v>1</v>
      </c>
      <c r="P190" s="92"/>
      <c r="Q190" s="92"/>
    </row>
    <row r="191" spans="1:17" ht="20.100000000000001" customHeight="1">
      <c r="A191" s="92">
        <v>184</v>
      </c>
      <c r="B191" s="1026" t="s">
        <v>1681</v>
      </c>
      <c r="C191" s="1026" t="s">
        <v>1588</v>
      </c>
      <c r="D191" s="1049"/>
      <c r="E191" s="92"/>
      <c r="F191" s="92"/>
      <c r="G191" s="92">
        <v>1</v>
      </c>
      <c r="H191" s="92"/>
      <c r="I191" s="92"/>
      <c r="J191" s="92"/>
      <c r="K191" s="1135"/>
      <c r="L191" s="1122"/>
      <c r="M191" s="1123" t="s">
        <v>207</v>
      </c>
      <c r="N191" s="1124">
        <v>9697645.1199999992</v>
      </c>
      <c r="O191" s="1029">
        <f t="shared" si="2"/>
        <v>1</v>
      </c>
      <c r="P191" s="92"/>
      <c r="Q191" s="92"/>
    </row>
    <row r="192" spans="1:17" ht="20.100000000000001" customHeight="1">
      <c r="A192" s="92">
        <v>185</v>
      </c>
      <c r="B192" s="1026" t="s">
        <v>1681</v>
      </c>
      <c r="C192" s="1026" t="s">
        <v>1588</v>
      </c>
      <c r="D192" s="1049"/>
      <c r="E192" s="92"/>
      <c r="F192" s="92"/>
      <c r="G192" s="92">
        <v>1</v>
      </c>
      <c r="H192" s="92"/>
      <c r="I192" s="92"/>
      <c r="J192" s="92"/>
      <c r="K192" s="1135"/>
      <c r="L192" s="1122"/>
      <c r="M192" s="1100" t="s">
        <v>50</v>
      </c>
      <c r="N192" s="1124">
        <v>602</v>
      </c>
      <c r="O192" s="1029">
        <f t="shared" si="2"/>
        <v>1</v>
      </c>
      <c r="P192" s="92"/>
      <c r="Q192" s="92"/>
    </row>
    <row r="193" spans="1:17" ht="20.100000000000001" customHeight="1">
      <c r="A193" s="92">
        <v>186</v>
      </c>
      <c r="B193" s="1026" t="s">
        <v>1681</v>
      </c>
      <c r="C193" s="1026" t="s">
        <v>1588</v>
      </c>
      <c r="D193" s="1049"/>
      <c r="E193" s="92"/>
      <c r="F193" s="92"/>
      <c r="G193" s="92">
        <v>1</v>
      </c>
      <c r="H193" s="92"/>
      <c r="I193" s="92"/>
      <c r="J193" s="92"/>
      <c r="K193" s="1173"/>
      <c r="L193" s="1118"/>
      <c r="M193" s="1175" t="s">
        <v>1684</v>
      </c>
      <c r="N193" s="1176">
        <v>66</v>
      </c>
      <c r="O193" s="1029">
        <f t="shared" si="2"/>
        <v>1</v>
      </c>
      <c r="P193" s="92"/>
      <c r="Q193" s="92"/>
    </row>
    <row r="194" spans="1:17" ht="20.100000000000001" customHeight="1">
      <c r="A194" s="92">
        <v>187</v>
      </c>
      <c r="B194" s="1026" t="s">
        <v>1681</v>
      </c>
      <c r="C194" s="1026" t="s">
        <v>1588</v>
      </c>
      <c r="D194" s="1049" t="s">
        <v>33</v>
      </c>
      <c r="E194" s="92"/>
      <c r="F194" s="92"/>
      <c r="G194" s="92"/>
      <c r="H194" s="92"/>
      <c r="I194" s="92">
        <v>414</v>
      </c>
      <c r="J194" s="92"/>
      <c r="K194" s="1173"/>
      <c r="L194" s="1118"/>
      <c r="M194" s="1127" t="s">
        <v>35</v>
      </c>
      <c r="N194" s="1147"/>
      <c r="O194" s="1029">
        <f t="shared" si="2"/>
        <v>414</v>
      </c>
      <c r="P194" s="92"/>
      <c r="Q194" s="92"/>
    </row>
    <row r="195" spans="1:17" ht="20.100000000000001" customHeight="1">
      <c r="A195" s="92">
        <v>188</v>
      </c>
      <c r="B195" s="1026" t="s">
        <v>1681</v>
      </c>
      <c r="C195" s="1026" t="s">
        <v>1588</v>
      </c>
      <c r="D195" s="1117" t="s">
        <v>36</v>
      </c>
      <c r="E195" s="92"/>
      <c r="F195" s="92">
        <v>231</v>
      </c>
      <c r="G195" s="92"/>
      <c r="H195" s="92"/>
      <c r="I195" s="92"/>
      <c r="J195" s="92"/>
      <c r="K195" s="1177"/>
      <c r="L195" s="1118"/>
      <c r="M195" s="1137" t="s">
        <v>1685</v>
      </c>
      <c r="N195" s="1177"/>
      <c r="O195" s="1029">
        <f t="shared" si="2"/>
        <v>231</v>
      </c>
      <c r="P195" s="92"/>
      <c r="Q195" s="92"/>
    </row>
    <row r="196" spans="1:17" ht="20.100000000000001" customHeight="1">
      <c r="A196" s="92">
        <v>189</v>
      </c>
      <c r="B196" s="1026" t="s">
        <v>1681</v>
      </c>
      <c r="C196" s="1026" t="s">
        <v>1588</v>
      </c>
      <c r="D196" s="1117" t="s">
        <v>36</v>
      </c>
      <c r="E196" s="92">
        <v>53</v>
      </c>
      <c r="F196" s="92"/>
      <c r="G196" s="92"/>
      <c r="H196" s="92"/>
      <c r="I196" s="92"/>
      <c r="J196" s="92"/>
      <c r="K196" s="1177"/>
      <c r="L196" s="1118"/>
      <c r="M196" s="1037" t="s">
        <v>1591</v>
      </c>
      <c r="N196" s="1177"/>
      <c r="O196" s="1029">
        <f t="shared" si="2"/>
        <v>53</v>
      </c>
      <c r="P196" s="92"/>
      <c r="Q196" s="92"/>
    </row>
    <row r="197" spans="1:17" ht="20.100000000000001" customHeight="1">
      <c r="A197" s="92">
        <v>190</v>
      </c>
      <c r="B197" s="1026" t="s">
        <v>1686</v>
      </c>
      <c r="C197" s="1026" t="s">
        <v>1588</v>
      </c>
      <c r="D197" s="1066" t="s">
        <v>29</v>
      </c>
      <c r="E197" s="92"/>
      <c r="F197" s="92"/>
      <c r="G197" s="92">
        <v>1</v>
      </c>
      <c r="H197" s="92"/>
      <c r="I197" s="92"/>
      <c r="J197" s="92"/>
      <c r="K197" s="1047"/>
      <c r="L197" s="1047"/>
      <c r="M197" s="1100" t="s">
        <v>49</v>
      </c>
      <c r="N197" s="1128">
        <v>13013668.74</v>
      </c>
      <c r="O197" s="1029">
        <f t="shared" si="2"/>
        <v>1</v>
      </c>
      <c r="P197" s="92"/>
      <c r="Q197" s="92"/>
    </row>
    <row r="198" spans="1:17" ht="20.100000000000001" customHeight="1">
      <c r="A198" s="92">
        <v>191</v>
      </c>
      <c r="B198" s="1026" t="s">
        <v>1686</v>
      </c>
      <c r="C198" s="1026" t="s">
        <v>1588</v>
      </c>
      <c r="D198" s="1049"/>
      <c r="E198" s="92"/>
      <c r="F198" s="92"/>
      <c r="G198" s="92">
        <v>1</v>
      </c>
      <c r="H198" s="92"/>
      <c r="I198" s="92"/>
      <c r="J198" s="92"/>
      <c r="K198" s="1059"/>
      <c r="L198" s="1059"/>
      <c r="M198" s="1100" t="s">
        <v>207</v>
      </c>
      <c r="N198" s="1149">
        <v>6829.21</v>
      </c>
      <c r="O198" s="1029">
        <f t="shared" si="2"/>
        <v>1</v>
      </c>
      <c r="P198" s="92"/>
      <c r="Q198" s="92"/>
    </row>
    <row r="199" spans="1:17" ht="20.100000000000001" customHeight="1">
      <c r="A199" s="92">
        <v>192</v>
      </c>
      <c r="B199" s="1026" t="s">
        <v>1686</v>
      </c>
      <c r="C199" s="1026" t="s">
        <v>1588</v>
      </c>
      <c r="D199" s="1117" t="s">
        <v>33</v>
      </c>
      <c r="E199" s="92"/>
      <c r="F199" s="92"/>
      <c r="G199" s="92"/>
      <c r="H199" s="92"/>
      <c r="I199" s="92">
        <v>1366</v>
      </c>
      <c r="J199" s="92"/>
      <c r="K199" s="1178"/>
      <c r="L199" s="1047"/>
      <c r="M199" s="1127" t="s">
        <v>35</v>
      </c>
      <c r="N199" s="1179"/>
      <c r="O199" s="1029">
        <f t="shared" si="2"/>
        <v>1366</v>
      </c>
      <c r="P199" s="92"/>
      <c r="Q199" s="92"/>
    </row>
    <row r="200" spans="1:17" ht="20.100000000000001" customHeight="1">
      <c r="A200" s="92">
        <v>193</v>
      </c>
      <c r="B200" s="1026" t="s">
        <v>1686</v>
      </c>
      <c r="C200" s="1026" t="s">
        <v>1588</v>
      </c>
      <c r="D200" s="1117" t="s">
        <v>36</v>
      </c>
      <c r="E200" s="92"/>
      <c r="F200" s="92">
        <v>769</v>
      </c>
      <c r="G200" s="92"/>
      <c r="H200" s="92"/>
      <c r="I200" s="92"/>
      <c r="J200" s="92"/>
      <c r="K200" s="1179"/>
      <c r="L200" s="1047"/>
      <c r="M200" s="1130" t="s">
        <v>1687</v>
      </c>
      <c r="N200" s="1128"/>
      <c r="O200" s="1029">
        <f t="shared" si="2"/>
        <v>769</v>
      </c>
      <c r="P200" s="92"/>
      <c r="Q200" s="92"/>
    </row>
    <row r="201" spans="1:17" ht="20.100000000000001" customHeight="1">
      <c r="A201" s="92">
        <v>194</v>
      </c>
      <c r="B201" s="1026" t="s">
        <v>1686</v>
      </c>
      <c r="C201" s="1026" t="s">
        <v>1588</v>
      </c>
      <c r="D201" s="1117" t="s">
        <v>36</v>
      </c>
      <c r="E201" s="92">
        <v>254</v>
      </c>
      <c r="F201" s="92"/>
      <c r="G201" s="92"/>
      <c r="H201" s="92"/>
      <c r="I201" s="92"/>
      <c r="J201" s="92"/>
      <c r="K201" s="1179"/>
      <c r="L201" s="1047"/>
      <c r="M201" s="1037" t="s">
        <v>1591</v>
      </c>
      <c r="N201" s="1128"/>
      <c r="O201" s="1029">
        <f t="shared" si="2"/>
        <v>254</v>
      </c>
      <c r="P201" s="92"/>
      <c r="Q201" s="92"/>
    </row>
    <row r="202" spans="1:17" ht="20.100000000000001" customHeight="1">
      <c r="A202" s="92">
        <v>195</v>
      </c>
      <c r="B202" s="1026" t="s">
        <v>1688</v>
      </c>
      <c r="C202" s="1026" t="s">
        <v>1588</v>
      </c>
      <c r="D202" s="1117" t="s">
        <v>26</v>
      </c>
      <c r="E202" s="92"/>
      <c r="F202" s="92"/>
      <c r="G202" s="92"/>
      <c r="H202" s="92"/>
      <c r="I202" s="92"/>
      <c r="J202" s="92"/>
      <c r="K202" s="1047">
        <v>1</v>
      </c>
      <c r="L202" s="1145"/>
      <c r="M202" s="1104" t="s">
        <v>1689</v>
      </c>
      <c r="N202" s="1180" t="s">
        <v>1690</v>
      </c>
      <c r="O202" s="1029">
        <f t="shared" ref="O202:O265" si="3">E202+F202+G202+H202+I202+J202+K202-P202</f>
        <v>1</v>
      </c>
      <c r="P202" s="92"/>
      <c r="Q202" s="92"/>
    </row>
    <row r="203" spans="1:17" ht="20.100000000000001" customHeight="1">
      <c r="A203" s="92">
        <v>196</v>
      </c>
      <c r="B203" s="1026" t="s">
        <v>1688</v>
      </c>
      <c r="C203" s="1026" t="s">
        <v>1588</v>
      </c>
      <c r="D203" s="1181" t="s">
        <v>103</v>
      </c>
      <c r="E203" s="92"/>
      <c r="F203" s="92"/>
      <c r="G203" s="92"/>
      <c r="H203" s="92"/>
      <c r="I203" s="92"/>
      <c r="J203" s="92">
        <v>124</v>
      </c>
      <c r="K203" s="1118"/>
      <c r="L203" s="1145"/>
      <c r="M203" s="1182" t="s">
        <v>1691</v>
      </c>
      <c r="N203" s="1183"/>
      <c r="O203" s="1029">
        <f t="shared" si="3"/>
        <v>124</v>
      </c>
      <c r="P203" s="92"/>
      <c r="Q203" s="92"/>
    </row>
    <row r="204" spans="1:17" ht="20.100000000000001" customHeight="1">
      <c r="A204" s="92">
        <v>197</v>
      </c>
      <c r="B204" s="1026" t="s">
        <v>1688</v>
      </c>
      <c r="C204" s="1026" t="s">
        <v>1588</v>
      </c>
      <c r="D204" s="1066" t="s">
        <v>29</v>
      </c>
      <c r="E204" s="92"/>
      <c r="F204" s="92"/>
      <c r="G204" s="92">
        <v>1</v>
      </c>
      <c r="H204" s="92"/>
      <c r="I204" s="92"/>
      <c r="J204" s="92"/>
      <c r="K204" s="1118"/>
      <c r="L204" s="1145"/>
      <c r="M204" s="1184" t="s">
        <v>32</v>
      </c>
      <c r="N204" s="1185">
        <v>48406.16</v>
      </c>
      <c r="O204" s="1029">
        <f t="shared" si="3"/>
        <v>1</v>
      </c>
      <c r="P204" s="92"/>
      <c r="Q204" s="92"/>
    </row>
    <row r="205" spans="1:17" ht="20.100000000000001" customHeight="1">
      <c r="A205" s="92">
        <v>198</v>
      </c>
      <c r="B205" s="1026" t="s">
        <v>1688</v>
      </c>
      <c r="C205" s="1026" t="s">
        <v>1588</v>
      </c>
      <c r="D205" s="1049"/>
      <c r="E205" s="92"/>
      <c r="F205" s="92"/>
      <c r="G205" s="92">
        <v>1</v>
      </c>
      <c r="H205" s="92"/>
      <c r="I205" s="92"/>
      <c r="J205" s="92"/>
      <c r="K205" s="1118"/>
      <c r="L205" s="1145"/>
      <c r="M205" s="1186" t="s">
        <v>183</v>
      </c>
      <c r="N205" s="1187">
        <v>0.25</v>
      </c>
      <c r="O205" s="1029">
        <f t="shared" si="3"/>
        <v>1</v>
      </c>
      <c r="P205" s="92"/>
      <c r="Q205" s="92"/>
    </row>
    <row r="206" spans="1:17" ht="20.100000000000001" customHeight="1">
      <c r="A206" s="92">
        <v>199</v>
      </c>
      <c r="B206" s="1026" t="s">
        <v>1688</v>
      </c>
      <c r="C206" s="1026" t="s">
        <v>1588</v>
      </c>
      <c r="D206" s="1049"/>
      <c r="E206" s="92"/>
      <c r="F206" s="92"/>
      <c r="G206" s="92">
        <v>1</v>
      </c>
      <c r="H206" s="92"/>
      <c r="I206" s="92"/>
      <c r="J206" s="92"/>
      <c r="K206" s="1118"/>
      <c r="L206" s="1145"/>
      <c r="M206" s="1186" t="s">
        <v>1692</v>
      </c>
      <c r="N206" s="1188">
        <v>0.5</v>
      </c>
      <c r="O206" s="1029">
        <f t="shared" si="3"/>
        <v>1</v>
      </c>
      <c r="P206" s="92"/>
      <c r="Q206" s="92"/>
    </row>
    <row r="207" spans="1:17" ht="20.100000000000001" customHeight="1">
      <c r="A207" s="92">
        <v>200</v>
      </c>
      <c r="B207" s="1026" t="s">
        <v>1688</v>
      </c>
      <c r="C207" s="1026" t="s">
        <v>1588</v>
      </c>
      <c r="D207" s="1049"/>
      <c r="E207" s="92"/>
      <c r="F207" s="92"/>
      <c r="G207" s="92">
        <v>1</v>
      </c>
      <c r="H207" s="92"/>
      <c r="I207" s="92"/>
      <c r="J207" s="92"/>
      <c r="K207" s="1122"/>
      <c r="L207" s="1189"/>
      <c r="M207" s="1185" t="s">
        <v>207</v>
      </c>
      <c r="N207" s="1190">
        <v>807920.9</v>
      </c>
      <c r="O207" s="1029">
        <f t="shared" si="3"/>
        <v>1</v>
      </c>
      <c r="P207" s="92"/>
      <c r="Q207" s="92"/>
    </row>
    <row r="208" spans="1:17" ht="20.100000000000001" customHeight="1">
      <c r="A208" s="92">
        <v>201</v>
      </c>
      <c r="B208" s="1026" t="s">
        <v>1688</v>
      </c>
      <c r="C208" s="1026" t="s">
        <v>1588</v>
      </c>
      <c r="D208" s="1117" t="s">
        <v>68</v>
      </c>
      <c r="E208" s="92"/>
      <c r="F208" s="92"/>
      <c r="G208" s="92"/>
      <c r="H208" s="92"/>
      <c r="I208" s="92"/>
      <c r="J208" s="92"/>
      <c r="K208" s="1122">
        <v>1</v>
      </c>
      <c r="L208" s="1189"/>
      <c r="M208" s="1191" t="s">
        <v>1693</v>
      </c>
      <c r="N208" s="1192">
        <v>163738941.86000001</v>
      </c>
      <c r="O208" s="1029">
        <f t="shared" si="3"/>
        <v>1</v>
      </c>
      <c r="P208" s="92"/>
      <c r="Q208" s="92"/>
    </row>
    <row r="209" spans="1:17" ht="20.100000000000001" customHeight="1">
      <c r="A209" s="92">
        <v>202</v>
      </c>
      <c r="B209" s="1026" t="s">
        <v>1688</v>
      </c>
      <c r="C209" s="1026" t="s">
        <v>1588</v>
      </c>
      <c r="D209" s="1117" t="s">
        <v>33</v>
      </c>
      <c r="E209" s="92"/>
      <c r="F209" s="92"/>
      <c r="G209" s="92"/>
      <c r="H209" s="92"/>
      <c r="I209" s="92">
        <v>1993</v>
      </c>
      <c r="J209" s="92"/>
      <c r="K209" s="1193"/>
      <c r="L209" s="1145"/>
      <c r="M209" s="1130" t="s">
        <v>35</v>
      </c>
      <c r="N209" s="1180"/>
      <c r="O209" s="1029">
        <f t="shared" si="3"/>
        <v>1993</v>
      </c>
      <c r="P209" s="92"/>
      <c r="Q209" s="92"/>
    </row>
    <row r="210" spans="1:17" ht="20.100000000000001" customHeight="1">
      <c r="A210" s="92">
        <v>203</v>
      </c>
      <c r="B210" s="1026" t="s">
        <v>1688</v>
      </c>
      <c r="C210" s="1026" t="s">
        <v>1588</v>
      </c>
      <c r="D210" s="1117" t="s">
        <v>36</v>
      </c>
      <c r="E210" s="92"/>
      <c r="F210" s="92">
        <v>631</v>
      </c>
      <c r="G210" s="92"/>
      <c r="H210" s="92"/>
      <c r="I210" s="92"/>
      <c r="J210" s="92"/>
      <c r="K210" s="1118"/>
      <c r="L210" s="1145"/>
      <c r="M210" s="1127" t="s">
        <v>1694</v>
      </c>
      <c r="N210" s="1180"/>
      <c r="O210" s="1029">
        <f t="shared" si="3"/>
        <v>631</v>
      </c>
      <c r="P210" s="92"/>
      <c r="Q210" s="92"/>
    </row>
    <row r="211" spans="1:17" ht="20.100000000000001" customHeight="1">
      <c r="A211" s="92">
        <v>204</v>
      </c>
      <c r="B211" s="1026" t="s">
        <v>1688</v>
      </c>
      <c r="C211" s="1026" t="s">
        <v>1588</v>
      </c>
      <c r="D211" s="1117" t="s">
        <v>36</v>
      </c>
      <c r="E211" s="92">
        <v>37</v>
      </c>
      <c r="F211" s="92"/>
      <c r="G211" s="92"/>
      <c r="H211" s="92"/>
      <c r="I211" s="92"/>
      <c r="J211" s="92"/>
      <c r="K211" s="1118"/>
      <c r="L211" s="1145"/>
      <c r="M211" s="1037" t="s">
        <v>1591</v>
      </c>
      <c r="N211" s="1180"/>
      <c r="O211" s="1029">
        <f t="shared" si="3"/>
        <v>37</v>
      </c>
      <c r="P211" s="92"/>
      <c r="Q211" s="92"/>
    </row>
    <row r="212" spans="1:17" ht="20.100000000000001" customHeight="1">
      <c r="A212" s="92">
        <v>205</v>
      </c>
      <c r="B212" s="1026" t="s">
        <v>1695</v>
      </c>
      <c r="C212" s="1026" t="s">
        <v>1588</v>
      </c>
      <c r="D212" s="1049" t="s">
        <v>26</v>
      </c>
      <c r="E212" s="92"/>
      <c r="F212" s="92"/>
      <c r="G212" s="92"/>
      <c r="H212" s="92"/>
      <c r="I212" s="92"/>
      <c r="J212" s="92"/>
      <c r="K212" s="1047">
        <v>1</v>
      </c>
      <c r="L212" s="1047"/>
      <c r="M212" s="1104" t="s">
        <v>1696</v>
      </c>
      <c r="N212" s="434">
        <v>71236.490000000005</v>
      </c>
      <c r="O212" s="1029">
        <f t="shared" si="3"/>
        <v>1</v>
      </c>
      <c r="P212" s="92"/>
      <c r="Q212" s="92"/>
    </row>
    <row r="213" spans="1:17" ht="20.100000000000001" customHeight="1">
      <c r="A213" s="92">
        <v>206</v>
      </c>
      <c r="B213" s="1026" t="s">
        <v>1695</v>
      </c>
      <c r="C213" s="1026" t="s">
        <v>1588</v>
      </c>
      <c r="D213" s="1049" t="s">
        <v>29</v>
      </c>
      <c r="E213" s="92"/>
      <c r="F213" s="92"/>
      <c r="G213" s="92">
        <v>1</v>
      </c>
      <c r="H213" s="92"/>
      <c r="I213" s="92"/>
      <c r="J213" s="92"/>
      <c r="K213" s="1047"/>
      <c r="L213" s="1047"/>
      <c r="M213" s="1100" t="s">
        <v>119</v>
      </c>
      <c r="N213" s="434">
        <v>4206323.18</v>
      </c>
      <c r="O213" s="1029">
        <f t="shared" si="3"/>
        <v>1</v>
      </c>
      <c r="P213" s="92"/>
      <c r="Q213" s="92"/>
    </row>
    <row r="214" spans="1:17" ht="20.100000000000001" customHeight="1">
      <c r="A214" s="92">
        <v>207</v>
      </c>
      <c r="B214" s="1026" t="s">
        <v>1695</v>
      </c>
      <c r="C214" s="1026" t="s">
        <v>1588</v>
      </c>
      <c r="D214" s="1049"/>
      <c r="E214" s="92"/>
      <c r="F214" s="92"/>
      <c r="G214" s="92">
        <v>1</v>
      </c>
      <c r="H214" s="92"/>
      <c r="I214" s="92"/>
      <c r="J214" s="92"/>
      <c r="K214" s="1047"/>
      <c r="L214" s="1047"/>
      <c r="M214" s="1100" t="s">
        <v>49</v>
      </c>
      <c r="N214" s="434">
        <v>60508782.380000003</v>
      </c>
      <c r="O214" s="1029">
        <f t="shared" si="3"/>
        <v>1</v>
      </c>
      <c r="P214" s="92"/>
      <c r="Q214" s="92"/>
    </row>
    <row r="215" spans="1:17" ht="20.100000000000001" customHeight="1">
      <c r="A215" s="92">
        <v>208</v>
      </c>
      <c r="B215" s="1026" t="s">
        <v>1695</v>
      </c>
      <c r="C215" s="1026" t="s">
        <v>1588</v>
      </c>
      <c r="D215" s="1049"/>
      <c r="E215" s="92"/>
      <c r="F215" s="92"/>
      <c r="G215" s="92">
        <v>1</v>
      </c>
      <c r="H215" s="92"/>
      <c r="I215" s="92"/>
      <c r="J215" s="92"/>
      <c r="K215" s="1059"/>
      <c r="L215" s="1059"/>
      <c r="M215" s="1100" t="s">
        <v>207</v>
      </c>
      <c r="N215" s="437">
        <v>283856.33</v>
      </c>
      <c r="O215" s="1029">
        <f t="shared" si="3"/>
        <v>1</v>
      </c>
      <c r="P215" s="92"/>
      <c r="Q215" s="92"/>
    </row>
    <row r="216" spans="1:17" ht="20.100000000000001" customHeight="1">
      <c r="A216" s="92">
        <v>209</v>
      </c>
      <c r="B216" s="1026" t="s">
        <v>1695</v>
      </c>
      <c r="C216" s="1026" t="s">
        <v>1588</v>
      </c>
      <c r="D216" s="1049" t="s">
        <v>33</v>
      </c>
      <c r="E216" s="92"/>
      <c r="F216" s="92"/>
      <c r="G216" s="92"/>
      <c r="H216" s="92"/>
      <c r="I216" s="92">
        <v>786</v>
      </c>
      <c r="J216" s="92"/>
      <c r="K216" s="1047"/>
      <c r="L216" s="1047"/>
      <c r="M216" s="1034" t="s">
        <v>35</v>
      </c>
      <c r="N216" s="1194"/>
      <c r="O216" s="1029">
        <f t="shared" si="3"/>
        <v>786</v>
      </c>
      <c r="P216" s="92"/>
      <c r="Q216" s="92"/>
    </row>
    <row r="217" spans="1:17" ht="20.100000000000001" customHeight="1">
      <c r="A217" s="92">
        <v>210</v>
      </c>
      <c r="B217" s="1026" t="s">
        <v>1695</v>
      </c>
      <c r="C217" s="1026" t="s">
        <v>1588</v>
      </c>
      <c r="D217" s="1049" t="s">
        <v>36</v>
      </c>
      <c r="E217" s="92"/>
      <c r="F217" s="92">
        <v>268</v>
      </c>
      <c r="G217" s="92"/>
      <c r="H217" s="92"/>
      <c r="I217" s="92"/>
      <c r="J217" s="92"/>
      <c r="K217" s="1047"/>
      <c r="L217" s="1047"/>
      <c r="M217" s="1195" t="s">
        <v>1697</v>
      </c>
      <c r="N217" s="155"/>
      <c r="O217" s="1029">
        <f t="shared" si="3"/>
        <v>268</v>
      </c>
      <c r="P217" s="92"/>
      <c r="Q217" s="92"/>
    </row>
    <row r="218" spans="1:17" ht="20.100000000000001" customHeight="1">
      <c r="A218" s="92">
        <v>211</v>
      </c>
      <c r="B218" s="1026" t="s">
        <v>1695</v>
      </c>
      <c r="C218" s="1026" t="s">
        <v>1588</v>
      </c>
      <c r="D218" s="1049" t="s">
        <v>36</v>
      </c>
      <c r="E218" s="92">
        <v>196</v>
      </c>
      <c r="F218" s="92"/>
      <c r="G218" s="92"/>
      <c r="H218" s="92"/>
      <c r="I218" s="92"/>
      <c r="J218" s="92"/>
      <c r="K218" s="1047"/>
      <c r="L218" s="1047"/>
      <c r="M218" s="1037" t="s">
        <v>1591</v>
      </c>
      <c r="N218" s="155"/>
      <c r="O218" s="1029">
        <f t="shared" si="3"/>
        <v>196</v>
      </c>
      <c r="P218" s="92"/>
      <c r="Q218" s="92"/>
    </row>
    <row r="219" spans="1:17" ht="20.100000000000001" customHeight="1">
      <c r="A219" s="92">
        <v>212</v>
      </c>
      <c r="B219" s="1026" t="s">
        <v>1698</v>
      </c>
      <c r="C219" s="1026" t="s">
        <v>1588</v>
      </c>
      <c r="D219" s="1049" t="s">
        <v>26</v>
      </c>
      <c r="E219" s="92"/>
      <c r="F219" s="92"/>
      <c r="G219" s="92"/>
      <c r="H219" s="92"/>
      <c r="I219" s="92"/>
      <c r="J219" s="92"/>
      <c r="K219" s="1155">
        <v>1</v>
      </c>
      <c r="L219" s="1155"/>
      <c r="M219" s="1104" t="s">
        <v>1699</v>
      </c>
      <c r="N219" s="1196">
        <v>26125.41</v>
      </c>
      <c r="O219" s="1029">
        <f t="shared" si="3"/>
        <v>1</v>
      </c>
      <c r="P219" s="92"/>
      <c r="Q219" s="92"/>
    </row>
    <row r="220" spans="1:17" ht="20.100000000000001" customHeight="1">
      <c r="A220" s="92">
        <v>213</v>
      </c>
      <c r="B220" s="1026" t="s">
        <v>1698</v>
      </c>
      <c r="C220" s="1026" t="s">
        <v>1588</v>
      </c>
      <c r="D220" s="1049" t="s">
        <v>29</v>
      </c>
      <c r="E220" s="92"/>
      <c r="F220" s="92"/>
      <c r="G220" s="92">
        <v>1</v>
      </c>
      <c r="H220" s="92"/>
      <c r="I220" s="92"/>
      <c r="J220" s="92"/>
      <c r="K220" s="1155"/>
      <c r="L220" s="1155"/>
      <c r="M220" s="1197" t="s">
        <v>49</v>
      </c>
      <c r="N220" s="434">
        <v>5075480.76</v>
      </c>
      <c r="O220" s="1029">
        <f t="shared" si="3"/>
        <v>1</v>
      </c>
      <c r="P220" s="92"/>
      <c r="Q220" s="92"/>
    </row>
    <row r="221" spans="1:17" ht="20.100000000000001" customHeight="1">
      <c r="A221" s="92">
        <v>214</v>
      </c>
      <c r="B221" s="1026" t="s">
        <v>1698</v>
      </c>
      <c r="C221" s="1026" t="s">
        <v>1588</v>
      </c>
      <c r="D221" s="1049"/>
      <c r="E221" s="92"/>
      <c r="F221" s="92"/>
      <c r="G221" s="92">
        <v>1</v>
      </c>
      <c r="H221" s="92"/>
      <c r="I221" s="92"/>
      <c r="J221" s="92"/>
      <c r="K221" s="1155"/>
      <c r="L221" s="1155"/>
      <c r="M221" s="1197" t="s">
        <v>32</v>
      </c>
      <c r="N221" s="434">
        <v>0.64</v>
      </c>
      <c r="O221" s="1029">
        <f t="shared" si="3"/>
        <v>1</v>
      </c>
      <c r="P221" s="92"/>
      <c r="Q221" s="92"/>
    </row>
    <row r="222" spans="1:17" ht="20.100000000000001" customHeight="1">
      <c r="A222" s="92">
        <v>215</v>
      </c>
      <c r="B222" s="1026" t="s">
        <v>1698</v>
      </c>
      <c r="C222" s="1026" t="s">
        <v>1588</v>
      </c>
      <c r="D222" s="1049"/>
      <c r="E222" s="92"/>
      <c r="F222" s="92"/>
      <c r="G222" s="92">
        <v>1</v>
      </c>
      <c r="H222" s="92"/>
      <c r="I222" s="92"/>
      <c r="J222" s="92"/>
      <c r="K222" s="1159"/>
      <c r="L222" s="1159"/>
      <c r="M222" s="1197" t="s">
        <v>1700</v>
      </c>
      <c r="N222" s="437">
        <v>20</v>
      </c>
      <c r="O222" s="1029">
        <f t="shared" si="3"/>
        <v>1</v>
      </c>
      <c r="P222" s="92"/>
      <c r="Q222" s="92"/>
    </row>
    <row r="223" spans="1:17" ht="20.100000000000001" customHeight="1">
      <c r="A223" s="92">
        <v>216</v>
      </c>
      <c r="B223" s="1026" t="s">
        <v>1698</v>
      </c>
      <c r="C223" s="1026" t="s">
        <v>1588</v>
      </c>
      <c r="D223" s="1049" t="s">
        <v>33</v>
      </c>
      <c r="E223" s="92"/>
      <c r="F223" s="92"/>
      <c r="G223" s="92"/>
      <c r="H223" s="92"/>
      <c r="I223" s="92">
        <v>1993</v>
      </c>
      <c r="J223" s="92"/>
      <c r="K223" s="1198"/>
      <c r="L223" s="1198"/>
      <c r="M223" s="1199" t="s">
        <v>35</v>
      </c>
      <c r="N223" s="434"/>
      <c r="O223" s="1029">
        <f t="shared" si="3"/>
        <v>1993</v>
      </c>
      <c r="P223" s="92"/>
      <c r="Q223" s="92"/>
    </row>
    <row r="224" spans="1:17" ht="20.100000000000001" customHeight="1">
      <c r="A224" s="92">
        <v>217</v>
      </c>
      <c r="B224" s="1026" t="s">
        <v>1698</v>
      </c>
      <c r="C224" s="1026" t="s">
        <v>1588</v>
      </c>
      <c r="D224" s="1049" t="s">
        <v>36</v>
      </c>
      <c r="E224" s="92"/>
      <c r="F224" s="92">
        <v>634</v>
      </c>
      <c r="G224" s="92"/>
      <c r="H224" s="92"/>
      <c r="I224" s="92"/>
      <c r="J224" s="92"/>
      <c r="K224" s="1155"/>
      <c r="L224" s="1155"/>
      <c r="M224" s="1200" t="s">
        <v>1701</v>
      </c>
      <c r="N224" s="434"/>
      <c r="O224" s="1029">
        <f t="shared" si="3"/>
        <v>634</v>
      </c>
      <c r="P224" s="92"/>
      <c r="Q224" s="92"/>
    </row>
    <row r="225" spans="1:17" ht="20.100000000000001" customHeight="1">
      <c r="A225" s="92">
        <v>218</v>
      </c>
      <c r="B225" s="1026" t="s">
        <v>1698</v>
      </c>
      <c r="C225" s="1026" t="s">
        <v>1588</v>
      </c>
      <c r="D225" s="1049" t="s">
        <v>36</v>
      </c>
      <c r="E225" s="92">
        <v>16</v>
      </c>
      <c r="F225" s="92"/>
      <c r="G225" s="92"/>
      <c r="H225" s="92"/>
      <c r="I225" s="92"/>
      <c r="J225" s="92"/>
      <c r="K225" s="1155"/>
      <c r="L225" s="1155"/>
      <c r="M225" s="1037" t="s">
        <v>1591</v>
      </c>
      <c r="N225" s="434"/>
      <c r="O225" s="1029">
        <f t="shared" si="3"/>
        <v>16</v>
      </c>
      <c r="P225" s="92"/>
      <c r="Q225" s="92"/>
    </row>
    <row r="226" spans="1:17" ht="20.100000000000001" customHeight="1">
      <c r="A226" s="92">
        <v>219</v>
      </c>
      <c r="B226" s="1026" t="s">
        <v>1702</v>
      </c>
      <c r="C226" s="1026" t="s">
        <v>1588</v>
      </c>
      <c r="D226" s="1049" t="s">
        <v>26</v>
      </c>
      <c r="E226" s="92"/>
      <c r="F226" s="92"/>
      <c r="G226" s="92"/>
      <c r="H226" s="92"/>
      <c r="I226" s="92"/>
      <c r="J226" s="92"/>
      <c r="K226" s="1047">
        <v>1</v>
      </c>
      <c r="L226" s="1101"/>
      <c r="M226" s="1104" t="s">
        <v>1703</v>
      </c>
      <c r="N226" s="452">
        <v>12000</v>
      </c>
      <c r="O226" s="1029">
        <f t="shared" si="3"/>
        <v>1</v>
      </c>
      <c r="P226" s="92"/>
      <c r="Q226" s="92"/>
    </row>
    <row r="227" spans="1:17" ht="20.100000000000001" customHeight="1">
      <c r="A227" s="92">
        <v>220</v>
      </c>
      <c r="B227" s="1026" t="s">
        <v>1702</v>
      </c>
      <c r="C227" s="1026" t="s">
        <v>1588</v>
      </c>
      <c r="D227" s="1049"/>
      <c r="E227" s="92"/>
      <c r="F227" s="92"/>
      <c r="G227" s="92"/>
      <c r="H227" s="92"/>
      <c r="I227" s="92"/>
      <c r="J227" s="92"/>
      <c r="K227" s="1047">
        <v>1</v>
      </c>
      <c r="L227" s="1047"/>
      <c r="M227" s="1104" t="s">
        <v>1704</v>
      </c>
      <c r="N227" s="434">
        <v>136819.4</v>
      </c>
      <c r="O227" s="1029">
        <f t="shared" si="3"/>
        <v>1</v>
      </c>
      <c r="P227" s="92"/>
      <c r="Q227" s="92"/>
    </row>
    <row r="228" spans="1:17" ht="20.100000000000001" customHeight="1">
      <c r="A228" s="92">
        <v>221</v>
      </c>
      <c r="B228" s="1026" t="s">
        <v>1702</v>
      </c>
      <c r="C228" s="1026" t="s">
        <v>1588</v>
      </c>
      <c r="D228" s="1049" t="s">
        <v>29</v>
      </c>
      <c r="E228" s="92"/>
      <c r="F228" s="92"/>
      <c r="G228" s="92">
        <v>1</v>
      </c>
      <c r="H228" s="92"/>
      <c r="I228" s="92"/>
      <c r="J228" s="92"/>
      <c r="K228" s="1047"/>
      <c r="L228" s="1047"/>
      <c r="M228" s="1201" t="s">
        <v>119</v>
      </c>
      <c r="N228" s="434">
        <v>5165783.2300000004</v>
      </c>
      <c r="O228" s="1029">
        <f t="shared" si="3"/>
        <v>1</v>
      </c>
      <c r="P228" s="92"/>
      <c r="Q228" s="92"/>
    </row>
    <row r="229" spans="1:17" ht="20.100000000000001" customHeight="1">
      <c r="A229" s="92">
        <v>222</v>
      </c>
      <c r="B229" s="1026" t="s">
        <v>1702</v>
      </c>
      <c r="C229" s="1026" t="s">
        <v>1588</v>
      </c>
      <c r="D229" s="1049"/>
      <c r="E229" s="92"/>
      <c r="F229" s="92"/>
      <c r="G229" s="92">
        <v>1</v>
      </c>
      <c r="H229" s="92"/>
      <c r="I229" s="92"/>
      <c r="J229" s="92"/>
      <c r="K229" s="1047"/>
      <c r="L229" s="1047"/>
      <c r="M229" s="1201" t="s">
        <v>49</v>
      </c>
      <c r="N229" s="434">
        <v>120296870.5</v>
      </c>
      <c r="O229" s="1029">
        <f t="shared" si="3"/>
        <v>1</v>
      </c>
      <c r="P229" s="92"/>
      <c r="Q229" s="92"/>
    </row>
    <row r="230" spans="1:17" ht="20.100000000000001" customHeight="1">
      <c r="A230" s="92">
        <v>223</v>
      </c>
      <c r="B230" s="1026" t="s">
        <v>1702</v>
      </c>
      <c r="C230" s="1026" t="s">
        <v>1588</v>
      </c>
      <c r="D230" s="1049"/>
      <c r="E230" s="92"/>
      <c r="F230" s="92"/>
      <c r="G230" s="92">
        <v>1</v>
      </c>
      <c r="H230" s="92"/>
      <c r="I230" s="92"/>
      <c r="J230" s="92"/>
      <c r="K230" s="1047"/>
      <c r="L230" s="1047"/>
      <c r="M230" s="1201" t="s">
        <v>32</v>
      </c>
      <c r="N230" s="434">
        <v>21317.85</v>
      </c>
      <c r="O230" s="1029">
        <f t="shared" si="3"/>
        <v>1</v>
      </c>
      <c r="P230" s="92"/>
      <c r="Q230" s="92"/>
    </row>
    <row r="231" spans="1:17" ht="20.100000000000001" customHeight="1">
      <c r="A231" s="92">
        <v>224</v>
      </c>
      <c r="B231" s="1026" t="s">
        <v>1702</v>
      </c>
      <c r="C231" s="1026" t="s">
        <v>1588</v>
      </c>
      <c r="D231" s="1049"/>
      <c r="E231" s="92"/>
      <c r="F231" s="92"/>
      <c r="G231" s="92"/>
      <c r="H231" s="92"/>
      <c r="I231" s="92"/>
      <c r="J231" s="92"/>
      <c r="K231" s="1059">
        <v>1</v>
      </c>
      <c r="L231" s="1059"/>
      <c r="M231" s="1202" t="s">
        <v>1705</v>
      </c>
      <c r="N231" s="437">
        <v>238760</v>
      </c>
      <c r="O231" s="1029">
        <f t="shared" si="3"/>
        <v>1</v>
      </c>
      <c r="P231" s="92"/>
      <c r="Q231" s="92"/>
    </row>
    <row r="232" spans="1:17" ht="20.100000000000001" customHeight="1">
      <c r="A232" s="92">
        <v>225</v>
      </c>
      <c r="B232" s="1026" t="s">
        <v>1702</v>
      </c>
      <c r="C232" s="1026" t="s">
        <v>1588</v>
      </c>
      <c r="D232" s="1049"/>
      <c r="E232" s="92"/>
      <c r="F232" s="92"/>
      <c r="G232" s="92"/>
      <c r="H232" s="92"/>
      <c r="I232" s="92">
        <v>4320</v>
      </c>
      <c r="J232" s="92"/>
      <c r="K232" s="1047"/>
      <c r="L232" s="1047"/>
      <c r="M232" s="1200" t="s">
        <v>1706</v>
      </c>
      <c r="N232" s="434">
        <v>4672654.25</v>
      </c>
      <c r="O232" s="1029">
        <f t="shared" si="3"/>
        <v>4320</v>
      </c>
      <c r="P232" s="92"/>
      <c r="Q232" s="92"/>
    </row>
    <row r="233" spans="1:17" ht="20.100000000000001" customHeight="1">
      <c r="A233" s="92">
        <v>226</v>
      </c>
      <c r="B233" s="1026" t="s">
        <v>1702</v>
      </c>
      <c r="C233" s="1026" t="s">
        <v>1588</v>
      </c>
      <c r="D233" s="1049" t="s">
        <v>36</v>
      </c>
      <c r="E233" s="92"/>
      <c r="F233" s="92">
        <v>585</v>
      </c>
      <c r="G233" s="92"/>
      <c r="H233" s="92"/>
      <c r="I233" s="92"/>
      <c r="J233" s="92"/>
      <c r="K233" s="1047"/>
      <c r="L233" s="1047"/>
      <c r="M233" s="1200" t="s">
        <v>1707</v>
      </c>
      <c r="N233" s="434">
        <v>0</v>
      </c>
      <c r="O233" s="1029">
        <f t="shared" si="3"/>
        <v>585</v>
      </c>
      <c r="P233" s="92"/>
      <c r="Q233" s="92"/>
    </row>
    <row r="234" spans="1:17" ht="20.100000000000001" customHeight="1">
      <c r="A234" s="92">
        <v>227</v>
      </c>
      <c r="B234" s="1026" t="s">
        <v>1702</v>
      </c>
      <c r="C234" s="1026" t="s">
        <v>1588</v>
      </c>
      <c r="D234" s="1049" t="s">
        <v>36</v>
      </c>
      <c r="E234" s="92">
        <v>191</v>
      </c>
      <c r="F234" s="92"/>
      <c r="G234" s="92"/>
      <c r="H234" s="92"/>
      <c r="I234" s="92"/>
      <c r="J234" s="92"/>
      <c r="K234" s="1047"/>
      <c r="L234" s="1047"/>
      <c r="M234" s="1037" t="s">
        <v>1591</v>
      </c>
      <c r="N234" s="434"/>
      <c r="O234" s="1029">
        <f t="shared" si="3"/>
        <v>191</v>
      </c>
      <c r="P234" s="92"/>
      <c r="Q234" s="92"/>
    </row>
    <row r="235" spans="1:17" ht="20.100000000000001" customHeight="1">
      <c r="A235" s="92">
        <v>228</v>
      </c>
      <c r="B235" s="1026" t="s">
        <v>1708</v>
      </c>
      <c r="C235" s="1026" t="s">
        <v>1588</v>
      </c>
      <c r="D235" s="1203" t="s">
        <v>26</v>
      </c>
      <c r="E235" s="92"/>
      <c r="F235" s="92"/>
      <c r="G235" s="92"/>
      <c r="H235" s="92"/>
      <c r="I235" s="92"/>
      <c r="J235" s="92"/>
      <c r="K235" s="1047">
        <v>1</v>
      </c>
      <c r="L235" s="1047"/>
      <c r="M235" s="1200" t="s">
        <v>1709</v>
      </c>
      <c r="N235" s="1204">
        <v>252070</v>
      </c>
      <c r="O235" s="1029">
        <f t="shared" si="3"/>
        <v>1</v>
      </c>
      <c r="P235" s="92"/>
      <c r="Q235" s="92"/>
    </row>
    <row r="236" spans="1:17" ht="20.100000000000001" customHeight="1">
      <c r="A236" s="92">
        <v>229</v>
      </c>
      <c r="B236" s="1026" t="s">
        <v>1708</v>
      </c>
      <c r="C236" s="1026" t="s">
        <v>1588</v>
      </c>
      <c r="D236" s="1203"/>
      <c r="E236" s="92"/>
      <c r="F236" s="92"/>
      <c r="G236" s="92"/>
      <c r="H236" s="92"/>
      <c r="I236" s="92"/>
      <c r="J236" s="92"/>
      <c r="K236" s="1047">
        <v>1</v>
      </c>
      <c r="L236" s="1047"/>
      <c r="M236" s="1195" t="s">
        <v>1710</v>
      </c>
      <c r="N236" s="1204">
        <v>73.36</v>
      </c>
      <c r="O236" s="1029">
        <f t="shared" si="3"/>
        <v>1</v>
      </c>
      <c r="P236" s="92"/>
      <c r="Q236" s="92"/>
    </row>
    <row r="237" spans="1:17" ht="20.100000000000001" customHeight="1">
      <c r="A237" s="92">
        <v>230</v>
      </c>
      <c r="B237" s="1026" t="s">
        <v>1708</v>
      </c>
      <c r="C237" s="1026" t="s">
        <v>1588</v>
      </c>
      <c r="D237" s="1203"/>
      <c r="E237" s="92"/>
      <c r="F237" s="92"/>
      <c r="G237" s="92"/>
      <c r="H237" s="92"/>
      <c r="I237" s="92"/>
      <c r="J237" s="92"/>
      <c r="K237" s="1047">
        <v>1</v>
      </c>
      <c r="L237" s="1047"/>
      <c r="M237" s="1195" t="s">
        <v>1711</v>
      </c>
      <c r="N237" s="1204">
        <f>N235</f>
        <v>252070</v>
      </c>
      <c r="O237" s="1029">
        <f t="shared" si="3"/>
        <v>1</v>
      </c>
      <c r="P237" s="92"/>
      <c r="Q237" s="92"/>
    </row>
    <row r="238" spans="1:17" ht="20.100000000000001" customHeight="1">
      <c r="A238" s="92">
        <v>231</v>
      </c>
      <c r="B238" s="1026" t="s">
        <v>1708</v>
      </c>
      <c r="C238" s="1026" t="s">
        <v>1588</v>
      </c>
      <c r="D238" s="1203" t="s">
        <v>29</v>
      </c>
      <c r="E238" s="92"/>
      <c r="F238" s="92"/>
      <c r="G238" s="92">
        <v>1</v>
      </c>
      <c r="H238" s="92"/>
      <c r="I238" s="92"/>
      <c r="J238" s="92"/>
      <c r="K238" s="1047"/>
      <c r="L238" s="1047"/>
      <c r="M238" s="1195" t="s">
        <v>119</v>
      </c>
      <c r="N238" s="1204" t="s">
        <v>1712</v>
      </c>
      <c r="O238" s="1029">
        <f t="shared" si="3"/>
        <v>1</v>
      </c>
      <c r="P238" s="92"/>
      <c r="Q238" s="92"/>
    </row>
    <row r="239" spans="1:17" ht="20.100000000000001" customHeight="1">
      <c r="A239" s="92">
        <v>232</v>
      </c>
      <c r="B239" s="1026" t="s">
        <v>1708</v>
      </c>
      <c r="C239" s="1026" t="s">
        <v>1588</v>
      </c>
      <c r="D239" s="1203"/>
      <c r="E239" s="92"/>
      <c r="F239" s="92"/>
      <c r="G239" s="92">
        <v>1</v>
      </c>
      <c r="H239" s="92"/>
      <c r="I239" s="92"/>
      <c r="J239" s="92"/>
      <c r="K239" s="1047"/>
      <c r="L239" s="1047"/>
      <c r="M239" s="1195" t="s">
        <v>31</v>
      </c>
      <c r="N239" s="1204">
        <v>49656.97</v>
      </c>
      <c r="O239" s="1029">
        <f t="shared" si="3"/>
        <v>1</v>
      </c>
      <c r="P239" s="92"/>
      <c r="Q239" s="92"/>
    </row>
    <row r="240" spans="1:17" ht="20.100000000000001" customHeight="1">
      <c r="A240" s="92">
        <v>233</v>
      </c>
      <c r="B240" s="1026" t="s">
        <v>1708</v>
      </c>
      <c r="C240" s="1026" t="s">
        <v>1588</v>
      </c>
      <c r="D240" s="1203"/>
      <c r="E240" s="92"/>
      <c r="F240" s="92"/>
      <c r="G240" s="92">
        <v>1</v>
      </c>
      <c r="H240" s="92"/>
      <c r="I240" s="92"/>
      <c r="J240" s="92"/>
      <c r="K240" s="1047"/>
      <c r="L240" s="1047"/>
      <c r="M240" s="1195" t="s">
        <v>32</v>
      </c>
      <c r="N240" s="1204">
        <v>-16703.73</v>
      </c>
      <c r="O240" s="1029">
        <f t="shared" si="3"/>
        <v>1</v>
      </c>
      <c r="P240" s="92"/>
      <c r="Q240" s="92"/>
    </row>
    <row r="241" spans="1:17" ht="20.100000000000001" customHeight="1">
      <c r="A241" s="92">
        <v>234</v>
      </c>
      <c r="B241" s="1026" t="s">
        <v>1708</v>
      </c>
      <c r="C241" s="1026" t="s">
        <v>1588</v>
      </c>
      <c r="D241" s="1203"/>
      <c r="E241" s="92"/>
      <c r="F241" s="92"/>
      <c r="G241" s="92">
        <v>1</v>
      </c>
      <c r="H241" s="92"/>
      <c r="I241" s="92"/>
      <c r="J241" s="92"/>
      <c r="K241" s="1047"/>
      <c r="L241" s="1047"/>
      <c r="M241" s="1195" t="s">
        <v>207</v>
      </c>
      <c r="N241" s="1204">
        <v>428325.49</v>
      </c>
      <c r="O241" s="1029">
        <f t="shared" si="3"/>
        <v>1</v>
      </c>
      <c r="P241" s="92"/>
      <c r="Q241" s="92"/>
    </row>
    <row r="242" spans="1:17" ht="20.100000000000001" customHeight="1">
      <c r="A242" s="92">
        <v>235</v>
      </c>
      <c r="B242" s="1026" t="s">
        <v>1708</v>
      </c>
      <c r="C242" s="1026" t="s">
        <v>1588</v>
      </c>
      <c r="D242" s="1203"/>
      <c r="E242" s="92"/>
      <c r="F242" s="92"/>
      <c r="G242" s="92">
        <v>1</v>
      </c>
      <c r="H242" s="92"/>
      <c r="I242" s="92"/>
      <c r="J242" s="92"/>
      <c r="K242" s="1047"/>
      <c r="L242" s="1047"/>
      <c r="M242" s="1195" t="s">
        <v>50</v>
      </c>
      <c r="N242" s="1204">
        <v>51.06</v>
      </c>
      <c r="O242" s="1029">
        <f t="shared" si="3"/>
        <v>1</v>
      </c>
      <c r="P242" s="92"/>
      <c r="Q242" s="92"/>
    </row>
    <row r="243" spans="1:17" ht="20.100000000000001" customHeight="1">
      <c r="A243" s="92">
        <v>236</v>
      </c>
      <c r="B243" s="1026" t="s">
        <v>1708</v>
      </c>
      <c r="C243" s="1026" t="s">
        <v>1588</v>
      </c>
      <c r="D243" s="1203"/>
      <c r="E243" s="92"/>
      <c r="F243" s="92"/>
      <c r="G243" s="92">
        <v>1</v>
      </c>
      <c r="H243" s="92"/>
      <c r="I243" s="92"/>
      <c r="J243" s="92"/>
      <c r="K243" s="1047"/>
      <c r="L243" s="1047"/>
      <c r="M243" s="1195" t="s">
        <v>675</v>
      </c>
      <c r="N243" s="1204">
        <v>1616.79</v>
      </c>
      <c r="O243" s="1029">
        <f t="shared" si="3"/>
        <v>1</v>
      </c>
      <c r="P243" s="92"/>
      <c r="Q243" s="92"/>
    </row>
    <row r="244" spans="1:17" ht="20.100000000000001" customHeight="1">
      <c r="A244" s="92">
        <v>237</v>
      </c>
      <c r="B244" s="1026" t="s">
        <v>1708</v>
      </c>
      <c r="C244" s="1026" t="s">
        <v>1588</v>
      </c>
      <c r="D244" s="1203"/>
      <c r="E244" s="92"/>
      <c r="F244" s="92"/>
      <c r="G244" s="92"/>
      <c r="H244" s="92"/>
      <c r="I244" s="92">
        <v>3508</v>
      </c>
      <c r="J244" s="92"/>
      <c r="K244" s="1205"/>
      <c r="L244" s="1047"/>
      <c r="M244" s="1195" t="s">
        <v>35</v>
      </c>
      <c r="N244" s="1204"/>
      <c r="O244" s="1029">
        <f t="shared" si="3"/>
        <v>3508</v>
      </c>
      <c r="P244" s="92"/>
      <c r="Q244" s="92"/>
    </row>
    <row r="245" spans="1:17" ht="20.100000000000001" customHeight="1">
      <c r="A245" s="92">
        <v>238</v>
      </c>
      <c r="B245" s="1026" t="s">
        <v>1708</v>
      </c>
      <c r="C245" s="1026" t="s">
        <v>1588</v>
      </c>
      <c r="D245" s="1131" t="s">
        <v>36</v>
      </c>
      <c r="E245" s="92"/>
      <c r="F245" s="92">
        <v>869</v>
      </c>
      <c r="G245" s="92"/>
      <c r="H245" s="92"/>
      <c r="I245" s="92"/>
      <c r="J245" s="92"/>
      <c r="K245" s="1205"/>
      <c r="L245" s="1205"/>
      <c r="M245" s="1206" t="s">
        <v>1713</v>
      </c>
      <c r="N245" s="1207"/>
      <c r="O245" s="1029">
        <f t="shared" si="3"/>
        <v>869</v>
      </c>
      <c r="P245" s="92"/>
      <c r="Q245" s="92"/>
    </row>
    <row r="246" spans="1:17" ht="20.100000000000001" customHeight="1">
      <c r="A246" s="92">
        <v>239</v>
      </c>
      <c r="B246" s="1026" t="s">
        <v>1708</v>
      </c>
      <c r="C246" s="1026" t="s">
        <v>1588</v>
      </c>
      <c r="D246" s="1131" t="s">
        <v>36</v>
      </c>
      <c r="E246" s="92">
        <v>16</v>
      </c>
      <c r="F246" s="92"/>
      <c r="G246" s="92"/>
      <c r="H246" s="92"/>
      <c r="I246" s="92"/>
      <c r="J246" s="92"/>
      <c r="K246" s="1205"/>
      <c r="L246" s="1205"/>
      <c r="M246" s="1037" t="s">
        <v>1591</v>
      </c>
      <c r="N246" s="1207"/>
      <c r="O246" s="1029">
        <f t="shared" si="3"/>
        <v>16</v>
      </c>
      <c r="P246" s="92"/>
      <c r="Q246" s="92"/>
    </row>
    <row r="247" spans="1:17" ht="20.100000000000001" customHeight="1">
      <c r="A247" s="92">
        <v>240</v>
      </c>
      <c r="B247" s="1026" t="s">
        <v>1708</v>
      </c>
      <c r="C247" s="1026" t="s">
        <v>1588</v>
      </c>
      <c r="D247" s="1131" t="s">
        <v>38</v>
      </c>
      <c r="E247" s="92"/>
      <c r="F247" s="92"/>
      <c r="G247" s="92"/>
      <c r="H247" s="92"/>
      <c r="I247" s="92"/>
      <c r="J247" s="92"/>
      <c r="K247" s="1047">
        <v>1</v>
      </c>
      <c r="L247" s="1208" t="s">
        <v>1714</v>
      </c>
      <c r="M247" s="1200" t="s">
        <v>1715</v>
      </c>
      <c r="N247" s="1209">
        <v>700000</v>
      </c>
      <c r="O247" s="1029">
        <f t="shared" si="3"/>
        <v>1</v>
      </c>
      <c r="P247" s="92"/>
      <c r="Q247" s="92"/>
    </row>
    <row r="248" spans="1:17" ht="20.100000000000001" customHeight="1">
      <c r="A248" s="92">
        <v>241</v>
      </c>
      <c r="B248" s="1026" t="s">
        <v>1708</v>
      </c>
      <c r="C248" s="1026" t="s">
        <v>1588</v>
      </c>
      <c r="D248" s="1203"/>
      <c r="E248" s="92"/>
      <c r="F248" s="92"/>
      <c r="G248" s="92"/>
      <c r="H248" s="92"/>
      <c r="I248" s="92"/>
      <c r="J248" s="92"/>
      <c r="K248" s="1047">
        <v>2</v>
      </c>
      <c r="L248" s="1208" t="s">
        <v>1716</v>
      </c>
      <c r="M248" s="1200" t="s">
        <v>1717</v>
      </c>
      <c r="N248" s="1210">
        <v>2700000</v>
      </c>
      <c r="O248" s="1029">
        <f t="shared" si="3"/>
        <v>0</v>
      </c>
      <c r="P248" s="92">
        <v>2</v>
      </c>
      <c r="Q248" s="92"/>
    </row>
    <row r="249" spans="1:17" ht="20.100000000000001" customHeight="1">
      <c r="A249" s="92">
        <v>242</v>
      </c>
      <c r="B249" s="1026" t="s">
        <v>1718</v>
      </c>
      <c r="C249" s="1026" t="s">
        <v>1588</v>
      </c>
      <c r="D249" s="1049" t="s">
        <v>26</v>
      </c>
      <c r="E249" s="92"/>
      <c r="F249" s="92"/>
      <c r="G249" s="92"/>
      <c r="H249" s="92"/>
      <c r="I249" s="92"/>
      <c r="J249" s="92"/>
      <c r="K249" s="1072">
        <v>1</v>
      </c>
      <c r="L249" s="1047"/>
      <c r="M249" s="1104" t="s">
        <v>1719</v>
      </c>
      <c r="N249" s="1211">
        <v>13247.22</v>
      </c>
      <c r="O249" s="1029">
        <f t="shared" si="3"/>
        <v>1</v>
      </c>
      <c r="P249" s="92"/>
      <c r="Q249" s="92"/>
    </row>
    <row r="250" spans="1:17" ht="20.100000000000001" customHeight="1">
      <c r="A250" s="92">
        <v>243</v>
      </c>
      <c r="B250" s="1026" t="s">
        <v>1718</v>
      </c>
      <c r="C250" s="1026" t="s">
        <v>1588</v>
      </c>
      <c r="D250" s="1049" t="s">
        <v>29</v>
      </c>
      <c r="E250" s="92"/>
      <c r="F250" s="92"/>
      <c r="G250" s="92">
        <v>1</v>
      </c>
      <c r="H250" s="92"/>
      <c r="I250" s="92"/>
      <c r="J250" s="92"/>
      <c r="K250" s="1072"/>
      <c r="L250" s="1047"/>
      <c r="M250" s="1100" t="s">
        <v>119</v>
      </c>
      <c r="N250" s="1211">
        <f>--2308976.24</f>
        <v>2308976.2400000002</v>
      </c>
      <c r="O250" s="1029">
        <f t="shared" si="3"/>
        <v>1</v>
      </c>
      <c r="P250" s="92"/>
      <c r="Q250" s="92"/>
    </row>
    <row r="251" spans="1:17" ht="20.100000000000001" customHeight="1">
      <c r="A251" s="92">
        <v>244</v>
      </c>
      <c r="B251" s="1026" t="s">
        <v>1718</v>
      </c>
      <c r="C251" s="1026" t="s">
        <v>1588</v>
      </c>
      <c r="D251" s="1049"/>
      <c r="E251" s="92"/>
      <c r="F251" s="92"/>
      <c r="G251" s="92">
        <v>1</v>
      </c>
      <c r="H251" s="92"/>
      <c r="I251" s="92"/>
      <c r="J251" s="92"/>
      <c r="K251" s="1072"/>
      <c r="L251" s="1047"/>
      <c r="M251" s="1100" t="s">
        <v>49</v>
      </c>
      <c r="N251" s="1211">
        <f>--3115663.42</f>
        <v>3115663.42</v>
      </c>
      <c r="O251" s="1029">
        <f t="shared" si="3"/>
        <v>1</v>
      </c>
      <c r="P251" s="92"/>
      <c r="Q251" s="92"/>
    </row>
    <row r="252" spans="1:17" ht="20.100000000000001" customHeight="1">
      <c r="A252" s="92">
        <v>245</v>
      </c>
      <c r="B252" s="1026" t="s">
        <v>1718</v>
      </c>
      <c r="C252" s="1026" t="s">
        <v>1588</v>
      </c>
      <c r="D252" s="1049"/>
      <c r="E252" s="92"/>
      <c r="F252" s="92"/>
      <c r="G252" s="92">
        <v>1</v>
      </c>
      <c r="H252" s="92"/>
      <c r="I252" s="92"/>
      <c r="J252" s="92"/>
      <c r="K252" s="1072"/>
      <c r="L252" s="1047"/>
      <c r="M252" s="1100" t="s">
        <v>32</v>
      </c>
      <c r="N252" s="1211">
        <v>0.5</v>
      </c>
      <c r="O252" s="1029">
        <f t="shared" si="3"/>
        <v>1</v>
      </c>
      <c r="P252" s="92"/>
      <c r="Q252" s="92"/>
    </row>
    <row r="253" spans="1:17" ht="20.100000000000001" customHeight="1">
      <c r="A253" s="92">
        <v>246</v>
      </c>
      <c r="B253" s="1026" t="s">
        <v>1718</v>
      </c>
      <c r="C253" s="1026" t="s">
        <v>1588</v>
      </c>
      <c r="D253" s="1049"/>
      <c r="E253" s="92"/>
      <c r="F253" s="92"/>
      <c r="G253" s="92">
        <v>1</v>
      </c>
      <c r="H253" s="92"/>
      <c r="I253" s="92"/>
      <c r="J253" s="92"/>
      <c r="K253" s="1212"/>
      <c r="L253" s="1059"/>
      <c r="M253" s="1100" t="s">
        <v>207</v>
      </c>
      <c r="N253" s="1211">
        <v>1090325.29</v>
      </c>
      <c r="O253" s="1029">
        <f t="shared" si="3"/>
        <v>1</v>
      </c>
      <c r="P253" s="92"/>
      <c r="Q253" s="92"/>
    </row>
    <row r="254" spans="1:17" ht="20.100000000000001" customHeight="1">
      <c r="A254" s="92">
        <v>247</v>
      </c>
      <c r="B254" s="1026" t="s">
        <v>1718</v>
      </c>
      <c r="C254" s="1026" t="s">
        <v>1588</v>
      </c>
      <c r="D254" s="1049"/>
      <c r="E254" s="92"/>
      <c r="F254" s="92"/>
      <c r="G254" s="92">
        <v>1</v>
      </c>
      <c r="H254" s="92"/>
      <c r="I254" s="92"/>
      <c r="J254" s="92"/>
      <c r="K254" s="1212"/>
      <c r="L254" s="1059"/>
      <c r="M254" s="1100" t="s">
        <v>1720</v>
      </c>
      <c r="N254" s="1211">
        <v>97.01</v>
      </c>
      <c r="O254" s="1029">
        <f t="shared" si="3"/>
        <v>1</v>
      </c>
      <c r="P254" s="92"/>
      <c r="Q254" s="92"/>
    </row>
    <row r="255" spans="1:17" ht="20.100000000000001" customHeight="1">
      <c r="A255" s="92">
        <v>248</v>
      </c>
      <c r="B255" s="1026" t="s">
        <v>1718</v>
      </c>
      <c r="C255" s="1026" t="s">
        <v>1588</v>
      </c>
      <c r="D255" s="1049" t="s">
        <v>33</v>
      </c>
      <c r="E255" s="92"/>
      <c r="F255" s="92"/>
      <c r="G255" s="92"/>
      <c r="H255" s="92"/>
      <c r="I255" s="92">
        <v>103</v>
      </c>
      <c r="J255" s="92"/>
      <c r="K255" s="1072"/>
      <c r="L255" s="1047"/>
      <c r="M255" s="1213" t="s">
        <v>35</v>
      </c>
      <c r="N255" s="155"/>
      <c r="O255" s="1029">
        <f t="shared" si="3"/>
        <v>103</v>
      </c>
      <c r="P255" s="92"/>
      <c r="Q255" s="92"/>
    </row>
    <row r="256" spans="1:17" ht="20.100000000000001" customHeight="1">
      <c r="A256" s="92">
        <v>249</v>
      </c>
      <c r="B256" s="1026" t="s">
        <v>1718</v>
      </c>
      <c r="C256" s="1026" t="s">
        <v>1588</v>
      </c>
      <c r="D256" s="1049" t="s">
        <v>36</v>
      </c>
      <c r="E256" s="92"/>
      <c r="F256" s="92">
        <v>473</v>
      </c>
      <c r="G256" s="92"/>
      <c r="H256" s="92"/>
      <c r="I256" s="92"/>
      <c r="J256" s="92"/>
      <c r="K256" s="1072"/>
      <c r="L256" s="1047"/>
      <c r="M256" s="1200" t="s">
        <v>1721</v>
      </c>
      <c r="N256" s="155"/>
      <c r="O256" s="1029">
        <f t="shared" si="3"/>
        <v>473</v>
      </c>
      <c r="P256" s="92"/>
      <c r="Q256" s="92"/>
    </row>
    <row r="257" spans="1:17" ht="20.100000000000001" customHeight="1">
      <c r="A257" s="92">
        <v>250</v>
      </c>
      <c r="B257" s="1026" t="s">
        <v>1718</v>
      </c>
      <c r="C257" s="1026" t="s">
        <v>1588</v>
      </c>
      <c r="D257" s="1049" t="s">
        <v>36</v>
      </c>
      <c r="E257" s="92">
        <v>25</v>
      </c>
      <c r="F257" s="92"/>
      <c r="G257" s="92"/>
      <c r="H257" s="92"/>
      <c r="I257" s="92"/>
      <c r="J257" s="92"/>
      <c r="K257" s="1072"/>
      <c r="L257" s="1047"/>
      <c r="M257" s="1200" t="s">
        <v>1722</v>
      </c>
      <c r="N257" s="155"/>
      <c r="O257" s="1029">
        <f t="shared" si="3"/>
        <v>25</v>
      </c>
      <c r="P257" s="92"/>
      <c r="Q257" s="92"/>
    </row>
    <row r="258" spans="1:17" ht="20.100000000000001" customHeight="1">
      <c r="A258" s="92">
        <v>251</v>
      </c>
      <c r="B258" s="1026" t="s">
        <v>1718</v>
      </c>
      <c r="C258" s="1026" t="s">
        <v>1588</v>
      </c>
      <c r="D258" s="1049" t="s">
        <v>38</v>
      </c>
      <c r="E258" s="92"/>
      <c r="F258" s="92"/>
      <c r="G258" s="92"/>
      <c r="H258" s="92"/>
      <c r="I258" s="92"/>
      <c r="J258" s="92"/>
      <c r="K258" s="1072">
        <v>1</v>
      </c>
      <c r="L258" s="1214">
        <v>46227</v>
      </c>
      <c r="M258" s="1200" t="s">
        <v>1723</v>
      </c>
      <c r="N258" s="155">
        <v>140000</v>
      </c>
      <c r="O258" s="1029">
        <f t="shared" si="3"/>
        <v>0</v>
      </c>
      <c r="P258" s="92">
        <v>1</v>
      </c>
      <c r="Q258" s="92"/>
    </row>
    <row r="259" spans="1:17" ht="20.100000000000001" customHeight="1">
      <c r="A259" s="92">
        <v>252</v>
      </c>
      <c r="B259" s="1026" t="s">
        <v>1718</v>
      </c>
      <c r="C259" s="1026" t="s">
        <v>1588</v>
      </c>
      <c r="D259" s="1049"/>
      <c r="E259" s="92"/>
      <c r="F259" s="92"/>
      <c r="G259" s="92"/>
      <c r="H259" s="92"/>
      <c r="I259" s="92"/>
      <c r="J259" s="92"/>
      <c r="K259" s="1072">
        <v>1</v>
      </c>
      <c r="L259" s="1214">
        <v>46219</v>
      </c>
      <c r="M259" s="1215" t="s">
        <v>1724</v>
      </c>
      <c r="N259" s="155">
        <v>140000</v>
      </c>
      <c r="O259" s="1029">
        <f t="shared" si="3"/>
        <v>0</v>
      </c>
      <c r="P259" s="92">
        <v>1</v>
      </c>
      <c r="Q259" s="92"/>
    </row>
    <row r="260" spans="1:17" ht="20.100000000000001" customHeight="1">
      <c r="A260" s="92">
        <v>253</v>
      </c>
      <c r="B260" s="1026" t="s">
        <v>1718</v>
      </c>
      <c r="C260" s="1026" t="s">
        <v>1588</v>
      </c>
      <c r="D260" s="1049"/>
      <c r="E260" s="92"/>
      <c r="F260" s="92"/>
      <c r="G260" s="92"/>
      <c r="H260" s="92"/>
      <c r="I260" s="92"/>
      <c r="J260" s="92"/>
      <c r="K260" s="1072">
        <v>1</v>
      </c>
      <c r="L260" s="1214">
        <v>46217</v>
      </c>
      <c r="M260" s="1216" t="s">
        <v>1725</v>
      </c>
      <c r="N260" s="155">
        <v>139500</v>
      </c>
      <c r="O260" s="1029">
        <f t="shared" si="3"/>
        <v>1</v>
      </c>
      <c r="P260" s="92"/>
      <c r="Q260" s="92"/>
    </row>
    <row r="261" spans="1:17" ht="20.100000000000001" customHeight="1">
      <c r="A261" s="92">
        <v>254</v>
      </c>
      <c r="B261" s="1026" t="s">
        <v>1726</v>
      </c>
      <c r="C261" s="1026" t="s">
        <v>1588</v>
      </c>
      <c r="D261" s="1049" t="s">
        <v>26</v>
      </c>
      <c r="E261" s="92"/>
      <c r="F261" s="92"/>
      <c r="G261" s="92"/>
      <c r="H261" s="92"/>
      <c r="I261" s="92"/>
      <c r="J261" s="92"/>
      <c r="K261" s="1217">
        <v>1</v>
      </c>
      <c r="L261" s="100"/>
      <c r="M261" s="111" t="s">
        <v>1727</v>
      </c>
      <c r="N261" s="1218" t="s">
        <v>1728</v>
      </c>
      <c r="O261" s="1029">
        <f t="shared" si="3"/>
        <v>1</v>
      </c>
      <c r="P261" s="92"/>
      <c r="Q261" s="92"/>
    </row>
    <row r="262" spans="1:17" ht="20.100000000000001" customHeight="1">
      <c r="A262" s="92">
        <v>255</v>
      </c>
      <c r="B262" s="1026" t="s">
        <v>1726</v>
      </c>
      <c r="C262" s="1026" t="s">
        <v>1588</v>
      </c>
      <c r="D262" s="1049" t="s">
        <v>29</v>
      </c>
      <c r="E262" s="92"/>
      <c r="F262" s="92"/>
      <c r="G262" s="92">
        <v>1</v>
      </c>
      <c r="H262" s="92"/>
      <c r="I262" s="92"/>
      <c r="J262" s="92"/>
      <c r="K262" s="1217"/>
      <c r="L262" s="100"/>
      <c r="M262" s="1027" t="s">
        <v>49</v>
      </c>
      <c r="N262" s="1219">
        <v>163981698</v>
      </c>
      <c r="O262" s="1029">
        <f t="shared" si="3"/>
        <v>1</v>
      </c>
      <c r="P262" s="92"/>
      <c r="Q262" s="92"/>
    </row>
    <row r="263" spans="1:17" ht="20.100000000000001" customHeight="1">
      <c r="A263" s="92">
        <v>256</v>
      </c>
      <c r="B263" s="1026" t="s">
        <v>1726</v>
      </c>
      <c r="C263" s="1026" t="s">
        <v>1588</v>
      </c>
      <c r="D263" s="112"/>
      <c r="E263" s="92"/>
      <c r="F263" s="92"/>
      <c r="G263" s="92">
        <v>1</v>
      </c>
      <c r="H263" s="92"/>
      <c r="I263" s="92"/>
      <c r="J263" s="92"/>
      <c r="K263" s="1217"/>
      <c r="L263" s="100"/>
      <c r="M263" s="1027" t="s">
        <v>32</v>
      </c>
      <c r="N263" s="1220">
        <v>148829.71</v>
      </c>
      <c r="O263" s="1029">
        <f t="shared" si="3"/>
        <v>1</v>
      </c>
      <c r="P263" s="92"/>
      <c r="Q263" s="92"/>
    </row>
    <row r="264" spans="1:17" ht="20.100000000000001" customHeight="1">
      <c r="A264" s="92">
        <v>257</v>
      </c>
      <c r="B264" s="1026" t="s">
        <v>1726</v>
      </c>
      <c r="C264" s="1026" t="s">
        <v>1588</v>
      </c>
      <c r="D264" s="112"/>
      <c r="E264" s="92"/>
      <c r="F264" s="92"/>
      <c r="G264" s="92">
        <v>1</v>
      </c>
      <c r="H264" s="92"/>
      <c r="I264" s="92"/>
      <c r="J264" s="92"/>
      <c r="K264" s="1221"/>
      <c r="L264" s="103"/>
      <c r="M264" s="1222" t="s">
        <v>1729</v>
      </c>
      <c r="N264" s="1223">
        <v>28000</v>
      </c>
      <c r="O264" s="1029">
        <f t="shared" si="3"/>
        <v>1</v>
      </c>
      <c r="P264" s="92"/>
      <c r="Q264" s="92"/>
    </row>
    <row r="265" spans="1:17" ht="20.100000000000001" customHeight="1">
      <c r="A265" s="92">
        <v>258</v>
      </c>
      <c r="B265" s="1026" t="s">
        <v>1726</v>
      </c>
      <c r="C265" s="1026" t="s">
        <v>1588</v>
      </c>
      <c r="D265" s="1049" t="s">
        <v>68</v>
      </c>
      <c r="E265" s="92"/>
      <c r="F265" s="92"/>
      <c r="G265" s="92"/>
      <c r="H265" s="92"/>
      <c r="I265" s="92"/>
      <c r="J265" s="92"/>
      <c r="K265" s="1221">
        <v>1</v>
      </c>
      <c r="L265" s="103"/>
      <c r="M265" s="1222" t="s">
        <v>1730</v>
      </c>
      <c r="N265" s="1223">
        <v>506596.81</v>
      </c>
      <c r="O265" s="1029">
        <f t="shared" si="3"/>
        <v>1</v>
      </c>
      <c r="P265" s="92"/>
      <c r="Q265" s="92"/>
    </row>
    <row r="266" spans="1:17" ht="20.100000000000001" customHeight="1">
      <c r="A266" s="92">
        <v>259</v>
      </c>
      <c r="B266" s="1026" t="s">
        <v>1726</v>
      </c>
      <c r="C266" s="1026" t="s">
        <v>1588</v>
      </c>
      <c r="D266" s="1049" t="s">
        <v>33</v>
      </c>
      <c r="E266" s="92"/>
      <c r="F266" s="92"/>
      <c r="G266" s="92"/>
      <c r="H266" s="92"/>
      <c r="I266" s="92">
        <v>2071</v>
      </c>
      <c r="J266" s="92"/>
      <c r="K266" s="1224"/>
      <c r="L266" s="1225"/>
      <c r="M266" s="1226" t="s">
        <v>1731</v>
      </c>
      <c r="N266" s="1227"/>
      <c r="O266" s="1029">
        <f t="shared" ref="O266:O329" si="4">E266+F266+G266+H266+I266+J266+K266-P266</f>
        <v>2071</v>
      </c>
      <c r="P266" s="92"/>
      <c r="Q266" s="92"/>
    </row>
    <row r="267" spans="1:17" ht="20.100000000000001" customHeight="1">
      <c r="A267" s="92">
        <v>260</v>
      </c>
      <c r="B267" s="1026" t="s">
        <v>1726</v>
      </c>
      <c r="C267" s="1026" t="s">
        <v>1588</v>
      </c>
      <c r="D267" s="1049" t="s">
        <v>36</v>
      </c>
      <c r="E267" s="92"/>
      <c r="F267" s="92">
        <v>480</v>
      </c>
      <c r="G267" s="92"/>
      <c r="H267" s="92"/>
      <c r="I267" s="92"/>
      <c r="J267" s="92"/>
      <c r="K267" s="1217"/>
      <c r="L267" s="100"/>
      <c r="M267" s="1228" t="s">
        <v>1732</v>
      </c>
      <c r="N267" s="1220"/>
      <c r="O267" s="1029">
        <f t="shared" si="4"/>
        <v>480</v>
      </c>
      <c r="P267" s="92"/>
      <c r="Q267" s="92"/>
    </row>
    <row r="268" spans="1:17" ht="20.100000000000001" customHeight="1">
      <c r="A268" s="92">
        <v>261</v>
      </c>
      <c r="B268" s="1026" t="s">
        <v>1726</v>
      </c>
      <c r="C268" s="1026" t="s">
        <v>1588</v>
      </c>
      <c r="D268" s="1049" t="s">
        <v>36</v>
      </c>
      <c r="E268" s="92">
        <v>140</v>
      </c>
      <c r="F268" s="92"/>
      <c r="G268" s="92"/>
      <c r="H268" s="92"/>
      <c r="I268" s="92"/>
      <c r="J268" s="92"/>
      <c r="K268" s="1217"/>
      <c r="L268" s="100"/>
      <c r="M268" s="1200" t="s">
        <v>1722</v>
      </c>
      <c r="N268" s="1220"/>
      <c r="O268" s="1029">
        <f t="shared" si="4"/>
        <v>140</v>
      </c>
      <c r="P268" s="92"/>
      <c r="Q268" s="92"/>
    </row>
    <row r="269" spans="1:17" ht="20.100000000000001" customHeight="1">
      <c r="A269" s="92">
        <v>262</v>
      </c>
      <c r="B269" s="1026" t="s">
        <v>1726</v>
      </c>
      <c r="C269" s="1026" t="s">
        <v>1588</v>
      </c>
      <c r="D269" s="1049" t="s">
        <v>38</v>
      </c>
      <c r="E269" s="92"/>
      <c r="F269" s="92"/>
      <c r="G269" s="92"/>
      <c r="H269" s="92"/>
      <c r="I269" s="92"/>
      <c r="J269" s="92"/>
      <c r="K269" s="1217">
        <v>1</v>
      </c>
      <c r="L269" s="113" t="s">
        <v>100</v>
      </c>
      <c r="M269" s="1228" t="s">
        <v>1733</v>
      </c>
      <c r="N269" s="1220">
        <v>400</v>
      </c>
      <c r="O269" s="1029">
        <f t="shared" si="4"/>
        <v>1</v>
      </c>
      <c r="P269" s="92"/>
      <c r="Q269" s="92"/>
    </row>
    <row r="270" spans="1:17" ht="20.100000000000001" customHeight="1">
      <c r="A270" s="92">
        <v>263</v>
      </c>
      <c r="B270" s="1026" t="s">
        <v>1726</v>
      </c>
      <c r="C270" s="1026" t="s">
        <v>1588</v>
      </c>
      <c r="D270" s="1229"/>
      <c r="E270" s="92"/>
      <c r="F270" s="92"/>
      <c r="G270" s="92"/>
      <c r="H270" s="92"/>
      <c r="I270" s="92"/>
      <c r="J270" s="92"/>
      <c r="K270" s="1217">
        <v>1</v>
      </c>
      <c r="L270" s="113">
        <v>46302</v>
      </c>
      <c r="M270" s="1228" t="s">
        <v>1734</v>
      </c>
      <c r="N270" s="1230">
        <v>7000</v>
      </c>
      <c r="O270" s="1029">
        <f t="shared" si="4"/>
        <v>1</v>
      </c>
      <c r="P270" s="92"/>
      <c r="Q270" s="92"/>
    </row>
    <row r="271" spans="1:17" ht="20.100000000000001" customHeight="1">
      <c r="A271" s="92">
        <v>264</v>
      </c>
      <c r="B271" s="1026" t="s">
        <v>1726</v>
      </c>
      <c r="C271" s="1026" t="s">
        <v>1588</v>
      </c>
      <c r="D271" s="1229"/>
      <c r="E271" s="92"/>
      <c r="F271" s="92"/>
      <c r="G271" s="92"/>
      <c r="H271" s="92"/>
      <c r="I271" s="92"/>
      <c r="J271" s="92"/>
      <c r="K271" s="1217">
        <v>1</v>
      </c>
      <c r="L271" s="113" t="s">
        <v>451</v>
      </c>
      <c r="M271" s="1228" t="s">
        <v>1735</v>
      </c>
      <c r="N271" s="1231">
        <v>150000</v>
      </c>
      <c r="O271" s="1029">
        <f t="shared" si="4"/>
        <v>1</v>
      </c>
      <c r="P271" s="92"/>
      <c r="Q271" s="92"/>
    </row>
    <row r="272" spans="1:17" ht="20.100000000000001" customHeight="1">
      <c r="A272" s="92">
        <v>265</v>
      </c>
      <c r="B272" s="1026" t="s">
        <v>1726</v>
      </c>
      <c r="C272" s="1026" t="s">
        <v>1588</v>
      </c>
      <c r="D272" s="1229"/>
      <c r="E272" s="92"/>
      <c r="F272" s="92"/>
      <c r="G272" s="92"/>
      <c r="H272" s="92"/>
      <c r="I272" s="92"/>
      <c r="J272" s="92"/>
      <c r="K272" s="1217">
        <v>1</v>
      </c>
      <c r="L272" s="1232" t="s">
        <v>489</v>
      </c>
      <c r="M272" s="1233" t="s">
        <v>1736</v>
      </c>
      <c r="N272" s="1234">
        <v>400000</v>
      </c>
      <c r="O272" s="1029">
        <f t="shared" si="4"/>
        <v>0</v>
      </c>
      <c r="P272" s="92">
        <v>1</v>
      </c>
      <c r="Q272" s="92"/>
    </row>
    <row r="273" spans="1:17" ht="20.100000000000001" customHeight="1">
      <c r="A273" s="92">
        <v>266</v>
      </c>
      <c r="B273" s="1026" t="s">
        <v>1726</v>
      </c>
      <c r="C273" s="1026" t="s">
        <v>1588</v>
      </c>
      <c r="D273" s="1064" t="s">
        <v>105</v>
      </c>
      <c r="E273" s="92"/>
      <c r="F273" s="92"/>
      <c r="G273" s="92"/>
      <c r="H273" s="92"/>
      <c r="I273" s="92"/>
      <c r="J273" s="92"/>
      <c r="K273" s="1235">
        <v>1</v>
      </c>
      <c r="L273" s="1047"/>
      <c r="M273" s="1222" t="s">
        <v>1737</v>
      </c>
      <c r="N273" s="1236"/>
      <c r="O273" s="1029">
        <f t="shared" si="4"/>
        <v>1</v>
      </c>
      <c r="P273" s="92"/>
      <c r="Q273" s="92"/>
    </row>
    <row r="274" spans="1:17" ht="20.100000000000001" customHeight="1">
      <c r="A274" s="92">
        <v>267</v>
      </c>
      <c r="B274" s="1026" t="s">
        <v>1726</v>
      </c>
      <c r="C274" s="1026" t="s">
        <v>1588</v>
      </c>
      <c r="D274" s="1064"/>
      <c r="E274" s="92"/>
      <c r="F274" s="92"/>
      <c r="G274" s="92"/>
      <c r="H274" s="92"/>
      <c r="I274" s="92"/>
      <c r="J274" s="92"/>
      <c r="K274" s="1237">
        <v>1</v>
      </c>
      <c r="L274" s="1059"/>
      <c r="M274" s="1222" t="s">
        <v>1738</v>
      </c>
      <c r="N274" s="1236"/>
      <c r="O274" s="1029">
        <f t="shared" si="4"/>
        <v>1</v>
      </c>
      <c r="P274" s="92"/>
      <c r="Q274" s="92"/>
    </row>
    <row r="275" spans="1:17" ht="20.100000000000001" customHeight="1">
      <c r="A275" s="92">
        <v>268</v>
      </c>
      <c r="B275" s="1026" t="s">
        <v>1739</v>
      </c>
      <c r="C275" s="1026" t="s">
        <v>1588</v>
      </c>
      <c r="D275" s="1049" t="s">
        <v>26</v>
      </c>
      <c r="E275" s="92"/>
      <c r="F275" s="92"/>
      <c r="G275" s="92"/>
      <c r="H275" s="92"/>
      <c r="I275" s="92"/>
      <c r="J275" s="92"/>
      <c r="K275" s="1072">
        <v>1</v>
      </c>
      <c r="L275" s="1047"/>
      <c r="M275" s="1104" t="s">
        <v>1740</v>
      </c>
      <c r="N275" s="155">
        <v>237140.53</v>
      </c>
      <c r="O275" s="1029">
        <f t="shared" si="4"/>
        <v>1</v>
      </c>
      <c r="P275" s="92"/>
      <c r="Q275" s="92"/>
    </row>
    <row r="276" spans="1:17" ht="20.100000000000001" customHeight="1">
      <c r="A276" s="92">
        <v>269</v>
      </c>
      <c r="B276" s="1026" t="s">
        <v>1739</v>
      </c>
      <c r="C276" s="1026" t="s">
        <v>1588</v>
      </c>
      <c r="D276" s="1049" t="s">
        <v>29</v>
      </c>
      <c r="E276" s="92"/>
      <c r="F276" s="92"/>
      <c r="G276" s="92">
        <v>1</v>
      </c>
      <c r="H276" s="92"/>
      <c r="I276" s="92"/>
      <c r="J276" s="92"/>
      <c r="K276" s="1072"/>
      <c r="L276" s="1047"/>
      <c r="M276" s="1100" t="s">
        <v>119</v>
      </c>
      <c r="N276" s="1238">
        <v>-1848024.88</v>
      </c>
      <c r="O276" s="1029">
        <f t="shared" si="4"/>
        <v>1</v>
      </c>
      <c r="P276" s="92"/>
      <c r="Q276" s="92"/>
    </row>
    <row r="277" spans="1:17" ht="20.100000000000001" customHeight="1">
      <c r="A277" s="92">
        <v>270</v>
      </c>
      <c r="B277" s="1026" t="s">
        <v>1739</v>
      </c>
      <c r="C277" s="1026" t="s">
        <v>1588</v>
      </c>
      <c r="D277" s="1049"/>
      <c r="E277" s="92"/>
      <c r="F277" s="92"/>
      <c r="G277" s="92">
        <v>1</v>
      </c>
      <c r="H277" s="92"/>
      <c r="I277" s="92"/>
      <c r="J277" s="92"/>
      <c r="K277" s="1072"/>
      <c r="L277" s="1047"/>
      <c r="M277" s="1100" t="s">
        <v>49</v>
      </c>
      <c r="N277" s="1238">
        <v>-23481827.899999999</v>
      </c>
      <c r="O277" s="1029">
        <f t="shared" si="4"/>
        <v>1</v>
      </c>
      <c r="P277" s="92"/>
      <c r="Q277" s="92"/>
    </row>
    <row r="278" spans="1:17" ht="20.100000000000001" customHeight="1">
      <c r="A278" s="92">
        <v>271</v>
      </c>
      <c r="B278" s="1026" t="s">
        <v>1739</v>
      </c>
      <c r="C278" s="1026" t="s">
        <v>1588</v>
      </c>
      <c r="D278" s="1049"/>
      <c r="E278" s="92"/>
      <c r="F278" s="92"/>
      <c r="G278" s="92">
        <v>1</v>
      </c>
      <c r="H278" s="92"/>
      <c r="I278" s="92"/>
      <c r="J278" s="92"/>
      <c r="K278" s="1072"/>
      <c r="L278" s="1047"/>
      <c r="M278" s="1100" t="s">
        <v>32</v>
      </c>
      <c r="N278" s="155">
        <v>20.420000000000002</v>
      </c>
      <c r="O278" s="1029">
        <f t="shared" si="4"/>
        <v>1</v>
      </c>
      <c r="P278" s="92"/>
      <c r="Q278" s="92"/>
    </row>
    <row r="279" spans="1:17" ht="20.100000000000001" customHeight="1">
      <c r="A279" s="92">
        <v>272</v>
      </c>
      <c r="B279" s="1026" t="s">
        <v>1739</v>
      </c>
      <c r="C279" s="1026" t="s">
        <v>1588</v>
      </c>
      <c r="D279" s="1049"/>
      <c r="E279" s="92"/>
      <c r="F279" s="92"/>
      <c r="G279" s="92">
        <v>1</v>
      </c>
      <c r="H279" s="92"/>
      <c r="I279" s="92"/>
      <c r="J279" s="92"/>
      <c r="K279" s="1212"/>
      <c r="L279" s="1059"/>
      <c r="M279" s="1100" t="s">
        <v>183</v>
      </c>
      <c r="N279" s="186">
        <v>163.75</v>
      </c>
      <c r="O279" s="1029">
        <f t="shared" si="4"/>
        <v>1</v>
      </c>
      <c r="P279" s="92"/>
      <c r="Q279" s="92"/>
    </row>
    <row r="280" spans="1:17" ht="20.100000000000001" customHeight="1">
      <c r="A280" s="92">
        <v>273</v>
      </c>
      <c r="B280" s="1026" t="s">
        <v>1739</v>
      </c>
      <c r="C280" s="1026" t="s">
        <v>1588</v>
      </c>
      <c r="D280" s="1049"/>
      <c r="E280" s="92"/>
      <c r="F280" s="92"/>
      <c r="G280" s="92">
        <v>1</v>
      </c>
      <c r="H280" s="92"/>
      <c r="I280" s="92"/>
      <c r="J280" s="92"/>
      <c r="K280" s="1212"/>
      <c r="L280" s="1059"/>
      <c r="M280" s="1239" t="s">
        <v>1741</v>
      </c>
      <c r="N280" s="186">
        <v>435.83</v>
      </c>
      <c r="O280" s="1029">
        <f t="shared" si="4"/>
        <v>1</v>
      </c>
      <c r="P280" s="92"/>
      <c r="Q280" s="92"/>
    </row>
    <row r="281" spans="1:17" ht="20.100000000000001" customHeight="1">
      <c r="A281" s="92">
        <v>274</v>
      </c>
      <c r="B281" s="1026" t="s">
        <v>1739</v>
      </c>
      <c r="C281" s="1026" t="s">
        <v>1588</v>
      </c>
      <c r="D281" s="1049" t="s">
        <v>33</v>
      </c>
      <c r="E281" s="92"/>
      <c r="F281" s="92"/>
      <c r="G281" s="92"/>
      <c r="H281" s="92"/>
      <c r="I281" s="92">
        <v>2753</v>
      </c>
      <c r="J281" s="92"/>
      <c r="K281" s="1072"/>
      <c r="L281" s="1047"/>
      <c r="M281" s="1034" t="s">
        <v>35</v>
      </c>
      <c r="N281" s="155"/>
      <c r="O281" s="1029">
        <f t="shared" si="4"/>
        <v>2753</v>
      </c>
      <c r="P281" s="92"/>
      <c r="Q281" s="92"/>
    </row>
    <row r="282" spans="1:17" ht="20.100000000000001" customHeight="1">
      <c r="A282" s="92">
        <v>275</v>
      </c>
      <c r="B282" s="1026" t="s">
        <v>1739</v>
      </c>
      <c r="C282" s="1026" t="s">
        <v>1588</v>
      </c>
      <c r="D282" s="1049" t="s">
        <v>36</v>
      </c>
      <c r="E282" s="92"/>
      <c r="F282" s="92">
        <v>211</v>
      </c>
      <c r="G282" s="92"/>
      <c r="H282" s="92"/>
      <c r="I282" s="92"/>
      <c r="J282" s="92"/>
      <c r="K282" s="1072"/>
      <c r="L282" s="1047"/>
      <c r="M282" s="1200" t="s">
        <v>1742</v>
      </c>
      <c r="N282" s="155"/>
      <c r="O282" s="1029">
        <f t="shared" si="4"/>
        <v>211</v>
      </c>
      <c r="P282" s="92"/>
      <c r="Q282" s="92"/>
    </row>
    <row r="283" spans="1:17" ht="20.100000000000001" customHeight="1">
      <c r="A283" s="92">
        <v>276</v>
      </c>
      <c r="B283" s="1026" t="s">
        <v>1739</v>
      </c>
      <c r="C283" s="1026" t="s">
        <v>1588</v>
      </c>
      <c r="D283" s="1049" t="s">
        <v>36</v>
      </c>
      <c r="E283" s="92">
        <v>211</v>
      </c>
      <c r="F283" s="92"/>
      <c r="G283" s="92"/>
      <c r="H283" s="92"/>
      <c r="I283" s="92"/>
      <c r="J283" s="92"/>
      <c r="K283" s="1072"/>
      <c r="L283" s="1047"/>
      <c r="M283" s="1200" t="s">
        <v>1722</v>
      </c>
      <c r="N283" s="155"/>
      <c r="O283" s="1029">
        <f t="shared" si="4"/>
        <v>211</v>
      </c>
      <c r="P283" s="92"/>
      <c r="Q283" s="92"/>
    </row>
    <row r="284" spans="1:17" ht="20.100000000000001" customHeight="1">
      <c r="A284" s="92">
        <v>277</v>
      </c>
      <c r="B284" s="1026" t="s">
        <v>1743</v>
      </c>
      <c r="C284" s="1026" t="s">
        <v>1588</v>
      </c>
      <c r="D284" s="1049" t="s">
        <v>26</v>
      </c>
      <c r="E284" s="92"/>
      <c r="F284" s="92"/>
      <c r="G284" s="92"/>
      <c r="H284" s="92"/>
      <c r="I284" s="92"/>
      <c r="J284" s="92"/>
      <c r="K284" s="1155">
        <v>1</v>
      </c>
      <c r="L284" s="1155"/>
      <c r="M284" s="1104" t="s">
        <v>1744</v>
      </c>
      <c r="N284" s="434">
        <v>-39923.019999999997</v>
      </c>
      <c r="O284" s="1029">
        <f t="shared" si="4"/>
        <v>1</v>
      </c>
      <c r="P284" s="92"/>
      <c r="Q284" s="92"/>
    </row>
    <row r="285" spans="1:17" ht="20.100000000000001" customHeight="1">
      <c r="A285" s="92">
        <v>278</v>
      </c>
      <c r="B285" s="1026" t="s">
        <v>1743</v>
      </c>
      <c r="C285" s="1026" t="s">
        <v>1588</v>
      </c>
      <c r="D285" s="1049" t="s">
        <v>29</v>
      </c>
      <c r="E285" s="92"/>
      <c r="F285" s="92"/>
      <c r="G285" s="92">
        <v>1</v>
      </c>
      <c r="H285" s="92"/>
      <c r="I285" s="92"/>
      <c r="J285" s="92"/>
      <c r="K285" s="1155"/>
      <c r="L285" s="1155"/>
      <c r="M285" s="1197" t="s">
        <v>1745</v>
      </c>
      <c r="N285" s="452">
        <v>1860293.56</v>
      </c>
      <c r="O285" s="1029">
        <f t="shared" si="4"/>
        <v>1</v>
      </c>
      <c r="P285" s="92"/>
      <c r="Q285" s="92"/>
    </row>
    <row r="286" spans="1:17" ht="20.100000000000001" customHeight="1">
      <c r="A286" s="92">
        <v>279</v>
      </c>
      <c r="B286" s="1026" t="s">
        <v>1743</v>
      </c>
      <c r="C286" s="1026" t="s">
        <v>1588</v>
      </c>
      <c r="D286" s="1049"/>
      <c r="E286" s="92"/>
      <c r="F286" s="92"/>
      <c r="G286" s="92">
        <v>1</v>
      </c>
      <c r="H286" s="92"/>
      <c r="I286" s="92"/>
      <c r="J286" s="92"/>
      <c r="K286" s="1155"/>
      <c r="L286" s="1155"/>
      <c r="M286" s="1197" t="s">
        <v>49</v>
      </c>
      <c r="N286" s="452">
        <v>-55350874.299999997</v>
      </c>
      <c r="O286" s="1029">
        <f t="shared" si="4"/>
        <v>1</v>
      </c>
      <c r="P286" s="92"/>
      <c r="Q286" s="92"/>
    </row>
    <row r="287" spans="1:17" ht="20.100000000000001" customHeight="1">
      <c r="A287" s="92">
        <v>280</v>
      </c>
      <c r="B287" s="1026" t="s">
        <v>1743</v>
      </c>
      <c r="C287" s="1026" t="s">
        <v>1588</v>
      </c>
      <c r="D287" s="1049"/>
      <c r="E287" s="92"/>
      <c r="F287" s="92"/>
      <c r="G287" s="92">
        <v>1</v>
      </c>
      <c r="H287" s="92"/>
      <c r="I287" s="92"/>
      <c r="J287" s="92"/>
      <c r="K287" s="1155"/>
      <c r="L287" s="1155"/>
      <c r="M287" s="1104" t="s">
        <v>1746</v>
      </c>
      <c r="N287" s="452">
        <v>-20971.05</v>
      </c>
      <c r="O287" s="1029">
        <f t="shared" si="4"/>
        <v>1</v>
      </c>
      <c r="P287" s="92"/>
      <c r="Q287" s="92"/>
    </row>
    <row r="288" spans="1:17" ht="20.100000000000001" customHeight="1">
      <c r="A288" s="92">
        <v>281</v>
      </c>
      <c r="B288" s="1026" t="s">
        <v>1743</v>
      </c>
      <c r="C288" s="1026" t="s">
        <v>1588</v>
      </c>
      <c r="D288" s="1049"/>
      <c r="E288" s="92"/>
      <c r="F288" s="92"/>
      <c r="G288" s="92">
        <v>1</v>
      </c>
      <c r="H288" s="92"/>
      <c r="I288" s="92"/>
      <c r="J288" s="92"/>
      <c r="K288" s="1155"/>
      <c r="L288" s="1155"/>
      <c r="M288" s="1197" t="s">
        <v>32</v>
      </c>
      <c r="N288" s="452">
        <v>20.48</v>
      </c>
      <c r="O288" s="1029">
        <f t="shared" si="4"/>
        <v>1</v>
      </c>
      <c r="P288" s="92"/>
      <c r="Q288" s="92"/>
    </row>
    <row r="289" spans="1:17" ht="20.100000000000001" customHeight="1">
      <c r="A289" s="92">
        <v>282</v>
      </c>
      <c r="B289" s="1026" t="s">
        <v>1743</v>
      </c>
      <c r="C289" s="1026" t="s">
        <v>1588</v>
      </c>
      <c r="D289" s="1049" t="s">
        <v>33</v>
      </c>
      <c r="E289" s="92"/>
      <c r="F289" s="92"/>
      <c r="G289" s="92"/>
      <c r="H289" s="92"/>
      <c r="I289" s="92">
        <v>200</v>
      </c>
      <c r="J289" s="92"/>
      <c r="K289" s="1155"/>
      <c r="L289" s="1155"/>
      <c r="M289" s="1200" t="s">
        <v>1747</v>
      </c>
      <c r="N289" s="434"/>
      <c r="O289" s="1029">
        <f t="shared" si="4"/>
        <v>200</v>
      </c>
      <c r="P289" s="92"/>
      <c r="Q289" s="92"/>
    </row>
    <row r="290" spans="1:17" ht="20.100000000000001" customHeight="1">
      <c r="A290" s="92">
        <v>283</v>
      </c>
      <c r="B290" s="1026" t="s">
        <v>1743</v>
      </c>
      <c r="C290" s="1026" t="s">
        <v>1588</v>
      </c>
      <c r="D290" s="1049" t="s">
        <v>291</v>
      </c>
      <c r="E290" s="92"/>
      <c r="F290" s="92"/>
      <c r="G290" s="92"/>
      <c r="H290" s="92"/>
      <c r="I290" s="92"/>
      <c r="J290" s="92"/>
      <c r="K290" s="1155">
        <v>1</v>
      </c>
      <c r="L290" s="1155"/>
      <c r="M290" s="1200" t="s">
        <v>1748</v>
      </c>
      <c r="N290" s="434">
        <v>12834.99</v>
      </c>
      <c r="O290" s="1029">
        <f t="shared" si="4"/>
        <v>1</v>
      </c>
      <c r="P290" s="92"/>
      <c r="Q290" s="92"/>
    </row>
    <row r="291" spans="1:17" ht="20.100000000000001" customHeight="1">
      <c r="A291" s="92">
        <v>284</v>
      </c>
      <c r="B291" s="1026" t="s">
        <v>1743</v>
      </c>
      <c r="C291" s="1026" t="s">
        <v>1588</v>
      </c>
      <c r="D291" s="1049" t="s">
        <v>36</v>
      </c>
      <c r="E291" s="92"/>
      <c r="F291" s="92">
        <v>241</v>
      </c>
      <c r="G291" s="92"/>
      <c r="H291" s="92"/>
      <c r="I291" s="92"/>
      <c r="J291" s="92"/>
      <c r="K291" s="1155"/>
      <c r="L291" s="1155"/>
      <c r="M291" s="1200" t="s">
        <v>1749</v>
      </c>
      <c r="N291" s="434"/>
      <c r="O291" s="1029">
        <f t="shared" si="4"/>
        <v>241</v>
      </c>
      <c r="P291" s="92"/>
      <c r="Q291" s="92"/>
    </row>
    <row r="292" spans="1:17" ht="20.100000000000001" customHeight="1">
      <c r="A292" s="92">
        <v>285</v>
      </c>
      <c r="B292" s="1026" t="s">
        <v>1743</v>
      </c>
      <c r="C292" s="1026" t="s">
        <v>1588</v>
      </c>
      <c r="D292" s="1049" t="s">
        <v>36</v>
      </c>
      <c r="E292" s="92">
        <v>120</v>
      </c>
      <c r="F292" s="92"/>
      <c r="G292" s="92"/>
      <c r="H292" s="92"/>
      <c r="I292" s="92"/>
      <c r="J292" s="92"/>
      <c r="K292" s="1155"/>
      <c r="L292" s="1155"/>
      <c r="M292" s="1200" t="s">
        <v>1722</v>
      </c>
      <c r="N292" s="434"/>
      <c r="O292" s="1029">
        <f t="shared" si="4"/>
        <v>120</v>
      </c>
      <c r="P292" s="92"/>
      <c r="Q292" s="92"/>
    </row>
    <row r="293" spans="1:17" ht="20.100000000000001" customHeight="1">
      <c r="A293" s="92">
        <v>286</v>
      </c>
      <c r="B293" s="1026" t="s">
        <v>1750</v>
      </c>
      <c r="C293" s="1026" t="s">
        <v>1588</v>
      </c>
      <c r="D293" s="1049" t="s">
        <v>26</v>
      </c>
      <c r="E293" s="92"/>
      <c r="F293" s="92"/>
      <c r="G293" s="92"/>
      <c r="H293" s="92"/>
      <c r="I293" s="92"/>
      <c r="J293" s="92"/>
      <c r="K293" s="1047">
        <v>1</v>
      </c>
      <c r="L293" s="1047"/>
      <c r="M293" s="1104" t="s">
        <v>1751</v>
      </c>
      <c r="N293" s="1240">
        <v>58362.5</v>
      </c>
      <c r="O293" s="1029">
        <f t="shared" si="4"/>
        <v>1</v>
      </c>
      <c r="P293" s="92"/>
      <c r="Q293" s="92"/>
    </row>
    <row r="294" spans="1:17" ht="20.100000000000001" customHeight="1">
      <c r="A294" s="92">
        <v>287</v>
      </c>
      <c r="B294" s="1026" t="s">
        <v>1750</v>
      </c>
      <c r="C294" s="1026" t="s">
        <v>1588</v>
      </c>
      <c r="D294" s="1049" t="s">
        <v>29</v>
      </c>
      <c r="E294" s="92"/>
      <c r="F294" s="92"/>
      <c r="G294" s="92">
        <v>1</v>
      </c>
      <c r="H294" s="92"/>
      <c r="I294" s="92"/>
      <c r="J294" s="92"/>
      <c r="K294" s="1047"/>
      <c r="L294" s="1047"/>
      <c r="M294" s="1100" t="s">
        <v>119</v>
      </c>
      <c r="N294" s="155">
        <v>-2304967.31</v>
      </c>
      <c r="O294" s="1029">
        <f t="shared" si="4"/>
        <v>1</v>
      </c>
      <c r="P294" s="92"/>
      <c r="Q294" s="92"/>
    </row>
    <row r="295" spans="1:17" ht="20.100000000000001" customHeight="1">
      <c r="A295" s="92">
        <v>288</v>
      </c>
      <c r="B295" s="1026" t="s">
        <v>1750</v>
      </c>
      <c r="C295" s="1026" t="s">
        <v>1588</v>
      </c>
      <c r="D295" s="1049"/>
      <c r="E295" s="92"/>
      <c r="F295" s="92"/>
      <c r="G295" s="92">
        <v>1</v>
      </c>
      <c r="H295" s="92"/>
      <c r="I295" s="92"/>
      <c r="J295" s="92"/>
      <c r="K295" s="1047"/>
      <c r="L295" s="1047"/>
      <c r="M295" s="1100" t="s">
        <v>49</v>
      </c>
      <c r="N295" s="155">
        <v>-44423554.340000004</v>
      </c>
      <c r="O295" s="1029">
        <f t="shared" si="4"/>
        <v>1</v>
      </c>
      <c r="P295" s="92"/>
      <c r="Q295" s="92"/>
    </row>
    <row r="296" spans="1:17" ht="20.100000000000001" customHeight="1">
      <c r="A296" s="92">
        <v>289</v>
      </c>
      <c r="B296" s="1026" t="s">
        <v>1750</v>
      </c>
      <c r="C296" s="1026" t="s">
        <v>1588</v>
      </c>
      <c r="D296" s="1049" t="s">
        <v>33</v>
      </c>
      <c r="E296" s="92"/>
      <c r="F296" s="92"/>
      <c r="G296" s="92"/>
      <c r="H296" s="92">
        <v>1</v>
      </c>
      <c r="I296" s="92"/>
      <c r="J296" s="92"/>
      <c r="K296" s="1059"/>
      <c r="L296" s="1059"/>
      <c r="M296" s="1034" t="s">
        <v>34</v>
      </c>
      <c r="N296" s="186"/>
      <c r="O296" s="1029">
        <f t="shared" si="4"/>
        <v>1</v>
      </c>
      <c r="P296" s="92"/>
      <c r="Q296" s="92"/>
    </row>
    <row r="297" spans="1:17" ht="20.100000000000001" customHeight="1">
      <c r="A297" s="92">
        <v>290</v>
      </c>
      <c r="B297" s="1026" t="s">
        <v>1750</v>
      </c>
      <c r="C297" s="1026" t="s">
        <v>1588</v>
      </c>
      <c r="D297" s="1049"/>
      <c r="E297" s="92"/>
      <c r="F297" s="92"/>
      <c r="G297" s="92"/>
      <c r="H297" s="92"/>
      <c r="I297" s="92">
        <v>700</v>
      </c>
      <c r="J297" s="92"/>
      <c r="K297" s="1047"/>
      <c r="L297" s="1047"/>
      <c r="M297" s="1034" t="s">
        <v>35</v>
      </c>
      <c r="N297" s="155"/>
      <c r="O297" s="1029">
        <f t="shared" si="4"/>
        <v>700</v>
      </c>
      <c r="P297" s="92"/>
      <c r="Q297" s="92"/>
    </row>
    <row r="298" spans="1:17" ht="20.100000000000001" customHeight="1">
      <c r="A298" s="92">
        <v>291</v>
      </c>
      <c r="B298" s="1026" t="s">
        <v>1750</v>
      </c>
      <c r="C298" s="1026" t="s">
        <v>1588</v>
      </c>
      <c r="D298" s="1049" t="s">
        <v>36</v>
      </c>
      <c r="E298" s="92"/>
      <c r="F298" s="92">
        <v>298</v>
      </c>
      <c r="G298" s="92"/>
      <c r="H298" s="92"/>
      <c r="I298" s="92"/>
      <c r="J298" s="92"/>
      <c r="K298" s="1047"/>
      <c r="L298" s="1047"/>
      <c r="M298" s="1200" t="s">
        <v>1752</v>
      </c>
      <c r="N298" s="155"/>
      <c r="O298" s="1029">
        <f t="shared" si="4"/>
        <v>298</v>
      </c>
      <c r="P298" s="92"/>
      <c r="Q298" s="92"/>
    </row>
    <row r="299" spans="1:17" ht="20.100000000000001" customHeight="1">
      <c r="A299" s="92">
        <v>292</v>
      </c>
      <c r="B299" s="1026" t="s">
        <v>1750</v>
      </c>
      <c r="C299" s="1026" t="s">
        <v>1588</v>
      </c>
      <c r="D299" s="1049" t="s">
        <v>36</v>
      </c>
      <c r="E299" s="92">
        <v>248</v>
      </c>
      <c r="F299" s="92"/>
      <c r="G299" s="92"/>
      <c r="H299" s="92"/>
      <c r="I299" s="92"/>
      <c r="J299" s="92"/>
      <c r="K299" s="1047"/>
      <c r="L299" s="1047"/>
      <c r="M299" s="1200" t="s">
        <v>1722</v>
      </c>
      <c r="N299" s="155"/>
      <c r="O299" s="1029">
        <f t="shared" si="4"/>
        <v>248</v>
      </c>
      <c r="P299" s="92"/>
      <c r="Q299" s="92"/>
    </row>
    <row r="300" spans="1:17" ht="20.100000000000001" customHeight="1">
      <c r="A300" s="92">
        <v>293</v>
      </c>
      <c r="B300" s="1026" t="s">
        <v>1753</v>
      </c>
      <c r="C300" s="1026" t="s">
        <v>1588</v>
      </c>
      <c r="D300" s="1049" t="s">
        <v>26</v>
      </c>
      <c r="E300" s="92"/>
      <c r="F300" s="92"/>
      <c r="G300" s="92"/>
      <c r="H300" s="92"/>
      <c r="I300" s="92"/>
      <c r="J300" s="92"/>
      <c r="K300" s="1072">
        <v>1</v>
      </c>
      <c r="L300" s="1148"/>
      <c r="M300" s="1104" t="s">
        <v>1754</v>
      </c>
      <c r="N300" s="1241">
        <v>45942.33</v>
      </c>
      <c r="O300" s="1029">
        <f t="shared" si="4"/>
        <v>1</v>
      </c>
      <c r="P300" s="92"/>
      <c r="Q300" s="92"/>
    </row>
    <row r="301" spans="1:17" ht="20.100000000000001" customHeight="1">
      <c r="A301" s="92">
        <v>294</v>
      </c>
      <c r="B301" s="1026" t="s">
        <v>1753</v>
      </c>
      <c r="C301" s="1026" t="s">
        <v>1588</v>
      </c>
      <c r="D301" s="1049" t="s">
        <v>29</v>
      </c>
      <c r="E301" s="92"/>
      <c r="F301" s="92"/>
      <c r="G301" s="92">
        <v>1</v>
      </c>
      <c r="H301" s="92"/>
      <c r="I301" s="92"/>
      <c r="J301" s="92"/>
      <c r="K301" s="1072"/>
      <c r="L301" s="1205"/>
      <c r="M301" s="1098" t="s">
        <v>119</v>
      </c>
      <c r="N301" s="1241">
        <v>-1517992.94</v>
      </c>
      <c r="O301" s="1029">
        <f t="shared" si="4"/>
        <v>1</v>
      </c>
      <c r="P301" s="92"/>
      <c r="Q301" s="92"/>
    </row>
    <row r="302" spans="1:17" ht="20.100000000000001" customHeight="1">
      <c r="A302" s="92">
        <v>295</v>
      </c>
      <c r="B302" s="1026" t="s">
        <v>1753</v>
      </c>
      <c r="C302" s="1026" t="s">
        <v>1588</v>
      </c>
      <c r="D302" s="1049"/>
      <c r="E302" s="92"/>
      <c r="F302" s="92"/>
      <c r="G302" s="92">
        <v>1</v>
      </c>
      <c r="H302" s="92"/>
      <c r="I302" s="92"/>
      <c r="J302" s="92"/>
      <c r="K302" s="1072"/>
      <c r="L302" s="1205"/>
      <c r="M302" s="1098" t="s">
        <v>49</v>
      </c>
      <c r="N302" s="1241">
        <v>-72277240.939999998</v>
      </c>
      <c r="O302" s="1029">
        <f t="shared" si="4"/>
        <v>1</v>
      </c>
      <c r="P302" s="92"/>
      <c r="Q302" s="92"/>
    </row>
    <row r="303" spans="1:17" ht="20.100000000000001" customHeight="1">
      <c r="A303" s="92">
        <v>296</v>
      </c>
      <c r="B303" s="1026" t="s">
        <v>1753</v>
      </c>
      <c r="C303" s="1026" t="s">
        <v>1588</v>
      </c>
      <c r="D303" s="1049"/>
      <c r="E303" s="92"/>
      <c r="F303" s="92"/>
      <c r="G303" s="92">
        <v>1</v>
      </c>
      <c r="H303" s="92"/>
      <c r="I303" s="92"/>
      <c r="J303" s="92"/>
      <c r="K303" s="1072"/>
      <c r="L303" s="1205"/>
      <c r="M303" s="1098" t="s">
        <v>32</v>
      </c>
      <c r="N303" s="1242">
        <v>0.42</v>
      </c>
      <c r="O303" s="1029">
        <f t="shared" si="4"/>
        <v>1</v>
      </c>
      <c r="P303" s="92"/>
      <c r="Q303" s="92"/>
    </row>
    <row r="304" spans="1:17" ht="20.100000000000001" customHeight="1">
      <c r="A304" s="92">
        <v>297</v>
      </c>
      <c r="B304" s="1026" t="s">
        <v>1753</v>
      </c>
      <c r="C304" s="1026" t="s">
        <v>1588</v>
      </c>
      <c r="D304" s="1049"/>
      <c r="E304" s="92"/>
      <c r="F304" s="92"/>
      <c r="G304" s="92">
        <v>1</v>
      </c>
      <c r="H304" s="92"/>
      <c r="I304" s="92"/>
      <c r="J304" s="92"/>
      <c r="K304" s="1212"/>
      <c r="L304" s="1243"/>
      <c r="M304" s="1098" t="s">
        <v>207</v>
      </c>
      <c r="N304" s="1241">
        <v>-71757.119999999995</v>
      </c>
      <c r="O304" s="1029">
        <f t="shared" si="4"/>
        <v>1</v>
      </c>
      <c r="P304" s="92"/>
      <c r="Q304" s="92"/>
    </row>
    <row r="305" spans="1:17" ht="20.100000000000001" customHeight="1">
      <c r="A305" s="92">
        <v>298</v>
      </c>
      <c r="B305" s="1026" t="s">
        <v>1753</v>
      </c>
      <c r="C305" s="1026" t="s">
        <v>1588</v>
      </c>
      <c r="D305" s="1049"/>
      <c r="E305" s="92"/>
      <c r="F305" s="92"/>
      <c r="G305" s="92"/>
      <c r="H305" s="92"/>
      <c r="I305" s="92"/>
      <c r="J305" s="92"/>
      <c r="K305" s="1212">
        <v>6</v>
      </c>
      <c r="L305" s="1059"/>
      <c r="M305" s="1104" t="s">
        <v>1755</v>
      </c>
      <c r="N305" s="186">
        <v>144700</v>
      </c>
      <c r="O305" s="1029">
        <f t="shared" si="4"/>
        <v>6</v>
      </c>
      <c r="P305" s="92"/>
      <c r="Q305" s="92"/>
    </row>
    <row r="306" spans="1:17" ht="20.100000000000001" customHeight="1">
      <c r="A306" s="92">
        <v>299</v>
      </c>
      <c r="B306" s="1026" t="s">
        <v>1753</v>
      </c>
      <c r="C306" s="1026" t="s">
        <v>1588</v>
      </c>
      <c r="D306" s="1049"/>
      <c r="E306" s="92"/>
      <c r="F306" s="92"/>
      <c r="G306" s="92"/>
      <c r="H306" s="92"/>
      <c r="I306" s="92"/>
      <c r="J306" s="92"/>
      <c r="K306" s="1212">
        <v>3</v>
      </c>
      <c r="L306" s="1059"/>
      <c r="M306" s="1104" t="s">
        <v>1756</v>
      </c>
      <c r="N306" s="186">
        <v>150</v>
      </c>
      <c r="O306" s="1029">
        <f t="shared" si="4"/>
        <v>3</v>
      </c>
      <c r="P306" s="92"/>
      <c r="Q306" s="92"/>
    </row>
    <row r="307" spans="1:17" ht="20.100000000000001" customHeight="1">
      <c r="A307" s="92">
        <v>300</v>
      </c>
      <c r="B307" s="1026" t="s">
        <v>1753</v>
      </c>
      <c r="C307" s="1026" t="s">
        <v>1588</v>
      </c>
      <c r="D307" s="1049"/>
      <c r="E307" s="92"/>
      <c r="F307" s="92"/>
      <c r="G307" s="92"/>
      <c r="H307" s="92"/>
      <c r="I307" s="92"/>
      <c r="J307" s="92"/>
      <c r="K307" s="1212">
        <v>1</v>
      </c>
      <c r="L307" s="1059" t="s">
        <v>1757</v>
      </c>
      <c r="M307" s="1244" t="s">
        <v>1758</v>
      </c>
      <c r="N307" s="186">
        <v>2000</v>
      </c>
      <c r="O307" s="1029">
        <f t="shared" si="4"/>
        <v>1</v>
      </c>
      <c r="P307" s="92"/>
      <c r="Q307" s="92"/>
    </row>
    <row r="308" spans="1:17" ht="20.100000000000001" customHeight="1">
      <c r="A308" s="92">
        <v>301</v>
      </c>
      <c r="B308" s="1026" t="s">
        <v>1753</v>
      </c>
      <c r="C308" s="1026" t="s">
        <v>1588</v>
      </c>
      <c r="D308" s="1049" t="s">
        <v>33</v>
      </c>
      <c r="E308" s="92"/>
      <c r="F308" s="92"/>
      <c r="G308" s="92"/>
      <c r="H308" s="92"/>
      <c r="I308" s="92">
        <v>1391</v>
      </c>
      <c r="J308" s="92"/>
      <c r="K308" s="1072"/>
      <c r="L308" s="1148"/>
      <c r="M308" s="1034" t="s">
        <v>35</v>
      </c>
      <c r="N308" s="1245"/>
      <c r="O308" s="1029">
        <f t="shared" si="4"/>
        <v>1391</v>
      </c>
      <c r="P308" s="92"/>
      <c r="Q308" s="92"/>
    </row>
    <row r="309" spans="1:17" ht="20.100000000000001" customHeight="1">
      <c r="A309" s="92">
        <v>302</v>
      </c>
      <c r="B309" s="1026" t="s">
        <v>1753</v>
      </c>
      <c r="C309" s="1026" t="s">
        <v>1588</v>
      </c>
      <c r="D309" s="1049" t="s">
        <v>36</v>
      </c>
      <c r="E309" s="92"/>
      <c r="F309" s="92">
        <v>735</v>
      </c>
      <c r="G309" s="92"/>
      <c r="H309" s="92"/>
      <c r="I309" s="92"/>
      <c r="J309" s="92"/>
      <c r="K309" s="1072"/>
      <c r="L309" s="1047"/>
      <c r="M309" s="1200" t="s">
        <v>1759</v>
      </c>
      <c r="N309" s="155"/>
      <c r="O309" s="1029">
        <f t="shared" si="4"/>
        <v>735</v>
      </c>
      <c r="P309" s="92"/>
      <c r="Q309" s="92"/>
    </row>
    <row r="310" spans="1:17" ht="20.100000000000001" customHeight="1">
      <c r="A310" s="92">
        <v>303</v>
      </c>
      <c r="B310" s="1026" t="s">
        <v>1753</v>
      </c>
      <c r="C310" s="1026" t="s">
        <v>1588</v>
      </c>
      <c r="D310" s="1049" t="s">
        <v>36</v>
      </c>
      <c r="E310" s="92">
        <v>595</v>
      </c>
      <c r="F310" s="92"/>
      <c r="G310" s="92"/>
      <c r="H310" s="92"/>
      <c r="I310" s="92"/>
      <c r="J310" s="92"/>
      <c r="K310" s="1072"/>
      <c r="L310" s="1047"/>
      <c r="M310" s="1200" t="s">
        <v>1722</v>
      </c>
      <c r="N310" s="155"/>
      <c r="O310" s="1029">
        <f t="shared" si="4"/>
        <v>595</v>
      </c>
      <c r="P310" s="92"/>
      <c r="Q310" s="92"/>
    </row>
    <row r="311" spans="1:17" ht="20.100000000000001" customHeight="1">
      <c r="A311" s="92">
        <v>304</v>
      </c>
      <c r="B311" s="1026" t="s">
        <v>1760</v>
      </c>
      <c r="C311" s="1026" t="s">
        <v>1588</v>
      </c>
      <c r="D311" s="1049" t="s">
        <v>103</v>
      </c>
      <c r="E311" s="92"/>
      <c r="F311" s="92"/>
      <c r="G311" s="92"/>
      <c r="H311" s="92"/>
      <c r="I311" s="92"/>
      <c r="J311" s="92">
        <v>6</v>
      </c>
      <c r="K311" s="1246"/>
      <c r="L311" s="1047"/>
      <c r="M311" s="1247" t="s">
        <v>1761</v>
      </c>
      <c r="N311" s="1048"/>
      <c r="O311" s="1029">
        <f t="shared" si="4"/>
        <v>6</v>
      </c>
      <c r="P311" s="92"/>
      <c r="Q311" s="92"/>
    </row>
    <row r="312" spans="1:17" ht="20.100000000000001" customHeight="1">
      <c r="A312" s="92">
        <v>305</v>
      </c>
      <c r="B312" s="1026" t="s">
        <v>1760</v>
      </c>
      <c r="C312" s="1026" t="s">
        <v>1588</v>
      </c>
      <c r="D312" s="1049" t="s">
        <v>29</v>
      </c>
      <c r="E312" s="92"/>
      <c r="F312" s="92"/>
      <c r="G312" s="92">
        <v>1</v>
      </c>
      <c r="H312" s="92"/>
      <c r="I312" s="92"/>
      <c r="J312" s="92"/>
      <c r="K312" s="1246"/>
      <c r="L312" s="1047"/>
      <c r="M312" s="1100" t="s">
        <v>119</v>
      </c>
      <c r="N312" s="1048">
        <v>-3370997.81</v>
      </c>
      <c r="O312" s="1029">
        <f t="shared" si="4"/>
        <v>1</v>
      </c>
      <c r="P312" s="92"/>
      <c r="Q312" s="92"/>
    </row>
    <row r="313" spans="1:17" ht="20.100000000000001" customHeight="1">
      <c r="A313" s="92">
        <v>306</v>
      </c>
      <c r="B313" s="1026" t="s">
        <v>1760</v>
      </c>
      <c r="C313" s="1026" t="s">
        <v>1588</v>
      </c>
      <c r="D313" s="1049"/>
      <c r="E313" s="92"/>
      <c r="F313" s="92"/>
      <c r="G313" s="92">
        <v>1</v>
      </c>
      <c r="H313" s="92"/>
      <c r="I313" s="92"/>
      <c r="J313" s="92"/>
      <c r="K313" s="1246"/>
      <c r="L313" s="1047"/>
      <c r="M313" s="1100" t="s">
        <v>49</v>
      </c>
      <c r="N313" s="1073">
        <v>-430957739.30000001</v>
      </c>
      <c r="O313" s="1029">
        <f t="shared" si="4"/>
        <v>1</v>
      </c>
      <c r="P313" s="92"/>
      <c r="Q313" s="92"/>
    </row>
    <row r="314" spans="1:17" ht="20.100000000000001" customHeight="1">
      <c r="A314" s="92">
        <v>307</v>
      </c>
      <c r="B314" s="1026" t="s">
        <v>1760</v>
      </c>
      <c r="C314" s="1026" t="s">
        <v>1588</v>
      </c>
      <c r="D314" s="1049"/>
      <c r="E314" s="92"/>
      <c r="F314" s="92"/>
      <c r="G314" s="92">
        <v>1</v>
      </c>
      <c r="H314" s="92"/>
      <c r="I314" s="92"/>
      <c r="J314" s="92"/>
      <c r="K314" s="1246"/>
      <c r="L314" s="1047"/>
      <c r="M314" s="1100" t="s">
        <v>32</v>
      </c>
      <c r="N314" s="1073">
        <v>0.95</v>
      </c>
      <c r="O314" s="1029">
        <f t="shared" si="4"/>
        <v>1</v>
      </c>
      <c r="P314" s="92"/>
      <c r="Q314" s="92"/>
    </row>
    <row r="315" spans="1:17" ht="20.100000000000001" customHeight="1">
      <c r="A315" s="92">
        <v>308</v>
      </c>
      <c r="B315" s="1026" t="s">
        <v>1760</v>
      </c>
      <c r="C315" s="1026" t="s">
        <v>1588</v>
      </c>
      <c r="D315" s="1049"/>
      <c r="E315" s="92"/>
      <c r="F315" s="92"/>
      <c r="G315" s="92"/>
      <c r="H315" s="92"/>
      <c r="I315" s="92"/>
      <c r="J315" s="92"/>
      <c r="K315" s="1212">
        <v>1</v>
      </c>
      <c r="L315" s="1249" t="s">
        <v>1762</v>
      </c>
      <c r="M315" s="1250" t="s">
        <v>1763</v>
      </c>
      <c r="N315" s="1250">
        <v>11533.33</v>
      </c>
      <c r="O315" s="1029">
        <f t="shared" si="4"/>
        <v>1</v>
      </c>
      <c r="P315" s="92"/>
      <c r="Q315" s="92"/>
    </row>
    <row r="316" spans="1:17" ht="20.100000000000001" customHeight="1">
      <c r="A316" s="92">
        <v>309</v>
      </c>
      <c r="B316" s="1026" t="s">
        <v>1760</v>
      </c>
      <c r="C316" s="1026" t="s">
        <v>1588</v>
      </c>
      <c r="D316" s="1049" t="s">
        <v>1764</v>
      </c>
      <c r="E316" s="92"/>
      <c r="F316" s="92"/>
      <c r="G316" s="92"/>
      <c r="H316" s="92"/>
      <c r="I316" s="92"/>
      <c r="J316" s="92"/>
      <c r="K316" s="1212">
        <v>1</v>
      </c>
      <c r="L316" s="1159"/>
      <c r="M316" s="1251" t="s">
        <v>1765</v>
      </c>
      <c r="N316" s="1051">
        <v>649.03</v>
      </c>
      <c r="O316" s="1029">
        <f t="shared" si="4"/>
        <v>1</v>
      </c>
      <c r="P316" s="92"/>
      <c r="Q316" s="92"/>
    </row>
    <row r="317" spans="1:17" ht="20.100000000000001" customHeight="1">
      <c r="A317" s="92">
        <v>310</v>
      </c>
      <c r="B317" s="1026" t="s">
        <v>1760</v>
      </c>
      <c r="C317" s="1026" t="s">
        <v>1588</v>
      </c>
      <c r="D317" s="1049"/>
      <c r="E317" s="92"/>
      <c r="F317" s="92"/>
      <c r="G317" s="92"/>
      <c r="H317" s="92"/>
      <c r="I317" s="92">
        <v>399</v>
      </c>
      <c r="J317" s="92"/>
      <c r="K317" s="1252"/>
      <c r="L317" s="1205"/>
      <c r="M317" s="1102" t="s">
        <v>1766</v>
      </c>
      <c r="N317" s="1048"/>
      <c r="O317" s="1029">
        <f t="shared" si="4"/>
        <v>399</v>
      </c>
      <c r="P317" s="92"/>
      <c r="Q317" s="92"/>
    </row>
    <row r="318" spans="1:17" ht="20.100000000000001" customHeight="1">
      <c r="A318" s="92">
        <v>311</v>
      </c>
      <c r="B318" s="1026" t="s">
        <v>1760</v>
      </c>
      <c r="C318" s="1026" t="s">
        <v>1588</v>
      </c>
      <c r="D318" s="1049" t="s">
        <v>36</v>
      </c>
      <c r="E318" s="92"/>
      <c r="F318" s="92">
        <v>340</v>
      </c>
      <c r="G318" s="92"/>
      <c r="H318" s="92"/>
      <c r="I318" s="92"/>
      <c r="J318" s="92"/>
      <c r="K318" s="1246"/>
      <c r="L318" s="1047"/>
      <c r="M318" s="1200" t="s">
        <v>1767</v>
      </c>
      <c r="N318" s="1048"/>
      <c r="O318" s="1029">
        <f t="shared" si="4"/>
        <v>340</v>
      </c>
      <c r="P318" s="92"/>
      <c r="Q318" s="92"/>
    </row>
    <row r="319" spans="1:17" ht="20.100000000000001" customHeight="1">
      <c r="A319" s="92">
        <v>312</v>
      </c>
      <c r="B319" s="1026" t="s">
        <v>1760</v>
      </c>
      <c r="C319" s="1026" t="s">
        <v>1588</v>
      </c>
      <c r="D319" s="1049" t="s">
        <v>36</v>
      </c>
      <c r="E319" s="92">
        <v>151</v>
      </c>
      <c r="F319" s="92"/>
      <c r="G319" s="92"/>
      <c r="H319" s="92"/>
      <c r="I319" s="92"/>
      <c r="J319" s="92"/>
      <c r="K319" s="1246"/>
      <c r="L319" s="1047"/>
      <c r="M319" s="1200" t="s">
        <v>1722</v>
      </c>
      <c r="N319" s="1048"/>
      <c r="O319" s="1029">
        <f t="shared" si="4"/>
        <v>151</v>
      </c>
      <c r="P319" s="92"/>
      <c r="Q319" s="92"/>
    </row>
    <row r="320" spans="1:17" ht="20.100000000000001" customHeight="1">
      <c r="A320" s="92">
        <v>313</v>
      </c>
      <c r="B320" s="1026" t="s">
        <v>1768</v>
      </c>
      <c r="C320" s="1026" t="s">
        <v>1588</v>
      </c>
      <c r="D320" s="1049" t="s">
        <v>26</v>
      </c>
      <c r="E320" s="92"/>
      <c r="F320" s="92"/>
      <c r="G320" s="92"/>
      <c r="H320" s="92"/>
      <c r="I320" s="92"/>
      <c r="J320" s="92"/>
      <c r="K320" s="1072">
        <v>1</v>
      </c>
      <c r="L320" s="1047"/>
      <c r="M320" s="1200" t="s">
        <v>1769</v>
      </c>
      <c r="N320" s="186">
        <v>300</v>
      </c>
      <c r="O320" s="1029">
        <f t="shared" si="4"/>
        <v>1</v>
      </c>
      <c r="P320" s="92"/>
      <c r="Q320" s="92"/>
    </row>
    <row r="321" spans="1:17" ht="20.100000000000001" customHeight="1">
      <c r="A321" s="92">
        <v>314</v>
      </c>
      <c r="B321" s="1026" t="s">
        <v>1768</v>
      </c>
      <c r="C321" s="1026" t="s">
        <v>1588</v>
      </c>
      <c r="D321" s="1049"/>
      <c r="E321" s="92"/>
      <c r="F321" s="92"/>
      <c r="G321" s="92"/>
      <c r="H321" s="92"/>
      <c r="I321" s="92"/>
      <c r="J321" s="92"/>
      <c r="K321" s="1072">
        <v>1</v>
      </c>
      <c r="L321" s="1047"/>
      <c r="M321" s="1104" t="s">
        <v>1770</v>
      </c>
      <c r="N321" s="1240">
        <v>22087.56</v>
      </c>
      <c r="O321" s="1029">
        <f t="shared" si="4"/>
        <v>1</v>
      </c>
      <c r="P321" s="92"/>
      <c r="Q321" s="92"/>
    </row>
    <row r="322" spans="1:17" ht="20.100000000000001" customHeight="1">
      <c r="A322" s="92">
        <v>315</v>
      </c>
      <c r="B322" s="1026" t="s">
        <v>1768</v>
      </c>
      <c r="C322" s="1026" t="s">
        <v>1588</v>
      </c>
      <c r="D322" s="1049" t="s">
        <v>103</v>
      </c>
      <c r="E322" s="92"/>
      <c r="F322" s="92"/>
      <c r="G322" s="92"/>
      <c r="H322" s="92"/>
      <c r="I322" s="92"/>
      <c r="J322" s="92"/>
      <c r="K322" s="1072">
        <v>1</v>
      </c>
      <c r="L322" s="1047"/>
      <c r="M322" s="1104" t="s">
        <v>1771</v>
      </c>
      <c r="N322" s="1100">
        <v>670.66</v>
      </c>
      <c r="O322" s="1029">
        <f t="shared" si="4"/>
        <v>1</v>
      </c>
      <c r="P322" s="92"/>
      <c r="Q322" s="92"/>
    </row>
    <row r="323" spans="1:17" ht="20.100000000000001" customHeight="1">
      <c r="A323" s="92">
        <v>316</v>
      </c>
      <c r="B323" s="1026" t="s">
        <v>1768</v>
      </c>
      <c r="C323" s="1026" t="s">
        <v>1588</v>
      </c>
      <c r="D323" s="1049" t="s">
        <v>29</v>
      </c>
      <c r="E323" s="92"/>
      <c r="F323" s="92"/>
      <c r="G323" s="92">
        <v>1</v>
      </c>
      <c r="H323" s="92"/>
      <c r="I323" s="92"/>
      <c r="J323" s="92"/>
      <c r="K323" s="1072"/>
      <c r="L323" s="1047"/>
      <c r="M323" s="1100" t="s">
        <v>119</v>
      </c>
      <c r="N323" s="1100">
        <v>1539081.97</v>
      </c>
      <c r="O323" s="1029">
        <f t="shared" si="4"/>
        <v>1</v>
      </c>
      <c r="P323" s="92"/>
      <c r="Q323" s="92"/>
    </row>
    <row r="324" spans="1:17" ht="20.100000000000001" customHeight="1">
      <c r="A324" s="92">
        <v>317</v>
      </c>
      <c r="B324" s="1026" t="s">
        <v>1768</v>
      </c>
      <c r="C324" s="1026" t="s">
        <v>1588</v>
      </c>
      <c r="D324" s="1049"/>
      <c r="E324" s="92"/>
      <c r="F324" s="92"/>
      <c r="G324" s="92">
        <v>1</v>
      </c>
      <c r="H324" s="92"/>
      <c r="I324" s="92"/>
      <c r="J324" s="92"/>
      <c r="K324" s="1072"/>
      <c r="L324" s="1047"/>
      <c r="M324" s="1100" t="s">
        <v>31</v>
      </c>
      <c r="N324" s="1100">
        <v>257807.34</v>
      </c>
      <c r="O324" s="1029">
        <f t="shared" si="4"/>
        <v>1</v>
      </c>
      <c r="P324" s="92"/>
      <c r="Q324" s="92"/>
    </row>
    <row r="325" spans="1:17" ht="20.100000000000001" customHeight="1">
      <c r="A325" s="92">
        <v>318</v>
      </c>
      <c r="B325" s="1026" t="s">
        <v>1768</v>
      </c>
      <c r="C325" s="1026" t="s">
        <v>1588</v>
      </c>
      <c r="D325" s="1049"/>
      <c r="E325" s="92"/>
      <c r="F325" s="92"/>
      <c r="G325" s="92">
        <v>1</v>
      </c>
      <c r="H325" s="92"/>
      <c r="I325" s="92"/>
      <c r="J325" s="92"/>
      <c r="K325" s="1212"/>
      <c r="L325" s="1059"/>
      <c r="M325" s="1100" t="s">
        <v>50</v>
      </c>
      <c r="N325" s="1100">
        <v>83.25</v>
      </c>
      <c r="O325" s="1029">
        <f t="shared" si="4"/>
        <v>1</v>
      </c>
      <c r="P325" s="92"/>
      <c r="Q325" s="92"/>
    </row>
    <row r="326" spans="1:17" ht="20.100000000000001" customHeight="1">
      <c r="A326" s="92">
        <v>319</v>
      </c>
      <c r="B326" s="1026" t="s">
        <v>1768</v>
      </c>
      <c r="C326" s="1026" t="s">
        <v>1588</v>
      </c>
      <c r="D326" s="1049" t="s">
        <v>33</v>
      </c>
      <c r="E326" s="92"/>
      <c r="F326" s="92"/>
      <c r="G326" s="92"/>
      <c r="H326" s="92"/>
      <c r="I326" s="92">
        <v>320</v>
      </c>
      <c r="J326" s="92"/>
      <c r="K326" s="1072"/>
      <c r="L326" s="1047"/>
      <c r="M326" s="1034" t="s">
        <v>35</v>
      </c>
      <c r="N326" s="155"/>
      <c r="O326" s="1029">
        <f t="shared" si="4"/>
        <v>320</v>
      </c>
      <c r="P326" s="92"/>
      <c r="Q326" s="92"/>
    </row>
    <row r="327" spans="1:17" ht="20.100000000000001" customHeight="1">
      <c r="A327" s="92">
        <v>320</v>
      </c>
      <c r="B327" s="1026" t="s">
        <v>1768</v>
      </c>
      <c r="C327" s="1026" t="s">
        <v>1588</v>
      </c>
      <c r="D327" s="1049" t="s">
        <v>36</v>
      </c>
      <c r="E327" s="92"/>
      <c r="F327" s="92">
        <v>126</v>
      </c>
      <c r="G327" s="92"/>
      <c r="H327" s="92"/>
      <c r="I327" s="92"/>
      <c r="J327" s="92"/>
      <c r="K327" s="1072"/>
      <c r="L327" s="1047"/>
      <c r="M327" s="1104" t="s">
        <v>1772</v>
      </c>
      <c r="N327" s="155"/>
      <c r="O327" s="1029">
        <f t="shared" si="4"/>
        <v>126</v>
      </c>
      <c r="P327" s="92"/>
      <c r="Q327" s="92"/>
    </row>
    <row r="328" spans="1:17" ht="20.100000000000001" customHeight="1">
      <c r="A328" s="92">
        <v>321</v>
      </c>
      <c r="B328" s="1026" t="s">
        <v>1773</v>
      </c>
      <c r="C328" s="1026" t="s">
        <v>1588</v>
      </c>
      <c r="D328" s="1049" t="s">
        <v>26</v>
      </c>
      <c r="E328" s="92"/>
      <c r="F328" s="92"/>
      <c r="G328" s="92"/>
      <c r="H328" s="92"/>
      <c r="I328" s="92"/>
      <c r="J328" s="92"/>
      <c r="K328" s="1072">
        <v>1</v>
      </c>
      <c r="L328" s="1047"/>
      <c r="M328" s="1104" t="s">
        <v>1774</v>
      </c>
      <c r="N328" s="892">
        <v>7463.96</v>
      </c>
      <c r="O328" s="1029">
        <f t="shared" si="4"/>
        <v>1</v>
      </c>
      <c r="P328" s="92"/>
      <c r="Q328" s="92"/>
    </row>
    <row r="329" spans="1:17" ht="20.100000000000001" customHeight="1">
      <c r="A329" s="92">
        <v>322</v>
      </c>
      <c r="B329" s="1026" t="s">
        <v>1773</v>
      </c>
      <c r="C329" s="1026" t="s">
        <v>1588</v>
      </c>
      <c r="D329" s="1049" t="s">
        <v>29</v>
      </c>
      <c r="E329" s="92"/>
      <c r="F329" s="92"/>
      <c r="G329" s="92">
        <v>1</v>
      </c>
      <c r="H329" s="92"/>
      <c r="I329" s="92"/>
      <c r="J329" s="92"/>
      <c r="K329" s="1072"/>
      <c r="L329" s="1047"/>
      <c r="M329" s="1100" t="s">
        <v>49</v>
      </c>
      <c r="N329" s="181">
        <v>41657005.380000003</v>
      </c>
      <c r="O329" s="1029">
        <f t="shared" si="4"/>
        <v>1</v>
      </c>
      <c r="P329" s="92"/>
      <c r="Q329" s="92"/>
    </row>
    <row r="330" spans="1:17" ht="20.100000000000001" customHeight="1">
      <c r="A330" s="92">
        <v>323</v>
      </c>
      <c r="B330" s="1026" t="s">
        <v>1773</v>
      </c>
      <c r="C330" s="1026" t="s">
        <v>1588</v>
      </c>
      <c r="D330" s="1253"/>
      <c r="E330" s="92"/>
      <c r="F330" s="92"/>
      <c r="G330" s="92">
        <v>1</v>
      </c>
      <c r="H330" s="92"/>
      <c r="I330" s="92"/>
      <c r="J330" s="92"/>
      <c r="K330" s="1072"/>
      <c r="L330" s="1047"/>
      <c r="M330" s="1100" t="s">
        <v>32</v>
      </c>
      <c r="N330" s="155">
        <v>79030.25</v>
      </c>
      <c r="O330" s="1029">
        <f t="shared" ref="O330:O393" si="5">E330+F330+G330+H330+I330+J330+K330-P330</f>
        <v>1</v>
      </c>
      <c r="P330" s="92"/>
      <c r="Q330" s="92"/>
    </row>
    <row r="331" spans="1:17" ht="20.100000000000001" customHeight="1">
      <c r="A331" s="92">
        <v>324</v>
      </c>
      <c r="B331" s="1026" t="s">
        <v>1773</v>
      </c>
      <c r="C331" s="1026" t="s">
        <v>1588</v>
      </c>
      <c r="D331" s="1253"/>
      <c r="E331" s="92"/>
      <c r="F331" s="92"/>
      <c r="G331" s="92">
        <v>1</v>
      </c>
      <c r="H331" s="92"/>
      <c r="I331" s="92"/>
      <c r="J331" s="92"/>
      <c r="K331" s="1212"/>
      <c r="L331" s="1059"/>
      <c r="M331" s="1100" t="s">
        <v>207</v>
      </c>
      <c r="N331" s="186">
        <v>1192359.71</v>
      </c>
      <c r="O331" s="1029">
        <f t="shared" si="5"/>
        <v>1</v>
      </c>
      <c r="P331" s="92"/>
      <c r="Q331" s="92"/>
    </row>
    <row r="332" spans="1:17" ht="20.100000000000001" customHeight="1">
      <c r="A332" s="92">
        <v>325</v>
      </c>
      <c r="B332" s="1026" t="s">
        <v>1773</v>
      </c>
      <c r="C332" s="1026" t="s">
        <v>1588</v>
      </c>
      <c r="D332" s="1049" t="s">
        <v>33</v>
      </c>
      <c r="E332" s="92"/>
      <c r="F332" s="92"/>
      <c r="G332" s="92"/>
      <c r="H332" s="92"/>
      <c r="I332" s="92"/>
      <c r="J332" s="92"/>
      <c r="K332" s="1254">
        <v>3</v>
      </c>
      <c r="L332" s="1243"/>
      <c r="M332" s="1043" t="s">
        <v>34</v>
      </c>
      <c r="N332" s="457"/>
      <c r="O332" s="1029">
        <f t="shared" si="5"/>
        <v>0</v>
      </c>
      <c r="P332" s="92">
        <v>3</v>
      </c>
      <c r="Q332" s="92"/>
    </row>
    <row r="333" spans="1:17" ht="20.100000000000001" customHeight="1">
      <c r="A333" s="92">
        <v>326</v>
      </c>
      <c r="B333" s="1026" t="s">
        <v>1773</v>
      </c>
      <c r="C333" s="1026" t="s">
        <v>1588</v>
      </c>
      <c r="D333" s="1255"/>
      <c r="E333" s="92"/>
      <c r="F333" s="92"/>
      <c r="G333" s="92"/>
      <c r="H333" s="92"/>
      <c r="I333" s="92">
        <v>1441</v>
      </c>
      <c r="J333" s="92"/>
      <c r="K333" s="1256"/>
      <c r="L333" s="1256"/>
      <c r="M333" s="1257" t="s">
        <v>1775</v>
      </c>
      <c r="N333" s="1258"/>
      <c r="O333" s="1029">
        <f t="shared" si="5"/>
        <v>1441</v>
      </c>
      <c r="P333" s="92"/>
      <c r="Q333" s="92"/>
    </row>
    <row r="334" spans="1:17" ht="20.100000000000001" customHeight="1">
      <c r="A334" s="92">
        <v>327</v>
      </c>
      <c r="B334" s="1026" t="s">
        <v>1773</v>
      </c>
      <c r="C334" s="1026" t="s">
        <v>1588</v>
      </c>
      <c r="D334" s="1049" t="s">
        <v>36</v>
      </c>
      <c r="E334" s="92"/>
      <c r="F334" s="92">
        <v>143</v>
      </c>
      <c r="G334" s="92"/>
      <c r="H334" s="92"/>
      <c r="I334" s="92"/>
      <c r="J334" s="92"/>
      <c r="K334" s="1259"/>
      <c r="L334" s="1047"/>
      <c r="M334" s="1260" t="s">
        <v>1776</v>
      </c>
      <c r="N334" s="181"/>
      <c r="O334" s="1029">
        <f t="shared" si="5"/>
        <v>143</v>
      </c>
      <c r="P334" s="92"/>
      <c r="Q334" s="92"/>
    </row>
    <row r="335" spans="1:17" ht="20.100000000000001" customHeight="1">
      <c r="A335" s="92">
        <v>328</v>
      </c>
      <c r="B335" s="1026" t="s">
        <v>1777</v>
      </c>
      <c r="C335" s="1026" t="s">
        <v>1588</v>
      </c>
      <c r="D335" s="1261" t="s">
        <v>103</v>
      </c>
      <c r="E335" s="92"/>
      <c r="F335" s="92"/>
      <c r="G335" s="92"/>
      <c r="H335" s="92"/>
      <c r="I335" s="92"/>
      <c r="J335" s="92">
        <v>417</v>
      </c>
      <c r="K335" s="1262"/>
      <c r="L335" s="1262"/>
      <c r="M335" s="1263" t="s">
        <v>1778</v>
      </c>
      <c r="N335" s="175">
        <v>14246.75</v>
      </c>
      <c r="O335" s="1029">
        <f t="shared" si="5"/>
        <v>417</v>
      </c>
      <c r="P335" s="92"/>
      <c r="Q335" s="92"/>
    </row>
    <row r="336" spans="1:17" ht="20.100000000000001" customHeight="1">
      <c r="A336" s="92">
        <v>329</v>
      </c>
      <c r="B336" s="1026" t="s">
        <v>1777</v>
      </c>
      <c r="C336" s="1026" t="s">
        <v>1588</v>
      </c>
      <c r="D336" s="1261" t="s">
        <v>29</v>
      </c>
      <c r="E336" s="92"/>
      <c r="F336" s="92"/>
      <c r="G336" s="92"/>
      <c r="H336" s="92"/>
      <c r="I336" s="92"/>
      <c r="J336" s="92"/>
      <c r="K336" s="1072">
        <v>1</v>
      </c>
      <c r="L336" s="1262"/>
      <c r="M336" s="1264" t="s">
        <v>1779</v>
      </c>
      <c r="N336" s="1265">
        <v>-158155.87</v>
      </c>
      <c r="O336" s="1029">
        <f t="shared" si="5"/>
        <v>1</v>
      </c>
      <c r="P336" s="92"/>
      <c r="Q336" s="92"/>
    </row>
    <row r="337" spans="1:17" ht="20.100000000000001" customHeight="1">
      <c r="A337" s="92">
        <v>330</v>
      </c>
      <c r="B337" s="1026" t="s">
        <v>1777</v>
      </c>
      <c r="C337" s="1026" t="s">
        <v>1588</v>
      </c>
      <c r="D337" s="1261"/>
      <c r="E337" s="92"/>
      <c r="F337" s="92"/>
      <c r="G337" s="92">
        <v>1</v>
      </c>
      <c r="H337" s="92"/>
      <c r="I337" s="92"/>
      <c r="J337" s="92"/>
      <c r="K337" s="1072"/>
      <c r="L337" s="1262"/>
      <c r="M337" s="1266" t="s">
        <v>119</v>
      </c>
      <c r="N337" s="1267">
        <v>-2523883.2599999998</v>
      </c>
      <c r="O337" s="1029">
        <f t="shared" si="5"/>
        <v>1</v>
      </c>
      <c r="P337" s="92"/>
      <c r="Q337" s="92"/>
    </row>
    <row r="338" spans="1:17" ht="20.100000000000001" customHeight="1">
      <c r="A338" s="92">
        <v>331</v>
      </c>
      <c r="B338" s="1026" t="s">
        <v>1777</v>
      </c>
      <c r="C338" s="1026" t="s">
        <v>1588</v>
      </c>
      <c r="D338" s="1261"/>
      <c r="E338" s="92"/>
      <c r="F338" s="92"/>
      <c r="G338" s="92">
        <v>1</v>
      </c>
      <c r="H338" s="92"/>
      <c r="I338" s="92"/>
      <c r="J338" s="92"/>
      <c r="K338" s="1072"/>
      <c r="L338" s="1262"/>
      <c r="M338" s="1266" t="s">
        <v>49</v>
      </c>
      <c r="N338" s="1267">
        <v>-296655475.80000001</v>
      </c>
      <c r="O338" s="1029">
        <f t="shared" si="5"/>
        <v>1</v>
      </c>
      <c r="P338" s="92"/>
      <c r="Q338" s="92"/>
    </row>
    <row r="339" spans="1:17" ht="20.100000000000001" customHeight="1">
      <c r="A339" s="92">
        <v>332</v>
      </c>
      <c r="B339" s="1026" t="s">
        <v>1777</v>
      </c>
      <c r="C339" s="1026" t="s">
        <v>1588</v>
      </c>
      <c r="D339" s="1261"/>
      <c r="E339" s="92"/>
      <c r="F339" s="92"/>
      <c r="G339" s="92">
        <v>1</v>
      </c>
      <c r="H339" s="92"/>
      <c r="I339" s="92"/>
      <c r="J339" s="92"/>
      <c r="K339" s="1072"/>
      <c r="L339" s="1262"/>
      <c r="M339" s="1266" t="s">
        <v>32</v>
      </c>
      <c r="N339" s="1267">
        <v>-68684.27</v>
      </c>
      <c r="O339" s="1029">
        <f t="shared" si="5"/>
        <v>1</v>
      </c>
      <c r="P339" s="92"/>
      <c r="Q339" s="92"/>
    </row>
    <row r="340" spans="1:17" ht="20.100000000000001" customHeight="1">
      <c r="A340" s="92">
        <v>333</v>
      </c>
      <c r="B340" s="1026" t="s">
        <v>1777</v>
      </c>
      <c r="C340" s="1026" t="s">
        <v>1588</v>
      </c>
      <c r="D340" s="1261"/>
      <c r="E340" s="92"/>
      <c r="F340" s="92"/>
      <c r="G340" s="92">
        <v>1</v>
      </c>
      <c r="H340" s="92"/>
      <c r="I340" s="92"/>
      <c r="J340" s="92"/>
      <c r="K340" s="1072"/>
      <c r="L340" s="1268"/>
      <c r="M340" s="1266" t="s">
        <v>207</v>
      </c>
      <c r="N340" s="1269">
        <v>-734516.09</v>
      </c>
      <c r="O340" s="1029">
        <f t="shared" si="5"/>
        <v>1</v>
      </c>
      <c r="P340" s="92"/>
      <c r="Q340" s="92"/>
    </row>
    <row r="341" spans="1:17" ht="20.100000000000001" customHeight="1">
      <c r="A341" s="92">
        <v>334</v>
      </c>
      <c r="B341" s="1026" t="s">
        <v>1777</v>
      </c>
      <c r="C341" s="1026" t="s">
        <v>1588</v>
      </c>
      <c r="D341" s="1261"/>
      <c r="E341" s="92"/>
      <c r="F341" s="92"/>
      <c r="G341" s="92">
        <v>1</v>
      </c>
      <c r="H341" s="92"/>
      <c r="I341" s="92"/>
      <c r="J341" s="92"/>
      <c r="K341" s="1072"/>
      <c r="L341" s="1262"/>
      <c r="M341" s="1266" t="s">
        <v>1780</v>
      </c>
      <c r="N341" s="1270">
        <v>497.55</v>
      </c>
      <c r="O341" s="1029">
        <f t="shared" si="5"/>
        <v>1</v>
      </c>
      <c r="P341" s="92"/>
      <c r="Q341" s="92"/>
    </row>
    <row r="342" spans="1:17" ht="20.100000000000001" customHeight="1">
      <c r="A342" s="92">
        <v>335</v>
      </c>
      <c r="B342" s="1026" t="s">
        <v>1777</v>
      </c>
      <c r="C342" s="1026" t="s">
        <v>1588</v>
      </c>
      <c r="D342" s="1261"/>
      <c r="E342" s="92"/>
      <c r="F342" s="92"/>
      <c r="G342" s="92"/>
      <c r="H342" s="92"/>
      <c r="I342" s="92"/>
      <c r="J342" s="92"/>
      <c r="K342" s="1212">
        <v>1</v>
      </c>
      <c r="L342" s="1271"/>
      <c r="M342" s="1272" t="s">
        <v>1781</v>
      </c>
      <c r="N342" s="1273">
        <v>-12876.81</v>
      </c>
      <c r="O342" s="1029">
        <f t="shared" si="5"/>
        <v>1</v>
      </c>
      <c r="P342" s="92"/>
      <c r="Q342" s="92"/>
    </row>
    <row r="343" spans="1:17" ht="20.100000000000001" customHeight="1">
      <c r="A343" s="92">
        <v>336</v>
      </c>
      <c r="B343" s="1026" t="s">
        <v>1777</v>
      </c>
      <c r="C343" s="1026" t="s">
        <v>1588</v>
      </c>
      <c r="D343" s="1261"/>
      <c r="E343" s="92"/>
      <c r="F343" s="92"/>
      <c r="G343" s="92"/>
      <c r="H343" s="92"/>
      <c r="I343" s="92"/>
      <c r="J343" s="92"/>
      <c r="K343" s="1212">
        <v>1</v>
      </c>
      <c r="L343" s="179"/>
      <c r="M343" s="1272" t="s">
        <v>1782</v>
      </c>
      <c r="N343" s="186">
        <v>4779.1099999999997</v>
      </c>
      <c r="O343" s="1029">
        <f t="shared" si="5"/>
        <v>1</v>
      </c>
      <c r="P343" s="92"/>
      <c r="Q343" s="92"/>
    </row>
    <row r="344" spans="1:17" ht="20.100000000000001" customHeight="1">
      <c r="A344" s="92">
        <v>337</v>
      </c>
      <c r="B344" s="1026" t="s">
        <v>1777</v>
      </c>
      <c r="C344" s="1026" t="s">
        <v>1588</v>
      </c>
      <c r="D344" s="2699" t="s">
        <v>68</v>
      </c>
      <c r="E344" s="92"/>
      <c r="F344" s="92"/>
      <c r="G344" s="92"/>
      <c r="H344" s="92"/>
      <c r="I344" s="92"/>
      <c r="J344" s="92"/>
      <c r="K344" s="1059">
        <v>1</v>
      </c>
      <c r="L344" s="2700"/>
      <c r="M344" s="2729" t="s">
        <v>1783</v>
      </c>
      <c r="N344" s="457">
        <v>216327.72</v>
      </c>
      <c r="O344" s="1029">
        <f t="shared" si="5"/>
        <v>1</v>
      </c>
      <c r="P344" s="92"/>
      <c r="Q344" s="92"/>
    </row>
    <row r="345" spans="1:17" ht="20.100000000000001" customHeight="1">
      <c r="A345" s="92">
        <v>339</v>
      </c>
      <c r="B345" s="1026" t="s">
        <v>1777</v>
      </c>
      <c r="C345" s="1026" t="s">
        <v>1588</v>
      </c>
      <c r="D345" s="1274"/>
      <c r="E345" s="92"/>
      <c r="F345" s="92"/>
      <c r="G345" s="92"/>
      <c r="H345" s="92"/>
      <c r="I345" s="92"/>
      <c r="J345" s="92"/>
      <c r="K345" s="1212"/>
      <c r="L345" s="1212"/>
      <c r="M345" s="1275" t="s">
        <v>1784</v>
      </c>
      <c r="N345" s="1273">
        <v>-1452.22</v>
      </c>
      <c r="O345" s="1029">
        <f t="shared" si="5"/>
        <v>0</v>
      </c>
      <c r="P345" s="92"/>
      <c r="Q345" s="92"/>
    </row>
    <row r="346" spans="1:17" ht="20.100000000000001" customHeight="1">
      <c r="A346" s="92">
        <v>340</v>
      </c>
      <c r="B346" s="1026" t="s">
        <v>1777</v>
      </c>
      <c r="C346" s="1026" t="s">
        <v>1588</v>
      </c>
      <c r="D346" s="1261"/>
      <c r="E346" s="92"/>
      <c r="F346" s="92"/>
      <c r="G346" s="92"/>
      <c r="H346" s="92">
        <v>12</v>
      </c>
      <c r="I346" s="92"/>
      <c r="J346" s="92"/>
      <c r="K346" s="1254"/>
      <c r="L346" s="1276"/>
      <c r="M346" s="1277" t="s">
        <v>34</v>
      </c>
      <c r="N346" s="186"/>
      <c r="O346" s="1029">
        <f t="shared" si="5"/>
        <v>12</v>
      </c>
      <c r="P346" s="92"/>
      <c r="Q346" s="92"/>
    </row>
    <row r="347" spans="1:17" ht="20.100000000000001" customHeight="1">
      <c r="A347" s="92">
        <v>341</v>
      </c>
      <c r="B347" s="1026" t="s">
        <v>1777</v>
      </c>
      <c r="C347" s="1026" t="s">
        <v>1588</v>
      </c>
      <c r="D347" s="1261"/>
      <c r="E347" s="92"/>
      <c r="F347" s="92"/>
      <c r="G347" s="92"/>
      <c r="H347" s="92"/>
      <c r="I347" s="92">
        <v>1521</v>
      </c>
      <c r="J347" s="92"/>
      <c r="K347" s="1262"/>
      <c r="L347" s="1047"/>
      <c r="M347" s="1278" t="s">
        <v>35</v>
      </c>
      <c r="N347" s="452"/>
      <c r="O347" s="1029">
        <f t="shared" si="5"/>
        <v>1521</v>
      </c>
      <c r="P347" s="92"/>
      <c r="Q347" s="92"/>
    </row>
    <row r="348" spans="1:17" ht="20.100000000000001" customHeight="1">
      <c r="A348" s="92">
        <v>342</v>
      </c>
      <c r="B348" s="1026" t="s">
        <v>1777</v>
      </c>
      <c r="C348" s="1026" t="s">
        <v>1588</v>
      </c>
      <c r="D348" s="1274" t="s">
        <v>36</v>
      </c>
      <c r="E348" s="92"/>
      <c r="F348" s="92">
        <v>92</v>
      </c>
      <c r="G348" s="92"/>
      <c r="H348" s="92"/>
      <c r="I348" s="92"/>
      <c r="J348" s="92"/>
      <c r="K348" s="1262"/>
      <c r="L348" s="1262"/>
      <c r="M348" s="1277" t="s">
        <v>1785</v>
      </c>
      <c r="N348" s="175"/>
      <c r="O348" s="1029">
        <f t="shared" si="5"/>
        <v>92</v>
      </c>
      <c r="P348" s="92"/>
      <c r="Q348" s="92"/>
    </row>
    <row r="349" spans="1:17" ht="20.100000000000001" customHeight="1">
      <c r="A349" s="92">
        <v>343</v>
      </c>
      <c r="B349" s="1026" t="s">
        <v>1777</v>
      </c>
      <c r="C349" s="1026" t="s">
        <v>1588</v>
      </c>
      <c r="D349" s="2699" t="s">
        <v>36</v>
      </c>
      <c r="E349" s="92">
        <v>58</v>
      </c>
      <c r="F349" s="92"/>
      <c r="G349" s="92"/>
      <c r="H349" s="92"/>
      <c r="I349" s="92"/>
      <c r="J349" s="92"/>
      <c r="K349" s="1262"/>
      <c r="L349" s="1262"/>
      <c r="M349" s="1037" t="s">
        <v>1591</v>
      </c>
      <c r="N349" s="175"/>
      <c r="O349" s="1029">
        <f t="shared" si="5"/>
        <v>58</v>
      </c>
      <c r="P349" s="92"/>
      <c r="Q349" s="92"/>
    </row>
    <row r="350" spans="1:17" ht="20.100000000000001" customHeight="1">
      <c r="A350" s="92">
        <v>344</v>
      </c>
      <c r="B350" s="1026" t="s">
        <v>1777</v>
      </c>
      <c r="C350" s="1026" t="s">
        <v>1588</v>
      </c>
      <c r="D350" s="2284" t="s">
        <v>38</v>
      </c>
      <c r="E350" s="92"/>
      <c r="F350" s="92"/>
      <c r="G350" s="92"/>
      <c r="H350" s="92"/>
      <c r="I350" s="92"/>
      <c r="J350" s="92"/>
      <c r="K350" s="2694">
        <v>1</v>
      </c>
      <c r="L350" s="2285"/>
      <c r="M350" s="1279" t="s">
        <v>1786</v>
      </c>
      <c r="N350" s="175">
        <v>6000000</v>
      </c>
      <c r="O350" s="1029">
        <f t="shared" si="5"/>
        <v>1</v>
      </c>
      <c r="P350" s="92"/>
      <c r="Q350" s="92"/>
    </row>
    <row r="351" spans="1:17" ht="20.100000000000001" customHeight="1">
      <c r="A351" s="92">
        <v>345</v>
      </c>
      <c r="B351" s="1026" t="s">
        <v>1777</v>
      </c>
      <c r="C351" s="1026" t="s">
        <v>1588</v>
      </c>
      <c r="D351" s="1280" t="s">
        <v>105</v>
      </c>
      <c r="E351" s="92"/>
      <c r="F351" s="92"/>
      <c r="G351" s="92"/>
      <c r="H351" s="92"/>
      <c r="I351" s="92"/>
      <c r="J351" s="92"/>
      <c r="K351" s="1281">
        <v>1</v>
      </c>
      <c r="L351" s="793"/>
      <c r="M351" s="1215" t="s">
        <v>1787</v>
      </c>
      <c r="N351" s="1282"/>
      <c r="O351" s="1029">
        <f t="shared" si="5"/>
        <v>1</v>
      </c>
      <c r="P351" s="92"/>
      <c r="Q351" s="92"/>
    </row>
    <row r="352" spans="1:17" ht="20.100000000000001" customHeight="1">
      <c r="A352" s="92">
        <v>346</v>
      </c>
      <c r="B352" s="1026" t="s">
        <v>1788</v>
      </c>
      <c r="C352" s="1026" t="s">
        <v>1588</v>
      </c>
      <c r="D352" s="1049" t="s">
        <v>29</v>
      </c>
      <c r="E352" s="92"/>
      <c r="F352" s="92"/>
      <c r="G352" s="92">
        <v>1</v>
      </c>
      <c r="H352" s="92"/>
      <c r="I352" s="92"/>
      <c r="J352" s="92"/>
      <c r="K352" s="1047"/>
      <c r="L352" s="1047"/>
      <c r="M352" s="1100" t="s">
        <v>119</v>
      </c>
      <c r="N352" s="102">
        <v>1592876.62</v>
      </c>
      <c r="O352" s="1029">
        <f t="shared" si="5"/>
        <v>1</v>
      </c>
      <c r="P352" s="92"/>
      <c r="Q352" s="92"/>
    </row>
    <row r="353" spans="1:17" ht="20.100000000000001" customHeight="1">
      <c r="A353" s="92">
        <v>347</v>
      </c>
      <c r="B353" s="1026" t="s">
        <v>1788</v>
      </c>
      <c r="C353" s="1026" t="s">
        <v>1588</v>
      </c>
      <c r="D353" s="1049"/>
      <c r="E353" s="92"/>
      <c r="F353" s="92"/>
      <c r="G353" s="92">
        <v>1</v>
      </c>
      <c r="H353" s="92"/>
      <c r="I353" s="92"/>
      <c r="J353" s="92"/>
      <c r="K353" s="1047"/>
      <c r="L353" s="1047"/>
      <c r="M353" s="1100" t="s">
        <v>49</v>
      </c>
      <c r="N353" s="102">
        <v>9950243.2400000002</v>
      </c>
      <c r="O353" s="1029">
        <f t="shared" si="5"/>
        <v>1</v>
      </c>
      <c r="P353" s="92"/>
      <c r="Q353" s="92"/>
    </row>
    <row r="354" spans="1:17" ht="20.100000000000001" customHeight="1">
      <c r="A354" s="92">
        <v>348</v>
      </c>
      <c r="B354" s="1026" t="s">
        <v>1788</v>
      </c>
      <c r="C354" s="1026" t="s">
        <v>1588</v>
      </c>
      <c r="D354" s="1049"/>
      <c r="E354" s="92"/>
      <c r="F354" s="92"/>
      <c r="G354" s="92">
        <v>1</v>
      </c>
      <c r="H354" s="92"/>
      <c r="I354" s="92"/>
      <c r="J354" s="92"/>
      <c r="K354" s="1047"/>
      <c r="L354" s="1047"/>
      <c r="M354" s="1100" t="s">
        <v>32</v>
      </c>
      <c r="N354" s="102">
        <v>0.21</v>
      </c>
      <c r="O354" s="1029">
        <f t="shared" si="5"/>
        <v>1</v>
      </c>
      <c r="P354" s="92"/>
      <c r="Q354" s="92"/>
    </row>
    <row r="355" spans="1:17" ht="20.100000000000001" customHeight="1">
      <c r="A355" s="92">
        <v>349</v>
      </c>
      <c r="B355" s="1026" t="s">
        <v>1788</v>
      </c>
      <c r="C355" s="1026" t="s">
        <v>1588</v>
      </c>
      <c r="D355" s="1049"/>
      <c r="E355" s="92"/>
      <c r="F355" s="92"/>
      <c r="G355" s="92">
        <v>1</v>
      </c>
      <c r="H355" s="92"/>
      <c r="I355" s="92"/>
      <c r="J355" s="92"/>
      <c r="K355" s="1059"/>
      <c r="L355" s="1059"/>
      <c r="M355" s="1100" t="s">
        <v>207</v>
      </c>
      <c r="N355" s="104">
        <v>252328.73</v>
      </c>
      <c r="O355" s="1029">
        <f t="shared" si="5"/>
        <v>1</v>
      </c>
      <c r="P355" s="92"/>
      <c r="Q355" s="92"/>
    </row>
    <row r="356" spans="1:17" ht="20.100000000000001" customHeight="1">
      <c r="A356" s="92">
        <v>350</v>
      </c>
      <c r="B356" s="1026" t="s">
        <v>1788</v>
      </c>
      <c r="C356" s="1026" t="s">
        <v>1588</v>
      </c>
      <c r="D356" s="1049" t="s">
        <v>68</v>
      </c>
      <c r="E356" s="92"/>
      <c r="F356" s="92"/>
      <c r="G356" s="92"/>
      <c r="H356" s="92"/>
      <c r="I356" s="92"/>
      <c r="J356" s="92"/>
      <c r="K356" s="1212">
        <v>1</v>
      </c>
      <c r="L356" s="1059"/>
      <c r="M356" s="1283" t="s">
        <v>1789</v>
      </c>
      <c r="N356" s="1284">
        <v>22912.15</v>
      </c>
      <c r="O356" s="1029">
        <f t="shared" si="5"/>
        <v>1</v>
      </c>
      <c r="P356" s="92"/>
      <c r="Q356" s="92"/>
    </row>
    <row r="357" spans="1:17" ht="20.100000000000001" customHeight="1">
      <c r="A357" s="92">
        <v>351</v>
      </c>
      <c r="B357" s="1026" t="s">
        <v>1788</v>
      </c>
      <c r="C357" s="1026" t="s">
        <v>1588</v>
      </c>
      <c r="D357" s="1049" t="s">
        <v>33</v>
      </c>
      <c r="E357" s="92"/>
      <c r="F357" s="92"/>
      <c r="G357" s="92"/>
      <c r="H357" s="92">
        <v>289</v>
      </c>
      <c r="I357" s="92"/>
      <c r="J357" s="92"/>
      <c r="K357" s="1212"/>
      <c r="L357" s="1059"/>
      <c r="M357" s="1034" t="s">
        <v>34</v>
      </c>
      <c r="N357" s="104"/>
      <c r="O357" s="1029">
        <f t="shared" si="5"/>
        <v>289</v>
      </c>
      <c r="P357" s="92"/>
      <c r="Q357" s="92"/>
    </row>
    <row r="358" spans="1:17" ht="20.100000000000001" customHeight="1">
      <c r="A358" s="92">
        <v>352</v>
      </c>
      <c r="B358" s="1026" t="s">
        <v>1788</v>
      </c>
      <c r="C358" s="1026" t="s">
        <v>1588</v>
      </c>
      <c r="D358" s="1049"/>
      <c r="E358" s="92"/>
      <c r="F358" s="92"/>
      <c r="G358" s="92"/>
      <c r="H358" s="92"/>
      <c r="I358" s="92">
        <v>1092</v>
      </c>
      <c r="J358" s="92"/>
      <c r="K358" s="1072"/>
      <c r="L358" s="1047"/>
      <c r="M358" s="1034" t="s">
        <v>35</v>
      </c>
      <c r="N358" s="102"/>
      <c r="O358" s="1029">
        <f t="shared" si="5"/>
        <v>1092</v>
      </c>
      <c r="P358" s="92"/>
      <c r="Q358" s="92"/>
    </row>
    <row r="359" spans="1:17" ht="20.100000000000001" customHeight="1">
      <c r="A359" s="92">
        <v>353</v>
      </c>
      <c r="B359" s="1026" t="s">
        <v>1788</v>
      </c>
      <c r="C359" s="1026" t="s">
        <v>1588</v>
      </c>
      <c r="D359" s="1049" t="s">
        <v>36</v>
      </c>
      <c r="E359" s="92"/>
      <c r="F359" s="92">
        <v>350</v>
      </c>
      <c r="G359" s="92"/>
      <c r="H359" s="92"/>
      <c r="I359" s="92"/>
      <c r="J359" s="92"/>
      <c r="K359" s="1072"/>
      <c r="L359" s="1047"/>
      <c r="M359" s="1200" t="s">
        <v>1790</v>
      </c>
      <c r="N359" s="1285"/>
      <c r="O359" s="1029">
        <f t="shared" si="5"/>
        <v>350</v>
      </c>
      <c r="P359" s="92"/>
      <c r="Q359" s="92"/>
    </row>
    <row r="360" spans="1:17" ht="20.100000000000001" customHeight="1">
      <c r="A360" s="92">
        <v>354</v>
      </c>
      <c r="B360" s="1026" t="s">
        <v>1788</v>
      </c>
      <c r="C360" s="1026" t="s">
        <v>1588</v>
      </c>
      <c r="D360" s="1049" t="s">
        <v>36</v>
      </c>
      <c r="E360" s="92">
        <v>105</v>
      </c>
      <c r="F360" s="92"/>
      <c r="G360" s="92"/>
      <c r="H360" s="92"/>
      <c r="I360" s="92"/>
      <c r="J360" s="92"/>
      <c r="K360" s="1072"/>
      <c r="L360" s="1047"/>
      <c r="M360" s="1037" t="s">
        <v>1591</v>
      </c>
      <c r="N360" s="1285"/>
      <c r="O360" s="1029">
        <f t="shared" si="5"/>
        <v>105</v>
      </c>
      <c r="P360" s="92"/>
      <c r="Q360" s="92"/>
    </row>
    <row r="361" spans="1:17" ht="20.100000000000001" customHeight="1">
      <c r="A361" s="92">
        <v>355</v>
      </c>
      <c r="B361" s="1026" t="s">
        <v>1788</v>
      </c>
      <c r="C361" s="1026" t="s">
        <v>1588</v>
      </c>
      <c r="D361" s="1049" t="s">
        <v>38</v>
      </c>
      <c r="E361" s="92"/>
      <c r="F361" s="92"/>
      <c r="G361" s="92"/>
      <c r="H361" s="92"/>
      <c r="I361" s="92"/>
      <c r="J361" s="92"/>
      <c r="K361" s="1047">
        <v>1</v>
      </c>
      <c r="L361" s="1286" t="s">
        <v>327</v>
      </c>
      <c r="M361" s="1287" t="s">
        <v>1791</v>
      </c>
      <c r="N361" s="867">
        <v>20000</v>
      </c>
      <c r="O361" s="1029">
        <f t="shared" si="5"/>
        <v>0</v>
      </c>
      <c r="P361" s="92">
        <v>1</v>
      </c>
      <c r="Q361" s="92"/>
    </row>
    <row r="362" spans="1:17" ht="20.100000000000001" customHeight="1">
      <c r="A362" s="92">
        <v>356</v>
      </c>
      <c r="B362" s="1026" t="s">
        <v>1792</v>
      </c>
      <c r="C362" s="1026" t="s">
        <v>1588</v>
      </c>
      <c r="D362" s="1049"/>
      <c r="E362" s="92"/>
      <c r="F362" s="92"/>
      <c r="G362" s="92">
        <v>1</v>
      </c>
      <c r="H362" s="92"/>
      <c r="I362" s="92"/>
      <c r="J362" s="92"/>
      <c r="K362" s="1047"/>
      <c r="L362" s="1288"/>
      <c r="M362" s="1098" t="s">
        <v>31</v>
      </c>
      <c r="N362" s="155">
        <v>35.26</v>
      </c>
      <c r="O362" s="1029">
        <f t="shared" si="5"/>
        <v>1</v>
      </c>
      <c r="P362" s="92"/>
      <c r="Q362" s="92"/>
    </row>
    <row r="363" spans="1:17" ht="20.100000000000001" customHeight="1">
      <c r="A363" s="92">
        <v>357</v>
      </c>
      <c r="B363" s="1026" t="s">
        <v>1792</v>
      </c>
      <c r="C363" s="1026" t="s">
        <v>1588</v>
      </c>
      <c r="D363" s="1049"/>
      <c r="E363" s="92"/>
      <c r="F363" s="92"/>
      <c r="G363" s="92">
        <v>1</v>
      </c>
      <c r="H363" s="92"/>
      <c r="I363" s="92"/>
      <c r="J363" s="92"/>
      <c r="K363" s="1047"/>
      <c r="L363" s="1288"/>
      <c r="M363" s="1098" t="s">
        <v>32</v>
      </c>
      <c r="N363" s="155">
        <v>7.0000000000000007E-2</v>
      </c>
      <c r="O363" s="1029">
        <f t="shared" si="5"/>
        <v>1</v>
      </c>
      <c r="P363" s="92"/>
      <c r="Q363" s="92"/>
    </row>
    <row r="364" spans="1:17" ht="20.100000000000001" customHeight="1">
      <c r="A364" s="92">
        <v>358</v>
      </c>
      <c r="B364" s="1026" t="s">
        <v>1792</v>
      </c>
      <c r="C364" s="1026" t="s">
        <v>1588</v>
      </c>
      <c r="D364" s="1049"/>
      <c r="E364" s="92"/>
      <c r="F364" s="92"/>
      <c r="G364" s="92"/>
      <c r="H364" s="92"/>
      <c r="I364" s="92">
        <v>889</v>
      </c>
      <c r="J364" s="92"/>
      <c r="K364" s="1289"/>
      <c r="L364" s="1288"/>
      <c r="M364" s="1213" t="s">
        <v>35</v>
      </c>
      <c r="N364" s="155"/>
      <c r="O364" s="1029">
        <f t="shared" si="5"/>
        <v>889</v>
      </c>
      <c r="P364" s="92"/>
      <c r="Q364" s="92"/>
    </row>
    <row r="365" spans="1:17" ht="20.100000000000001" customHeight="1">
      <c r="A365" s="92">
        <v>359</v>
      </c>
      <c r="B365" s="1026" t="s">
        <v>1792</v>
      </c>
      <c r="C365" s="1026" t="s">
        <v>1588</v>
      </c>
      <c r="D365" s="1049" t="s">
        <v>36</v>
      </c>
      <c r="E365" s="92"/>
      <c r="F365" s="92">
        <v>665</v>
      </c>
      <c r="G365" s="92"/>
      <c r="H365" s="92"/>
      <c r="I365" s="92"/>
      <c r="J365" s="92"/>
      <c r="K365" s="1047"/>
      <c r="L365" s="1288"/>
      <c r="M365" s="1195" t="s">
        <v>1793</v>
      </c>
      <c r="N365" s="155"/>
      <c r="O365" s="1029">
        <f t="shared" si="5"/>
        <v>665</v>
      </c>
      <c r="P365" s="92"/>
      <c r="Q365" s="92"/>
    </row>
    <row r="366" spans="1:17" ht="20.100000000000001" customHeight="1">
      <c r="A366" s="92">
        <v>360</v>
      </c>
      <c r="B366" s="1026" t="s">
        <v>1792</v>
      </c>
      <c r="C366" s="1026" t="s">
        <v>1588</v>
      </c>
      <c r="D366" s="1049" t="s">
        <v>36</v>
      </c>
      <c r="E366" s="92">
        <v>243</v>
      </c>
      <c r="F366" s="92"/>
      <c r="G366" s="92"/>
      <c r="H366" s="92"/>
      <c r="I366" s="92"/>
      <c r="J366" s="92"/>
      <c r="K366" s="1047"/>
      <c r="L366" s="1288"/>
      <c r="M366" s="1037" t="s">
        <v>1591</v>
      </c>
      <c r="N366" s="155"/>
      <c r="O366" s="1029">
        <f t="shared" si="5"/>
        <v>243</v>
      </c>
      <c r="P366" s="92"/>
      <c r="Q366" s="92"/>
    </row>
    <row r="367" spans="1:17" ht="20.100000000000001" customHeight="1">
      <c r="A367" s="92">
        <v>361</v>
      </c>
      <c r="B367" s="1026" t="s">
        <v>1794</v>
      </c>
      <c r="C367" s="1026" t="s">
        <v>1588</v>
      </c>
      <c r="D367" s="1290"/>
      <c r="E367" s="92"/>
      <c r="F367" s="92"/>
      <c r="G367" s="92">
        <v>1</v>
      </c>
      <c r="H367" s="92"/>
      <c r="I367" s="92"/>
      <c r="J367" s="92"/>
      <c r="K367" s="1071"/>
      <c r="L367" s="1291"/>
      <c r="M367" s="1292" t="s">
        <v>119</v>
      </c>
      <c r="N367" s="916">
        <v>-2145419</v>
      </c>
      <c r="O367" s="1029">
        <f t="shared" si="5"/>
        <v>1</v>
      </c>
      <c r="P367" s="92"/>
      <c r="Q367" s="92"/>
    </row>
    <row r="368" spans="1:17" ht="20.100000000000001" customHeight="1">
      <c r="A368" s="92">
        <v>362</v>
      </c>
      <c r="B368" s="1026" t="s">
        <v>1794</v>
      </c>
      <c r="C368" s="1026" t="s">
        <v>1588</v>
      </c>
      <c r="D368" s="1290"/>
      <c r="E368" s="92"/>
      <c r="F368" s="92"/>
      <c r="G368" s="92">
        <v>1</v>
      </c>
      <c r="H368" s="92"/>
      <c r="I368" s="92"/>
      <c r="J368" s="92"/>
      <c r="K368" s="1071"/>
      <c r="L368" s="1291"/>
      <c r="M368" s="1292" t="s">
        <v>49</v>
      </c>
      <c r="N368" s="916">
        <v>-1107476.98</v>
      </c>
      <c r="O368" s="1029">
        <f t="shared" si="5"/>
        <v>1</v>
      </c>
      <c r="P368" s="92"/>
      <c r="Q368" s="92"/>
    </row>
    <row r="369" spans="1:17" ht="20.100000000000001" customHeight="1">
      <c r="A369" s="92">
        <v>363</v>
      </c>
      <c r="B369" s="1026" t="s">
        <v>1794</v>
      </c>
      <c r="C369" s="1026" t="s">
        <v>1588</v>
      </c>
      <c r="D369" s="1290"/>
      <c r="E369" s="92"/>
      <c r="F369" s="92"/>
      <c r="G369" s="92">
        <v>1</v>
      </c>
      <c r="H369" s="92"/>
      <c r="I369" s="92"/>
      <c r="J369" s="92"/>
      <c r="K369" s="1071"/>
      <c r="L369" s="1291"/>
      <c r="M369" s="1292" t="s">
        <v>32</v>
      </c>
      <c r="N369" s="916">
        <v>37252.65</v>
      </c>
      <c r="O369" s="1029">
        <f t="shared" si="5"/>
        <v>1</v>
      </c>
      <c r="P369" s="92"/>
      <c r="Q369" s="92"/>
    </row>
    <row r="370" spans="1:17" ht="20.100000000000001" customHeight="1">
      <c r="A370" s="92">
        <v>364</v>
      </c>
      <c r="B370" s="1026" t="s">
        <v>1794</v>
      </c>
      <c r="C370" s="1026" t="s">
        <v>1588</v>
      </c>
      <c r="D370" s="1290"/>
      <c r="E370" s="92"/>
      <c r="F370" s="92"/>
      <c r="G370" s="92"/>
      <c r="H370" s="92"/>
      <c r="I370" s="92">
        <v>195</v>
      </c>
      <c r="J370" s="92"/>
      <c r="K370" s="1293"/>
      <c r="L370" s="1291"/>
      <c r="M370" s="1034" t="s">
        <v>35</v>
      </c>
      <c r="N370" s="916"/>
      <c r="O370" s="1029">
        <f t="shared" si="5"/>
        <v>195</v>
      </c>
      <c r="P370" s="92"/>
      <c r="Q370" s="92"/>
    </row>
    <row r="371" spans="1:17" ht="20.100000000000001" customHeight="1">
      <c r="A371" s="92">
        <v>365</v>
      </c>
      <c r="B371" s="1026" t="s">
        <v>1794</v>
      </c>
      <c r="C371" s="1026" t="s">
        <v>1588</v>
      </c>
      <c r="D371" s="1290" t="s">
        <v>36</v>
      </c>
      <c r="E371" s="92"/>
      <c r="F371" s="92">
        <v>313</v>
      </c>
      <c r="G371" s="92"/>
      <c r="H371" s="92"/>
      <c r="I371" s="92"/>
      <c r="J371" s="92"/>
      <c r="K371" s="1293"/>
      <c r="L371" s="1291"/>
      <c r="M371" s="1034" t="s">
        <v>1795</v>
      </c>
      <c r="N371" s="916"/>
      <c r="O371" s="1029">
        <f t="shared" si="5"/>
        <v>313</v>
      </c>
      <c r="P371" s="92"/>
      <c r="Q371" s="92"/>
    </row>
    <row r="372" spans="1:17" ht="20.100000000000001" customHeight="1">
      <c r="A372" s="92">
        <v>366</v>
      </c>
      <c r="B372" s="1026" t="s">
        <v>1794</v>
      </c>
      <c r="C372" s="1026" t="s">
        <v>1588</v>
      </c>
      <c r="D372" s="1290" t="s">
        <v>36</v>
      </c>
      <c r="E372" s="92">
        <v>17</v>
      </c>
      <c r="F372" s="92"/>
      <c r="G372" s="92"/>
      <c r="H372" s="92"/>
      <c r="I372" s="92"/>
      <c r="J372" s="92"/>
      <c r="K372" s="1293"/>
      <c r="L372" s="1291"/>
      <c r="M372" s="1037" t="s">
        <v>1591</v>
      </c>
      <c r="N372" s="916"/>
      <c r="O372" s="1029">
        <f t="shared" si="5"/>
        <v>17</v>
      </c>
      <c r="P372" s="92"/>
      <c r="Q372" s="92"/>
    </row>
    <row r="373" spans="1:17" ht="20.100000000000001" customHeight="1">
      <c r="A373" s="92">
        <v>367</v>
      </c>
      <c r="B373" s="1026" t="s">
        <v>1796</v>
      </c>
      <c r="C373" s="1026" t="s">
        <v>1588</v>
      </c>
      <c r="D373" s="1049" t="s">
        <v>26</v>
      </c>
      <c r="E373" s="92"/>
      <c r="F373" s="92"/>
      <c r="G373" s="92"/>
      <c r="H373" s="92"/>
      <c r="I373" s="92"/>
      <c r="J373" s="92"/>
      <c r="K373" s="1047">
        <v>1</v>
      </c>
      <c r="L373" s="1148"/>
      <c r="M373" s="1104" t="s">
        <v>1797</v>
      </c>
      <c r="N373" s="155">
        <v>127939.12</v>
      </c>
      <c r="O373" s="1029">
        <f t="shared" si="5"/>
        <v>1</v>
      </c>
      <c r="P373" s="92"/>
      <c r="Q373" s="92"/>
    </row>
    <row r="374" spans="1:17" ht="20.100000000000001" customHeight="1">
      <c r="A374" s="92">
        <v>368</v>
      </c>
      <c r="B374" s="1026" t="s">
        <v>1796</v>
      </c>
      <c r="C374" s="1026" t="s">
        <v>1588</v>
      </c>
      <c r="D374" s="1049" t="s">
        <v>29</v>
      </c>
      <c r="E374" s="92"/>
      <c r="F374" s="92"/>
      <c r="G374" s="92">
        <v>1</v>
      </c>
      <c r="H374" s="92"/>
      <c r="I374" s="92"/>
      <c r="J374" s="92"/>
      <c r="K374" s="1047"/>
      <c r="L374" s="1047"/>
      <c r="M374" s="1100" t="s">
        <v>49</v>
      </c>
      <c r="N374" s="155">
        <v>5477243.25</v>
      </c>
      <c r="O374" s="1029">
        <f t="shared" si="5"/>
        <v>1</v>
      </c>
      <c r="P374" s="92"/>
      <c r="Q374" s="92"/>
    </row>
    <row r="375" spans="1:17" ht="20.100000000000001" customHeight="1">
      <c r="A375" s="92">
        <v>369</v>
      </c>
      <c r="B375" s="1026" t="s">
        <v>1796</v>
      </c>
      <c r="C375" s="1026" t="s">
        <v>1588</v>
      </c>
      <c r="D375" s="1049"/>
      <c r="E375" s="92"/>
      <c r="F375" s="92"/>
      <c r="G375" s="92">
        <v>1</v>
      </c>
      <c r="H375" s="92"/>
      <c r="I375" s="92"/>
      <c r="J375" s="92"/>
      <c r="K375" s="1047"/>
      <c r="L375" s="1276"/>
      <c r="M375" s="1100" t="s">
        <v>32</v>
      </c>
      <c r="N375" s="92">
        <v>0.28999999999999998</v>
      </c>
      <c r="O375" s="1029">
        <f t="shared" si="5"/>
        <v>1</v>
      </c>
      <c r="P375" s="92"/>
      <c r="Q375" s="92"/>
    </row>
    <row r="376" spans="1:17" ht="20.100000000000001" customHeight="1">
      <c r="A376" s="92">
        <v>370</v>
      </c>
      <c r="B376" s="1026" t="s">
        <v>1796</v>
      </c>
      <c r="C376" s="1026" t="s">
        <v>1588</v>
      </c>
      <c r="D376" s="1049"/>
      <c r="E376" s="92"/>
      <c r="F376" s="92"/>
      <c r="G376" s="92">
        <v>1</v>
      </c>
      <c r="H376" s="92"/>
      <c r="I376" s="92"/>
      <c r="J376" s="92"/>
      <c r="K376" s="1059"/>
      <c r="L376" s="1294"/>
      <c r="M376" s="1100" t="s">
        <v>50</v>
      </c>
      <c r="N376" s="1295">
        <v>180.02</v>
      </c>
      <c r="O376" s="1029">
        <f t="shared" si="5"/>
        <v>1</v>
      </c>
      <c r="P376" s="92"/>
      <c r="Q376" s="92"/>
    </row>
    <row r="377" spans="1:17" ht="20.100000000000001" customHeight="1">
      <c r="A377" s="92">
        <v>371</v>
      </c>
      <c r="B377" s="1026" t="s">
        <v>1796</v>
      </c>
      <c r="C377" s="1026" t="s">
        <v>1588</v>
      </c>
      <c r="D377" s="1049"/>
      <c r="E377" s="92"/>
      <c r="F377" s="92"/>
      <c r="G377" s="92"/>
      <c r="H377" s="92"/>
      <c r="I377" s="92">
        <v>733</v>
      </c>
      <c r="J377" s="92"/>
      <c r="K377" s="1047"/>
      <c r="L377" s="1047"/>
      <c r="M377" s="1034" t="s">
        <v>35</v>
      </c>
      <c r="N377" s="155"/>
      <c r="O377" s="1029">
        <f t="shared" si="5"/>
        <v>733</v>
      </c>
      <c r="P377" s="92"/>
      <c r="Q377" s="92"/>
    </row>
    <row r="378" spans="1:17" ht="20.100000000000001" customHeight="1">
      <c r="A378" s="92">
        <v>372</v>
      </c>
      <c r="B378" s="1026" t="s">
        <v>1796</v>
      </c>
      <c r="C378" s="1026" t="s">
        <v>1588</v>
      </c>
      <c r="D378" s="1049" t="s">
        <v>36</v>
      </c>
      <c r="E378" s="92"/>
      <c r="F378" s="92">
        <v>389</v>
      </c>
      <c r="G378" s="92"/>
      <c r="H378" s="92"/>
      <c r="I378" s="92"/>
      <c r="J378" s="92"/>
      <c r="K378" s="1047"/>
      <c r="L378" s="1047"/>
      <c r="M378" s="1200" t="s">
        <v>1798</v>
      </c>
      <c r="N378" s="155"/>
      <c r="O378" s="1029">
        <f t="shared" si="5"/>
        <v>389</v>
      </c>
      <c r="P378" s="92"/>
      <c r="Q378" s="92"/>
    </row>
    <row r="379" spans="1:17" ht="20.100000000000001" customHeight="1">
      <c r="A379" s="92">
        <v>373</v>
      </c>
      <c r="B379" s="1026" t="s">
        <v>1796</v>
      </c>
      <c r="C379" s="1026" t="s">
        <v>1588</v>
      </c>
      <c r="D379" s="1049" t="s">
        <v>36</v>
      </c>
      <c r="E379" s="92">
        <v>267</v>
      </c>
      <c r="F379" s="92"/>
      <c r="G379" s="92"/>
      <c r="H379" s="92"/>
      <c r="I379" s="92"/>
      <c r="J379" s="92"/>
      <c r="K379" s="1047"/>
      <c r="L379" s="1047"/>
      <c r="M379" s="1037" t="s">
        <v>1591</v>
      </c>
      <c r="N379" s="155"/>
      <c r="O379" s="1029">
        <f t="shared" si="5"/>
        <v>267</v>
      </c>
      <c r="P379" s="92"/>
      <c r="Q379" s="92"/>
    </row>
    <row r="380" spans="1:17" ht="20.100000000000001" customHeight="1">
      <c r="A380" s="92">
        <v>374</v>
      </c>
      <c r="B380" s="1026" t="s">
        <v>1799</v>
      </c>
      <c r="C380" s="1026" t="s">
        <v>1588</v>
      </c>
      <c r="D380" s="1290" t="s">
        <v>26</v>
      </c>
      <c r="E380" s="92"/>
      <c r="F380" s="92"/>
      <c r="G380" s="92"/>
      <c r="H380" s="92"/>
      <c r="I380" s="92"/>
      <c r="J380" s="92"/>
      <c r="K380" s="1047">
        <v>1</v>
      </c>
      <c r="L380" s="1047"/>
      <c r="M380" s="1296" t="s">
        <v>1800</v>
      </c>
      <c r="N380" s="155">
        <v>5828.87</v>
      </c>
      <c r="O380" s="1029">
        <f t="shared" si="5"/>
        <v>1</v>
      </c>
      <c r="P380" s="92"/>
      <c r="Q380" s="92"/>
    </row>
    <row r="381" spans="1:17" ht="20.100000000000001" customHeight="1">
      <c r="A381" s="92">
        <v>375</v>
      </c>
      <c r="B381" s="1026" t="s">
        <v>1799</v>
      </c>
      <c r="C381" s="1026" t="s">
        <v>1588</v>
      </c>
      <c r="D381" s="1290" t="s">
        <v>29</v>
      </c>
      <c r="E381" s="92"/>
      <c r="F381" s="92"/>
      <c r="G381" s="92">
        <v>1</v>
      </c>
      <c r="H381" s="92"/>
      <c r="I381" s="92"/>
      <c r="J381" s="92"/>
      <c r="K381" s="1047"/>
      <c r="L381" s="1047"/>
      <c r="M381" s="1292" t="s">
        <v>119</v>
      </c>
      <c r="N381" s="1297">
        <v>-2656905.1</v>
      </c>
      <c r="O381" s="1029">
        <f t="shared" si="5"/>
        <v>1</v>
      </c>
      <c r="P381" s="92"/>
      <c r="Q381" s="92"/>
    </row>
    <row r="382" spans="1:17" ht="20.100000000000001" customHeight="1">
      <c r="A382" s="92">
        <v>376</v>
      </c>
      <c r="B382" s="1026" t="s">
        <v>1799</v>
      </c>
      <c r="C382" s="1026" t="s">
        <v>1588</v>
      </c>
      <c r="D382" s="1290"/>
      <c r="E382" s="92"/>
      <c r="F382" s="92"/>
      <c r="G382" s="92">
        <v>1</v>
      </c>
      <c r="H382" s="92"/>
      <c r="I382" s="92"/>
      <c r="J382" s="92"/>
      <c r="K382" s="1205"/>
      <c r="L382" s="1205"/>
      <c r="M382" s="1298" t="s">
        <v>49</v>
      </c>
      <c r="N382" s="1299">
        <v>-15970110</v>
      </c>
      <c r="O382" s="1029">
        <f t="shared" si="5"/>
        <v>1</v>
      </c>
      <c r="P382" s="92"/>
      <c r="Q382" s="92"/>
    </row>
    <row r="383" spans="1:17" ht="20.100000000000001" customHeight="1">
      <c r="A383" s="92">
        <v>377</v>
      </c>
      <c r="B383" s="1026" t="s">
        <v>1799</v>
      </c>
      <c r="C383" s="1026" t="s">
        <v>1588</v>
      </c>
      <c r="D383" s="1290"/>
      <c r="E383" s="92"/>
      <c r="F383" s="92"/>
      <c r="G383" s="92">
        <v>1</v>
      </c>
      <c r="H383" s="92"/>
      <c r="I383" s="92"/>
      <c r="J383" s="92"/>
      <c r="K383" s="1243"/>
      <c r="L383" s="1243"/>
      <c r="M383" s="1298" t="s">
        <v>207</v>
      </c>
      <c r="N383" s="1299">
        <v>-122153.52</v>
      </c>
      <c r="O383" s="1029">
        <f t="shared" si="5"/>
        <v>1</v>
      </c>
      <c r="P383" s="92"/>
      <c r="Q383" s="92"/>
    </row>
    <row r="384" spans="1:17" ht="20.100000000000001" customHeight="1">
      <c r="A384" s="92">
        <v>378</v>
      </c>
      <c r="B384" s="1026" t="s">
        <v>1799</v>
      </c>
      <c r="C384" s="1026" t="s">
        <v>1588</v>
      </c>
      <c r="D384" s="1290"/>
      <c r="E384" s="92"/>
      <c r="F384" s="92"/>
      <c r="G384" s="92">
        <v>1</v>
      </c>
      <c r="H384" s="92"/>
      <c r="I384" s="92"/>
      <c r="J384" s="92"/>
      <c r="K384" s="1243"/>
      <c r="L384" s="1243"/>
      <c r="M384" s="1298" t="s">
        <v>50</v>
      </c>
      <c r="N384" s="457">
        <v>9.49</v>
      </c>
      <c r="O384" s="1029">
        <f t="shared" si="5"/>
        <v>1</v>
      </c>
      <c r="P384" s="92"/>
      <c r="Q384" s="92"/>
    </row>
    <row r="385" spans="1:17" ht="20.100000000000001" customHeight="1">
      <c r="A385" s="92">
        <v>379</v>
      </c>
      <c r="B385" s="1026" t="s">
        <v>1799</v>
      </c>
      <c r="C385" s="1026" t="s">
        <v>1588</v>
      </c>
      <c r="D385" s="1290"/>
      <c r="E385" s="92"/>
      <c r="F385" s="92"/>
      <c r="G385" s="92"/>
      <c r="H385" s="92"/>
      <c r="I385" s="92"/>
      <c r="J385" s="92"/>
      <c r="K385" s="1059">
        <v>1</v>
      </c>
      <c r="L385" s="1059"/>
      <c r="M385" s="1244" t="s">
        <v>1801</v>
      </c>
      <c r="N385" s="186">
        <v>0</v>
      </c>
      <c r="O385" s="1029">
        <f t="shared" si="5"/>
        <v>1</v>
      </c>
      <c r="P385" s="92"/>
      <c r="Q385" s="92"/>
    </row>
    <row r="386" spans="1:17" ht="20.100000000000001" customHeight="1">
      <c r="A386" s="92">
        <v>380</v>
      </c>
      <c r="B386" s="1026" t="s">
        <v>1799</v>
      </c>
      <c r="C386" s="1026" t="s">
        <v>1588</v>
      </c>
      <c r="D386" s="1290" t="s">
        <v>68</v>
      </c>
      <c r="E386" s="92"/>
      <c r="F386" s="92"/>
      <c r="G386" s="92"/>
      <c r="H386" s="92"/>
      <c r="I386" s="92"/>
      <c r="J386" s="92"/>
      <c r="K386" s="1059">
        <v>1</v>
      </c>
      <c r="L386" s="1059"/>
      <c r="M386" s="1043" t="s">
        <v>1802</v>
      </c>
      <c r="N386" s="1051">
        <v>208841.99</v>
      </c>
      <c r="O386" s="1029">
        <f t="shared" si="5"/>
        <v>1</v>
      </c>
      <c r="P386" s="92"/>
      <c r="Q386" s="92"/>
    </row>
    <row r="387" spans="1:17" ht="20.100000000000001" customHeight="1">
      <c r="A387" s="92">
        <v>381</v>
      </c>
      <c r="B387" s="1026" t="s">
        <v>1799</v>
      </c>
      <c r="C387" s="1026" t="s">
        <v>1588</v>
      </c>
      <c r="D387" s="1290"/>
      <c r="E387" s="92"/>
      <c r="F387" s="92"/>
      <c r="G387" s="92"/>
      <c r="H387" s="92"/>
      <c r="I387" s="92"/>
      <c r="J387" s="92"/>
      <c r="K387" s="1059">
        <v>1</v>
      </c>
      <c r="L387" s="1059"/>
      <c r="M387" s="1043" t="s">
        <v>1803</v>
      </c>
      <c r="N387" s="1300">
        <v>28170.82</v>
      </c>
      <c r="O387" s="1029">
        <f t="shared" si="5"/>
        <v>1</v>
      </c>
      <c r="P387" s="92"/>
      <c r="Q387" s="92"/>
    </row>
    <row r="388" spans="1:17" ht="20.100000000000001" customHeight="1">
      <c r="A388" s="92">
        <v>382</v>
      </c>
      <c r="B388" s="1026" t="s">
        <v>1799</v>
      </c>
      <c r="C388" s="1026" t="s">
        <v>1588</v>
      </c>
      <c r="D388" s="1290" t="s">
        <v>33</v>
      </c>
      <c r="E388" s="92"/>
      <c r="F388" s="92"/>
      <c r="G388" s="92"/>
      <c r="H388" s="92">
        <v>47</v>
      </c>
      <c r="I388" s="92"/>
      <c r="J388" s="92"/>
      <c r="K388" s="1059"/>
      <c r="L388" s="1059"/>
      <c r="M388" s="1043" t="s">
        <v>34</v>
      </c>
      <c r="N388" s="457">
        <v>0</v>
      </c>
      <c r="O388" s="1029">
        <f t="shared" si="5"/>
        <v>47</v>
      </c>
      <c r="P388" s="92"/>
      <c r="Q388" s="92"/>
    </row>
    <row r="389" spans="1:17" ht="20.100000000000001" customHeight="1">
      <c r="A389" s="92">
        <v>383</v>
      </c>
      <c r="B389" s="1026" t="s">
        <v>1799</v>
      </c>
      <c r="C389" s="1026" t="s">
        <v>1588</v>
      </c>
      <c r="D389" s="1290"/>
      <c r="E389" s="92"/>
      <c r="F389" s="92"/>
      <c r="G389" s="92"/>
      <c r="H389" s="92"/>
      <c r="I389" s="92">
        <v>3358</v>
      </c>
      <c r="J389" s="92"/>
      <c r="K389" s="1047"/>
      <c r="L389" s="1047"/>
      <c r="M389" s="1043" t="s">
        <v>1804</v>
      </c>
      <c r="N389" s="175">
        <v>0</v>
      </c>
      <c r="O389" s="1029">
        <f t="shared" si="5"/>
        <v>3358</v>
      </c>
      <c r="P389" s="92"/>
      <c r="Q389" s="92"/>
    </row>
    <row r="390" spans="1:17" ht="20.100000000000001" customHeight="1">
      <c r="A390" s="92">
        <v>384</v>
      </c>
      <c r="B390" s="1026" t="s">
        <v>1799</v>
      </c>
      <c r="C390" s="1026" t="s">
        <v>1588</v>
      </c>
      <c r="D390" s="1290" t="s">
        <v>36</v>
      </c>
      <c r="E390" s="92"/>
      <c r="F390" s="92">
        <v>242</v>
      </c>
      <c r="G390" s="92"/>
      <c r="H390" s="92"/>
      <c r="I390" s="92"/>
      <c r="J390" s="92"/>
      <c r="K390" s="1047"/>
      <c r="L390" s="1047"/>
      <c r="M390" s="1213" t="s">
        <v>1805</v>
      </c>
      <c r="N390" s="155">
        <v>0</v>
      </c>
      <c r="O390" s="1029">
        <f t="shared" si="5"/>
        <v>242</v>
      </c>
      <c r="P390" s="92"/>
      <c r="Q390" s="92"/>
    </row>
    <row r="391" spans="1:17" ht="20.100000000000001" customHeight="1">
      <c r="A391" s="92">
        <v>385</v>
      </c>
      <c r="B391" s="1026" t="s">
        <v>1799</v>
      </c>
      <c r="C391" s="1026" t="s">
        <v>1588</v>
      </c>
      <c r="D391" s="1290" t="s">
        <v>36</v>
      </c>
      <c r="E391" s="92">
        <v>90</v>
      </c>
      <c r="F391" s="92"/>
      <c r="G391" s="92"/>
      <c r="H391" s="92"/>
      <c r="I391" s="92"/>
      <c r="J391" s="92"/>
      <c r="K391" s="1047"/>
      <c r="L391" s="1047"/>
      <c r="M391" s="1037" t="s">
        <v>1591</v>
      </c>
      <c r="N391" s="155"/>
      <c r="O391" s="1029">
        <f t="shared" si="5"/>
        <v>90</v>
      </c>
      <c r="P391" s="92"/>
      <c r="Q391" s="92"/>
    </row>
    <row r="392" spans="1:17" ht="20.100000000000001" customHeight="1">
      <c r="A392" s="92">
        <v>386</v>
      </c>
      <c r="B392" s="1026" t="s">
        <v>1806</v>
      </c>
      <c r="C392" s="1026" t="s">
        <v>1588</v>
      </c>
      <c r="D392" s="1049" t="s">
        <v>26</v>
      </c>
      <c r="E392" s="92"/>
      <c r="F392" s="92"/>
      <c r="G392" s="92"/>
      <c r="H392" s="92"/>
      <c r="I392" s="92"/>
      <c r="J392" s="92"/>
      <c r="K392" s="1047">
        <v>1</v>
      </c>
      <c r="L392" s="1047"/>
      <c r="M392" s="1200" t="s">
        <v>703</v>
      </c>
      <c r="N392" s="155" t="s">
        <v>1807</v>
      </c>
      <c r="O392" s="1029">
        <f t="shared" si="5"/>
        <v>1</v>
      </c>
      <c r="P392" s="92"/>
      <c r="Q392" s="92"/>
    </row>
    <row r="393" spans="1:17" ht="20.100000000000001" customHeight="1">
      <c r="A393" s="92">
        <v>387</v>
      </c>
      <c r="B393" s="1026" t="s">
        <v>1806</v>
      </c>
      <c r="C393" s="1026" t="s">
        <v>1588</v>
      </c>
      <c r="D393" s="1049"/>
      <c r="E393" s="92"/>
      <c r="F393" s="92"/>
      <c r="G393" s="92"/>
      <c r="H393" s="92"/>
      <c r="I393" s="92"/>
      <c r="J393" s="92"/>
      <c r="K393" s="1047">
        <v>1</v>
      </c>
      <c r="L393" s="1047"/>
      <c r="M393" s="1104" t="s">
        <v>1808</v>
      </c>
      <c r="N393" s="155">
        <v>36623.81</v>
      </c>
      <c r="O393" s="1029">
        <f t="shared" si="5"/>
        <v>1</v>
      </c>
      <c r="P393" s="92"/>
      <c r="Q393" s="92"/>
    </row>
    <row r="394" spans="1:17" ht="20.100000000000001" customHeight="1">
      <c r="A394" s="92">
        <v>388</v>
      </c>
      <c r="B394" s="1026" t="s">
        <v>1806</v>
      </c>
      <c r="C394" s="1026" t="s">
        <v>1588</v>
      </c>
      <c r="D394" s="1049" t="s">
        <v>29</v>
      </c>
      <c r="E394" s="92"/>
      <c r="F394" s="92"/>
      <c r="G394" s="92">
        <v>1</v>
      </c>
      <c r="H394" s="92"/>
      <c r="I394" s="92"/>
      <c r="J394" s="92"/>
      <c r="K394" s="1047"/>
      <c r="L394" s="1047"/>
      <c r="M394" s="1100" t="s">
        <v>49</v>
      </c>
      <c r="N394" s="155">
        <v>-19569659.870000001</v>
      </c>
      <c r="O394" s="1029">
        <f t="shared" ref="O394:O457" si="6">E394+F394+G394+H394+I394+J394+K394-P394</f>
        <v>1</v>
      </c>
      <c r="P394" s="92"/>
      <c r="Q394" s="92"/>
    </row>
    <row r="395" spans="1:17" ht="20.100000000000001" customHeight="1">
      <c r="A395" s="92">
        <v>389</v>
      </c>
      <c r="B395" s="1026" t="s">
        <v>1806</v>
      </c>
      <c r="C395" s="1026" t="s">
        <v>1588</v>
      </c>
      <c r="D395" s="1049"/>
      <c r="E395" s="92"/>
      <c r="F395" s="92"/>
      <c r="G395" s="92">
        <v>1</v>
      </c>
      <c r="H395" s="92"/>
      <c r="I395" s="92"/>
      <c r="J395" s="92"/>
      <c r="K395" s="1047"/>
      <c r="L395" s="1047"/>
      <c r="M395" s="1100" t="s">
        <v>32</v>
      </c>
      <c r="N395" s="155">
        <v>-0.02</v>
      </c>
      <c r="O395" s="1029">
        <f t="shared" si="6"/>
        <v>1</v>
      </c>
      <c r="P395" s="92"/>
      <c r="Q395" s="92"/>
    </row>
    <row r="396" spans="1:17" ht="20.100000000000001" customHeight="1">
      <c r="A396" s="92">
        <v>390</v>
      </c>
      <c r="B396" s="1026" t="s">
        <v>1806</v>
      </c>
      <c r="C396" s="1026" t="s">
        <v>1588</v>
      </c>
      <c r="D396" s="1049"/>
      <c r="E396" s="92"/>
      <c r="F396" s="92"/>
      <c r="G396" s="92">
        <v>1</v>
      </c>
      <c r="H396" s="92"/>
      <c r="I396" s="92"/>
      <c r="J396" s="92"/>
      <c r="K396" s="1059"/>
      <c r="L396" s="1059"/>
      <c r="M396" s="1100" t="s">
        <v>50</v>
      </c>
      <c r="N396" s="186">
        <v>27.25</v>
      </c>
      <c r="O396" s="1029">
        <f t="shared" si="6"/>
        <v>1</v>
      </c>
      <c r="P396" s="92"/>
      <c r="Q396" s="92"/>
    </row>
    <row r="397" spans="1:17" ht="20.100000000000001" customHeight="1">
      <c r="A397" s="92">
        <v>391</v>
      </c>
      <c r="B397" s="1026" t="s">
        <v>1806</v>
      </c>
      <c r="C397" s="1026" t="s">
        <v>1588</v>
      </c>
      <c r="D397" s="1049"/>
      <c r="E397" s="92"/>
      <c r="F397" s="92"/>
      <c r="G397" s="92"/>
      <c r="H397" s="92"/>
      <c r="I397" s="92"/>
      <c r="J397" s="92"/>
      <c r="K397" s="1212">
        <v>1</v>
      </c>
      <c r="L397" s="1059"/>
      <c r="M397" s="1244" t="s">
        <v>1809</v>
      </c>
      <c r="N397" s="186">
        <v>-16484.39</v>
      </c>
      <c r="O397" s="1029">
        <f t="shared" si="6"/>
        <v>1</v>
      </c>
      <c r="P397" s="92"/>
      <c r="Q397" s="92"/>
    </row>
    <row r="398" spans="1:17" ht="20.100000000000001" customHeight="1">
      <c r="A398" s="92">
        <v>392</v>
      </c>
      <c r="B398" s="1026" t="s">
        <v>1806</v>
      </c>
      <c r="C398" s="1026" t="s">
        <v>1588</v>
      </c>
      <c r="D398" s="1049" t="s">
        <v>33</v>
      </c>
      <c r="E398" s="92"/>
      <c r="F398" s="92"/>
      <c r="G398" s="92"/>
      <c r="H398" s="92">
        <v>1</v>
      </c>
      <c r="I398" s="92"/>
      <c r="J398" s="92"/>
      <c r="K398" s="1212"/>
      <c r="L398" s="1059"/>
      <c r="M398" s="1034" t="s">
        <v>34</v>
      </c>
      <c r="N398" s="186"/>
      <c r="O398" s="1029">
        <f t="shared" si="6"/>
        <v>1</v>
      </c>
      <c r="P398" s="92"/>
      <c r="Q398" s="92"/>
    </row>
    <row r="399" spans="1:17" ht="20.100000000000001" customHeight="1">
      <c r="A399" s="92">
        <v>393</v>
      </c>
      <c r="B399" s="1026" t="s">
        <v>1806</v>
      </c>
      <c r="C399" s="1026" t="s">
        <v>1588</v>
      </c>
      <c r="D399" s="1049"/>
      <c r="E399" s="92"/>
      <c r="F399" s="92"/>
      <c r="G399" s="92"/>
      <c r="H399" s="92"/>
      <c r="I399" s="92">
        <v>404</v>
      </c>
      <c r="J399" s="92"/>
      <c r="K399" s="1072"/>
      <c r="L399" s="1047"/>
      <c r="M399" s="1034" t="s">
        <v>35</v>
      </c>
      <c r="N399" s="155"/>
      <c r="O399" s="1029">
        <f t="shared" si="6"/>
        <v>404</v>
      </c>
      <c r="P399" s="92"/>
      <c r="Q399" s="92"/>
    </row>
    <row r="400" spans="1:17" ht="20.100000000000001" customHeight="1">
      <c r="A400" s="92">
        <v>394</v>
      </c>
      <c r="B400" s="1026" t="s">
        <v>1806</v>
      </c>
      <c r="C400" s="1026" t="s">
        <v>1588</v>
      </c>
      <c r="D400" s="1049" t="s">
        <v>36</v>
      </c>
      <c r="E400" s="92"/>
      <c r="F400" s="92">
        <v>172</v>
      </c>
      <c r="G400" s="92"/>
      <c r="H400" s="92"/>
      <c r="I400" s="92"/>
      <c r="J400" s="92"/>
      <c r="K400" s="1072"/>
      <c r="L400" s="1047"/>
      <c r="M400" s="1200" t="s">
        <v>1810</v>
      </c>
      <c r="N400" s="155"/>
      <c r="O400" s="1029">
        <f t="shared" si="6"/>
        <v>172</v>
      </c>
      <c r="P400" s="92"/>
      <c r="Q400" s="92"/>
    </row>
    <row r="401" spans="1:17" ht="20.100000000000001" customHeight="1">
      <c r="A401" s="92">
        <v>395</v>
      </c>
      <c r="B401" s="1026" t="s">
        <v>1806</v>
      </c>
      <c r="C401" s="1026" t="s">
        <v>1588</v>
      </c>
      <c r="D401" s="1049" t="s">
        <v>36</v>
      </c>
      <c r="E401" s="92">
        <v>1</v>
      </c>
      <c r="F401" s="92"/>
      <c r="G401" s="92"/>
      <c r="H401" s="92"/>
      <c r="I401" s="92"/>
      <c r="J401" s="92"/>
      <c r="K401" s="1072"/>
      <c r="L401" s="1047"/>
      <c r="M401" s="1200"/>
      <c r="N401" s="155"/>
      <c r="O401" s="1029">
        <f t="shared" si="6"/>
        <v>1</v>
      </c>
      <c r="P401" s="92"/>
      <c r="Q401" s="92"/>
    </row>
    <row r="402" spans="1:17" ht="20.100000000000001" customHeight="1">
      <c r="A402" s="92">
        <v>396</v>
      </c>
      <c r="B402" s="1026" t="s">
        <v>1811</v>
      </c>
      <c r="C402" s="1026" t="s">
        <v>1588</v>
      </c>
      <c r="D402" s="1049" t="s">
        <v>26</v>
      </c>
      <c r="E402" s="92"/>
      <c r="F402" s="92"/>
      <c r="G402" s="92"/>
      <c r="H402" s="92"/>
      <c r="I402" s="92"/>
      <c r="J402" s="92"/>
      <c r="K402" s="1047">
        <v>1</v>
      </c>
      <c r="L402" s="1301"/>
      <c r="M402" s="1104" t="s">
        <v>1812</v>
      </c>
      <c r="N402" s="1302">
        <v>-36618.959999999999</v>
      </c>
      <c r="O402" s="1029">
        <f t="shared" si="6"/>
        <v>1</v>
      </c>
      <c r="P402" s="92"/>
      <c r="Q402" s="92"/>
    </row>
    <row r="403" spans="1:17" ht="20.100000000000001" customHeight="1">
      <c r="A403" s="92">
        <v>397</v>
      </c>
      <c r="B403" s="1026" t="s">
        <v>1811</v>
      </c>
      <c r="C403" s="1026" t="s">
        <v>1588</v>
      </c>
      <c r="D403" s="1049" t="s">
        <v>29</v>
      </c>
      <c r="E403" s="92"/>
      <c r="F403" s="92"/>
      <c r="G403" s="92">
        <v>1</v>
      </c>
      <c r="H403" s="92"/>
      <c r="I403" s="92"/>
      <c r="J403" s="92"/>
      <c r="K403" s="1047"/>
      <c r="L403" s="1301"/>
      <c r="M403" s="1123" t="s">
        <v>1813</v>
      </c>
      <c r="N403" s="1303">
        <v>635158</v>
      </c>
      <c r="O403" s="1029">
        <f t="shared" si="6"/>
        <v>1</v>
      </c>
      <c r="P403" s="92"/>
      <c r="Q403" s="92"/>
    </row>
    <row r="404" spans="1:17" ht="20.100000000000001" customHeight="1">
      <c r="A404" s="92">
        <v>398</v>
      </c>
      <c r="B404" s="1026" t="s">
        <v>1811</v>
      </c>
      <c r="C404" s="1026" t="s">
        <v>1588</v>
      </c>
      <c r="D404" s="1049"/>
      <c r="E404" s="92"/>
      <c r="F404" s="92"/>
      <c r="G404" s="92">
        <v>1</v>
      </c>
      <c r="H404" s="92"/>
      <c r="I404" s="92"/>
      <c r="J404" s="92"/>
      <c r="K404" s="1304"/>
      <c r="L404" s="1301"/>
      <c r="M404" s="1100" t="s">
        <v>49</v>
      </c>
      <c r="N404" s="1305">
        <v>22182762.41</v>
      </c>
      <c r="O404" s="1029">
        <f t="shared" si="6"/>
        <v>1</v>
      </c>
      <c r="P404" s="92"/>
      <c r="Q404" s="92"/>
    </row>
    <row r="405" spans="1:17" ht="20.100000000000001" customHeight="1">
      <c r="A405" s="92">
        <v>399</v>
      </c>
      <c r="B405" s="1026" t="s">
        <v>1811</v>
      </c>
      <c r="C405" s="1026" t="s">
        <v>1588</v>
      </c>
      <c r="D405" s="1049"/>
      <c r="E405" s="92"/>
      <c r="F405" s="92"/>
      <c r="G405" s="92">
        <v>1</v>
      </c>
      <c r="H405" s="92"/>
      <c r="I405" s="92"/>
      <c r="J405" s="92"/>
      <c r="K405" s="1072"/>
      <c r="L405" s="1301"/>
      <c r="M405" s="1100" t="s">
        <v>32</v>
      </c>
      <c r="N405" s="1306">
        <v>0.35</v>
      </c>
      <c r="O405" s="1029">
        <f t="shared" si="6"/>
        <v>1</v>
      </c>
      <c r="P405" s="92"/>
      <c r="Q405" s="92"/>
    </row>
    <row r="406" spans="1:17" ht="20.100000000000001" customHeight="1">
      <c r="A406" s="92">
        <v>400</v>
      </c>
      <c r="B406" s="1026" t="s">
        <v>1811</v>
      </c>
      <c r="C406" s="1026" t="s">
        <v>1588</v>
      </c>
      <c r="D406" s="1049"/>
      <c r="E406" s="92"/>
      <c r="F406" s="92"/>
      <c r="G406" s="92"/>
      <c r="H406" s="92">
        <v>270</v>
      </c>
      <c r="I406" s="92"/>
      <c r="J406" s="92"/>
      <c r="K406" s="1307"/>
      <c r="L406" s="1059"/>
      <c r="M406" s="1202" t="s">
        <v>1814</v>
      </c>
      <c r="N406" s="186"/>
      <c r="O406" s="1029">
        <f t="shared" si="6"/>
        <v>270</v>
      </c>
      <c r="P406" s="92"/>
      <c r="Q406" s="92"/>
    </row>
    <row r="407" spans="1:17" ht="20.100000000000001" customHeight="1">
      <c r="A407" s="92">
        <v>401</v>
      </c>
      <c r="B407" s="1026" t="s">
        <v>1811</v>
      </c>
      <c r="C407" s="1026" t="s">
        <v>1588</v>
      </c>
      <c r="D407" s="1049"/>
      <c r="E407" s="92"/>
      <c r="F407" s="92"/>
      <c r="G407" s="92"/>
      <c r="H407" s="92"/>
      <c r="I407" s="92">
        <v>1458</v>
      </c>
      <c r="J407" s="92"/>
      <c r="K407" s="1307"/>
      <c r="L407" s="1059"/>
      <c r="M407" s="1202" t="s">
        <v>538</v>
      </c>
      <c r="N407" s="1308"/>
      <c r="O407" s="1029">
        <f t="shared" si="6"/>
        <v>1458</v>
      </c>
      <c r="P407" s="92"/>
      <c r="Q407" s="92"/>
    </row>
    <row r="408" spans="1:17" ht="20.100000000000001" customHeight="1">
      <c r="A408" s="92">
        <v>402</v>
      </c>
      <c r="B408" s="1026" t="s">
        <v>1811</v>
      </c>
      <c r="C408" s="1026" t="s">
        <v>1588</v>
      </c>
      <c r="D408" s="1049" t="s">
        <v>36</v>
      </c>
      <c r="E408" s="92"/>
      <c r="F408" s="92">
        <v>492</v>
      </c>
      <c r="G408" s="92"/>
      <c r="H408" s="92"/>
      <c r="I408" s="92"/>
      <c r="J408" s="92"/>
      <c r="K408" s="1212"/>
      <c r="L408" s="1059"/>
      <c r="M408" s="1200" t="s">
        <v>1815</v>
      </c>
      <c r="N408" s="1306"/>
      <c r="O408" s="1029">
        <f t="shared" si="6"/>
        <v>492</v>
      </c>
      <c r="P408" s="92"/>
      <c r="Q408" s="92"/>
    </row>
    <row r="409" spans="1:17" ht="20.100000000000001" customHeight="1">
      <c r="A409" s="92">
        <v>403</v>
      </c>
      <c r="B409" s="1026" t="s">
        <v>1811</v>
      </c>
      <c r="C409" s="1026" t="s">
        <v>1588</v>
      </c>
      <c r="D409" s="1049" t="s">
        <v>36</v>
      </c>
      <c r="E409" s="92">
        <v>190</v>
      </c>
      <c r="F409" s="92"/>
      <c r="G409" s="92"/>
      <c r="H409" s="92"/>
      <c r="I409" s="92"/>
      <c r="J409" s="92"/>
      <c r="K409" s="1212"/>
      <c r="L409" s="1059"/>
      <c r="M409" s="1037" t="s">
        <v>1591</v>
      </c>
      <c r="N409" s="1306"/>
      <c r="O409" s="1029">
        <f t="shared" si="6"/>
        <v>190</v>
      </c>
      <c r="P409" s="92"/>
      <c r="Q409" s="92"/>
    </row>
    <row r="410" spans="1:17" ht="20.100000000000001" customHeight="1">
      <c r="A410" s="92">
        <v>404</v>
      </c>
      <c r="B410" s="1026" t="s">
        <v>1811</v>
      </c>
      <c r="C410" s="1026" t="s">
        <v>1588</v>
      </c>
      <c r="D410" s="1049" t="s">
        <v>195</v>
      </c>
      <c r="E410" s="92"/>
      <c r="F410" s="92"/>
      <c r="G410" s="92"/>
      <c r="H410" s="92"/>
      <c r="I410" s="92"/>
      <c r="J410" s="92"/>
      <c r="K410" s="1059">
        <v>1</v>
      </c>
      <c r="L410" s="1059"/>
      <c r="M410" s="1200" t="s">
        <v>1816</v>
      </c>
      <c r="N410" s="1306">
        <v>280648.15999999997</v>
      </c>
      <c r="O410" s="1029">
        <f t="shared" si="6"/>
        <v>1</v>
      </c>
      <c r="P410" s="92"/>
      <c r="Q410" s="92"/>
    </row>
    <row r="411" spans="1:17" ht="20.100000000000001" customHeight="1">
      <c r="A411" s="92">
        <v>405</v>
      </c>
      <c r="B411" s="1026" t="s">
        <v>1811</v>
      </c>
      <c r="C411" s="1026" t="s">
        <v>1588</v>
      </c>
      <c r="D411" s="1049"/>
      <c r="E411" s="92"/>
      <c r="F411" s="92"/>
      <c r="G411" s="92"/>
      <c r="H411" s="92"/>
      <c r="I411" s="92"/>
      <c r="J411" s="92"/>
      <c r="K411" s="1059">
        <v>1</v>
      </c>
      <c r="L411" s="1059"/>
      <c r="M411" s="1200" t="s">
        <v>1817</v>
      </c>
      <c r="N411" s="1306">
        <v>12964.64</v>
      </c>
      <c r="O411" s="1029">
        <f t="shared" si="6"/>
        <v>1</v>
      </c>
      <c r="P411" s="92"/>
      <c r="Q411" s="92"/>
    </row>
    <row r="412" spans="1:17" ht="20.100000000000001" customHeight="1">
      <c r="A412" s="92">
        <v>406</v>
      </c>
      <c r="B412" s="1026" t="s">
        <v>1818</v>
      </c>
      <c r="C412" s="1026" t="s">
        <v>1588</v>
      </c>
      <c r="D412" s="1049" t="s">
        <v>26</v>
      </c>
      <c r="E412" s="92"/>
      <c r="F412" s="92"/>
      <c r="G412" s="92"/>
      <c r="H412" s="92"/>
      <c r="I412" s="92"/>
      <c r="J412" s="92"/>
      <c r="K412" s="1083">
        <v>1</v>
      </c>
      <c r="L412" s="1083"/>
      <c r="M412" s="1309" t="s">
        <v>1819</v>
      </c>
      <c r="N412" s="1310">
        <v>67410.539999999994</v>
      </c>
      <c r="O412" s="1029">
        <f t="shared" si="6"/>
        <v>1</v>
      </c>
      <c r="P412" s="92"/>
      <c r="Q412" s="92"/>
    </row>
    <row r="413" spans="1:17" ht="20.100000000000001" customHeight="1">
      <c r="A413" s="92">
        <v>407</v>
      </c>
      <c r="B413" s="1026" t="s">
        <v>1818</v>
      </c>
      <c r="C413" s="1026" t="s">
        <v>1588</v>
      </c>
      <c r="D413" s="1049" t="s">
        <v>103</v>
      </c>
      <c r="E413" s="92"/>
      <c r="F413" s="92"/>
      <c r="G413" s="92"/>
      <c r="H413" s="92"/>
      <c r="I413" s="92"/>
      <c r="J413" s="92">
        <v>787</v>
      </c>
      <c r="K413" s="1311"/>
      <c r="L413" s="1083"/>
      <c r="M413" s="1312" t="s">
        <v>1820</v>
      </c>
      <c r="N413" s="892"/>
      <c r="O413" s="1029">
        <f t="shared" si="6"/>
        <v>787</v>
      </c>
      <c r="P413" s="92"/>
      <c r="Q413" s="92"/>
    </row>
    <row r="414" spans="1:17" ht="20.100000000000001" customHeight="1">
      <c r="A414" s="92">
        <v>408</v>
      </c>
      <c r="B414" s="1026" t="s">
        <v>1818</v>
      </c>
      <c r="C414" s="1026" t="s">
        <v>1588</v>
      </c>
      <c r="D414" s="1049" t="s">
        <v>29</v>
      </c>
      <c r="E414" s="92"/>
      <c r="F414" s="92"/>
      <c r="G414" s="92">
        <v>1</v>
      </c>
      <c r="H414" s="92"/>
      <c r="I414" s="92"/>
      <c r="J414" s="92"/>
      <c r="K414" s="1313"/>
      <c r="L414" s="1083"/>
      <c r="M414" s="1314" t="s">
        <v>119</v>
      </c>
      <c r="N414" s="1315">
        <v>-4651093.17</v>
      </c>
      <c r="O414" s="1029">
        <f t="shared" si="6"/>
        <v>1</v>
      </c>
      <c r="P414" s="92"/>
      <c r="Q414" s="92"/>
    </row>
    <row r="415" spans="1:17" ht="20.100000000000001" customHeight="1">
      <c r="A415" s="92">
        <v>409</v>
      </c>
      <c r="B415" s="1026" t="s">
        <v>1818</v>
      </c>
      <c r="C415" s="1026" t="s">
        <v>1588</v>
      </c>
      <c r="D415" s="1082"/>
      <c r="E415" s="92"/>
      <c r="F415" s="92"/>
      <c r="G415" s="92">
        <v>1</v>
      </c>
      <c r="H415" s="92"/>
      <c r="I415" s="92"/>
      <c r="J415" s="92"/>
      <c r="K415" s="1313"/>
      <c r="L415" s="1083"/>
      <c r="M415" s="1314" t="s">
        <v>49</v>
      </c>
      <c r="N415" s="1316" t="s">
        <v>1821</v>
      </c>
      <c r="O415" s="1029">
        <f t="shared" si="6"/>
        <v>1</v>
      </c>
      <c r="P415" s="92"/>
      <c r="Q415" s="92"/>
    </row>
    <row r="416" spans="1:17" ht="20.100000000000001" customHeight="1">
      <c r="A416" s="92">
        <v>410</v>
      </c>
      <c r="B416" s="1026" t="s">
        <v>1818</v>
      </c>
      <c r="C416" s="1026" t="s">
        <v>1588</v>
      </c>
      <c r="D416" s="1082"/>
      <c r="E416" s="92"/>
      <c r="F416" s="92"/>
      <c r="G416" s="92">
        <v>1</v>
      </c>
      <c r="H416" s="92"/>
      <c r="I416" s="92"/>
      <c r="J416" s="92"/>
      <c r="K416" s="1313"/>
      <c r="L416" s="1083"/>
      <c r="M416" s="1314" t="s">
        <v>32</v>
      </c>
      <c r="N416" s="1316">
        <v>3388979.19</v>
      </c>
      <c r="O416" s="1029">
        <f t="shared" si="6"/>
        <v>1</v>
      </c>
      <c r="P416" s="92"/>
      <c r="Q416" s="92"/>
    </row>
    <row r="417" spans="1:17" ht="20.100000000000001" customHeight="1">
      <c r="A417" s="92">
        <v>411</v>
      </c>
      <c r="B417" s="1026" t="s">
        <v>1818</v>
      </c>
      <c r="C417" s="1026" t="s">
        <v>1588</v>
      </c>
      <c r="D417" s="1082"/>
      <c r="E417" s="92"/>
      <c r="F417" s="92"/>
      <c r="G417" s="92">
        <v>1</v>
      </c>
      <c r="H417" s="92"/>
      <c r="I417" s="92"/>
      <c r="J417" s="92"/>
      <c r="K417" s="1317"/>
      <c r="L417" s="1318"/>
      <c r="M417" s="1314" t="s">
        <v>207</v>
      </c>
      <c r="N417" s="1315">
        <v>-104064293.14</v>
      </c>
      <c r="O417" s="1029">
        <f t="shared" si="6"/>
        <v>1</v>
      </c>
      <c r="P417" s="92"/>
      <c r="Q417" s="92"/>
    </row>
    <row r="418" spans="1:17" ht="20.100000000000001" customHeight="1">
      <c r="A418" s="92">
        <v>412</v>
      </c>
      <c r="B418" s="1026" t="s">
        <v>1818</v>
      </c>
      <c r="C418" s="1026" t="s">
        <v>1588</v>
      </c>
      <c r="D418" s="1082"/>
      <c r="E418" s="92"/>
      <c r="F418" s="92"/>
      <c r="G418" s="92">
        <v>1</v>
      </c>
      <c r="H418" s="92"/>
      <c r="I418" s="92"/>
      <c r="J418" s="92"/>
      <c r="K418" s="1317"/>
      <c r="L418" s="1318"/>
      <c r="M418" s="1314" t="s">
        <v>50</v>
      </c>
      <c r="N418" s="1315">
        <v>-27327.34</v>
      </c>
      <c r="O418" s="1029">
        <f t="shared" si="6"/>
        <v>1</v>
      </c>
      <c r="P418" s="92"/>
      <c r="Q418" s="92"/>
    </row>
    <row r="419" spans="1:17" ht="20.100000000000001" customHeight="1">
      <c r="A419" s="92">
        <v>413</v>
      </c>
      <c r="B419" s="1026" t="s">
        <v>1818</v>
      </c>
      <c r="C419" s="1026" t="s">
        <v>1588</v>
      </c>
      <c r="D419" s="1082"/>
      <c r="E419" s="92"/>
      <c r="F419" s="92"/>
      <c r="G419" s="92">
        <v>1</v>
      </c>
      <c r="H419" s="92"/>
      <c r="I419" s="92"/>
      <c r="J419" s="92"/>
      <c r="K419" s="1317"/>
      <c r="L419" s="1318"/>
      <c r="M419" s="1314" t="s">
        <v>1822</v>
      </c>
      <c r="N419" s="1315">
        <v>3964.47</v>
      </c>
      <c r="O419" s="1029">
        <f t="shared" si="6"/>
        <v>1</v>
      </c>
      <c r="P419" s="92"/>
      <c r="Q419" s="92"/>
    </row>
    <row r="420" spans="1:17" ht="20.100000000000001" customHeight="1">
      <c r="A420" s="92">
        <v>414</v>
      </c>
      <c r="B420" s="1026" t="s">
        <v>1818</v>
      </c>
      <c r="C420" s="1026" t="s">
        <v>1588</v>
      </c>
      <c r="D420" s="1082"/>
      <c r="E420" s="92"/>
      <c r="F420" s="92"/>
      <c r="G420" s="92">
        <v>1</v>
      </c>
      <c r="H420" s="92"/>
      <c r="I420" s="92"/>
      <c r="J420" s="92"/>
      <c r="K420" s="1156"/>
      <c r="L420" s="1318"/>
      <c r="M420" s="1319" t="s">
        <v>1823</v>
      </c>
      <c r="N420" s="1320" t="s">
        <v>1824</v>
      </c>
      <c r="O420" s="1029">
        <f t="shared" si="6"/>
        <v>1</v>
      </c>
      <c r="P420" s="92"/>
      <c r="Q420" s="92"/>
    </row>
    <row r="421" spans="1:17" ht="20.100000000000001" customHeight="1">
      <c r="A421" s="92">
        <v>415</v>
      </c>
      <c r="B421" s="1026" t="s">
        <v>1818</v>
      </c>
      <c r="C421" s="1026" t="s">
        <v>1588</v>
      </c>
      <c r="D421" s="1082"/>
      <c r="E421" s="92"/>
      <c r="F421" s="92"/>
      <c r="G421" s="92"/>
      <c r="H421" s="92"/>
      <c r="I421" s="92"/>
      <c r="J421" s="92"/>
      <c r="K421" s="1321">
        <v>1</v>
      </c>
      <c r="L421" s="1322" t="s">
        <v>1825</v>
      </c>
      <c r="M421" s="1323" t="s">
        <v>1826</v>
      </c>
      <c r="N421" s="1324">
        <v>23153.96</v>
      </c>
      <c r="O421" s="1029">
        <f t="shared" si="6"/>
        <v>1</v>
      </c>
      <c r="P421" s="92"/>
      <c r="Q421" s="92"/>
    </row>
    <row r="422" spans="1:17" ht="20.100000000000001" customHeight="1">
      <c r="A422" s="92">
        <v>416</v>
      </c>
      <c r="B422" s="1026" t="s">
        <v>1818</v>
      </c>
      <c r="C422" s="1026" t="s">
        <v>1588</v>
      </c>
      <c r="D422" s="1082"/>
      <c r="E422" s="92"/>
      <c r="F422" s="92"/>
      <c r="G422" s="92"/>
      <c r="H422" s="92"/>
      <c r="I422" s="92"/>
      <c r="J422" s="92"/>
      <c r="K422" s="1156">
        <v>1</v>
      </c>
      <c r="L422" s="1322"/>
      <c r="M422" s="1325" t="s">
        <v>167</v>
      </c>
      <c r="N422" s="1324"/>
      <c r="O422" s="1029">
        <f t="shared" si="6"/>
        <v>1</v>
      </c>
      <c r="P422" s="92"/>
      <c r="Q422" s="92"/>
    </row>
    <row r="423" spans="1:17" ht="20.100000000000001" customHeight="1">
      <c r="A423" s="92">
        <v>417</v>
      </c>
      <c r="B423" s="1026" t="s">
        <v>1818</v>
      </c>
      <c r="C423" s="1026" t="s">
        <v>1588</v>
      </c>
      <c r="D423" s="1082"/>
      <c r="E423" s="92"/>
      <c r="F423" s="92"/>
      <c r="G423" s="92"/>
      <c r="H423" s="92"/>
      <c r="I423" s="92"/>
      <c r="J423" s="92"/>
      <c r="K423" s="1156">
        <v>1</v>
      </c>
      <c r="L423" s="1326">
        <v>43597</v>
      </c>
      <c r="M423" s="1323" t="s">
        <v>1827</v>
      </c>
      <c r="N423" s="1327">
        <v>20913.82</v>
      </c>
      <c r="O423" s="1029">
        <f t="shared" si="6"/>
        <v>1</v>
      </c>
      <c r="P423" s="92"/>
      <c r="Q423" s="92"/>
    </row>
    <row r="424" spans="1:17" ht="20.100000000000001" customHeight="1">
      <c r="A424" s="92">
        <v>418</v>
      </c>
      <c r="B424" s="1026" t="s">
        <v>1818</v>
      </c>
      <c r="C424" s="1026" t="s">
        <v>1588</v>
      </c>
      <c r="D424" s="1082"/>
      <c r="E424" s="92"/>
      <c r="F424" s="92"/>
      <c r="G424" s="92"/>
      <c r="H424" s="92"/>
      <c r="I424" s="92"/>
      <c r="J424" s="92"/>
      <c r="K424" s="1156">
        <v>1</v>
      </c>
      <c r="L424" s="1326" t="s">
        <v>1828</v>
      </c>
      <c r="M424" s="1328" t="s">
        <v>1829</v>
      </c>
      <c r="N424" s="1327">
        <v>38153.980000000003</v>
      </c>
      <c r="O424" s="1029">
        <f t="shared" si="6"/>
        <v>1</v>
      </c>
      <c r="P424" s="92"/>
      <c r="Q424" s="92"/>
    </row>
    <row r="425" spans="1:17" ht="20.100000000000001" customHeight="1">
      <c r="A425" s="92">
        <v>419</v>
      </c>
      <c r="B425" s="1026" t="s">
        <v>1818</v>
      </c>
      <c r="C425" s="1026" t="s">
        <v>1588</v>
      </c>
      <c r="D425" s="1082"/>
      <c r="E425" s="92"/>
      <c r="F425" s="92"/>
      <c r="G425" s="92"/>
      <c r="H425" s="92"/>
      <c r="I425" s="92"/>
      <c r="J425" s="92"/>
      <c r="K425" s="1156">
        <v>1</v>
      </c>
      <c r="L425" s="1326">
        <v>41862</v>
      </c>
      <c r="M425" s="1323" t="s">
        <v>1830</v>
      </c>
      <c r="N425" s="1327">
        <v>229417.8</v>
      </c>
      <c r="O425" s="1029">
        <f t="shared" si="6"/>
        <v>1</v>
      </c>
      <c r="P425" s="92"/>
      <c r="Q425" s="92"/>
    </row>
    <row r="426" spans="1:17" ht="20.100000000000001" customHeight="1">
      <c r="A426" s="92">
        <v>420</v>
      </c>
      <c r="B426" s="1026" t="s">
        <v>1818</v>
      </c>
      <c r="C426" s="1026" t="s">
        <v>1588</v>
      </c>
      <c r="D426" s="1082"/>
      <c r="E426" s="92"/>
      <c r="F426" s="92"/>
      <c r="G426" s="92"/>
      <c r="H426" s="92"/>
      <c r="I426" s="92"/>
      <c r="J426" s="92"/>
      <c r="K426" s="1156">
        <v>1</v>
      </c>
      <c r="L426" s="1322" t="s">
        <v>1831</v>
      </c>
      <c r="M426" s="1329" t="s">
        <v>1832</v>
      </c>
      <c r="N426" s="1330">
        <v>1893.19</v>
      </c>
      <c r="O426" s="1029">
        <f t="shared" si="6"/>
        <v>1</v>
      </c>
      <c r="P426" s="92"/>
      <c r="Q426" s="92"/>
    </row>
    <row r="427" spans="1:17" ht="20.100000000000001" customHeight="1">
      <c r="A427" s="92">
        <v>421</v>
      </c>
      <c r="B427" s="1026" t="s">
        <v>1818</v>
      </c>
      <c r="C427" s="1026" t="s">
        <v>1588</v>
      </c>
      <c r="D427" s="1082"/>
      <c r="E427" s="92"/>
      <c r="F427" s="92"/>
      <c r="G427" s="92"/>
      <c r="H427" s="92"/>
      <c r="I427" s="92"/>
      <c r="J427" s="92"/>
      <c r="K427" s="1156">
        <v>1</v>
      </c>
      <c r="L427" s="1322" t="s">
        <v>1833</v>
      </c>
      <c r="M427" s="1329" t="s">
        <v>1834</v>
      </c>
      <c r="N427" s="1327">
        <v>26559.85</v>
      </c>
      <c r="O427" s="1029">
        <f t="shared" si="6"/>
        <v>1</v>
      </c>
      <c r="P427" s="92"/>
      <c r="Q427" s="92"/>
    </row>
    <row r="428" spans="1:17" ht="20.100000000000001" customHeight="1">
      <c r="A428" s="92">
        <v>422</v>
      </c>
      <c r="B428" s="1026" t="s">
        <v>1818</v>
      </c>
      <c r="C428" s="1026" t="s">
        <v>1588</v>
      </c>
      <c r="D428" s="1049" t="s">
        <v>33</v>
      </c>
      <c r="E428" s="92"/>
      <c r="F428" s="92"/>
      <c r="G428" s="92"/>
      <c r="H428" s="92"/>
      <c r="I428" s="92">
        <v>2045</v>
      </c>
      <c r="J428" s="92"/>
      <c r="K428" s="1331"/>
      <c r="L428" s="1059"/>
      <c r="M428" s="1034" t="s">
        <v>1835</v>
      </c>
      <c r="N428" s="186"/>
      <c r="O428" s="1029">
        <f t="shared" si="6"/>
        <v>2045</v>
      </c>
      <c r="P428" s="92"/>
      <c r="Q428" s="92"/>
    </row>
    <row r="429" spans="1:17" ht="20.100000000000001" customHeight="1">
      <c r="A429" s="92">
        <v>423</v>
      </c>
      <c r="B429" s="1026" t="s">
        <v>1818</v>
      </c>
      <c r="C429" s="1026" t="s">
        <v>1588</v>
      </c>
      <c r="D429" s="1049" t="s">
        <v>36</v>
      </c>
      <c r="E429" s="92"/>
      <c r="F429" s="92">
        <v>806</v>
      </c>
      <c r="G429" s="92"/>
      <c r="H429" s="92"/>
      <c r="I429" s="92"/>
      <c r="J429" s="92"/>
      <c r="K429" s="1118"/>
      <c r="L429" s="1047"/>
      <c r="M429" s="1034" t="s">
        <v>1836</v>
      </c>
      <c r="N429" s="155"/>
      <c r="O429" s="1029">
        <f t="shared" si="6"/>
        <v>806</v>
      </c>
      <c r="P429" s="92"/>
      <c r="Q429" s="92"/>
    </row>
    <row r="430" spans="1:17" ht="20.100000000000001" customHeight="1">
      <c r="A430" s="92">
        <v>424</v>
      </c>
      <c r="B430" s="1026" t="s">
        <v>1818</v>
      </c>
      <c r="C430" s="1026" t="s">
        <v>1588</v>
      </c>
      <c r="D430" s="1049" t="s">
        <v>36</v>
      </c>
      <c r="E430" s="92">
        <v>515</v>
      </c>
      <c r="F430" s="92"/>
      <c r="G430" s="92"/>
      <c r="H430" s="92"/>
      <c r="I430" s="92"/>
      <c r="J430" s="92"/>
      <c r="K430" s="1118"/>
      <c r="L430" s="1047"/>
      <c r="M430" s="1037" t="s">
        <v>1591</v>
      </c>
      <c r="N430" s="155"/>
      <c r="O430" s="1029">
        <f t="shared" si="6"/>
        <v>515</v>
      </c>
      <c r="P430" s="92"/>
      <c r="Q430" s="92"/>
    </row>
    <row r="431" spans="1:17" ht="20.100000000000001" customHeight="1">
      <c r="A431" s="92">
        <v>425</v>
      </c>
      <c r="B431" s="2730" t="s">
        <v>2990</v>
      </c>
      <c r="C431" s="1026" t="s">
        <v>1588</v>
      </c>
      <c r="D431" s="2731" t="s">
        <v>103</v>
      </c>
      <c r="E431" s="92"/>
      <c r="F431" s="92"/>
      <c r="G431" s="92"/>
      <c r="H431" s="92"/>
      <c r="I431" s="92"/>
      <c r="J431" s="92"/>
      <c r="K431" s="2732">
        <v>1</v>
      </c>
      <c r="L431" s="1047"/>
      <c r="M431" s="2733" t="s">
        <v>2991</v>
      </c>
      <c r="N431" s="181">
        <v>600</v>
      </c>
      <c r="O431" s="1029">
        <f t="shared" si="6"/>
        <v>1</v>
      </c>
      <c r="P431" s="92"/>
      <c r="Q431" s="92"/>
    </row>
    <row r="432" spans="1:17" ht="20.100000000000001" customHeight="1">
      <c r="A432" s="92">
        <v>426</v>
      </c>
      <c r="B432" s="2730" t="s">
        <v>2990</v>
      </c>
      <c r="C432" s="1026" t="s">
        <v>1588</v>
      </c>
      <c r="D432" s="2731" t="s">
        <v>103</v>
      </c>
      <c r="E432" s="92"/>
      <c r="F432" s="92"/>
      <c r="G432" s="92"/>
      <c r="H432" s="92"/>
      <c r="I432" s="92"/>
      <c r="J432" s="92">
        <v>262</v>
      </c>
      <c r="K432" s="1246"/>
      <c r="L432" s="1047"/>
      <c r="M432" s="965" t="s">
        <v>2992</v>
      </c>
      <c r="N432" s="2734">
        <v>8247.75</v>
      </c>
      <c r="O432" s="1029">
        <f t="shared" si="6"/>
        <v>262</v>
      </c>
      <c r="P432" s="92"/>
      <c r="Q432" s="92"/>
    </row>
    <row r="433" spans="1:17" ht="20.100000000000001" customHeight="1">
      <c r="A433" s="92">
        <v>427</v>
      </c>
      <c r="B433" s="2730" t="s">
        <v>2990</v>
      </c>
      <c r="C433" s="1026" t="s">
        <v>1588</v>
      </c>
      <c r="D433" s="2731"/>
      <c r="E433" s="92"/>
      <c r="F433" s="92"/>
      <c r="G433" s="92">
        <v>1</v>
      </c>
      <c r="H433" s="92"/>
      <c r="I433" s="92"/>
      <c r="J433" s="92"/>
      <c r="K433" s="1246"/>
      <c r="L433" s="1047"/>
      <c r="M433" s="2735" t="s">
        <v>49</v>
      </c>
      <c r="N433" s="2736">
        <v>231305640.19999999</v>
      </c>
      <c r="O433" s="1029">
        <f t="shared" si="6"/>
        <v>1</v>
      </c>
      <c r="P433" s="92"/>
      <c r="Q433" s="92"/>
    </row>
    <row r="434" spans="1:17" ht="20.100000000000001" customHeight="1">
      <c r="A434" s="92">
        <v>428</v>
      </c>
      <c r="B434" s="2730" t="s">
        <v>2990</v>
      </c>
      <c r="C434" s="1026" t="s">
        <v>1588</v>
      </c>
      <c r="D434" s="2731"/>
      <c r="E434" s="92"/>
      <c r="F434" s="92"/>
      <c r="G434" s="92">
        <v>1</v>
      </c>
      <c r="H434" s="92"/>
      <c r="I434" s="92"/>
      <c r="J434" s="92"/>
      <c r="K434" s="1072"/>
      <c r="L434" s="1047"/>
      <c r="M434" s="1100" t="s">
        <v>2993</v>
      </c>
      <c r="N434" s="2737">
        <v>500.77</v>
      </c>
      <c r="O434" s="1029">
        <f t="shared" si="6"/>
        <v>1</v>
      </c>
      <c r="P434" s="92"/>
      <c r="Q434" s="92"/>
    </row>
    <row r="435" spans="1:17" ht="20.100000000000001" customHeight="1">
      <c r="A435" s="92">
        <v>429</v>
      </c>
      <c r="B435" s="2730" t="s">
        <v>2990</v>
      </c>
      <c r="C435" s="1026" t="s">
        <v>1588</v>
      </c>
      <c r="D435" s="2731"/>
      <c r="E435" s="92"/>
      <c r="F435" s="92"/>
      <c r="G435" s="92">
        <v>1</v>
      </c>
      <c r="H435" s="92"/>
      <c r="I435" s="92"/>
      <c r="J435" s="92"/>
      <c r="K435" s="1072"/>
      <c r="L435" s="1047"/>
      <c r="M435" s="1100" t="s">
        <v>50</v>
      </c>
      <c r="N435" s="1308">
        <v>478.67</v>
      </c>
      <c r="O435" s="1029">
        <f t="shared" si="6"/>
        <v>1</v>
      </c>
      <c r="P435" s="92"/>
      <c r="Q435" s="92"/>
    </row>
    <row r="436" spans="1:17" ht="20.100000000000001" customHeight="1">
      <c r="A436" s="92">
        <v>430</v>
      </c>
      <c r="B436" s="2730" t="s">
        <v>2990</v>
      </c>
      <c r="C436" s="1026" t="s">
        <v>1588</v>
      </c>
      <c r="D436" s="2731"/>
      <c r="E436" s="92"/>
      <c r="F436" s="92"/>
      <c r="G436" s="92">
        <v>1</v>
      </c>
      <c r="H436" s="92"/>
      <c r="I436" s="92"/>
      <c r="J436" s="92"/>
      <c r="K436" s="2721"/>
      <c r="L436" s="1047"/>
      <c r="M436" s="2738" t="s">
        <v>2994</v>
      </c>
      <c r="N436" s="1308">
        <v>28.1</v>
      </c>
      <c r="O436" s="1029">
        <f t="shared" si="6"/>
        <v>1</v>
      </c>
      <c r="P436" s="92"/>
      <c r="Q436" s="92"/>
    </row>
    <row r="437" spans="1:17" ht="20.100000000000001" customHeight="1">
      <c r="A437" s="92">
        <v>431</v>
      </c>
      <c r="B437" s="2730" t="s">
        <v>2990</v>
      </c>
      <c r="C437" s="1026" t="s">
        <v>1588</v>
      </c>
      <c r="D437" s="2731"/>
      <c r="E437" s="92"/>
      <c r="F437" s="92"/>
      <c r="G437" s="92"/>
      <c r="H437" s="92">
        <v>201</v>
      </c>
      <c r="I437" s="92"/>
      <c r="J437" s="92"/>
      <c r="K437" s="2739"/>
      <c r="L437" s="1047"/>
      <c r="M437" s="1034" t="s">
        <v>2995</v>
      </c>
      <c r="N437" s="186"/>
      <c r="O437" s="1029">
        <f t="shared" si="6"/>
        <v>201</v>
      </c>
      <c r="P437" s="92"/>
      <c r="Q437" s="92"/>
    </row>
    <row r="438" spans="1:17" ht="20.100000000000001" customHeight="1">
      <c r="A438" s="92">
        <v>432</v>
      </c>
      <c r="B438" s="2730" t="s">
        <v>2990</v>
      </c>
      <c r="C438" s="1026" t="s">
        <v>1588</v>
      </c>
      <c r="D438" s="2731"/>
      <c r="E438" s="92"/>
      <c r="F438" s="92"/>
      <c r="G438" s="92"/>
      <c r="H438" s="92"/>
      <c r="I438" s="92">
        <v>2320</v>
      </c>
      <c r="J438" s="92"/>
      <c r="K438" s="2740"/>
      <c r="L438" s="1047"/>
      <c r="M438" s="2741" t="s">
        <v>538</v>
      </c>
      <c r="N438" s="401"/>
      <c r="O438" s="1029">
        <f t="shared" si="6"/>
        <v>2320</v>
      </c>
      <c r="P438" s="92"/>
      <c r="Q438" s="92"/>
    </row>
    <row r="439" spans="1:17" ht="20.100000000000001" customHeight="1">
      <c r="A439" s="92">
        <v>433</v>
      </c>
      <c r="B439" s="2730" t="s">
        <v>2990</v>
      </c>
      <c r="C439" s="1026" t="s">
        <v>1588</v>
      </c>
      <c r="D439" s="2731" t="s">
        <v>36</v>
      </c>
      <c r="E439" s="92"/>
      <c r="F439" s="92">
        <v>479</v>
      </c>
      <c r="G439" s="92"/>
      <c r="H439" s="92"/>
      <c r="I439" s="92"/>
      <c r="J439" s="92"/>
      <c r="K439" s="2742"/>
      <c r="L439" s="1047"/>
      <c r="M439" s="1200" t="s">
        <v>2996</v>
      </c>
      <c r="N439" s="155"/>
      <c r="O439" s="1029">
        <f t="shared" si="6"/>
        <v>479</v>
      </c>
      <c r="P439" s="92"/>
      <c r="Q439" s="92"/>
    </row>
    <row r="440" spans="1:17" ht="20.100000000000001" customHeight="1">
      <c r="A440" s="92">
        <v>434</v>
      </c>
      <c r="B440" s="2730" t="s">
        <v>2990</v>
      </c>
      <c r="C440" s="1026" t="s">
        <v>1588</v>
      </c>
      <c r="D440" s="2731" t="s">
        <v>36</v>
      </c>
      <c r="E440" s="92">
        <v>17</v>
      </c>
      <c r="F440" s="92"/>
      <c r="G440" s="92"/>
      <c r="H440" s="92"/>
      <c r="I440" s="92"/>
      <c r="J440" s="92"/>
      <c r="K440" s="2742"/>
      <c r="L440" s="1047"/>
      <c r="M440" s="1037" t="s">
        <v>1591</v>
      </c>
      <c r="N440" s="155"/>
      <c r="O440" s="1029">
        <f t="shared" si="6"/>
        <v>17</v>
      </c>
      <c r="P440" s="92"/>
      <c r="Q440" s="92"/>
    </row>
    <row r="441" spans="1:17" ht="20.100000000000001" customHeight="1">
      <c r="A441" s="92">
        <v>435</v>
      </c>
      <c r="B441" s="2730" t="s">
        <v>2997</v>
      </c>
      <c r="C441" s="1026" t="s">
        <v>1588</v>
      </c>
      <c r="D441" s="2699" t="s">
        <v>26</v>
      </c>
      <c r="E441" s="92"/>
      <c r="F441" s="92"/>
      <c r="G441" s="92"/>
      <c r="H441" s="92"/>
      <c r="I441" s="92"/>
      <c r="J441" s="92"/>
      <c r="K441" s="1256">
        <v>1</v>
      </c>
      <c r="L441" s="1047"/>
      <c r="M441" s="2743" t="s">
        <v>2998</v>
      </c>
      <c r="N441" s="2744">
        <v>-21700</v>
      </c>
      <c r="O441" s="1029">
        <f t="shared" si="6"/>
        <v>1</v>
      </c>
      <c r="P441" s="92"/>
      <c r="Q441" s="92"/>
    </row>
    <row r="442" spans="1:17" ht="20.100000000000001" customHeight="1">
      <c r="A442" s="92">
        <v>436</v>
      </c>
      <c r="B442" s="2730" t="s">
        <v>2997</v>
      </c>
      <c r="C442" s="1026" t="s">
        <v>1588</v>
      </c>
      <c r="D442" s="2745"/>
      <c r="E442" s="92"/>
      <c r="F442" s="92"/>
      <c r="G442" s="92">
        <v>1</v>
      </c>
      <c r="H442" s="92"/>
      <c r="I442" s="92"/>
      <c r="J442" s="92"/>
      <c r="K442" s="1256"/>
      <c r="L442" s="1047"/>
      <c r="M442" s="2022" t="s">
        <v>207</v>
      </c>
      <c r="N442" s="2746">
        <v>196362.61</v>
      </c>
      <c r="O442" s="1029">
        <f t="shared" si="6"/>
        <v>1</v>
      </c>
      <c r="P442" s="92"/>
      <c r="Q442" s="92"/>
    </row>
    <row r="443" spans="1:17" ht="20.100000000000001" customHeight="1">
      <c r="A443" s="92">
        <v>437</v>
      </c>
      <c r="B443" s="2730" t="s">
        <v>2997</v>
      </c>
      <c r="C443" s="1026" t="s">
        <v>1588</v>
      </c>
      <c r="D443" s="2747"/>
      <c r="E443" s="92"/>
      <c r="F443" s="92"/>
      <c r="G443" s="92">
        <v>1</v>
      </c>
      <c r="H443" s="92"/>
      <c r="I443" s="92"/>
      <c r="J443" s="92"/>
      <c r="K443" s="2748"/>
      <c r="L443" s="1047"/>
      <c r="M443" s="2022" t="s">
        <v>32</v>
      </c>
      <c r="N443" s="891">
        <v>50.56</v>
      </c>
      <c r="O443" s="1029">
        <f t="shared" si="6"/>
        <v>1</v>
      </c>
      <c r="P443" s="92"/>
      <c r="Q443" s="92"/>
    </row>
    <row r="444" spans="1:17" ht="20.100000000000001" customHeight="1">
      <c r="A444" s="92">
        <v>438</v>
      </c>
      <c r="B444" s="2730" t="s">
        <v>2997</v>
      </c>
      <c r="C444" s="1026" t="s">
        <v>1588</v>
      </c>
      <c r="D444" s="2749"/>
      <c r="E444" s="92"/>
      <c r="F444" s="92"/>
      <c r="G444" s="92"/>
      <c r="H444" s="92"/>
      <c r="I444" s="92">
        <v>1228</v>
      </c>
      <c r="J444" s="92"/>
      <c r="K444" s="2750"/>
      <c r="L444" s="1047"/>
      <c r="M444" s="2147" t="s">
        <v>2999</v>
      </c>
      <c r="N444" s="888"/>
      <c r="O444" s="1029">
        <f t="shared" si="6"/>
        <v>1228</v>
      </c>
      <c r="P444" s="92"/>
      <c r="Q444" s="92"/>
    </row>
    <row r="445" spans="1:17" ht="20.100000000000001" customHeight="1">
      <c r="A445" s="92">
        <v>439</v>
      </c>
      <c r="B445" s="2730" t="s">
        <v>2997</v>
      </c>
      <c r="C445" s="1026" t="s">
        <v>1588</v>
      </c>
      <c r="D445" s="2699" t="s">
        <v>36</v>
      </c>
      <c r="E445" s="92">
        <v>37</v>
      </c>
      <c r="F445" s="92"/>
      <c r="G445" s="92"/>
      <c r="H445" s="92"/>
      <c r="I445" s="92"/>
      <c r="J445" s="92"/>
      <c r="K445" s="2748"/>
      <c r="L445" s="1047"/>
      <c r="M445" s="888" t="s">
        <v>3000</v>
      </c>
      <c r="N445" s="2751"/>
      <c r="O445" s="1029">
        <f t="shared" si="6"/>
        <v>37</v>
      </c>
      <c r="P445" s="92"/>
      <c r="Q445" s="92"/>
    </row>
    <row r="446" spans="1:17" ht="20.100000000000001" customHeight="1">
      <c r="A446" s="92">
        <v>440</v>
      </c>
      <c r="B446" s="2730" t="s">
        <v>2997</v>
      </c>
      <c r="C446" s="1026" t="s">
        <v>1588</v>
      </c>
      <c r="D446" s="2699" t="s">
        <v>38</v>
      </c>
      <c r="E446" s="92"/>
      <c r="F446" s="92"/>
      <c r="G446" s="92"/>
      <c r="H446" s="92"/>
      <c r="I446" s="92"/>
      <c r="J446" s="92"/>
      <c r="K446" s="2748">
        <v>1</v>
      </c>
      <c r="L446" s="1047"/>
      <c r="M446" s="2752" t="s">
        <v>3001</v>
      </c>
      <c r="N446" s="2753">
        <v>400000</v>
      </c>
      <c r="O446" s="1029">
        <f t="shared" si="6"/>
        <v>0</v>
      </c>
      <c r="P446" s="92">
        <v>1</v>
      </c>
      <c r="Q446" s="92"/>
    </row>
    <row r="447" spans="1:17" ht="20.100000000000001" customHeight="1">
      <c r="A447" s="92">
        <v>441</v>
      </c>
      <c r="B447" s="2730" t="s">
        <v>2997</v>
      </c>
      <c r="C447" s="1026" t="s">
        <v>1588</v>
      </c>
      <c r="D447" s="1280"/>
      <c r="E447" s="92"/>
      <c r="F447" s="92"/>
      <c r="G447" s="92"/>
      <c r="H447" s="92"/>
      <c r="I447" s="92"/>
      <c r="J447" s="92"/>
      <c r="K447" s="2748">
        <v>1</v>
      </c>
      <c r="L447" s="1047"/>
      <c r="M447" s="2754" t="s">
        <v>3002</v>
      </c>
      <c r="N447" s="2753">
        <v>50000</v>
      </c>
      <c r="O447" s="1029">
        <f t="shared" si="6"/>
        <v>0</v>
      </c>
      <c r="P447" s="92">
        <v>1</v>
      </c>
      <c r="Q447" s="92"/>
    </row>
    <row r="448" spans="1:17" ht="20.100000000000001" customHeight="1">
      <c r="A448" s="92">
        <v>442</v>
      </c>
      <c r="B448" s="2730" t="s">
        <v>2997</v>
      </c>
      <c r="C448" s="1026" t="s">
        <v>1588</v>
      </c>
      <c r="D448" s="1280"/>
      <c r="E448" s="92"/>
      <c r="F448" s="92"/>
      <c r="G448" s="92"/>
      <c r="H448" s="92"/>
      <c r="I448" s="92"/>
      <c r="J448" s="92"/>
      <c r="K448" s="2748">
        <v>1</v>
      </c>
      <c r="L448" s="1047"/>
      <c r="M448" s="2755" t="s">
        <v>3003</v>
      </c>
      <c r="N448" s="2753">
        <v>200000</v>
      </c>
      <c r="O448" s="1029">
        <f t="shared" si="6"/>
        <v>0</v>
      </c>
      <c r="P448" s="92">
        <v>1</v>
      </c>
      <c r="Q448" s="92"/>
    </row>
    <row r="449" spans="1:17" ht="20.100000000000001" customHeight="1">
      <c r="A449" s="92">
        <v>443</v>
      </c>
      <c r="B449" s="2730" t="s">
        <v>3004</v>
      </c>
      <c r="C449" s="1026" t="s">
        <v>1588</v>
      </c>
      <c r="D449" s="2756"/>
      <c r="E449" s="92"/>
      <c r="F449" s="92"/>
      <c r="G449" s="92">
        <v>1</v>
      </c>
      <c r="H449" s="92"/>
      <c r="I449" s="92"/>
      <c r="J449" s="92"/>
      <c r="K449" s="2757"/>
      <c r="L449" s="1047"/>
      <c r="M449" s="2022" t="s">
        <v>49</v>
      </c>
      <c r="N449" s="2180" t="s">
        <v>3005</v>
      </c>
      <c r="O449" s="1029">
        <f t="shared" si="6"/>
        <v>1</v>
      </c>
      <c r="P449" s="92"/>
      <c r="Q449" s="92"/>
    </row>
    <row r="450" spans="1:17" ht="20.100000000000001" customHeight="1">
      <c r="A450" s="92">
        <v>444</v>
      </c>
      <c r="B450" s="2730" t="s">
        <v>3004</v>
      </c>
      <c r="C450" s="1026" t="s">
        <v>1588</v>
      </c>
      <c r="D450" s="2756"/>
      <c r="E450" s="92"/>
      <c r="F450" s="92"/>
      <c r="G450" s="92">
        <v>1</v>
      </c>
      <c r="H450" s="92"/>
      <c r="I450" s="92"/>
      <c r="J450" s="92"/>
      <c r="K450" s="2757"/>
      <c r="L450" s="1047"/>
      <c r="M450" s="2022" t="s">
        <v>3006</v>
      </c>
      <c r="N450" s="2758">
        <v>0.55000000000000004</v>
      </c>
      <c r="O450" s="1029">
        <f t="shared" si="6"/>
        <v>1</v>
      </c>
      <c r="P450" s="92"/>
      <c r="Q450" s="92"/>
    </row>
    <row r="451" spans="1:17" ht="20.100000000000001" customHeight="1">
      <c r="A451" s="92">
        <v>445</v>
      </c>
      <c r="B451" s="2730" t="s">
        <v>3004</v>
      </c>
      <c r="C451" s="1026" t="s">
        <v>1588</v>
      </c>
      <c r="D451" s="2756"/>
      <c r="E451" s="92"/>
      <c r="F451" s="92"/>
      <c r="G451" s="92">
        <v>1</v>
      </c>
      <c r="H451" s="92"/>
      <c r="I451" s="92"/>
      <c r="J451" s="92"/>
      <c r="K451" s="2153"/>
      <c r="L451" s="1047"/>
      <c r="M451" s="2022" t="s">
        <v>207</v>
      </c>
      <c r="N451" s="2759">
        <v>-1074568.52</v>
      </c>
      <c r="O451" s="1029">
        <f t="shared" si="6"/>
        <v>1</v>
      </c>
      <c r="P451" s="92"/>
      <c r="Q451" s="92"/>
    </row>
    <row r="452" spans="1:17" ht="20.100000000000001" customHeight="1">
      <c r="A452" s="92">
        <v>446</v>
      </c>
      <c r="B452" s="2730" t="s">
        <v>3004</v>
      </c>
      <c r="C452" s="1026" t="s">
        <v>1588</v>
      </c>
      <c r="D452" s="2756"/>
      <c r="E452" s="92"/>
      <c r="F452" s="92"/>
      <c r="G452" s="92"/>
      <c r="H452" s="92"/>
      <c r="I452" s="92">
        <v>946</v>
      </c>
      <c r="J452" s="92"/>
      <c r="K452" s="1072"/>
      <c r="L452" s="1047"/>
      <c r="M452" s="2023" t="s">
        <v>35</v>
      </c>
      <c r="N452" s="2760"/>
      <c r="O452" s="1029">
        <f t="shared" si="6"/>
        <v>946</v>
      </c>
      <c r="P452" s="92"/>
      <c r="Q452" s="92"/>
    </row>
    <row r="453" spans="1:17" ht="20.100000000000001" customHeight="1">
      <c r="A453" s="92">
        <v>447</v>
      </c>
      <c r="B453" s="2730" t="s">
        <v>3004</v>
      </c>
      <c r="C453" s="1026" t="s">
        <v>1588</v>
      </c>
      <c r="D453" s="2756" t="s">
        <v>36</v>
      </c>
      <c r="E453" s="92"/>
      <c r="F453" s="92">
        <v>455</v>
      </c>
      <c r="G453" s="92"/>
      <c r="H453" s="92"/>
      <c r="I453" s="92"/>
      <c r="J453" s="92"/>
      <c r="K453" s="1072"/>
      <c r="L453" s="1047"/>
      <c r="M453" s="2023" t="s">
        <v>3007</v>
      </c>
      <c r="N453" s="2761"/>
      <c r="O453" s="1029">
        <f t="shared" si="6"/>
        <v>455</v>
      </c>
      <c r="P453" s="92"/>
      <c r="Q453" s="92"/>
    </row>
    <row r="454" spans="1:17" ht="20.100000000000001" customHeight="1">
      <c r="A454" s="92">
        <v>448</v>
      </c>
      <c r="B454" s="2730" t="s">
        <v>3008</v>
      </c>
      <c r="C454" s="1026" t="s">
        <v>1588</v>
      </c>
      <c r="D454" s="2731" t="s">
        <v>26</v>
      </c>
      <c r="E454" s="92"/>
      <c r="F454" s="92"/>
      <c r="G454" s="92"/>
      <c r="H454" s="92"/>
      <c r="I454" s="92"/>
      <c r="J454" s="92"/>
      <c r="K454" s="1047">
        <v>1</v>
      </c>
      <c r="L454" s="1047"/>
      <c r="M454" s="1104" t="s">
        <v>3009</v>
      </c>
      <c r="N454" s="434">
        <v>46650</v>
      </c>
      <c r="O454" s="1029">
        <f t="shared" si="6"/>
        <v>1</v>
      </c>
      <c r="P454" s="92"/>
      <c r="Q454" s="92"/>
    </row>
    <row r="455" spans="1:17" ht="20.100000000000001" customHeight="1">
      <c r="A455" s="92">
        <v>449</v>
      </c>
      <c r="B455" s="2730" t="s">
        <v>3008</v>
      </c>
      <c r="C455" s="1026" t="s">
        <v>1588</v>
      </c>
      <c r="D455" s="1049" t="s">
        <v>103</v>
      </c>
      <c r="E455" s="92"/>
      <c r="F455" s="92"/>
      <c r="G455" s="92"/>
      <c r="H455" s="92"/>
      <c r="I455" s="92"/>
      <c r="J455" s="92">
        <v>534</v>
      </c>
      <c r="K455" s="1047"/>
      <c r="L455" s="1047"/>
      <c r="M455" s="2762" t="s">
        <v>3010</v>
      </c>
      <c r="N455" s="434">
        <v>20858.25</v>
      </c>
      <c r="O455" s="1029">
        <f t="shared" si="6"/>
        <v>534</v>
      </c>
      <c r="P455" s="92"/>
      <c r="Q455" s="92"/>
    </row>
    <row r="456" spans="1:17" ht="20.100000000000001" customHeight="1">
      <c r="A456" s="92">
        <v>450</v>
      </c>
      <c r="B456" s="2730" t="s">
        <v>3008</v>
      </c>
      <c r="C456" s="1026" t="s">
        <v>1588</v>
      </c>
      <c r="D456" s="2731"/>
      <c r="E456" s="92"/>
      <c r="F456" s="92"/>
      <c r="G456" s="92">
        <v>1</v>
      </c>
      <c r="H456" s="92"/>
      <c r="I456" s="92"/>
      <c r="J456" s="92"/>
      <c r="K456" s="1047"/>
      <c r="L456" s="1047"/>
      <c r="M456" s="1100" t="s">
        <v>3011</v>
      </c>
      <c r="N456" s="434">
        <v>12964.64</v>
      </c>
      <c r="O456" s="1029">
        <f t="shared" si="6"/>
        <v>1</v>
      </c>
      <c r="P456" s="92"/>
      <c r="Q456" s="92"/>
    </row>
    <row r="457" spans="1:17" ht="20.100000000000001" customHeight="1">
      <c r="A457" s="92">
        <v>451</v>
      </c>
      <c r="B457" s="2730" t="s">
        <v>3008</v>
      </c>
      <c r="C457" s="1026" t="s">
        <v>1588</v>
      </c>
      <c r="D457" s="2731"/>
      <c r="E457" s="92"/>
      <c r="F457" s="92"/>
      <c r="G457" s="92">
        <v>1</v>
      </c>
      <c r="H457" s="92"/>
      <c r="I457" s="92"/>
      <c r="J457" s="92"/>
      <c r="K457" s="1047"/>
      <c r="L457" s="1047"/>
      <c r="M457" s="1100" t="s">
        <v>31</v>
      </c>
      <c r="N457" s="434">
        <v>-2714.55</v>
      </c>
      <c r="O457" s="1029">
        <f t="shared" si="6"/>
        <v>1</v>
      </c>
      <c r="P457" s="92"/>
      <c r="Q457" s="92"/>
    </row>
    <row r="458" spans="1:17" ht="20.100000000000001" customHeight="1">
      <c r="A458" s="92">
        <v>452</v>
      </c>
      <c r="B458" s="2730" t="s">
        <v>3008</v>
      </c>
      <c r="C458" s="1026" t="s">
        <v>1588</v>
      </c>
      <c r="D458" s="2731"/>
      <c r="E458" s="92"/>
      <c r="F458" s="92"/>
      <c r="G458" s="92">
        <v>1</v>
      </c>
      <c r="H458" s="92"/>
      <c r="I458" s="92"/>
      <c r="J458" s="92"/>
      <c r="K458" s="1047"/>
      <c r="L458" s="1047"/>
      <c r="M458" s="1100" t="s">
        <v>32</v>
      </c>
      <c r="N458" s="434">
        <v>65493</v>
      </c>
      <c r="O458" s="1029">
        <f t="shared" ref="O458:O513" si="7">E458+F458+G458+H458+I458+J458+K458-P458</f>
        <v>1</v>
      </c>
      <c r="P458" s="92"/>
      <c r="Q458" s="92"/>
    </row>
    <row r="459" spans="1:17" ht="20.100000000000001" customHeight="1">
      <c r="A459" s="92">
        <v>453</v>
      </c>
      <c r="B459" s="2730" t="s">
        <v>3008</v>
      </c>
      <c r="C459" s="1026" t="s">
        <v>1588</v>
      </c>
      <c r="D459" s="1049"/>
      <c r="E459" s="92"/>
      <c r="F459" s="92"/>
      <c r="G459" s="92"/>
      <c r="H459" s="92"/>
      <c r="I459" s="92"/>
      <c r="J459" s="92"/>
      <c r="K459" s="1059">
        <v>4</v>
      </c>
      <c r="L459" s="1047"/>
      <c r="M459" s="1200" t="s">
        <v>3012</v>
      </c>
      <c r="N459" s="437">
        <v>23502</v>
      </c>
      <c r="O459" s="1029">
        <f t="shared" si="7"/>
        <v>4</v>
      </c>
      <c r="P459" s="92"/>
      <c r="Q459" s="92"/>
    </row>
    <row r="460" spans="1:17" ht="20.100000000000001" customHeight="1">
      <c r="A460" s="92">
        <v>454</v>
      </c>
      <c r="B460" s="2730" t="s">
        <v>3008</v>
      </c>
      <c r="C460" s="1026" t="s">
        <v>1588</v>
      </c>
      <c r="D460" s="2731"/>
      <c r="E460" s="92"/>
      <c r="F460" s="92"/>
      <c r="G460" s="92"/>
      <c r="H460" s="92"/>
      <c r="I460" s="92"/>
      <c r="J460" s="92"/>
      <c r="K460" s="1059">
        <v>1</v>
      </c>
      <c r="L460" s="1047"/>
      <c r="M460" s="1200" t="s">
        <v>3013</v>
      </c>
      <c r="N460" s="437">
        <v>2500</v>
      </c>
      <c r="O460" s="1029">
        <f t="shared" si="7"/>
        <v>1</v>
      </c>
      <c r="P460" s="92"/>
      <c r="Q460" s="92"/>
    </row>
    <row r="461" spans="1:17" ht="20.100000000000001" customHeight="1">
      <c r="A461" s="92">
        <v>455</v>
      </c>
      <c r="B461" s="2730" t="s">
        <v>3008</v>
      </c>
      <c r="C461" s="1026" t="s">
        <v>1588</v>
      </c>
      <c r="D461" s="2731" t="s">
        <v>68</v>
      </c>
      <c r="E461" s="92"/>
      <c r="F461" s="92"/>
      <c r="G461" s="92"/>
      <c r="H461" s="92"/>
      <c r="I461" s="92"/>
      <c r="J461" s="92"/>
      <c r="K461" s="1059">
        <v>1</v>
      </c>
      <c r="L461" s="1047"/>
      <c r="M461" s="1206" t="s">
        <v>3014</v>
      </c>
      <c r="N461" s="2763">
        <v>-551485.57999999996</v>
      </c>
      <c r="O461" s="1029">
        <f t="shared" si="7"/>
        <v>1</v>
      </c>
      <c r="P461" s="92"/>
      <c r="Q461" s="92"/>
    </row>
    <row r="462" spans="1:17" ht="20.100000000000001" customHeight="1">
      <c r="A462" s="92">
        <v>456</v>
      </c>
      <c r="B462" s="2730" t="s">
        <v>3008</v>
      </c>
      <c r="C462" s="1026" t="s">
        <v>1588</v>
      </c>
      <c r="D462" s="2764"/>
      <c r="E462" s="92"/>
      <c r="F462" s="92"/>
      <c r="G462" s="92"/>
      <c r="H462" s="92"/>
      <c r="I462" s="92"/>
      <c r="J462" s="92"/>
      <c r="K462" s="2764">
        <v>1</v>
      </c>
      <c r="L462" s="1047"/>
      <c r="M462" s="2765" t="s">
        <v>3015</v>
      </c>
      <c r="N462" s="2766">
        <v>2100.6</v>
      </c>
      <c r="O462" s="1029">
        <f t="shared" si="7"/>
        <v>1</v>
      </c>
      <c r="P462" s="92"/>
      <c r="Q462" s="92"/>
    </row>
    <row r="463" spans="1:17" ht="20.100000000000001" customHeight="1">
      <c r="A463" s="92">
        <v>457</v>
      </c>
      <c r="B463" s="2730" t="s">
        <v>3008</v>
      </c>
      <c r="C463" s="1026" t="s">
        <v>1588</v>
      </c>
      <c r="D463" s="2731"/>
      <c r="E463" s="92"/>
      <c r="F463" s="92"/>
      <c r="G463" s="92"/>
      <c r="H463" s="92"/>
      <c r="I463" s="92">
        <v>4260</v>
      </c>
      <c r="J463" s="92"/>
      <c r="K463" s="1155"/>
      <c r="L463" s="1047"/>
      <c r="M463" s="1034" t="s">
        <v>35</v>
      </c>
      <c r="N463" s="2767"/>
      <c r="O463" s="1029">
        <f t="shared" si="7"/>
        <v>4260</v>
      </c>
      <c r="P463" s="92"/>
      <c r="Q463" s="92"/>
    </row>
    <row r="464" spans="1:17" ht="20.100000000000001" customHeight="1">
      <c r="A464" s="92">
        <v>458</v>
      </c>
      <c r="B464" s="2730" t="s">
        <v>3008</v>
      </c>
      <c r="C464" s="1026" t="s">
        <v>1588</v>
      </c>
      <c r="D464" s="2731" t="s">
        <v>36</v>
      </c>
      <c r="E464" s="92"/>
      <c r="F464" s="92">
        <v>92</v>
      </c>
      <c r="G464" s="92"/>
      <c r="H464" s="92"/>
      <c r="I464" s="92"/>
      <c r="J464" s="92"/>
      <c r="K464" s="1047"/>
      <c r="L464" s="1047"/>
      <c r="M464" s="1200" t="s">
        <v>3016</v>
      </c>
      <c r="N464" s="155"/>
      <c r="O464" s="1029">
        <f t="shared" si="7"/>
        <v>92</v>
      </c>
      <c r="P464" s="92"/>
      <c r="Q464" s="92"/>
    </row>
    <row r="465" spans="1:17" ht="20.100000000000001" customHeight="1">
      <c r="A465" s="92">
        <v>459</v>
      </c>
      <c r="B465" s="2730" t="s">
        <v>3017</v>
      </c>
      <c r="C465" s="1026" t="s">
        <v>1588</v>
      </c>
      <c r="D465" s="2731" t="s">
        <v>26</v>
      </c>
      <c r="E465" s="92"/>
      <c r="F465" s="92"/>
      <c r="G465" s="92"/>
      <c r="H465" s="92"/>
      <c r="I465" s="92"/>
      <c r="J465" s="92"/>
      <c r="K465" s="1047">
        <v>1</v>
      </c>
      <c r="L465" s="1047"/>
      <c r="M465" s="1104" t="s">
        <v>3018</v>
      </c>
      <c r="N465" s="155">
        <v>681260.4</v>
      </c>
      <c r="O465" s="1029">
        <f t="shared" si="7"/>
        <v>1</v>
      </c>
      <c r="P465" s="92"/>
      <c r="Q465" s="92"/>
    </row>
    <row r="466" spans="1:17" ht="20.100000000000001" customHeight="1">
      <c r="A466" s="92">
        <v>460</v>
      </c>
      <c r="B466" s="2730" t="s">
        <v>3017</v>
      </c>
      <c r="C466" s="1026" t="s">
        <v>1588</v>
      </c>
      <c r="D466" s="2731"/>
      <c r="E466" s="92"/>
      <c r="F466" s="92"/>
      <c r="G466" s="92">
        <v>1</v>
      </c>
      <c r="H466" s="92"/>
      <c r="I466" s="92"/>
      <c r="J466" s="92"/>
      <c r="K466" s="1047"/>
      <c r="L466" s="1047"/>
      <c r="M466" s="1100" t="s">
        <v>119</v>
      </c>
      <c r="N466" s="155">
        <v>8305894.4699999997</v>
      </c>
      <c r="O466" s="1029">
        <f t="shared" si="7"/>
        <v>1</v>
      </c>
      <c r="P466" s="92"/>
      <c r="Q466" s="92"/>
    </row>
    <row r="467" spans="1:17" ht="20.100000000000001" customHeight="1">
      <c r="A467" s="92">
        <v>461</v>
      </c>
      <c r="B467" s="2730" t="s">
        <v>3017</v>
      </c>
      <c r="C467" s="1026" t="s">
        <v>1588</v>
      </c>
      <c r="D467" s="2731"/>
      <c r="E467" s="92"/>
      <c r="F467" s="92"/>
      <c r="G467" s="92">
        <v>1</v>
      </c>
      <c r="H467" s="92"/>
      <c r="I467" s="92"/>
      <c r="J467" s="92"/>
      <c r="K467" s="1047"/>
      <c r="L467" s="1047"/>
      <c r="M467" s="1100" t="s">
        <v>49</v>
      </c>
      <c r="N467" s="155">
        <v>2658956694</v>
      </c>
      <c r="O467" s="1029">
        <f t="shared" si="7"/>
        <v>1</v>
      </c>
      <c r="P467" s="92"/>
      <c r="Q467" s="92"/>
    </row>
    <row r="468" spans="1:17" ht="20.100000000000001" customHeight="1">
      <c r="A468" s="92">
        <v>462</v>
      </c>
      <c r="B468" s="2730" t="s">
        <v>3017</v>
      </c>
      <c r="C468" s="1026" t="s">
        <v>1588</v>
      </c>
      <c r="D468" s="2731"/>
      <c r="E468" s="92"/>
      <c r="F468" s="92"/>
      <c r="G468" s="92">
        <v>1</v>
      </c>
      <c r="H468" s="92"/>
      <c r="I468" s="92"/>
      <c r="J468" s="92"/>
      <c r="K468" s="1047"/>
      <c r="L468" s="1047"/>
      <c r="M468" s="1100" t="s">
        <v>32</v>
      </c>
      <c r="N468" s="155">
        <v>48056.83</v>
      </c>
      <c r="O468" s="1029">
        <f t="shared" si="7"/>
        <v>1</v>
      </c>
      <c r="P468" s="92"/>
      <c r="Q468" s="92"/>
    </row>
    <row r="469" spans="1:17" ht="20.100000000000001" customHeight="1">
      <c r="A469" s="92">
        <v>463</v>
      </c>
      <c r="B469" s="2730" t="s">
        <v>3017</v>
      </c>
      <c r="C469" s="1026" t="s">
        <v>1588</v>
      </c>
      <c r="D469" s="2731"/>
      <c r="E469" s="92"/>
      <c r="F469" s="92"/>
      <c r="G469" s="92">
        <v>1</v>
      </c>
      <c r="H469" s="92"/>
      <c r="I469" s="92"/>
      <c r="J469" s="92"/>
      <c r="K469" s="1059"/>
      <c r="L469" s="1047"/>
      <c r="M469" s="1100" t="s">
        <v>207</v>
      </c>
      <c r="N469" s="186">
        <v>5668544.8499999996</v>
      </c>
      <c r="O469" s="1029">
        <f t="shared" si="7"/>
        <v>1</v>
      </c>
      <c r="P469" s="92"/>
      <c r="Q469" s="92"/>
    </row>
    <row r="470" spans="1:17" ht="20.100000000000001" customHeight="1">
      <c r="A470" s="92">
        <v>464</v>
      </c>
      <c r="B470" s="2730" t="s">
        <v>3017</v>
      </c>
      <c r="C470" s="1026" t="s">
        <v>1588</v>
      </c>
      <c r="D470" s="2731"/>
      <c r="E470" s="92"/>
      <c r="F470" s="92"/>
      <c r="G470" s="92">
        <v>1</v>
      </c>
      <c r="H470" s="92"/>
      <c r="I470" s="92"/>
      <c r="J470" s="92"/>
      <c r="K470" s="1059"/>
      <c r="L470" s="1047"/>
      <c r="M470" s="1100" t="s">
        <v>50</v>
      </c>
      <c r="N470" s="186">
        <v>5820.14</v>
      </c>
      <c r="O470" s="1029">
        <f t="shared" si="7"/>
        <v>1</v>
      </c>
      <c r="P470" s="92"/>
      <c r="Q470" s="92"/>
    </row>
    <row r="471" spans="1:17" ht="20.100000000000001" customHeight="1">
      <c r="A471" s="92">
        <v>465</v>
      </c>
      <c r="B471" s="2730" t="s">
        <v>3017</v>
      </c>
      <c r="C471" s="1026" t="s">
        <v>1588</v>
      </c>
      <c r="D471" s="2731"/>
      <c r="E471" s="92"/>
      <c r="F471" s="92"/>
      <c r="G471" s="92">
        <v>1</v>
      </c>
      <c r="H471" s="92"/>
      <c r="I471" s="92"/>
      <c r="J471" s="92"/>
      <c r="K471" s="1059"/>
      <c r="L471" s="1047"/>
      <c r="M471" s="1100" t="s">
        <v>2250</v>
      </c>
      <c r="N471" s="186">
        <v>21932.83</v>
      </c>
      <c r="O471" s="1029">
        <f t="shared" si="7"/>
        <v>1</v>
      </c>
      <c r="P471" s="92"/>
      <c r="Q471" s="92"/>
    </row>
    <row r="472" spans="1:17" ht="20.100000000000001" customHeight="1">
      <c r="A472" s="92">
        <v>466</v>
      </c>
      <c r="B472" s="2730" t="s">
        <v>3017</v>
      </c>
      <c r="C472" s="1026" t="s">
        <v>1588</v>
      </c>
      <c r="D472" s="1049"/>
      <c r="E472" s="92"/>
      <c r="F472" s="92"/>
      <c r="G472" s="92"/>
      <c r="H472" s="92"/>
      <c r="I472" s="92"/>
      <c r="J472" s="92"/>
      <c r="K472" s="1059">
        <v>1</v>
      </c>
      <c r="L472" s="1047"/>
      <c r="M472" s="2184" t="s">
        <v>3019</v>
      </c>
      <c r="N472" s="186">
        <v>3192164.62</v>
      </c>
      <c r="O472" s="1029">
        <f t="shared" si="7"/>
        <v>1</v>
      </c>
      <c r="P472" s="92"/>
      <c r="Q472" s="92"/>
    </row>
    <row r="473" spans="1:17" ht="20.100000000000001" customHeight="1">
      <c r="A473" s="92">
        <v>467</v>
      </c>
      <c r="B473" s="2730" t="s">
        <v>3017</v>
      </c>
      <c r="C473" s="1026" t="s">
        <v>1588</v>
      </c>
      <c r="D473" s="2731"/>
      <c r="E473" s="92"/>
      <c r="F473" s="92"/>
      <c r="G473" s="92"/>
      <c r="H473" s="92"/>
      <c r="I473" s="92"/>
      <c r="J473" s="92"/>
      <c r="K473" s="1059">
        <v>1</v>
      </c>
      <c r="L473" s="1047"/>
      <c r="M473" s="1244" t="s">
        <v>3020</v>
      </c>
      <c r="N473" s="186">
        <v>70000</v>
      </c>
      <c r="O473" s="1029">
        <f t="shared" si="7"/>
        <v>1</v>
      </c>
      <c r="P473" s="92"/>
      <c r="Q473" s="92"/>
    </row>
    <row r="474" spans="1:17" ht="20.100000000000001" customHeight="1">
      <c r="A474" s="92">
        <v>468</v>
      </c>
      <c r="B474" s="2730" t="s">
        <v>3017</v>
      </c>
      <c r="C474" s="1026" t="s">
        <v>1588</v>
      </c>
      <c r="D474" s="2731"/>
      <c r="E474" s="92"/>
      <c r="F474" s="92"/>
      <c r="G474" s="92"/>
      <c r="H474" s="92"/>
      <c r="I474" s="92"/>
      <c r="J474" s="92"/>
      <c r="K474" s="1059">
        <v>1</v>
      </c>
      <c r="L474" s="1047"/>
      <c r="M474" s="1244" t="s">
        <v>3021</v>
      </c>
      <c r="N474" s="186">
        <v>10006.32</v>
      </c>
      <c r="O474" s="1029">
        <f t="shared" si="7"/>
        <v>1</v>
      </c>
      <c r="P474" s="92"/>
      <c r="Q474" s="92"/>
    </row>
    <row r="475" spans="1:17" ht="20.100000000000001" customHeight="1">
      <c r="A475" s="92">
        <v>469</v>
      </c>
      <c r="B475" s="2730" t="s">
        <v>3017</v>
      </c>
      <c r="C475" s="1026" t="s">
        <v>1588</v>
      </c>
      <c r="D475" s="2731"/>
      <c r="E475" s="92"/>
      <c r="F475" s="92"/>
      <c r="G475" s="92"/>
      <c r="H475" s="92"/>
      <c r="I475" s="92">
        <v>7648</v>
      </c>
      <c r="J475" s="92"/>
      <c r="K475" s="1047"/>
      <c r="L475" s="1047"/>
      <c r="M475" s="1034" t="s">
        <v>35</v>
      </c>
      <c r="N475" s="401"/>
      <c r="O475" s="1029">
        <f t="shared" si="7"/>
        <v>7648</v>
      </c>
      <c r="P475" s="92"/>
      <c r="Q475" s="92"/>
    </row>
    <row r="476" spans="1:17" ht="20.100000000000001" customHeight="1">
      <c r="A476" s="92">
        <v>470</v>
      </c>
      <c r="B476" s="2730" t="s">
        <v>3017</v>
      </c>
      <c r="C476" s="1026" t="s">
        <v>1588</v>
      </c>
      <c r="D476" s="2731" t="s">
        <v>36</v>
      </c>
      <c r="E476" s="92"/>
      <c r="F476" s="92">
        <v>518</v>
      </c>
      <c r="G476" s="92"/>
      <c r="H476" s="92"/>
      <c r="I476" s="92"/>
      <c r="J476" s="92"/>
      <c r="K476" s="1047"/>
      <c r="L476" s="1047"/>
      <c r="M476" s="1200" t="s">
        <v>3022</v>
      </c>
      <c r="N476" s="155"/>
      <c r="O476" s="1029">
        <f t="shared" si="7"/>
        <v>518</v>
      </c>
      <c r="P476" s="92"/>
      <c r="Q476" s="92"/>
    </row>
    <row r="477" spans="1:17" ht="20.100000000000001" customHeight="1">
      <c r="A477" s="92">
        <v>471</v>
      </c>
      <c r="B477" s="2730" t="s">
        <v>3023</v>
      </c>
      <c r="C477" s="1026" t="s">
        <v>1588</v>
      </c>
      <c r="D477" s="1049" t="s">
        <v>103</v>
      </c>
      <c r="E477" s="92"/>
      <c r="F477" s="92"/>
      <c r="G477" s="92"/>
      <c r="H477" s="92"/>
      <c r="I477" s="92"/>
      <c r="J477" s="92">
        <v>447</v>
      </c>
      <c r="K477" s="2768"/>
      <c r="L477" s="1047"/>
      <c r="M477" s="1247" t="s">
        <v>3024</v>
      </c>
      <c r="N477" s="892">
        <v>11567.08</v>
      </c>
      <c r="O477" s="1029">
        <f t="shared" si="7"/>
        <v>447</v>
      </c>
      <c r="P477" s="92"/>
      <c r="Q477" s="92"/>
    </row>
    <row r="478" spans="1:17" ht="20.100000000000001" customHeight="1">
      <c r="A478" s="92">
        <v>472</v>
      </c>
      <c r="B478" s="2730" t="s">
        <v>3023</v>
      </c>
      <c r="C478" s="1026" t="s">
        <v>1588</v>
      </c>
      <c r="D478" s="1049"/>
      <c r="E478" s="92"/>
      <c r="F478" s="92"/>
      <c r="G478" s="92">
        <v>1</v>
      </c>
      <c r="H478" s="92"/>
      <c r="I478" s="92"/>
      <c r="J478" s="92"/>
      <c r="K478" s="1047"/>
      <c r="L478" s="1047"/>
      <c r="M478" s="1247" t="s">
        <v>3025</v>
      </c>
      <c r="N478" s="2769">
        <v>183.2</v>
      </c>
      <c r="O478" s="1029">
        <f t="shared" si="7"/>
        <v>1</v>
      </c>
      <c r="P478" s="92"/>
      <c r="Q478" s="92"/>
    </row>
    <row r="479" spans="1:17" ht="20.100000000000001" customHeight="1">
      <c r="A479" s="92">
        <v>473</v>
      </c>
      <c r="B479" s="2730" t="s">
        <v>3023</v>
      </c>
      <c r="C479" s="1026" t="s">
        <v>1588</v>
      </c>
      <c r="D479" s="1049"/>
      <c r="E479" s="92"/>
      <c r="F479" s="92"/>
      <c r="G479" s="92">
        <v>1</v>
      </c>
      <c r="H479" s="92"/>
      <c r="I479" s="92"/>
      <c r="J479" s="92"/>
      <c r="K479" s="1047"/>
      <c r="L479" s="1047"/>
      <c r="M479" s="1247" t="s">
        <v>3026</v>
      </c>
      <c r="N479" s="2769">
        <v>83.34</v>
      </c>
      <c r="O479" s="1029">
        <f t="shared" si="7"/>
        <v>1</v>
      </c>
      <c r="P479" s="92"/>
      <c r="Q479" s="92"/>
    </row>
    <row r="480" spans="1:17" ht="20.100000000000001" customHeight="1">
      <c r="A480" s="92">
        <v>474</v>
      </c>
      <c r="B480" s="2730" t="s">
        <v>3027</v>
      </c>
      <c r="C480" s="1026" t="s">
        <v>1588</v>
      </c>
      <c r="D480" s="2770"/>
      <c r="E480" s="92"/>
      <c r="F480" s="92"/>
      <c r="G480" s="92">
        <v>1</v>
      </c>
      <c r="H480" s="92"/>
      <c r="I480" s="92"/>
      <c r="J480" s="92"/>
      <c r="K480" s="2771"/>
      <c r="L480" s="1047"/>
      <c r="M480" s="1247" t="s">
        <v>119</v>
      </c>
      <c r="N480" s="2772">
        <v>-5418699.4299999997</v>
      </c>
      <c r="O480" s="1029">
        <f t="shared" si="7"/>
        <v>1</v>
      </c>
      <c r="P480" s="92"/>
      <c r="Q480" s="92"/>
    </row>
    <row r="481" spans="1:17" ht="20.100000000000001" customHeight="1">
      <c r="A481" s="92">
        <v>475</v>
      </c>
      <c r="B481" s="2730" t="s">
        <v>3027</v>
      </c>
      <c r="C481" s="1026" t="s">
        <v>1588</v>
      </c>
      <c r="D481" s="2770"/>
      <c r="E481" s="92"/>
      <c r="F481" s="92"/>
      <c r="G481" s="92">
        <v>1</v>
      </c>
      <c r="H481" s="92"/>
      <c r="I481" s="92"/>
      <c r="J481" s="92"/>
      <c r="K481" s="2771"/>
      <c r="L481" s="1047"/>
      <c r="M481" s="1247" t="s">
        <v>49</v>
      </c>
      <c r="N481" s="2772">
        <v>-698667044.39999998</v>
      </c>
      <c r="O481" s="1029">
        <f t="shared" si="7"/>
        <v>1</v>
      </c>
      <c r="P481" s="92"/>
      <c r="Q481" s="92"/>
    </row>
    <row r="482" spans="1:17" ht="20.100000000000001" customHeight="1">
      <c r="A482" s="92">
        <v>476</v>
      </c>
      <c r="B482" s="2730" t="s">
        <v>3027</v>
      </c>
      <c r="C482" s="1026" t="s">
        <v>1588</v>
      </c>
      <c r="D482" s="2770"/>
      <c r="E482" s="92"/>
      <c r="F482" s="92"/>
      <c r="G482" s="92">
        <v>1</v>
      </c>
      <c r="H482" s="92"/>
      <c r="I482" s="92"/>
      <c r="J482" s="92"/>
      <c r="K482" s="2771"/>
      <c r="L482" s="1047"/>
      <c r="M482" s="1247" t="s">
        <v>32</v>
      </c>
      <c r="N482" s="2773">
        <v>19121.439999999999</v>
      </c>
      <c r="O482" s="1029">
        <f t="shared" si="7"/>
        <v>1</v>
      </c>
      <c r="P482" s="92"/>
      <c r="Q482" s="92"/>
    </row>
    <row r="483" spans="1:17" ht="20.100000000000001" customHeight="1">
      <c r="A483" s="92">
        <v>477</v>
      </c>
      <c r="B483" s="2730" t="s">
        <v>3027</v>
      </c>
      <c r="C483" s="1026" t="s">
        <v>1588</v>
      </c>
      <c r="D483" s="2770"/>
      <c r="E483" s="92"/>
      <c r="F483" s="92"/>
      <c r="G483" s="92">
        <v>1</v>
      </c>
      <c r="H483" s="92"/>
      <c r="I483" s="92"/>
      <c r="J483" s="92"/>
      <c r="K483" s="2774"/>
      <c r="L483" s="1047"/>
      <c r="M483" s="1247" t="s">
        <v>207</v>
      </c>
      <c r="N483" s="2773">
        <v>1048830.6299999999</v>
      </c>
      <c r="O483" s="1029">
        <f t="shared" si="7"/>
        <v>1</v>
      </c>
      <c r="P483" s="92"/>
      <c r="Q483" s="92"/>
    </row>
    <row r="484" spans="1:17" ht="20.100000000000001" customHeight="1">
      <c r="A484" s="92">
        <v>478</v>
      </c>
      <c r="B484" s="2730" t="s">
        <v>3027</v>
      </c>
      <c r="C484" s="1026" t="s">
        <v>1588</v>
      </c>
      <c r="D484" s="2770"/>
      <c r="E484" s="92"/>
      <c r="F484" s="92"/>
      <c r="G484" s="92">
        <v>1</v>
      </c>
      <c r="H484" s="92"/>
      <c r="I484" s="92"/>
      <c r="J484" s="92"/>
      <c r="K484" s="2774"/>
      <c r="L484" s="1047"/>
      <c r="M484" s="1247" t="s">
        <v>3028</v>
      </c>
      <c r="N484" s="2773">
        <v>1199683522.73</v>
      </c>
      <c r="O484" s="1029">
        <f t="shared" si="7"/>
        <v>1</v>
      </c>
      <c r="P484" s="92"/>
      <c r="Q484" s="92"/>
    </row>
    <row r="485" spans="1:17" ht="20.100000000000001" customHeight="1">
      <c r="A485" s="92">
        <v>479</v>
      </c>
      <c r="B485" s="2730" t="s">
        <v>3027</v>
      </c>
      <c r="C485" s="1026" t="s">
        <v>1588</v>
      </c>
      <c r="D485" s="2775"/>
      <c r="E485" s="92"/>
      <c r="F485" s="92"/>
      <c r="G485" s="92"/>
      <c r="H485" s="92"/>
      <c r="I485" s="92">
        <v>4603</v>
      </c>
      <c r="J485" s="92"/>
      <c r="K485" s="2771"/>
      <c r="L485" s="1047"/>
      <c r="M485" s="1247" t="s">
        <v>35</v>
      </c>
      <c r="N485" s="2776"/>
      <c r="O485" s="1029">
        <f t="shared" si="7"/>
        <v>4603</v>
      </c>
      <c r="P485" s="92"/>
      <c r="Q485" s="92"/>
    </row>
    <row r="486" spans="1:17" ht="20.100000000000001" customHeight="1">
      <c r="A486" s="92">
        <v>480</v>
      </c>
      <c r="B486" s="2730" t="s">
        <v>3027</v>
      </c>
      <c r="C486" s="1026" t="s">
        <v>1588</v>
      </c>
      <c r="D486" s="1049" t="s">
        <v>38</v>
      </c>
      <c r="E486" s="92"/>
      <c r="F486" s="92"/>
      <c r="G486" s="92"/>
      <c r="H486" s="92"/>
      <c r="I486" s="92"/>
      <c r="J486" s="92"/>
      <c r="K486" s="2777">
        <v>1</v>
      </c>
      <c r="L486" s="1047"/>
      <c r="M486" s="1247" t="s">
        <v>3029</v>
      </c>
      <c r="N486" s="1890">
        <v>50000</v>
      </c>
      <c r="O486" s="1029">
        <f t="shared" si="7"/>
        <v>1</v>
      </c>
      <c r="P486" s="92"/>
      <c r="Q486" s="92"/>
    </row>
    <row r="487" spans="1:17" ht="20.100000000000001" customHeight="1">
      <c r="A487" s="92">
        <v>481</v>
      </c>
      <c r="B487" s="2730" t="s">
        <v>3030</v>
      </c>
      <c r="C487" s="1026" t="s">
        <v>1588</v>
      </c>
      <c r="D487" s="2731" t="s">
        <v>26</v>
      </c>
      <c r="E487" s="92"/>
      <c r="F487" s="92"/>
      <c r="G487" s="92"/>
      <c r="H487" s="92"/>
      <c r="I487" s="92"/>
      <c r="J487" s="92"/>
      <c r="K487" s="1047">
        <v>3</v>
      </c>
      <c r="L487" s="1047"/>
      <c r="M487" s="1103" t="s">
        <v>3031</v>
      </c>
      <c r="N487" s="2778" t="s">
        <v>3032</v>
      </c>
      <c r="O487" s="1029">
        <f t="shared" si="7"/>
        <v>3</v>
      </c>
      <c r="P487" s="92"/>
      <c r="Q487" s="92"/>
    </row>
    <row r="488" spans="1:17" ht="20.100000000000001" customHeight="1">
      <c r="A488" s="92">
        <v>482</v>
      </c>
      <c r="B488" s="2730" t="s">
        <v>3030</v>
      </c>
      <c r="C488" s="1026" t="s">
        <v>1588</v>
      </c>
      <c r="D488" s="2731"/>
      <c r="E488" s="92"/>
      <c r="F488" s="92"/>
      <c r="G488" s="92"/>
      <c r="H488" s="92"/>
      <c r="I488" s="92"/>
      <c r="J488" s="92"/>
      <c r="K488" s="1047">
        <v>1</v>
      </c>
      <c r="L488" s="1047"/>
      <c r="M488" s="2779" t="s">
        <v>3033</v>
      </c>
      <c r="N488" s="155">
        <v>29923</v>
      </c>
      <c r="O488" s="1029">
        <f t="shared" si="7"/>
        <v>1</v>
      </c>
      <c r="P488" s="92"/>
      <c r="Q488" s="92"/>
    </row>
    <row r="489" spans="1:17" ht="20.100000000000001" customHeight="1">
      <c r="A489" s="92">
        <v>483</v>
      </c>
      <c r="B489" s="2730" t="s">
        <v>3030</v>
      </c>
      <c r="C489" s="1026" t="s">
        <v>1588</v>
      </c>
      <c r="D489" s="1066" t="s">
        <v>103</v>
      </c>
      <c r="E489" s="92"/>
      <c r="F489" s="92"/>
      <c r="G489" s="92"/>
      <c r="H489" s="92"/>
      <c r="I489" s="92"/>
      <c r="J489" s="92">
        <v>107</v>
      </c>
      <c r="K489" s="2025"/>
      <c r="L489" s="1047"/>
      <c r="M489" s="2762" t="s">
        <v>3034</v>
      </c>
      <c r="N489" s="162" t="s">
        <v>3035</v>
      </c>
      <c r="O489" s="1029">
        <f t="shared" si="7"/>
        <v>107</v>
      </c>
      <c r="P489" s="92"/>
      <c r="Q489" s="92"/>
    </row>
    <row r="490" spans="1:17" ht="20.100000000000001" customHeight="1">
      <c r="A490" s="92">
        <v>484</v>
      </c>
      <c r="B490" s="2730" t="s">
        <v>3030</v>
      </c>
      <c r="C490" s="1026" t="s">
        <v>1588</v>
      </c>
      <c r="D490" s="2731"/>
      <c r="E490" s="92"/>
      <c r="F490" s="92"/>
      <c r="G490" s="92">
        <v>1</v>
      </c>
      <c r="H490" s="92"/>
      <c r="I490" s="92"/>
      <c r="J490" s="92"/>
      <c r="K490" s="1047"/>
      <c r="L490" s="1047"/>
      <c r="M490" s="1100" t="s">
        <v>119</v>
      </c>
      <c r="N490" s="155">
        <v>3072591.89</v>
      </c>
      <c r="O490" s="1029">
        <f t="shared" si="7"/>
        <v>1</v>
      </c>
      <c r="P490" s="92"/>
      <c r="Q490" s="92"/>
    </row>
    <row r="491" spans="1:17" ht="20.100000000000001" customHeight="1">
      <c r="A491" s="92">
        <v>485</v>
      </c>
      <c r="B491" s="2730" t="s">
        <v>3030</v>
      </c>
      <c r="C491" s="1026" t="s">
        <v>1588</v>
      </c>
      <c r="D491" s="2731"/>
      <c r="E491" s="92"/>
      <c r="F491" s="92"/>
      <c r="G491" s="92">
        <v>1</v>
      </c>
      <c r="H491" s="92"/>
      <c r="I491" s="92"/>
      <c r="J491" s="92"/>
      <c r="K491" s="1047"/>
      <c r="L491" s="1047"/>
      <c r="M491" s="1100" t="s">
        <v>49</v>
      </c>
      <c r="N491" s="155">
        <v>147518521.80000001</v>
      </c>
      <c r="O491" s="1029">
        <f t="shared" si="7"/>
        <v>1</v>
      </c>
      <c r="P491" s="92"/>
      <c r="Q491" s="92"/>
    </row>
    <row r="492" spans="1:17" ht="20.100000000000001" customHeight="1">
      <c r="A492" s="92">
        <v>486</v>
      </c>
      <c r="B492" s="2730" t="s">
        <v>3030</v>
      </c>
      <c r="C492" s="1026" t="s">
        <v>1588</v>
      </c>
      <c r="D492" s="2731"/>
      <c r="E492" s="92"/>
      <c r="F492" s="92"/>
      <c r="G492" s="92">
        <v>1</v>
      </c>
      <c r="H492" s="92"/>
      <c r="I492" s="92"/>
      <c r="J492" s="92"/>
      <c r="K492" s="1047"/>
      <c r="L492" s="1047"/>
      <c r="M492" s="1100" t="s">
        <v>31</v>
      </c>
      <c r="N492" s="155">
        <v>7.0000000000000007E-2</v>
      </c>
      <c r="O492" s="1029">
        <f t="shared" si="7"/>
        <v>1</v>
      </c>
      <c r="P492" s="92"/>
      <c r="Q492" s="92"/>
    </row>
    <row r="493" spans="1:17" ht="20.100000000000001" customHeight="1">
      <c r="A493" s="92">
        <v>487</v>
      </c>
      <c r="B493" s="2730" t="s">
        <v>3030</v>
      </c>
      <c r="C493" s="1026" t="s">
        <v>1588</v>
      </c>
      <c r="D493" s="2731"/>
      <c r="E493" s="92"/>
      <c r="F493" s="92"/>
      <c r="G493" s="92">
        <v>1</v>
      </c>
      <c r="H493" s="92"/>
      <c r="I493" s="92"/>
      <c r="J493" s="92"/>
      <c r="K493" s="1047"/>
      <c r="L493" s="1047"/>
      <c r="M493" s="1100" t="s">
        <v>32</v>
      </c>
      <c r="N493" s="155">
        <v>79.510000000000005</v>
      </c>
      <c r="O493" s="1029">
        <f t="shared" si="7"/>
        <v>1</v>
      </c>
      <c r="P493" s="92"/>
      <c r="Q493" s="92"/>
    </row>
    <row r="494" spans="1:17" ht="20.100000000000001" customHeight="1">
      <c r="A494" s="92">
        <v>488</v>
      </c>
      <c r="B494" s="2730" t="s">
        <v>3030</v>
      </c>
      <c r="C494" s="1026" t="s">
        <v>1588</v>
      </c>
      <c r="D494" s="2731"/>
      <c r="E494" s="92"/>
      <c r="F494" s="92"/>
      <c r="G494" s="92">
        <v>1</v>
      </c>
      <c r="H494" s="92"/>
      <c r="I494" s="92"/>
      <c r="J494" s="92"/>
      <c r="K494" s="1059"/>
      <c r="L494" s="1047"/>
      <c r="M494" s="1100" t="s">
        <v>3036</v>
      </c>
      <c r="N494" s="186">
        <v>613930.43999999994</v>
      </c>
      <c r="O494" s="1029">
        <f t="shared" si="7"/>
        <v>1</v>
      </c>
      <c r="P494" s="92"/>
      <c r="Q494" s="92"/>
    </row>
    <row r="495" spans="1:17" ht="20.100000000000001" customHeight="1">
      <c r="A495" s="92">
        <v>489</v>
      </c>
      <c r="B495" s="2730" t="s">
        <v>3030</v>
      </c>
      <c r="C495" s="1026" t="s">
        <v>1588</v>
      </c>
      <c r="D495" s="1049"/>
      <c r="E495" s="92"/>
      <c r="F495" s="92"/>
      <c r="G495" s="92"/>
      <c r="H495" s="92"/>
      <c r="I495" s="92"/>
      <c r="J495" s="92"/>
      <c r="K495" s="1059">
        <v>1</v>
      </c>
      <c r="L495" s="1047"/>
      <c r="M495" s="1244" t="s">
        <v>3037</v>
      </c>
      <c r="N495" s="186">
        <v>2850</v>
      </c>
      <c r="O495" s="1029">
        <f t="shared" si="7"/>
        <v>1</v>
      </c>
      <c r="P495" s="92"/>
      <c r="Q495" s="92"/>
    </row>
    <row r="496" spans="1:17" ht="20.100000000000001" customHeight="1">
      <c r="A496" s="92">
        <v>490</v>
      </c>
      <c r="B496" s="2730" t="s">
        <v>3030</v>
      </c>
      <c r="C496" s="1026" t="s">
        <v>1588</v>
      </c>
      <c r="D496" s="2731"/>
      <c r="E496" s="92"/>
      <c r="F496" s="92"/>
      <c r="G496" s="92"/>
      <c r="H496" s="92"/>
      <c r="I496" s="92"/>
      <c r="J496" s="92"/>
      <c r="K496" s="1059">
        <v>1</v>
      </c>
      <c r="L496" s="1047"/>
      <c r="M496" s="1244" t="s">
        <v>3038</v>
      </c>
      <c r="N496" s="186">
        <v>9900</v>
      </c>
      <c r="O496" s="1029">
        <f t="shared" si="7"/>
        <v>1</v>
      </c>
      <c r="P496" s="92"/>
      <c r="Q496" s="92"/>
    </row>
    <row r="497" spans="1:17" ht="20.100000000000001" customHeight="1">
      <c r="A497" s="92">
        <v>491</v>
      </c>
      <c r="B497" s="2730" t="s">
        <v>3030</v>
      </c>
      <c r="C497" s="1026" t="s">
        <v>1588</v>
      </c>
      <c r="D497" s="2731"/>
      <c r="E497" s="92"/>
      <c r="F497" s="92"/>
      <c r="G497" s="92"/>
      <c r="H497" s="92"/>
      <c r="I497" s="92">
        <v>466</v>
      </c>
      <c r="J497" s="92"/>
      <c r="K497" s="1047"/>
      <c r="L497" s="1047"/>
      <c r="M497" s="1034" t="s">
        <v>3039</v>
      </c>
      <c r="N497" s="401"/>
      <c r="O497" s="1029">
        <f t="shared" si="7"/>
        <v>466</v>
      </c>
      <c r="P497" s="92"/>
      <c r="Q497" s="92"/>
    </row>
    <row r="498" spans="1:17" ht="20.100000000000001" customHeight="1">
      <c r="A498" s="92">
        <v>492</v>
      </c>
      <c r="B498" s="2730" t="s">
        <v>3030</v>
      </c>
      <c r="C498" s="1026" t="s">
        <v>1588</v>
      </c>
      <c r="D498" s="2731" t="s">
        <v>36</v>
      </c>
      <c r="E498" s="92"/>
      <c r="F498" s="92">
        <v>396</v>
      </c>
      <c r="G498" s="92"/>
      <c r="H498" s="92"/>
      <c r="I498" s="92"/>
      <c r="J498" s="92"/>
      <c r="K498" s="1047"/>
      <c r="L498" s="1047"/>
      <c r="M498" s="1200" t="s">
        <v>3040</v>
      </c>
      <c r="N498" s="155"/>
      <c r="O498" s="1029">
        <f t="shared" si="7"/>
        <v>396</v>
      </c>
      <c r="P498" s="92"/>
      <c r="Q498" s="92"/>
    </row>
    <row r="499" spans="1:17" ht="20.100000000000001" customHeight="1">
      <c r="A499" s="92">
        <v>493</v>
      </c>
      <c r="B499" s="2730" t="s">
        <v>3030</v>
      </c>
      <c r="C499" s="1026" t="s">
        <v>1588</v>
      </c>
      <c r="D499" s="2722" t="s">
        <v>38</v>
      </c>
      <c r="E499" s="92"/>
      <c r="F499" s="92"/>
      <c r="G499" s="92"/>
      <c r="H499" s="92"/>
      <c r="I499" s="92"/>
      <c r="J499" s="92"/>
      <c r="K499" s="1047">
        <v>1</v>
      </c>
      <c r="L499" s="1047"/>
      <c r="M499" s="2023" t="s">
        <v>3041</v>
      </c>
      <c r="N499" s="155">
        <v>400000</v>
      </c>
      <c r="O499" s="1029">
        <f t="shared" si="7"/>
        <v>1</v>
      </c>
      <c r="P499" s="92"/>
      <c r="Q499" s="92"/>
    </row>
    <row r="500" spans="1:17" ht="20.100000000000001" customHeight="1">
      <c r="A500" s="92">
        <v>494</v>
      </c>
      <c r="B500" s="2730" t="s">
        <v>3030</v>
      </c>
      <c r="C500" s="1026" t="s">
        <v>1588</v>
      </c>
      <c r="D500" s="2723"/>
      <c r="E500" s="92"/>
      <c r="F500" s="92"/>
      <c r="G500" s="92"/>
      <c r="H500" s="92"/>
      <c r="I500" s="92"/>
      <c r="J500" s="92"/>
      <c r="K500" s="1047">
        <v>1</v>
      </c>
      <c r="L500" s="1047"/>
      <c r="M500" s="2023" t="s">
        <v>3042</v>
      </c>
      <c r="N500" s="155">
        <v>30000</v>
      </c>
      <c r="O500" s="1029">
        <f t="shared" si="7"/>
        <v>1</v>
      </c>
      <c r="P500" s="92"/>
      <c r="Q500" s="92"/>
    </row>
    <row r="501" spans="1:17" ht="20.100000000000001" customHeight="1">
      <c r="A501" s="92">
        <v>495</v>
      </c>
      <c r="B501" s="2730" t="s">
        <v>3030</v>
      </c>
      <c r="C501" s="1026" t="s">
        <v>1588</v>
      </c>
      <c r="D501" s="2024"/>
      <c r="E501" s="92"/>
      <c r="F501" s="92"/>
      <c r="G501" s="92"/>
      <c r="H501" s="92"/>
      <c r="I501" s="92"/>
      <c r="J501" s="92"/>
      <c r="K501" s="1047">
        <v>1</v>
      </c>
      <c r="L501" s="1047"/>
      <c r="M501" s="2023" t="s">
        <v>3043</v>
      </c>
      <c r="N501" s="155">
        <v>252000</v>
      </c>
      <c r="O501" s="1029">
        <f t="shared" si="7"/>
        <v>1</v>
      </c>
      <c r="P501" s="92"/>
      <c r="Q501" s="92"/>
    </row>
    <row r="502" spans="1:17" ht="20.100000000000001" customHeight="1">
      <c r="A502" s="92">
        <v>496</v>
      </c>
      <c r="B502" s="2730" t="s">
        <v>3030</v>
      </c>
      <c r="C502" s="1026" t="s">
        <v>1588</v>
      </c>
      <c r="D502" s="2024"/>
      <c r="E502" s="92"/>
      <c r="F502" s="92"/>
      <c r="G502" s="92"/>
      <c r="H502" s="92"/>
      <c r="I502" s="92"/>
      <c r="J502" s="92"/>
      <c r="K502" s="1047">
        <v>1</v>
      </c>
      <c r="L502" s="1047"/>
      <c r="M502" s="2023" t="s">
        <v>3044</v>
      </c>
      <c r="N502" s="155">
        <v>30000</v>
      </c>
      <c r="O502" s="1029">
        <f t="shared" si="7"/>
        <v>1</v>
      </c>
      <c r="P502" s="92"/>
      <c r="Q502" s="92"/>
    </row>
    <row r="503" spans="1:17" ht="20.100000000000001" customHeight="1">
      <c r="A503" s="92">
        <v>497</v>
      </c>
      <c r="B503" s="2730" t="s">
        <v>3030</v>
      </c>
      <c r="C503" s="1026" t="s">
        <v>1588</v>
      </c>
      <c r="D503" s="2024"/>
      <c r="E503" s="92"/>
      <c r="F503" s="92"/>
      <c r="G503" s="92"/>
      <c r="H503" s="92"/>
      <c r="I503" s="92"/>
      <c r="J503" s="92"/>
      <c r="K503" s="1047">
        <v>1</v>
      </c>
      <c r="L503" s="1047"/>
      <c r="M503" s="2023" t="s">
        <v>3045</v>
      </c>
      <c r="N503" s="155">
        <v>50000</v>
      </c>
      <c r="O503" s="1029">
        <f t="shared" si="7"/>
        <v>1</v>
      </c>
      <c r="P503" s="92"/>
      <c r="Q503" s="92"/>
    </row>
    <row r="504" spans="1:17" ht="20.100000000000001" customHeight="1">
      <c r="A504" s="92">
        <v>498</v>
      </c>
      <c r="B504" s="2730" t="s">
        <v>3030</v>
      </c>
      <c r="C504" s="1026" t="s">
        <v>1588</v>
      </c>
      <c r="D504" s="2024"/>
      <c r="E504" s="92"/>
      <c r="F504" s="92"/>
      <c r="G504" s="92"/>
      <c r="H504" s="92"/>
      <c r="I504" s="92"/>
      <c r="J504" s="92"/>
      <c r="K504" s="1047">
        <v>1</v>
      </c>
      <c r="L504" s="1047"/>
      <c r="M504" s="2023" t="s">
        <v>3046</v>
      </c>
      <c r="N504" s="155">
        <v>900000</v>
      </c>
      <c r="O504" s="1029">
        <f t="shared" si="7"/>
        <v>1</v>
      </c>
      <c r="P504" s="92"/>
      <c r="Q504" s="92"/>
    </row>
    <row r="505" spans="1:17" ht="20.100000000000001" customHeight="1">
      <c r="A505" s="92">
        <v>499</v>
      </c>
      <c r="B505" s="2730" t="s">
        <v>3030</v>
      </c>
      <c r="C505" s="1026" t="s">
        <v>1588</v>
      </c>
      <c r="D505" s="2024"/>
      <c r="E505" s="92"/>
      <c r="F505" s="92"/>
      <c r="G505" s="92"/>
      <c r="H505" s="92"/>
      <c r="I505" s="92"/>
      <c r="J505" s="92"/>
      <c r="K505" s="1047">
        <v>1</v>
      </c>
      <c r="L505" s="1047"/>
      <c r="M505" s="2023" t="s">
        <v>3047</v>
      </c>
      <c r="N505" s="155">
        <v>400000</v>
      </c>
      <c r="O505" s="1029">
        <f t="shared" si="7"/>
        <v>0</v>
      </c>
      <c r="P505" s="92">
        <v>1</v>
      </c>
      <c r="Q505" s="92"/>
    </row>
    <row r="506" spans="1:17" ht="20.100000000000001" customHeight="1">
      <c r="A506" s="92">
        <v>500</v>
      </c>
      <c r="B506" s="2730" t="s">
        <v>3030</v>
      </c>
      <c r="C506" s="1026" t="s">
        <v>1588</v>
      </c>
      <c r="D506" s="2024"/>
      <c r="E506" s="92"/>
      <c r="F506" s="92"/>
      <c r="G506" s="92"/>
      <c r="H506" s="92"/>
      <c r="I506" s="92"/>
      <c r="J506" s="92"/>
      <c r="K506" s="1047">
        <v>1</v>
      </c>
      <c r="L506" s="1047"/>
      <c r="M506" s="2023" t="s">
        <v>3048</v>
      </c>
      <c r="N506" s="155">
        <v>400000</v>
      </c>
      <c r="O506" s="1029">
        <f t="shared" si="7"/>
        <v>0</v>
      </c>
      <c r="P506" s="92">
        <v>1</v>
      </c>
      <c r="Q506" s="92"/>
    </row>
    <row r="507" spans="1:17" ht="20.100000000000001" customHeight="1">
      <c r="A507" s="92">
        <v>501</v>
      </c>
      <c r="B507" s="2730" t="s">
        <v>3049</v>
      </c>
      <c r="C507" s="1026" t="s">
        <v>1588</v>
      </c>
      <c r="D507" s="2731" t="s">
        <v>26</v>
      </c>
      <c r="E507" s="92"/>
      <c r="F507" s="92"/>
      <c r="G507" s="92"/>
      <c r="H507" s="92"/>
      <c r="I507" s="92"/>
      <c r="J507" s="92"/>
      <c r="K507" s="1047">
        <v>1</v>
      </c>
      <c r="L507" s="1047"/>
      <c r="M507" s="1200" t="s">
        <v>48</v>
      </c>
      <c r="N507" s="2780">
        <v>85164.33</v>
      </c>
      <c r="O507" s="1029">
        <f t="shared" si="7"/>
        <v>1</v>
      </c>
      <c r="P507" s="92"/>
      <c r="Q507" s="92"/>
    </row>
    <row r="508" spans="1:17" ht="20.100000000000001" customHeight="1">
      <c r="A508" s="92">
        <v>502</v>
      </c>
      <c r="B508" s="2730" t="s">
        <v>3049</v>
      </c>
      <c r="C508" s="1026" t="s">
        <v>1588</v>
      </c>
      <c r="D508" s="2731"/>
      <c r="E508" s="92"/>
      <c r="F508" s="92"/>
      <c r="G508" s="92"/>
      <c r="H508" s="92"/>
      <c r="I508" s="92"/>
      <c r="J508" s="92"/>
      <c r="K508" s="1047">
        <v>1</v>
      </c>
      <c r="L508" s="1047"/>
      <c r="M508" s="1200" t="s">
        <v>3050</v>
      </c>
      <c r="N508" s="401">
        <v>27800</v>
      </c>
      <c r="O508" s="1029">
        <f t="shared" si="7"/>
        <v>1</v>
      </c>
      <c r="P508" s="92"/>
      <c r="Q508" s="92"/>
    </row>
    <row r="509" spans="1:17" ht="20.100000000000001" customHeight="1">
      <c r="A509" s="92">
        <v>503</v>
      </c>
      <c r="B509" s="2730" t="s">
        <v>3049</v>
      </c>
      <c r="C509" s="1026" t="s">
        <v>1588</v>
      </c>
      <c r="D509" s="2731"/>
      <c r="E509" s="92"/>
      <c r="F509" s="92"/>
      <c r="G509" s="92">
        <v>1</v>
      </c>
      <c r="H509" s="92"/>
      <c r="I509" s="92"/>
      <c r="J509" s="92"/>
      <c r="K509" s="1047"/>
      <c r="L509" s="1047"/>
      <c r="M509" s="1100" t="s">
        <v>49</v>
      </c>
      <c r="N509" s="155">
        <v>78563162.200000003</v>
      </c>
      <c r="O509" s="1029">
        <f t="shared" si="7"/>
        <v>1</v>
      </c>
      <c r="P509" s="92"/>
      <c r="Q509" s="92"/>
    </row>
    <row r="510" spans="1:17" ht="20.100000000000001" customHeight="1">
      <c r="A510" s="92">
        <v>504</v>
      </c>
      <c r="B510" s="2730" t="s">
        <v>3049</v>
      </c>
      <c r="C510" s="1026" t="s">
        <v>1588</v>
      </c>
      <c r="D510" s="2731"/>
      <c r="E510" s="92"/>
      <c r="F510" s="92"/>
      <c r="G510" s="92">
        <v>1</v>
      </c>
      <c r="H510" s="92"/>
      <c r="I510" s="92"/>
      <c r="J510" s="92"/>
      <c r="K510" s="1047"/>
      <c r="L510" s="1047"/>
      <c r="M510" s="1100" t="s">
        <v>32</v>
      </c>
      <c r="N510" s="155">
        <v>870.26</v>
      </c>
      <c r="O510" s="1029">
        <f t="shared" si="7"/>
        <v>1</v>
      </c>
      <c r="P510" s="92"/>
      <c r="Q510" s="92"/>
    </row>
    <row r="511" spans="1:17" ht="20.100000000000001" customHeight="1">
      <c r="A511" s="92">
        <v>505</v>
      </c>
      <c r="B511" s="2730" t="s">
        <v>3049</v>
      </c>
      <c r="C511" s="1026" t="s">
        <v>1588</v>
      </c>
      <c r="D511" s="1049"/>
      <c r="E511" s="92"/>
      <c r="F511" s="92"/>
      <c r="G511" s="92"/>
      <c r="H511" s="92"/>
      <c r="I511" s="92">
        <v>1138</v>
      </c>
      <c r="J511" s="92"/>
      <c r="K511" s="2758"/>
      <c r="L511" s="1047"/>
      <c r="M511" s="1034" t="s">
        <v>35</v>
      </c>
      <c r="N511" s="2764"/>
      <c r="O511" s="1029">
        <f t="shared" si="7"/>
        <v>1138</v>
      </c>
      <c r="P511" s="92"/>
      <c r="Q511" s="92"/>
    </row>
    <row r="512" spans="1:17" ht="20.100000000000001" customHeight="1">
      <c r="A512" s="92">
        <v>506</v>
      </c>
      <c r="B512" s="2730" t="s">
        <v>3049</v>
      </c>
      <c r="C512" s="1026" t="s">
        <v>1588</v>
      </c>
      <c r="D512" s="2731" t="s">
        <v>38</v>
      </c>
      <c r="E512" s="92"/>
      <c r="F512" s="92"/>
      <c r="G512" s="92"/>
      <c r="H512" s="92"/>
      <c r="I512" s="92"/>
      <c r="J512" s="92"/>
      <c r="K512" s="1047">
        <v>1</v>
      </c>
      <c r="L512" s="1047"/>
      <c r="M512" s="2781" t="s">
        <v>3051</v>
      </c>
      <c r="N512" s="2782">
        <v>60000</v>
      </c>
      <c r="O512" s="1029">
        <f t="shared" si="7"/>
        <v>1</v>
      </c>
      <c r="P512" s="92"/>
      <c r="Q512" s="92"/>
    </row>
    <row r="513" spans="1:17" ht="20.100000000000001" customHeight="1">
      <c r="A513" s="92">
        <v>507</v>
      </c>
      <c r="B513" s="2730" t="s">
        <v>3049</v>
      </c>
      <c r="C513" s="1026" t="s">
        <v>1588</v>
      </c>
      <c r="D513" s="1064"/>
      <c r="E513" s="92"/>
      <c r="F513" s="92"/>
      <c r="G513" s="92"/>
      <c r="H513" s="92"/>
      <c r="I513" s="92"/>
      <c r="J513" s="92"/>
      <c r="K513" s="1059">
        <v>1</v>
      </c>
      <c r="L513" s="1047"/>
      <c r="M513" s="2781" t="s">
        <v>3052</v>
      </c>
      <c r="N513" s="1308">
        <v>100000</v>
      </c>
      <c r="O513" s="1029">
        <f t="shared" si="7"/>
        <v>1</v>
      </c>
      <c r="P513" s="92"/>
      <c r="Q513" s="92"/>
    </row>
    <row r="514" spans="1:17" ht="20.100000000000001" customHeight="1">
      <c r="A514" s="1332"/>
      <c r="B514" s="1332"/>
      <c r="C514" s="1332"/>
      <c r="D514" s="1332"/>
      <c r="E514" s="1332">
        <f>SUM(E8:E513)</f>
        <v>5776</v>
      </c>
      <c r="F514" s="1332">
        <f t="shared" ref="F514:K514" si="8">SUM(F8:F513)</f>
        <v>19909</v>
      </c>
      <c r="G514" s="1332">
        <f t="shared" si="8"/>
        <v>193</v>
      </c>
      <c r="H514" s="1332">
        <f t="shared" si="8"/>
        <v>864</v>
      </c>
      <c r="I514" s="1332">
        <f t="shared" si="8"/>
        <v>91240</v>
      </c>
      <c r="J514" s="1332">
        <f t="shared" si="8"/>
        <v>2773</v>
      </c>
      <c r="K514" s="1332">
        <f t="shared" si="8"/>
        <v>160</v>
      </c>
      <c r="L514" s="1332"/>
      <c r="M514" s="1332"/>
      <c r="N514" s="2693">
        <f>SUM(N8:N430)</f>
        <v>3988225404.9299965</v>
      </c>
      <c r="O514" s="1333">
        <f>SUM(O8:O430)</f>
        <v>94678</v>
      </c>
      <c r="P514" s="1332">
        <f>SUM(P8:P513)</f>
        <v>20</v>
      </c>
      <c r="Q514" s="1332"/>
    </row>
    <row r="515" spans="1:17" ht="20.100000000000001" customHeight="1"/>
    <row r="516" spans="1:17" ht="20.100000000000001" customHeight="1">
      <c r="A516" s="3502" t="s">
        <v>1579</v>
      </c>
      <c r="B516" s="3502" t="s">
        <v>1837</v>
      </c>
      <c r="C516" s="3502" t="s">
        <v>5</v>
      </c>
      <c r="D516" s="3502" t="s">
        <v>6</v>
      </c>
      <c r="E516" s="3502"/>
      <c r="F516" s="3502"/>
      <c r="G516" s="3502"/>
      <c r="H516" s="3502"/>
      <c r="I516" s="3502"/>
      <c r="J516" s="3502"/>
      <c r="K516" s="3502"/>
      <c r="L516" s="3502" t="s">
        <v>1585</v>
      </c>
      <c r="M516" s="3502" t="s">
        <v>14</v>
      </c>
      <c r="N516" s="3504" t="s">
        <v>1022</v>
      </c>
      <c r="O516" s="3501" t="s">
        <v>16</v>
      </c>
      <c r="P516" s="3501"/>
      <c r="Q516" s="3501"/>
    </row>
    <row r="517" spans="1:17" ht="20.100000000000001" customHeight="1">
      <c r="A517" s="3502"/>
      <c r="B517" s="3502"/>
      <c r="C517" s="3502"/>
      <c r="D517" s="3502"/>
      <c r="E517" s="3501" t="s">
        <v>1580</v>
      </c>
      <c r="F517" s="3501"/>
      <c r="G517" s="3502" t="s">
        <v>1581</v>
      </c>
      <c r="H517" s="3502" t="s">
        <v>9</v>
      </c>
      <c r="I517" s="3502" t="s">
        <v>1582</v>
      </c>
      <c r="J517" s="3502" t="s">
        <v>1583</v>
      </c>
      <c r="K517" s="3502" t="s">
        <v>1584</v>
      </c>
      <c r="L517" s="3502"/>
      <c r="M517" s="3502"/>
      <c r="N517" s="3504" t="s">
        <v>15</v>
      </c>
      <c r="O517" s="3501" t="s">
        <v>21</v>
      </c>
      <c r="P517" s="3501" t="s">
        <v>22</v>
      </c>
      <c r="Q517" s="3502" t="s">
        <v>23</v>
      </c>
    </row>
    <row r="518" spans="1:17" ht="20.100000000000001" customHeight="1">
      <c r="A518" s="3502"/>
      <c r="B518" s="3502"/>
      <c r="C518" s="3502"/>
      <c r="D518" s="3502" t="s">
        <v>6</v>
      </c>
      <c r="E518" s="1334" t="s">
        <v>779</v>
      </c>
      <c r="F518" s="1334" t="s">
        <v>1586</v>
      </c>
      <c r="G518" s="3502"/>
      <c r="H518" s="3502"/>
      <c r="I518" s="3502"/>
      <c r="J518" s="3502"/>
      <c r="K518" s="3502"/>
      <c r="L518" s="3502"/>
      <c r="M518" s="3502" t="s">
        <v>20</v>
      </c>
      <c r="N518" s="3504"/>
      <c r="O518" s="3501"/>
      <c r="P518" s="3501"/>
      <c r="Q518" s="3502"/>
    </row>
    <row r="519" spans="1:17" ht="20.100000000000001" customHeight="1">
      <c r="A519" s="1335"/>
      <c r="B519" s="1335"/>
      <c r="C519" s="1336" t="s">
        <v>1838</v>
      </c>
      <c r="D519" s="1335"/>
      <c r="E519" s="1337">
        <f t="shared" ref="E519:K519" si="9">E514</f>
        <v>5776</v>
      </c>
      <c r="F519" s="1337">
        <f t="shared" si="9"/>
        <v>19909</v>
      </c>
      <c r="G519" s="1337">
        <f t="shared" si="9"/>
        <v>193</v>
      </c>
      <c r="H519" s="1337">
        <f t="shared" si="9"/>
        <v>864</v>
      </c>
      <c r="I519" s="1337">
        <f t="shared" si="9"/>
        <v>91240</v>
      </c>
      <c r="J519" s="1337">
        <f t="shared" si="9"/>
        <v>2773</v>
      </c>
      <c r="K519" s="1337">
        <f t="shared" si="9"/>
        <v>160</v>
      </c>
      <c r="L519" s="1337">
        <v>0</v>
      </c>
      <c r="M519" s="1337"/>
      <c r="N519" s="1337">
        <f>N514</f>
        <v>3988225404.9299965</v>
      </c>
      <c r="O519" s="1337">
        <f>O514</f>
        <v>94678</v>
      </c>
      <c r="P519" s="1337">
        <f>P514</f>
        <v>20</v>
      </c>
      <c r="Q519" s="1337">
        <f>Q514</f>
        <v>0</v>
      </c>
    </row>
    <row r="520" spans="1:17" ht="20.100000000000001" customHeight="1">
      <c r="A520" s="1338"/>
      <c r="B520" s="1338"/>
      <c r="C520" s="1338"/>
      <c r="D520" s="1338"/>
      <c r="E520" s="1338"/>
      <c r="F520" s="1338"/>
      <c r="G520" s="1338"/>
      <c r="H520" s="1338"/>
      <c r="I520" s="1338"/>
      <c r="J520" s="1338"/>
      <c r="K520" s="1338"/>
      <c r="L520" s="1338"/>
      <c r="M520" s="1338"/>
      <c r="N520" s="1338"/>
      <c r="O520" s="1338"/>
      <c r="P520" s="1338"/>
      <c r="Q520" s="1338"/>
    </row>
    <row r="521" spans="1:17" ht="20.100000000000001" customHeight="1">
      <c r="A521" s="1338"/>
      <c r="B521" s="1338"/>
      <c r="C521" s="1338"/>
      <c r="D521" s="1338"/>
      <c r="E521" s="1338"/>
      <c r="F521" s="1338"/>
      <c r="G521" s="1338"/>
      <c r="H521" s="1338"/>
      <c r="I521" s="1338"/>
      <c r="J521" s="1338"/>
      <c r="K521" s="1338"/>
      <c r="L521" s="1338"/>
      <c r="M521" s="1338"/>
      <c r="N521" s="1338"/>
      <c r="O521" s="1338"/>
      <c r="P521" s="1338"/>
      <c r="Q521" s="1338"/>
    </row>
    <row r="522" spans="1:17" ht="20.100000000000001" customHeight="1">
      <c r="A522" s="1338"/>
      <c r="B522" s="1338"/>
      <c r="C522" s="1338"/>
      <c r="D522" s="1338"/>
      <c r="E522" s="1338"/>
      <c r="F522" s="1338"/>
      <c r="G522" s="1338"/>
      <c r="H522" s="1338"/>
      <c r="I522" s="1338"/>
      <c r="J522" s="1338"/>
      <c r="K522" s="1338"/>
      <c r="L522" s="1338"/>
      <c r="M522" s="1338"/>
      <c r="N522" s="1338"/>
      <c r="O522" s="1338"/>
      <c r="P522" s="1338"/>
      <c r="Q522" s="1338"/>
    </row>
    <row r="523" spans="1:17" ht="20.100000000000001" customHeight="1">
      <c r="A523" s="1338"/>
      <c r="B523" s="1338"/>
      <c r="C523" s="1338"/>
      <c r="D523" s="1335"/>
      <c r="E523" s="1335"/>
      <c r="F523" s="1339" t="s">
        <v>22</v>
      </c>
      <c r="G523" s="1339" t="s">
        <v>1839</v>
      </c>
      <c r="H523" s="1339" t="s">
        <v>755</v>
      </c>
      <c r="I523" s="1338"/>
      <c r="J523" s="1338"/>
      <c r="K523" s="1338"/>
      <c r="L523" s="1338"/>
      <c r="M523" s="1338"/>
      <c r="N523" s="1338"/>
      <c r="O523" s="1338"/>
      <c r="P523" s="1338"/>
      <c r="Q523" s="1338"/>
    </row>
    <row r="524" spans="1:17" ht="20.100000000000001" customHeight="1">
      <c r="A524" s="1338"/>
      <c r="B524" s="1338"/>
      <c r="C524" s="1338"/>
      <c r="D524" s="3503" t="s">
        <v>7</v>
      </c>
      <c r="E524" s="1341" t="s">
        <v>17</v>
      </c>
      <c r="F524" s="1342">
        <f>P14+P25+P30+P39+P48+P55+P64+P74+P85+P97+P103+P113+P127+P136+P143+P152+P160+P170+P176+P186+P196+P201+P211+P218+P225+P234+P246+P257+P268+P283+P292+P299+P310+P319+P349+P360+P366+P372+P379+P391+P401+P409+P430</f>
        <v>0</v>
      </c>
      <c r="G524" s="1343">
        <f>E519</f>
        <v>5776</v>
      </c>
      <c r="H524" s="1343">
        <f>G524-F524</f>
        <v>5776</v>
      </c>
      <c r="I524" s="1338"/>
      <c r="J524" s="1338"/>
      <c r="K524" s="1338"/>
      <c r="L524" s="1338"/>
      <c r="M524" s="1338"/>
      <c r="N524" s="1338"/>
      <c r="O524" s="1338"/>
      <c r="P524" s="1338"/>
      <c r="Q524" s="1338"/>
    </row>
    <row r="525" spans="1:17" ht="20.100000000000001" customHeight="1">
      <c r="A525" s="1338"/>
      <c r="B525" s="1338"/>
      <c r="C525" s="1338"/>
      <c r="D525" s="3503"/>
      <c r="E525" s="1344" t="s">
        <v>18</v>
      </c>
      <c r="F525" s="1345">
        <f>P13+P24+P29+P38+P47+P54+P63+P73+P84+P96+P102+P112+P126+P135+P142+P151+P159+P169+P175+P185+P195+P200+P210+P217+P224+P233+P245+P256+P267+P282+P291+P298+P309+P318+P327+P334+P348+P359+P365+P371+P378+P390+P400+P408+P429</f>
        <v>0</v>
      </c>
      <c r="G525" s="1343">
        <f>F519</f>
        <v>19909</v>
      </c>
      <c r="H525" s="1343">
        <f t="shared" ref="H525:H530" si="10">G525-F525</f>
        <v>19909</v>
      </c>
      <c r="I525" s="1338"/>
      <c r="J525" s="1338"/>
      <c r="K525" s="1338"/>
      <c r="L525" s="1338"/>
      <c r="M525" s="1338"/>
      <c r="N525" s="1338"/>
      <c r="O525" s="1338"/>
      <c r="P525" s="1338"/>
      <c r="Q525" s="1338"/>
    </row>
    <row r="526" spans="1:17" ht="20.100000000000001" customHeight="1">
      <c r="A526" s="1338"/>
      <c r="B526" s="1338"/>
      <c r="C526" s="1338"/>
      <c r="D526" s="1341" t="s">
        <v>756</v>
      </c>
      <c r="E526" s="1341"/>
      <c r="F526" s="1345">
        <f>P8+P9+P16+P17+P18+P26+P27+P33+P34+P35+P40+P41+P49+P50+P51+P42+P57+P58+P59+P60+P68+P69+P70+P71+P76+P77+P78+P79+P87+P88+P89+P90+P98+P99+P100+P105+P106+P107+P119+P120+P121+P122+P123+P129+P130+P131+P132+P138+P139+P140+P145+P146+P147+P148+P149+P154+P155+P156+P157+P163+P164+P165+P166+P171+P172+P173+P179+P180+P181+P189+P190+P191+P192+P193+P197+P198+P204+P205+P206+P207+P213+P214+P215+P220+P221+P222+P228+P229+P230+P239+P240+P241+P242+P243+P244+P250+P251+P252+P253+P254+P262+P263+P264+P276+P277+P278+P279+P280+P285+P286+P287+P288+P294+P295+P301+P302+P303+P304+P312+P313+P314+P323+P324+P325+P329+P330+P331+P337+P338+P339+P340+P341+P352+P353+P354+P355+P362+P363+P367+P368+P369+P374+P375+P376+P381+P382+P383+P384+P394+P395+P396+P404+P405+P414+P415+P416+P417+P418+P419+P420</f>
        <v>0</v>
      </c>
      <c r="G526" s="1343">
        <f>G519</f>
        <v>193</v>
      </c>
      <c r="H526" s="1343">
        <f t="shared" si="10"/>
        <v>193</v>
      </c>
      <c r="I526" s="1338"/>
      <c r="J526" s="1338"/>
      <c r="K526" s="1338"/>
      <c r="L526" s="1338"/>
      <c r="M526" s="1338"/>
      <c r="N526" s="1338"/>
      <c r="O526" s="1338"/>
      <c r="P526" s="1338"/>
      <c r="Q526" s="1338"/>
    </row>
    <row r="527" spans="1:17" ht="20.100000000000001" customHeight="1">
      <c r="A527" s="1338"/>
      <c r="B527" s="1338"/>
      <c r="C527" s="1338"/>
      <c r="D527" s="1344" t="s">
        <v>1840</v>
      </c>
      <c r="E527" s="1341"/>
      <c r="F527" s="1345">
        <f>P11+P36+P61+P80+P108+P167+P296+P346+P357+P388+P398+P406</f>
        <v>0</v>
      </c>
      <c r="G527" s="1343">
        <f>H519</f>
        <v>864</v>
      </c>
      <c r="H527" s="1343">
        <f t="shared" si="10"/>
        <v>864</v>
      </c>
      <c r="I527" s="1338"/>
      <c r="J527" s="1338"/>
      <c r="K527" s="1338"/>
      <c r="L527" s="1338"/>
      <c r="M527" s="1338"/>
      <c r="N527" s="1338"/>
      <c r="O527" s="1338"/>
      <c r="P527" s="1338"/>
      <c r="Q527" s="1338"/>
    </row>
    <row r="528" spans="1:17" ht="20.100000000000001" customHeight="1">
      <c r="A528" s="1338"/>
      <c r="B528" s="1338"/>
      <c r="C528" s="1338"/>
      <c r="D528" s="1344" t="s">
        <v>1841</v>
      </c>
      <c r="E528" s="1344"/>
      <c r="F528" s="1345">
        <f>P12+P21+P37+P46+P53+P62+P72+P81+P94+P101+P109+P125+P134+P141+P150+P158+P168+P174+P184+P194+P199+P209+P216+P223+P232+P244+P255+P266+P281+P289+P297+P308+P317+P326+P333+P347+P358+P364+P370+P377+P389+P399+P407+P428</f>
        <v>0</v>
      </c>
      <c r="G528" s="1343">
        <f>I519</f>
        <v>91240</v>
      </c>
      <c r="H528" s="1343">
        <f t="shared" si="10"/>
        <v>91240</v>
      </c>
      <c r="I528" s="1338"/>
      <c r="J528" s="1338"/>
      <c r="K528" s="1338"/>
      <c r="L528" s="1338"/>
      <c r="M528" s="1338"/>
      <c r="N528" s="1338"/>
      <c r="O528" s="1338"/>
      <c r="P528" s="1338"/>
      <c r="Q528" s="1338"/>
    </row>
    <row r="529" spans="1:17" ht="20.100000000000001" customHeight="1">
      <c r="A529" s="1338"/>
      <c r="B529" s="1338"/>
      <c r="C529" s="1338"/>
      <c r="D529" s="1344" t="s">
        <v>758</v>
      </c>
      <c r="E529" s="1344"/>
      <c r="F529" s="1345">
        <f>P188+P311+P335+P413</f>
        <v>0</v>
      </c>
      <c r="G529" s="1343">
        <f>J519</f>
        <v>2773</v>
      </c>
      <c r="H529" s="1343">
        <f t="shared" si="10"/>
        <v>2773</v>
      </c>
      <c r="I529" s="1338"/>
      <c r="J529" s="1338"/>
      <c r="K529" s="1338"/>
      <c r="L529" s="1338"/>
      <c r="M529" s="1338"/>
      <c r="N529" s="1338"/>
      <c r="O529" s="1338"/>
      <c r="P529" s="1338"/>
      <c r="Q529" s="1338"/>
    </row>
    <row r="530" spans="1:17" ht="20.100000000000001" customHeight="1">
      <c r="A530" s="1338"/>
      <c r="B530" s="1338"/>
      <c r="C530" s="1338"/>
      <c r="D530" s="1346" t="s">
        <v>1842</v>
      </c>
      <c r="E530" s="1346"/>
      <c r="F530" s="1345">
        <f>P514-F529-F528-F527-F526-F525-F524</f>
        <v>20</v>
      </c>
      <c r="G530" s="1343">
        <f>K519</f>
        <v>160</v>
      </c>
      <c r="H530" s="1343">
        <f t="shared" si="10"/>
        <v>140</v>
      </c>
      <c r="I530" s="1338"/>
      <c r="J530" s="1338"/>
      <c r="K530" s="1338"/>
      <c r="L530" s="1338"/>
      <c r="M530" s="1338"/>
      <c r="N530" s="1338"/>
      <c r="O530" s="1338"/>
      <c r="P530" s="1338"/>
      <c r="Q530" s="1338"/>
    </row>
    <row r="531" spans="1:17" ht="20.100000000000001" customHeight="1">
      <c r="A531" s="1338"/>
      <c r="B531" s="1338"/>
      <c r="C531" s="1338"/>
      <c r="D531" s="1347" t="s">
        <v>760</v>
      </c>
      <c r="E531" s="1335"/>
      <c r="F531" s="1348">
        <f>SUM(F524:F530)</f>
        <v>20</v>
      </c>
      <c r="G531" s="1343">
        <f>SUM(G524:G530)</f>
        <v>120915</v>
      </c>
      <c r="H531" s="1343">
        <f>SUM(H524:H530)</f>
        <v>120895</v>
      </c>
      <c r="I531" s="1338"/>
      <c r="J531" s="1338"/>
      <c r="K531" s="1338"/>
      <c r="L531" s="1338"/>
      <c r="M531" s="1338"/>
      <c r="N531" s="1338"/>
      <c r="O531" s="1338"/>
      <c r="P531" s="1338"/>
      <c r="Q531" s="1338"/>
    </row>
  </sheetData>
  <mergeCells count="35">
    <mergeCell ref="M5:M7"/>
    <mergeCell ref="N5:N7"/>
    <mergeCell ref="O5:Q5"/>
    <mergeCell ref="A1:Q1"/>
    <mergeCell ref="A2:Q2"/>
    <mergeCell ref="A3:Q3"/>
    <mergeCell ref="A4:Q4"/>
    <mergeCell ref="A5:A7"/>
    <mergeCell ref="D5:D7"/>
    <mergeCell ref="E5:F5"/>
    <mergeCell ref="G5:G6"/>
    <mergeCell ref="H5:H6"/>
    <mergeCell ref="I5:I6"/>
    <mergeCell ref="J5:J6"/>
    <mergeCell ref="K5:K7"/>
    <mergeCell ref="L5:L7"/>
    <mergeCell ref="A516:A518"/>
    <mergeCell ref="B516:B518"/>
    <mergeCell ref="C516:C518"/>
    <mergeCell ref="D516:D518"/>
    <mergeCell ref="E516:K516"/>
    <mergeCell ref="P517:P518"/>
    <mergeCell ref="Q517:Q518"/>
    <mergeCell ref="D524:D525"/>
    <mergeCell ref="M516:M518"/>
    <mergeCell ref="N516:N518"/>
    <mergeCell ref="O516:Q516"/>
    <mergeCell ref="E517:F517"/>
    <mergeCell ref="G517:G518"/>
    <mergeCell ref="H517:H518"/>
    <mergeCell ref="I517:I518"/>
    <mergeCell ref="J517:J518"/>
    <mergeCell ref="K517:K518"/>
    <mergeCell ref="O517:O518"/>
    <mergeCell ref="L516:L5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07"/>
  <sheetViews>
    <sheetView topLeftCell="A288" workbookViewId="0">
      <selection activeCell="G297" sqref="G297:Q297"/>
    </sheetView>
  </sheetViews>
  <sheetFormatPr defaultRowHeight="15"/>
  <cols>
    <col min="15" max="15" width="12.5703125" customWidth="1"/>
  </cols>
  <sheetData>
    <row r="1" spans="1:17" ht="20.100000000000001" customHeight="1">
      <c r="A1" s="3406" t="s">
        <v>0</v>
      </c>
      <c r="B1" s="3406"/>
      <c r="C1" s="3406"/>
      <c r="D1" s="3406"/>
      <c r="E1" s="3406"/>
      <c r="F1" s="3406"/>
      <c r="G1" s="3406"/>
      <c r="H1" s="3406"/>
      <c r="I1" s="3406"/>
      <c r="J1" s="3406"/>
      <c r="K1" s="3406"/>
      <c r="L1" s="3406"/>
      <c r="M1" s="3406"/>
      <c r="N1" s="3406"/>
      <c r="O1" s="3406"/>
      <c r="P1" s="3406"/>
      <c r="Q1" s="3406"/>
    </row>
    <row r="2" spans="1:17" ht="20.100000000000001" customHeight="1">
      <c r="A2" s="3406" t="s">
        <v>2075</v>
      </c>
      <c r="B2" s="3406"/>
      <c r="C2" s="3406"/>
      <c r="D2" s="3406"/>
      <c r="E2" s="3406"/>
      <c r="F2" s="3406"/>
      <c r="G2" s="3406"/>
      <c r="H2" s="3406"/>
      <c r="I2" s="3406"/>
      <c r="J2" s="3406"/>
      <c r="K2" s="3406"/>
      <c r="L2" s="3406"/>
      <c r="M2" s="3406"/>
      <c r="N2" s="3406"/>
      <c r="O2" s="3406"/>
      <c r="P2" s="3406"/>
      <c r="Q2" s="3406"/>
    </row>
    <row r="3" spans="1:17" ht="20.100000000000001" customHeight="1">
      <c r="A3" s="3406" t="s">
        <v>770</v>
      </c>
      <c r="B3" s="3406"/>
      <c r="C3" s="3406"/>
      <c r="D3" s="3406"/>
      <c r="E3" s="3406"/>
      <c r="F3" s="3406"/>
      <c r="G3" s="3406"/>
      <c r="H3" s="3406"/>
      <c r="I3" s="3406"/>
      <c r="J3" s="3406"/>
      <c r="K3" s="3406"/>
      <c r="L3" s="3406"/>
      <c r="M3" s="3406"/>
      <c r="N3" s="3406"/>
      <c r="O3" s="3406"/>
      <c r="P3" s="3406"/>
      <c r="Q3" s="3406"/>
    </row>
    <row r="4" spans="1:17" ht="20.100000000000001" customHeight="1">
      <c r="A4" s="3406" t="s">
        <v>2076</v>
      </c>
      <c r="B4" s="3406"/>
      <c r="C4" s="3406" t="s">
        <v>1846</v>
      </c>
      <c r="D4" s="3406"/>
      <c r="E4" s="3406"/>
      <c r="F4" s="3406"/>
      <c r="G4" s="3406"/>
      <c r="H4" s="3406"/>
      <c r="I4" s="3406"/>
      <c r="J4" s="3406"/>
      <c r="K4" s="3406"/>
      <c r="L4" s="3406"/>
      <c r="M4" s="3406"/>
      <c r="N4" s="3406"/>
      <c r="O4" s="3406"/>
      <c r="P4" s="3406"/>
      <c r="Q4" s="3406"/>
    </row>
    <row r="5" spans="1:17" ht="20.100000000000001" customHeight="1">
      <c r="A5" s="3522" t="s">
        <v>1579</v>
      </c>
      <c r="B5" s="3522" t="s">
        <v>1847</v>
      </c>
      <c r="C5" s="3526" t="s">
        <v>5</v>
      </c>
      <c r="D5" s="3524" t="s">
        <v>2077</v>
      </c>
      <c r="E5" s="3524" t="s">
        <v>2078</v>
      </c>
      <c r="F5" s="3522" t="s">
        <v>1848</v>
      </c>
      <c r="G5" s="3520" t="s">
        <v>7</v>
      </c>
      <c r="H5" s="3521"/>
      <c r="I5" s="3522" t="s">
        <v>756</v>
      </c>
      <c r="J5" s="3524" t="s">
        <v>2079</v>
      </c>
      <c r="K5" s="3524" t="s">
        <v>2080</v>
      </c>
      <c r="L5" s="3524" t="s">
        <v>2081</v>
      </c>
      <c r="M5" s="3531" t="s">
        <v>2082</v>
      </c>
      <c r="N5" s="3528" t="s">
        <v>777</v>
      </c>
      <c r="O5" s="3438" t="s">
        <v>16</v>
      </c>
      <c r="P5" s="3530"/>
      <c r="Q5" s="3439"/>
    </row>
    <row r="6" spans="1:17" ht="20.100000000000001" customHeight="1">
      <c r="A6" s="3523"/>
      <c r="B6" s="3523"/>
      <c r="C6" s="3527"/>
      <c r="D6" s="3525"/>
      <c r="E6" s="3525"/>
      <c r="F6" s="3523"/>
      <c r="G6" s="1825" t="s">
        <v>17</v>
      </c>
      <c r="H6" s="1826" t="s">
        <v>18</v>
      </c>
      <c r="I6" s="3523"/>
      <c r="J6" s="3525"/>
      <c r="K6" s="3525"/>
      <c r="L6" s="3525"/>
      <c r="M6" s="3532"/>
      <c r="N6" s="3529"/>
      <c r="O6" s="1354" t="s">
        <v>21</v>
      </c>
      <c r="P6" s="1827" t="s">
        <v>22</v>
      </c>
      <c r="Q6" s="1828" t="s">
        <v>23</v>
      </c>
    </row>
    <row r="7" spans="1:17" ht="20.100000000000001" customHeight="1">
      <c r="A7" s="1829">
        <v>1</v>
      </c>
      <c r="B7" s="1830" t="s">
        <v>2083</v>
      </c>
      <c r="C7" s="1831" t="s">
        <v>2084</v>
      </c>
      <c r="D7" s="1831"/>
      <c r="E7" s="1831" t="s">
        <v>1232</v>
      </c>
      <c r="F7" s="1832" t="s">
        <v>2085</v>
      </c>
      <c r="G7" s="1833">
        <v>0</v>
      </c>
      <c r="H7" s="1833">
        <v>0</v>
      </c>
      <c r="I7" s="1833">
        <v>0</v>
      </c>
      <c r="J7" s="1833">
        <v>0</v>
      </c>
      <c r="K7" s="1833">
        <v>0</v>
      </c>
      <c r="L7" s="1833">
        <v>0</v>
      </c>
      <c r="M7" s="1834">
        <v>1</v>
      </c>
      <c r="N7" s="2849">
        <v>21685.99</v>
      </c>
      <c r="O7" s="1835">
        <f>G7+H7+I7+J7+K7+L7+M7</f>
        <v>1</v>
      </c>
      <c r="P7" s="1836">
        <v>0</v>
      </c>
      <c r="Q7" s="1836">
        <v>0</v>
      </c>
    </row>
    <row r="8" spans="1:17" ht="20.100000000000001" customHeight="1">
      <c r="A8" s="2850">
        <v>2</v>
      </c>
      <c r="B8" s="2851" t="s">
        <v>2083</v>
      </c>
      <c r="C8" s="2852" t="s">
        <v>2084</v>
      </c>
      <c r="D8" s="2852"/>
      <c r="E8" s="2852" t="s">
        <v>434</v>
      </c>
      <c r="F8" s="2853" t="s">
        <v>35</v>
      </c>
      <c r="G8" s="2854">
        <v>0</v>
      </c>
      <c r="H8" s="2854">
        <v>0</v>
      </c>
      <c r="I8" s="2854">
        <v>0</v>
      </c>
      <c r="J8" s="2854">
        <v>0</v>
      </c>
      <c r="K8" s="2854">
        <v>200</v>
      </c>
      <c r="L8" s="2854">
        <v>0</v>
      </c>
      <c r="M8" s="2855">
        <v>0</v>
      </c>
      <c r="N8" s="2856">
        <v>25016.17</v>
      </c>
      <c r="O8" s="2857">
        <f t="shared" ref="O8:O71" si="0">G8+H8+I8+J8+K8+L8+M8</f>
        <v>200</v>
      </c>
      <c r="P8" s="1836">
        <v>0</v>
      </c>
      <c r="Q8" s="1836">
        <v>0</v>
      </c>
    </row>
    <row r="9" spans="1:17" ht="20.100000000000001" customHeight="1">
      <c r="A9" s="2858">
        <v>3</v>
      </c>
      <c r="B9" s="2851" t="s">
        <v>2083</v>
      </c>
      <c r="C9" s="2852" t="s">
        <v>2084</v>
      </c>
      <c r="D9" s="2859"/>
      <c r="E9" s="2859" t="s">
        <v>442</v>
      </c>
      <c r="F9" s="2860" t="s">
        <v>2086</v>
      </c>
      <c r="G9" s="2861">
        <v>0</v>
      </c>
      <c r="H9" s="2861">
        <v>0</v>
      </c>
      <c r="I9" s="2861">
        <v>0</v>
      </c>
      <c r="J9" s="2861">
        <v>0</v>
      </c>
      <c r="K9" s="2861">
        <v>0</v>
      </c>
      <c r="L9" s="2861">
        <v>0</v>
      </c>
      <c r="M9" s="2862">
        <v>2</v>
      </c>
      <c r="N9" s="2863">
        <v>60000</v>
      </c>
      <c r="O9" s="2857">
        <f t="shared" si="0"/>
        <v>2</v>
      </c>
      <c r="P9" s="1836">
        <v>0</v>
      </c>
      <c r="Q9" s="1836">
        <v>0</v>
      </c>
    </row>
    <row r="10" spans="1:17" ht="20.100000000000001" customHeight="1">
      <c r="A10" s="2850">
        <v>4</v>
      </c>
      <c r="B10" s="2851" t="s">
        <v>2083</v>
      </c>
      <c r="C10" s="2852" t="s">
        <v>2084</v>
      </c>
      <c r="D10" s="2859"/>
      <c r="E10" s="2859" t="s">
        <v>442</v>
      </c>
      <c r="F10" s="2864" t="s">
        <v>2087</v>
      </c>
      <c r="G10" s="2865">
        <v>0</v>
      </c>
      <c r="H10" s="2865">
        <v>0</v>
      </c>
      <c r="I10" s="2865">
        <v>0</v>
      </c>
      <c r="J10" s="2865">
        <v>0</v>
      </c>
      <c r="K10" s="2865">
        <v>0</v>
      </c>
      <c r="L10" s="2865">
        <v>0</v>
      </c>
      <c r="M10" s="2865">
        <v>3</v>
      </c>
      <c r="N10" s="2866">
        <v>450000</v>
      </c>
      <c r="O10" s="2857">
        <f t="shared" si="0"/>
        <v>3</v>
      </c>
      <c r="P10" s="1840">
        <v>0</v>
      </c>
      <c r="Q10" s="1840">
        <v>0</v>
      </c>
    </row>
    <row r="11" spans="1:17" ht="20.100000000000001" customHeight="1">
      <c r="A11" s="2850">
        <v>5</v>
      </c>
      <c r="B11" s="2867" t="s">
        <v>2088</v>
      </c>
      <c r="C11" s="2852" t="s">
        <v>2084</v>
      </c>
      <c r="D11" s="2868"/>
      <c r="E11" s="2852" t="s">
        <v>434</v>
      </c>
      <c r="F11" s="2869" t="s">
        <v>35</v>
      </c>
      <c r="G11" s="2870">
        <v>0</v>
      </c>
      <c r="H11" s="2871">
        <v>0</v>
      </c>
      <c r="I11" s="2870">
        <v>0</v>
      </c>
      <c r="J11" s="2870">
        <v>0</v>
      </c>
      <c r="K11" s="2871">
        <v>141</v>
      </c>
      <c r="L11" s="2870">
        <v>0</v>
      </c>
      <c r="M11" s="2872">
        <v>0</v>
      </c>
      <c r="N11" s="2873">
        <v>70373.659999999989</v>
      </c>
      <c r="O11" s="2857">
        <f t="shared" si="0"/>
        <v>141</v>
      </c>
      <c r="P11" s="1841">
        <v>0</v>
      </c>
      <c r="Q11" s="1841">
        <v>0</v>
      </c>
    </row>
    <row r="12" spans="1:17" ht="20.100000000000001" customHeight="1">
      <c r="A12" s="2858">
        <v>6</v>
      </c>
      <c r="B12" s="2867" t="s">
        <v>2088</v>
      </c>
      <c r="C12" s="2852" t="s">
        <v>2084</v>
      </c>
      <c r="D12" s="2868"/>
      <c r="E12" s="2868" t="s">
        <v>29</v>
      </c>
      <c r="F12" s="2874" t="s">
        <v>2089</v>
      </c>
      <c r="G12" s="2875">
        <v>0</v>
      </c>
      <c r="H12" s="2876">
        <v>0</v>
      </c>
      <c r="I12" s="2877">
        <v>1</v>
      </c>
      <c r="J12" s="2875">
        <v>0</v>
      </c>
      <c r="K12" s="2875">
        <v>0</v>
      </c>
      <c r="L12" s="2875">
        <v>0</v>
      </c>
      <c r="M12" s="2875">
        <v>0</v>
      </c>
      <c r="N12" s="2878">
        <v>7757.41</v>
      </c>
      <c r="O12" s="2857">
        <f t="shared" si="0"/>
        <v>1</v>
      </c>
      <c r="P12" s="1841">
        <v>0</v>
      </c>
      <c r="Q12" s="1841">
        <v>0</v>
      </c>
    </row>
    <row r="13" spans="1:17" ht="20.100000000000001" customHeight="1">
      <c r="A13" s="2850">
        <v>7</v>
      </c>
      <c r="B13" s="2867" t="s">
        <v>2088</v>
      </c>
      <c r="C13" s="2852" t="s">
        <v>2084</v>
      </c>
      <c r="D13" s="2868"/>
      <c r="E13" s="2868" t="s">
        <v>29</v>
      </c>
      <c r="F13" s="2874" t="s">
        <v>50</v>
      </c>
      <c r="G13" s="2879">
        <v>0</v>
      </c>
      <c r="H13" s="2871">
        <v>0</v>
      </c>
      <c r="I13" s="2877">
        <v>1</v>
      </c>
      <c r="J13" s="2879">
        <v>0</v>
      </c>
      <c r="K13" s="2879">
        <v>0</v>
      </c>
      <c r="L13" s="2875">
        <v>0</v>
      </c>
      <c r="M13" s="2880">
        <v>0</v>
      </c>
      <c r="N13" s="2881">
        <v>10184.84</v>
      </c>
      <c r="O13" s="2857">
        <f t="shared" si="0"/>
        <v>1</v>
      </c>
      <c r="P13" s="1841">
        <v>0</v>
      </c>
      <c r="Q13" s="1841">
        <v>0</v>
      </c>
    </row>
    <row r="14" spans="1:17" ht="20.100000000000001" customHeight="1">
      <c r="A14" s="2850">
        <v>8</v>
      </c>
      <c r="B14" s="2867" t="s">
        <v>2088</v>
      </c>
      <c r="C14" s="2852" t="s">
        <v>2084</v>
      </c>
      <c r="D14" s="2868"/>
      <c r="E14" s="2868" t="s">
        <v>671</v>
      </c>
      <c r="F14" s="2874" t="s">
        <v>52</v>
      </c>
      <c r="G14" s="2871">
        <v>0</v>
      </c>
      <c r="H14" s="2871">
        <v>736</v>
      </c>
      <c r="I14" s="2882">
        <v>0</v>
      </c>
      <c r="J14" s="2882">
        <v>0</v>
      </c>
      <c r="K14" s="2882">
        <v>0</v>
      </c>
      <c r="L14" s="2882">
        <v>0</v>
      </c>
      <c r="M14" s="2872">
        <v>0</v>
      </c>
      <c r="N14" s="2873">
        <v>36800</v>
      </c>
      <c r="O14" s="2857">
        <f t="shared" si="0"/>
        <v>736</v>
      </c>
      <c r="P14" s="1841">
        <v>0</v>
      </c>
      <c r="Q14" s="1841">
        <v>0</v>
      </c>
    </row>
    <row r="15" spans="1:17" ht="20.100000000000001" customHeight="1">
      <c r="A15" s="2858">
        <v>9</v>
      </c>
      <c r="B15" s="2867" t="s">
        <v>2088</v>
      </c>
      <c r="C15" s="2852" t="s">
        <v>2084</v>
      </c>
      <c r="D15" s="2868"/>
      <c r="E15" s="2868" t="s">
        <v>671</v>
      </c>
      <c r="F15" s="2874" t="s">
        <v>2090</v>
      </c>
      <c r="G15" s="2871">
        <v>160</v>
      </c>
      <c r="H15" s="2871">
        <v>0</v>
      </c>
      <c r="I15" s="2882"/>
      <c r="J15" s="2882"/>
      <c r="K15" s="2882"/>
      <c r="L15" s="2882"/>
      <c r="M15" s="2872"/>
      <c r="N15" s="2873"/>
      <c r="O15" s="2857">
        <f t="shared" si="0"/>
        <v>160</v>
      </c>
      <c r="P15" s="1841"/>
      <c r="Q15" s="1841"/>
    </row>
    <row r="16" spans="1:17" ht="20.100000000000001" customHeight="1">
      <c r="A16" s="2850">
        <v>10</v>
      </c>
      <c r="B16" s="2867" t="s">
        <v>2088</v>
      </c>
      <c r="C16" s="2852" t="s">
        <v>2084</v>
      </c>
      <c r="D16" s="2883"/>
      <c r="E16" s="2859" t="s">
        <v>442</v>
      </c>
      <c r="F16" s="2884" t="s">
        <v>2091</v>
      </c>
      <c r="G16" s="2882">
        <v>0</v>
      </c>
      <c r="H16" s="2885">
        <v>0</v>
      </c>
      <c r="I16" s="2882">
        <v>0</v>
      </c>
      <c r="J16" s="2882">
        <v>0</v>
      </c>
      <c r="K16" s="2882">
        <v>0</v>
      </c>
      <c r="L16" s="2882">
        <v>0</v>
      </c>
      <c r="M16" s="2872">
        <v>4</v>
      </c>
      <c r="N16" s="2873">
        <v>160000</v>
      </c>
      <c r="O16" s="2857">
        <f t="shared" si="0"/>
        <v>4</v>
      </c>
      <c r="P16" s="1841">
        <v>0</v>
      </c>
      <c r="Q16" s="1841">
        <v>0</v>
      </c>
    </row>
    <row r="17" spans="1:17" ht="20.100000000000001" customHeight="1">
      <c r="A17" s="2850">
        <v>11</v>
      </c>
      <c r="B17" s="2867" t="s">
        <v>2088</v>
      </c>
      <c r="C17" s="2852" t="s">
        <v>2084</v>
      </c>
      <c r="D17" s="2886" t="s">
        <v>2092</v>
      </c>
      <c r="E17" s="2859" t="s">
        <v>442</v>
      </c>
      <c r="F17" s="2884" t="s">
        <v>2087</v>
      </c>
      <c r="G17" s="2875">
        <v>0</v>
      </c>
      <c r="H17" s="2876">
        <v>0</v>
      </c>
      <c r="I17" s="2875">
        <v>0</v>
      </c>
      <c r="J17" s="2875">
        <v>0</v>
      </c>
      <c r="K17" s="2875">
        <v>0</v>
      </c>
      <c r="L17" s="2875">
        <v>0</v>
      </c>
      <c r="M17" s="2875">
        <v>15</v>
      </c>
      <c r="N17" s="2887">
        <v>1978200</v>
      </c>
      <c r="O17" s="2857">
        <f t="shared" si="0"/>
        <v>15</v>
      </c>
      <c r="P17" s="1841">
        <v>0</v>
      </c>
      <c r="Q17" s="1842">
        <v>0</v>
      </c>
    </row>
    <row r="18" spans="1:17" ht="20.100000000000001" customHeight="1">
      <c r="A18" s="2858">
        <v>12</v>
      </c>
      <c r="B18" s="2851" t="s">
        <v>2093</v>
      </c>
      <c r="C18" s="2852" t="s">
        <v>2084</v>
      </c>
      <c r="D18" s="2852" t="s">
        <v>100</v>
      </c>
      <c r="E18" s="2852" t="s">
        <v>1232</v>
      </c>
      <c r="F18" s="2888" t="s">
        <v>2094</v>
      </c>
      <c r="G18" s="2889">
        <v>0</v>
      </c>
      <c r="H18" s="2890">
        <v>0</v>
      </c>
      <c r="I18" s="2890">
        <v>0</v>
      </c>
      <c r="J18" s="2890">
        <v>0</v>
      </c>
      <c r="K18" s="2890">
        <v>0</v>
      </c>
      <c r="L18" s="2891">
        <v>0</v>
      </c>
      <c r="M18" s="2855">
        <v>1</v>
      </c>
      <c r="N18" s="2892">
        <v>5085.4799999999996</v>
      </c>
      <c r="O18" s="2857">
        <f t="shared" si="0"/>
        <v>1</v>
      </c>
      <c r="P18" s="1836">
        <v>0</v>
      </c>
      <c r="Q18" s="1836">
        <v>0</v>
      </c>
    </row>
    <row r="19" spans="1:17" ht="20.100000000000001" customHeight="1">
      <c r="A19" s="2850">
        <v>13</v>
      </c>
      <c r="B19" s="2851" t="s">
        <v>2093</v>
      </c>
      <c r="C19" s="2852" t="s">
        <v>2084</v>
      </c>
      <c r="D19" s="2893"/>
      <c r="E19" s="2868" t="s">
        <v>29</v>
      </c>
      <c r="F19" s="2894" t="s">
        <v>49</v>
      </c>
      <c r="G19" s="2895">
        <v>0</v>
      </c>
      <c r="H19" s="2895">
        <v>0</v>
      </c>
      <c r="I19" s="2896">
        <v>1</v>
      </c>
      <c r="J19" s="2895">
        <v>0</v>
      </c>
      <c r="K19" s="2895">
        <v>0</v>
      </c>
      <c r="L19" s="2897">
        <v>0</v>
      </c>
      <c r="M19" s="2898">
        <v>0</v>
      </c>
      <c r="N19" s="2899">
        <v>27764689.899999999</v>
      </c>
      <c r="O19" s="2857">
        <f t="shared" si="0"/>
        <v>1</v>
      </c>
      <c r="P19" s="1840">
        <v>0</v>
      </c>
      <c r="Q19" s="1843">
        <v>0</v>
      </c>
    </row>
    <row r="20" spans="1:17" ht="20.100000000000001" customHeight="1">
      <c r="A20" s="2850">
        <v>14</v>
      </c>
      <c r="B20" s="2851" t="s">
        <v>2093</v>
      </c>
      <c r="C20" s="2852" t="s">
        <v>2084</v>
      </c>
      <c r="D20" s="2893"/>
      <c r="E20" s="2868" t="s">
        <v>29</v>
      </c>
      <c r="F20" s="2894" t="s">
        <v>32</v>
      </c>
      <c r="G20" s="2900">
        <v>0</v>
      </c>
      <c r="H20" s="2900">
        <v>0</v>
      </c>
      <c r="I20" s="2896">
        <v>1</v>
      </c>
      <c r="J20" s="2900">
        <v>0</v>
      </c>
      <c r="K20" s="2900">
        <v>0</v>
      </c>
      <c r="L20" s="2901">
        <v>0</v>
      </c>
      <c r="M20" s="2902">
        <v>0</v>
      </c>
      <c r="N20" s="2892">
        <v>6814.44</v>
      </c>
      <c r="O20" s="2857">
        <f t="shared" si="0"/>
        <v>1</v>
      </c>
      <c r="P20" s="1840">
        <v>0</v>
      </c>
      <c r="Q20" s="434">
        <v>0</v>
      </c>
    </row>
    <row r="21" spans="1:17" ht="20.100000000000001" customHeight="1">
      <c r="A21" s="2858">
        <v>15</v>
      </c>
      <c r="B21" s="2851" t="s">
        <v>2093</v>
      </c>
      <c r="C21" s="2852" t="s">
        <v>2084</v>
      </c>
      <c r="D21" s="2852"/>
      <c r="E21" s="2852" t="s">
        <v>1105</v>
      </c>
      <c r="F21" s="2903" t="s">
        <v>2095</v>
      </c>
      <c r="G21" s="2904">
        <v>0</v>
      </c>
      <c r="H21" s="2904">
        <v>0</v>
      </c>
      <c r="I21" s="2904">
        <v>0</v>
      </c>
      <c r="J21" s="2905">
        <v>0</v>
      </c>
      <c r="K21" s="2904">
        <v>0</v>
      </c>
      <c r="L21" s="2889">
        <v>0</v>
      </c>
      <c r="M21" s="2906">
        <v>4</v>
      </c>
      <c r="N21" s="2907">
        <v>763377.31</v>
      </c>
      <c r="O21" s="2857">
        <f t="shared" si="0"/>
        <v>4</v>
      </c>
      <c r="P21" s="1836">
        <v>0</v>
      </c>
      <c r="Q21" s="1836">
        <v>0</v>
      </c>
    </row>
    <row r="22" spans="1:17" ht="20.100000000000001" customHeight="1">
      <c r="A22" s="2850">
        <v>16</v>
      </c>
      <c r="B22" s="2851" t="s">
        <v>2093</v>
      </c>
      <c r="C22" s="2852" t="s">
        <v>2084</v>
      </c>
      <c r="D22" s="2852"/>
      <c r="E22" s="2852" t="s">
        <v>434</v>
      </c>
      <c r="F22" s="2853" t="s">
        <v>35</v>
      </c>
      <c r="G22" s="2854">
        <v>0</v>
      </c>
      <c r="H22" s="2854">
        <v>0</v>
      </c>
      <c r="I22" s="2854">
        <v>0</v>
      </c>
      <c r="J22" s="2854">
        <v>0</v>
      </c>
      <c r="K22" s="2854">
        <v>351</v>
      </c>
      <c r="L22" s="2889">
        <v>0</v>
      </c>
      <c r="M22" s="2908">
        <v>0</v>
      </c>
      <c r="N22" s="2856">
        <v>1655888.09</v>
      </c>
      <c r="O22" s="2857">
        <f t="shared" si="0"/>
        <v>351</v>
      </c>
      <c r="P22" s="1836">
        <v>0</v>
      </c>
      <c r="Q22" s="1836">
        <v>0</v>
      </c>
    </row>
    <row r="23" spans="1:17" ht="20.100000000000001" customHeight="1">
      <c r="A23" s="2850">
        <v>17</v>
      </c>
      <c r="B23" s="2851" t="s">
        <v>2093</v>
      </c>
      <c r="C23" s="2852" t="s">
        <v>2084</v>
      </c>
      <c r="D23" s="2893"/>
      <c r="E23" s="2868" t="s">
        <v>29</v>
      </c>
      <c r="F23" s="2894" t="s">
        <v>2089</v>
      </c>
      <c r="G23" s="2865">
        <v>0</v>
      </c>
      <c r="H23" s="2865">
        <v>0</v>
      </c>
      <c r="I23" s="2909">
        <v>1</v>
      </c>
      <c r="J23" s="2865">
        <v>0</v>
      </c>
      <c r="K23" s="2865">
        <v>0</v>
      </c>
      <c r="L23" s="2910">
        <v>0</v>
      </c>
      <c r="M23" s="2911">
        <v>0</v>
      </c>
      <c r="N23" s="2912">
        <v>64829.81</v>
      </c>
      <c r="O23" s="2857">
        <f t="shared" si="0"/>
        <v>1</v>
      </c>
      <c r="P23" s="1840">
        <v>0</v>
      </c>
      <c r="Q23" s="1845">
        <v>0</v>
      </c>
    </row>
    <row r="24" spans="1:17" ht="20.100000000000001" customHeight="1">
      <c r="A24" s="2858">
        <v>18</v>
      </c>
      <c r="B24" s="2851" t="s">
        <v>2093</v>
      </c>
      <c r="C24" s="2852" t="s">
        <v>2084</v>
      </c>
      <c r="D24" s="2893"/>
      <c r="E24" s="2868" t="s">
        <v>29</v>
      </c>
      <c r="F24" s="2894" t="s">
        <v>50</v>
      </c>
      <c r="G24" s="2913">
        <v>0</v>
      </c>
      <c r="H24" s="2913">
        <v>0</v>
      </c>
      <c r="I24" s="2909">
        <v>1</v>
      </c>
      <c r="J24" s="2913">
        <v>0</v>
      </c>
      <c r="K24" s="2913">
        <v>0</v>
      </c>
      <c r="L24" s="2897">
        <v>0</v>
      </c>
      <c r="M24" s="2914">
        <v>0</v>
      </c>
      <c r="N24" s="2915">
        <v>6824.06</v>
      </c>
      <c r="O24" s="2857">
        <f t="shared" si="0"/>
        <v>1</v>
      </c>
      <c r="P24" s="1840">
        <v>0</v>
      </c>
      <c r="Q24" s="1845">
        <v>0</v>
      </c>
    </row>
    <row r="25" spans="1:17" ht="20.100000000000001" customHeight="1">
      <c r="A25" s="2850">
        <v>19</v>
      </c>
      <c r="B25" s="2851" t="s">
        <v>2093</v>
      </c>
      <c r="C25" s="2852" t="s">
        <v>2084</v>
      </c>
      <c r="D25" s="2916"/>
      <c r="E25" s="2868" t="s">
        <v>671</v>
      </c>
      <c r="F25" s="2917" t="s">
        <v>2096</v>
      </c>
      <c r="G25" s="2889">
        <v>0</v>
      </c>
      <c r="H25" s="2918">
        <v>1439</v>
      </c>
      <c r="I25" s="2918">
        <v>0</v>
      </c>
      <c r="J25" s="2918">
        <v>0</v>
      </c>
      <c r="K25" s="2918">
        <v>0</v>
      </c>
      <c r="L25" s="2919">
        <v>0</v>
      </c>
      <c r="M25" s="2908">
        <v>0</v>
      </c>
      <c r="N25" s="2892">
        <v>71950</v>
      </c>
      <c r="O25" s="2857">
        <f t="shared" si="0"/>
        <v>1439</v>
      </c>
      <c r="P25" s="1836">
        <v>0</v>
      </c>
      <c r="Q25" s="1846">
        <v>0</v>
      </c>
    </row>
    <row r="26" spans="1:17" ht="20.100000000000001" customHeight="1">
      <c r="A26" s="2850">
        <v>20</v>
      </c>
      <c r="B26" s="2851" t="s">
        <v>2093</v>
      </c>
      <c r="C26" s="2852" t="s">
        <v>2084</v>
      </c>
      <c r="D26" s="2916"/>
      <c r="E26" s="2868" t="s">
        <v>671</v>
      </c>
      <c r="F26" s="2917" t="s">
        <v>2090</v>
      </c>
      <c r="G26" s="2889">
        <f>1439-1383</f>
        <v>56</v>
      </c>
      <c r="H26" s="2918">
        <v>0</v>
      </c>
      <c r="I26" s="2918">
        <v>0</v>
      </c>
      <c r="J26" s="2918">
        <v>0</v>
      </c>
      <c r="K26" s="2918">
        <v>0</v>
      </c>
      <c r="L26" s="2919">
        <v>0</v>
      </c>
      <c r="M26" s="2908">
        <v>0</v>
      </c>
      <c r="N26" s="2892">
        <v>0</v>
      </c>
      <c r="O26" s="2857">
        <f t="shared" si="0"/>
        <v>56</v>
      </c>
      <c r="P26" s="1836"/>
      <c r="Q26" s="1846"/>
    </row>
    <row r="27" spans="1:17" ht="20.100000000000001" customHeight="1">
      <c r="A27" s="2858">
        <v>21</v>
      </c>
      <c r="B27" s="2851" t="s">
        <v>2093</v>
      </c>
      <c r="C27" s="2852" t="s">
        <v>2084</v>
      </c>
      <c r="D27" s="2920"/>
      <c r="E27" s="2920" t="s">
        <v>103</v>
      </c>
      <c r="F27" s="2921" t="s">
        <v>179</v>
      </c>
      <c r="G27" s="2918">
        <v>0</v>
      </c>
      <c r="H27" s="2918">
        <v>0</v>
      </c>
      <c r="I27" s="2918">
        <v>0</v>
      </c>
      <c r="J27" s="2918">
        <v>0</v>
      </c>
      <c r="K27" s="2918">
        <v>0</v>
      </c>
      <c r="L27" s="2919">
        <v>1</v>
      </c>
      <c r="M27" s="2922">
        <v>0</v>
      </c>
      <c r="N27" s="2923">
        <v>100</v>
      </c>
      <c r="O27" s="2857">
        <f t="shared" si="0"/>
        <v>1</v>
      </c>
      <c r="P27" s="1848">
        <v>0</v>
      </c>
      <c r="Q27" s="1848">
        <v>0</v>
      </c>
    </row>
    <row r="28" spans="1:17" ht="20.100000000000001" customHeight="1">
      <c r="A28" s="2850">
        <v>22</v>
      </c>
      <c r="B28" s="2924" t="s">
        <v>2093</v>
      </c>
      <c r="C28" s="2852" t="s">
        <v>2084</v>
      </c>
      <c r="D28" s="2925"/>
      <c r="E28" s="2868" t="s">
        <v>29</v>
      </c>
      <c r="F28" s="2926" t="s">
        <v>2097</v>
      </c>
      <c r="G28" s="2927">
        <v>0</v>
      </c>
      <c r="H28" s="2927">
        <v>0</v>
      </c>
      <c r="I28" s="2927">
        <v>1</v>
      </c>
      <c r="J28" s="2927">
        <v>0</v>
      </c>
      <c r="K28" s="2927">
        <v>0</v>
      </c>
      <c r="L28" s="2928">
        <v>0</v>
      </c>
      <c r="M28" s="2929">
        <v>0</v>
      </c>
      <c r="N28" s="2930">
        <v>379025.3</v>
      </c>
      <c r="O28" s="2857">
        <f t="shared" si="0"/>
        <v>1</v>
      </c>
      <c r="P28" s="1849">
        <v>0</v>
      </c>
      <c r="Q28" s="1849">
        <v>0</v>
      </c>
    </row>
    <row r="29" spans="1:17" ht="20.100000000000001" customHeight="1">
      <c r="A29" s="2850">
        <v>23</v>
      </c>
      <c r="B29" s="2851" t="s">
        <v>2093</v>
      </c>
      <c r="C29" s="2852" t="s">
        <v>2084</v>
      </c>
      <c r="D29" s="2931"/>
      <c r="E29" s="2868" t="s">
        <v>29</v>
      </c>
      <c r="F29" s="2894" t="s">
        <v>992</v>
      </c>
      <c r="G29" s="2900">
        <v>0</v>
      </c>
      <c r="H29" s="2900">
        <v>0</v>
      </c>
      <c r="I29" s="2901">
        <v>1</v>
      </c>
      <c r="J29" s="2900">
        <v>0</v>
      </c>
      <c r="K29" s="2900">
        <v>0</v>
      </c>
      <c r="L29" s="2901">
        <v>0</v>
      </c>
      <c r="M29" s="2932">
        <v>0</v>
      </c>
      <c r="N29" s="2933">
        <v>21.5</v>
      </c>
      <c r="O29" s="2857">
        <f t="shared" si="0"/>
        <v>1</v>
      </c>
      <c r="P29" s="1840">
        <v>0</v>
      </c>
      <c r="Q29" s="1840">
        <v>0</v>
      </c>
    </row>
    <row r="30" spans="1:17" ht="20.100000000000001" customHeight="1">
      <c r="A30" s="2858">
        <v>24</v>
      </c>
      <c r="B30" s="2851" t="s">
        <v>2093</v>
      </c>
      <c r="C30" s="2852" t="s">
        <v>2084</v>
      </c>
      <c r="D30" s="2859"/>
      <c r="E30" s="2859" t="s">
        <v>442</v>
      </c>
      <c r="F30" s="2864" t="s">
        <v>2087</v>
      </c>
      <c r="G30" s="2865">
        <v>0</v>
      </c>
      <c r="H30" s="2865">
        <v>0</v>
      </c>
      <c r="I30" s="2865">
        <v>0</v>
      </c>
      <c r="J30" s="2865">
        <v>0</v>
      </c>
      <c r="K30" s="2865">
        <v>0</v>
      </c>
      <c r="L30" s="2910">
        <v>0</v>
      </c>
      <c r="M30" s="2911">
        <v>3</v>
      </c>
      <c r="N30" s="2866">
        <v>821000</v>
      </c>
      <c r="O30" s="2857">
        <f t="shared" si="0"/>
        <v>3</v>
      </c>
      <c r="P30" s="1840">
        <v>0</v>
      </c>
      <c r="Q30" s="1840">
        <v>0</v>
      </c>
    </row>
    <row r="31" spans="1:17" ht="20.100000000000001" customHeight="1">
      <c r="A31" s="2850">
        <v>25</v>
      </c>
      <c r="B31" s="2851" t="s">
        <v>2098</v>
      </c>
      <c r="C31" s="2852" t="s">
        <v>2084</v>
      </c>
      <c r="D31" s="2893" t="s">
        <v>2099</v>
      </c>
      <c r="E31" s="2893" t="s">
        <v>29</v>
      </c>
      <c r="F31" s="2894" t="s">
        <v>32</v>
      </c>
      <c r="G31" s="2900">
        <v>0</v>
      </c>
      <c r="H31" s="2900">
        <v>0</v>
      </c>
      <c r="I31" s="2896">
        <v>1</v>
      </c>
      <c r="J31" s="2900">
        <v>0</v>
      </c>
      <c r="K31" s="2900">
        <v>0</v>
      </c>
      <c r="L31" s="2900">
        <v>0</v>
      </c>
      <c r="M31" s="2934"/>
      <c r="N31" s="2856">
        <v>9335.2900000000009</v>
      </c>
      <c r="O31" s="2857">
        <f t="shared" si="0"/>
        <v>1</v>
      </c>
      <c r="P31" s="1840">
        <v>0</v>
      </c>
      <c r="Q31" s="1840">
        <v>0</v>
      </c>
    </row>
    <row r="32" spans="1:17" ht="20.100000000000001" customHeight="1">
      <c r="A32" s="2850">
        <v>26</v>
      </c>
      <c r="B32" s="2851" t="s">
        <v>2098</v>
      </c>
      <c r="C32" s="2852" t="s">
        <v>2084</v>
      </c>
      <c r="D32" s="2893"/>
      <c r="E32" s="2893" t="s">
        <v>1105</v>
      </c>
      <c r="F32" s="2903" t="s">
        <v>2100</v>
      </c>
      <c r="G32" s="2904">
        <v>0</v>
      </c>
      <c r="H32" s="2904">
        <v>0</v>
      </c>
      <c r="I32" s="2904"/>
      <c r="J32" s="2905">
        <v>0</v>
      </c>
      <c r="K32" s="2904">
        <v>0</v>
      </c>
      <c r="L32" s="2904">
        <v>0</v>
      </c>
      <c r="M32" s="2935">
        <v>5</v>
      </c>
      <c r="N32" s="2907">
        <v>1201162.6000000001</v>
      </c>
      <c r="O32" s="2857">
        <f t="shared" si="0"/>
        <v>5</v>
      </c>
      <c r="P32" s="1836">
        <v>0</v>
      </c>
      <c r="Q32" s="1836">
        <v>0</v>
      </c>
    </row>
    <row r="33" spans="1:17" ht="20.100000000000001" customHeight="1">
      <c r="A33" s="2858">
        <v>27</v>
      </c>
      <c r="B33" s="2851" t="s">
        <v>2098</v>
      </c>
      <c r="C33" s="2852" t="s">
        <v>2084</v>
      </c>
      <c r="D33" s="2893" t="s">
        <v>2101</v>
      </c>
      <c r="E33" s="2893" t="s">
        <v>434</v>
      </c>
      <c r="F33" s="2917" t="s">
        <v>34</v>
      </c>
      <c r="G33" s="2904">
        <v>0</v>
      </c>
      <c r="H33" s="2904">
        <v>0</v>
      </c>
      <c r="I33" s="2904">
        <v>0</v>
      </c>
      <c r="J33" s="2936">
        <v>5</v>
      </c>
      <c r="K33" s="2904">
        <v>0</v>
      </c>
      <c r="L33" s="2904">
        <v>0</v>
      </c>
      <c r="M33" s="2855">
        <v>0</v>
      </c>
      <c r="N33" s="2856">
        <v>0</v>
      </c>
      <c r="O33" s="2857">
        <f t="shared" si="0"/>
        <v>5</v>
      </c>
      <c r="P33" s="1845">
        <v>0</v>
      </c>
      <c r="Q33" s="1836">
        <v>0</v>
      </c>
    </row>
    <row r="34" spans="1:17" ht="20.100000000000001" customHeight="1">
      <c r="A34" s="2850">
        <v>28</v>
      </c>
      <c r="B34" s="2851" t="s">
        <v>2098</v>
      </c>
      <c r="C34" s="2852" t="s">
        <v>2084</v>
      </c>
      <c r="D34" s="2916" t="s">
        <v>2102</v>
      </c>
      <c r="E34" s="2916" t="s">
        <v>671</v>
      </c>
      <c r="F34" s="2917" t="s">
        <v>3087</v>
      </c>
      <c r="G34" s="2918">
        <v>0</v>
      </c>
      <c r="H34" s="2918">
        <v>3109</v>
      </c>
      <c r="I34" s="2918">
        <v>0</v>
      </c>
      <c r="J34" s="2918">
        <v>0</v>
      </c>
      <c r="K34" s="2918">
        <v>0</v>
      </c>
      <c r="L34" s="2918">
        <v>0</v>
      </c>
      <c r="M34" s="2855">
        <v>0</v>
      </c>
      <c r="N34" s="2892">
        <v>155450</v>
      </c>
      <c r="O34" s="2857">
        <f t="shared" si="0"/>
        <v>3109</v>
      </c>
      <c r="P34" s="1836">
        <v>0</v>
      </c>
      <c r="Q34" s="1846">
        <v>0</v>
      </c>
    </row>
    <row r="35" spans="1:17" ht="20.100000000000001" customHeight="1">
      <c r="A35" s="2850">
        <v>29</v>
      </c>
      <c r="B35" s="2851" t="s">
        <v>2098</v>
      </c>
      <c r="C35" s="2852" t="s">
        <v>2084</v>
      </c>
      <c r="D35" s="2931" t="s">
        <v>2101</v>
      </c>
      <c r="E35" s="2868" t="s">
        <v>29</v>
      </c>
      <c r="F35" s="2937" t="s">
        <v>2097</v>
      </c>
      <c r="G35" s="2865">
        <v>0</v>
      </c>
      <c r="H35" s="2865">
        <v>0</v>
      </c>
      <c r="I35" s="2865">
        <v>1</v>
      </c>
      <c r="J35" s="2865">
        <v>0</v>
      </c>
      <c r="K35" s="2865">
        <v>0</v>
      </c>
      <c r="L35" s="2865">
        <v>0</v>
      </c>
      <c r="M35" s="2865">
        <v>0</v>
      </c>
      <c r="N35" s="2866">
        <v>674393.07</v>
      </c>
      <c r="O35" s="2857">
        <f t="shared" si="0"/>
        <v>1</v>
      </c>
      <c r="P35" s="1840">
        <v>0</v>
      </c>
      <c r="Q35" s="1840">
        <v>0</v>
      </c>
    </row>
    <row r="36" spans="1:17" ht="20.100000000000001" customHeight="1">
      <c r="A36" s="2858">
        <v>30</v>
      </c>
      <c r="B36" s="2851" t="s">
        <v>2098</v>
      </c>
      <c r="C36" s="2852" t="s">
        <v>2084</v>
      </c>
      <c r="D36" s="2859" t="s">
        <v>2103</v>
      </c>
      <c r="E36" s="2859" t="s">
        <v>442</v>
      </c>
      <c r="F36" s="2864" t="s">
        <v>2087</v>
      </c>
      <c r="G36" s="2865">
        <v>0</v>
      </c>
      <c r="H36" s="2865">
        <v>0</v>
      </c>
      <c r="I36" s="2865">
        <v>0</v>
      </c>
      <c r="J36" s="2865">
        <v>0</v>
      </c>
      <c r="K36" s="2865">
        <v>0</v>
      </c>
      <c r="L36" s="2865">
        <v>0</v>
      </c>
      <c r="M36" s="2865">
        <v>3</v>
      </c>
      <c r="N36" s="2866">
        <v>605650</v>
      </c>
      <c r="O36" s="2857">
        <f t="shared" si="0"/>
        <v>3</v>
      </c>
      <c r="P36" s="1840">
        <v>0</v>
      </c>
      <c r="Q36" s="1840">
        <v>0</v>
      </c>
    </row>
    <row r="37" spans="1:17" ht="20.100000000000001" customHeight="1">
      <c r="A37" s="2850">
        <v>31</v>
      </c>
      <c r="B37" s="2851" t="s">
        <v>2098</v>
      </c>
      <c r="C37" s="2852" t="s">
        <v>2084</v>
      </c>
      <c r="D37" s="2859" t="s">
        <v>2104</v>
      </c>
      <c r="E37" s="2859" t="s">
        <v>442</v>
      </c>
      <c r="F37" s="2864" t="s">
        <v>2105</v>
      </c>
      <c r="G37" s="2865">
        <v>0</v>
      </c>
      <c r="H37" s="2865">
        <v>0</v>
      </c>
      <c r="I37" s="2865">
        <v>0</v>
      </c>
      <c r="J37" s="2865">
        <v>0</v>
      </c>
      <c r="K37" s="2865">
        <v>0</v>
      </c>
      <c r="L37" s="2865">
        <v>0</v>
      </c>
      <c r="M37" s="2865">
        <v>1</v>
      </c>
      <c r="N37" s="2866">
        <v>50000</v>
      </c>
      <c r="O37" s="2857">
        <f t="shared" si="0"/>
        <v>1</v>
      </c>
      <c r="P37" s="1840">
        <v>0</v>
      </c>
      <c r="Q37" s="1840">
        <v>0</v>
      </c>
    </row>
    <row r="38" spans="1:17" ht="20.100000000000001" customHeight="1">
      <c r="A38" s="2850">
        <v>32</v>
      </c>
      <c r="B38" s="2851" t="s">
        <v>2098</v>
      </c>
      <c r="C38" s="2852" t="s">
        <v>2084</v>
      </c>
      <c r="D38" s="2938" t="s">
        <v>100</v>
      </c>
      <c r="E38" s="2938" t="s">
        <v>29</v>
      </c>
      <c r="F38" s="2939" t="s">
        <v>2106</v>
      </c>
      <c r="G38" s="2890">
        <v>0</v>
      </c>
      <c r="H38" s="2890">
        <v>0</v>
      </c>
      <c r="I38" s="2890">
        <v>0</v>
      </c>
      <c r="J38" s="2890">
        <v>0</v>
      </c>
      <c r="K38" s="2890">
        <v>0</v>
      </c>
      <c r="L38" s="2890">
        <v>0</v>
      </c>
      <c r="M38" s="2940">
        <v>1</v>
      </c>
      <c r="N38" s="2941">
        <v>1000</v>
      </c>
      <c r="O38" s="2857">
        <f t="shared" si="0"/>
        <v>1</v>
      </c>
      <c r="P38" s="1836">
        <v>0</v>
      </c>
      <c r="Q38" s="1836">
        <v>0</v>
      </c>
    </row>
    <row r="39" spans="1:17" ht="20.100000000000001" customHeight="1">
      <c r="A39" s="2858">
        <v>33</v>
      </c>
      <c r="B39" s="2851" t="s">
        <v>2098</v>
      </c>
      <c r="C39" s="2852" t="s">
        <v>2084</v>
      </c>
      <c r="D39" s="2942">
        <v>46241</v>
      </c>
      <c r="E39" s="2942" t="s">
        <v>1232</v>
      </c>
      <c r="F39" s="2943" t="s">
        <v>3088</v>
      </c>
      <c r="G39" s="2944">
        <v>0</v>
      </c>
      <c r="H39" s="2944">
        <v>0</v>
      </c>
      <c r="I39" s="2944">
        <v>0</v>
      </c>
      <c r="J39" s="2944">
        <v>0</v>
      </c>
      <c r="K39" s="2944">
        <v>0</v>
      </c>
      <c r="L39" s="2944">
        <v>0</v>
      </c>
      <c r="M39" s="2945">
        <v>1</v>
      </c>
      <c r="N39" s="2946">
        <v>900</v>
      </c>
      <c r="O39" s="2857">
        <f t="shared" si="0"/>
        <v>1</v>
      </c>
      <c r="P39" s="1836">
        <v>0</v>
      </c>
      <c r="Q39" s="1836">
        <v>0</v>
      </c>
    </row>
    <row r="40" spans="1:17" ht="20.100000000000001" customHeight="1">
      <c r="A40" s="2850">
        <v>34</v>
      </c>
      <c r="B40" s="2851" t="s">
        <v>2107</v>
      </c>
      <c r="C40" s="2852" t="s">
        <v>2084</v>
      </c>
      <c r="D40" s="2852"/>
      <c r="E40" s="2852" t="s">
        <v>1232</v>
      </c>
      <c r="F40" s="2894" t="s">
        <v>2108</v>
      </c>
      <c r="G40" s="2890">
        <v>0</v>
      </c>
      <c r="H40" s="2890">
        <v>0</v>
      </c>
      <c r="I40" s="2890">
        <v>0</v>
      </c>
      <c r="J40" s="2890">
        <v>0</v>
      </c>
      <c r="K40" s="2890">
        <v>0</v>
      </c>
      <c r="L40" s="2890">
        <v>0</v>
      </c>
      <c r="M40" s="2855">
        <v>1</v>
      </c>
      <c r="N40" s="2892">
        <v>56831.61</v>
      </c>
      <c r="O40" s="2857">
        <f t="shared" si="0"/>
        <v>1</v>
      </c>
      <c r="P40" s="1836">
        <v>0</v>
      </c>
      <c r="Q40" s="1836">
        <v>0</v>
      </c>
    </row>
    <row r="41" spans="1:17" ht="20.100000000000001" customHeight="1">
      <c r="A41" s="2850">
        <v>35</v>
      </c>
      <c r="B41" s="2851" t="s">
        <v>2107</v>
      </c>
      <c r="C41" s="2852" t="s">
        <v>2084</v>
      </c>
      <c r="D41" s="2852"/>
      <c r="E41" s="2893" t="s">
        <v>434</v>
      </c>
      <c r="F41" s="2917" t="s">
        <v>34</v>
      </c>
      <c r="G41" s="2904">
        <v>0</v>
      </c>
      <c r="H41" s="2904">
        <v>0</v>
      </c>
      <c r="I41" s="2904">
        <v>0</v>
      </c>
      <c r="J41" s="2936">
        <v>4</v>
      </c>
      <c r="K41" s="2904">
        <v>0</v>
      </c>
      <c r="L41" s="2904">
        <v>0</v>
      </c>
      <c r="M41" s="2855">
        <v>0</v>
      </c>
      <c r="N41" s="2856">
        <v>0</v>
      </c>
      <c r="O41" s="2857">
        <f t="shared" si="0"/>
        <v>4</v>
      </c>
      <c r="P41" s="1845">
        <v>0</v>
      </c>
      <c r="Q41" s="1836">
        <v>0</v>
      </c>
    </row>
    <row r="42" spans="1:17" ht="20.100000000000001" customHeight="1">
      <c r="A42" s="2858">
        <v>36</v>
      </c>
      <c r="B42" s="2851" t="s">
        <v>2107</v>
      </c>
      <c r="C42" s="2852" t="s">
        <v>2084</v>
      </c>
      <c r="D42" s="2852"/>
      <c r="E42" s="2852" t="s">
        <v>434</v>
      </c>
      <c r="F42" s="2853" t="s">
        <v>35</v>
      </c>
      <c r="G42" s="2854">
        <v>0</v>
      </c>
      <c r="H42" s="2854">
        <v>0</v>
      </c>
      <c r="I42" s="2854">
        <v>0</v>
      </c>
      <c r="J42" s="2854">
        <v>0</v>
      </c>
      <c r="K42" s="2947">
        <v>348</v>
      </c>
      <c r="L42" s="2854">
        <v>0</v>
      </c>
      <c r="M42" s="2855">
        <v>0</v>
      </c>
      <c r="N42" s="2948">
        <v>29080.880000000001</v>
      </c>
      <c r="O42" s="2857">
        <f t="shared" si="0"/>
        <v>348</v>
      </c>
      <c r="P42" s="1836">
        <v>0</v>
      </c>
      <c r="Q42" s="1836">
        <v>0</v>
      </c>
    </row>
    <row r="43" spans="1:17" ht="20.100000000000001" customHeight="1">
      <c r="A43" s="2850">
        <v>37</v>
      </c>
      <c r="B43" s="2851" t="s">
        <v>2107</v>
      </c>
      <c r="C43" s="2852" t="s">
        <v>2084</v>
      </c>
      <c r="D43" s="2916"/>
      <c r="E43" s="2868" t="s">
        <v>671</v>
      </c>
      <c r="F43" s="2917" t="s">
        <v>2109</v>
      </c>
      <c r="G43" s="2918">
        <v>0</v>
      </c>
      <c r="H43" s="2918">
        <v>67</v>
      </c>
      <c r="I43" s="2918">
        <v>0</v>
      </c>
      <c r="J43" s="2918">
        <v>0</v>
      </c>
      <c r="K43" s="2918">
        <v>0</v>
      </c>
      <c r="L43" s="2918">
        <v>0</v>
      </c>
      <c r="M43" s="2855">
        <v>0</v>
      </c>
      <c r="N43" s="2892">
        <v>3350</v>
      </c>
      <c r="O43" s="2857">
        <f t="shared" si="0"/>
        <v>67</v>
      </c>
      <c r="P43" s="1836">
        <v>0</v>
      </c>
      <c r="Q43" s="1846">
        <v>0</v>
      </c>
    </row>
    <row r="44" spans="1:17" ht="20.100000000000001" customHeight="1">
      <c r="A44" s="2850">
        <v>38</v>
      </c>
      <c r="B44" s="2851" t="s">
        <v>2107</v>
      </c>
      <c r="C44" s="2852" t="s">
        <v>2084</v>
      </c>
      <c r="D44" s="2916"/>
      <c r="E44" s="2868" t="s">
        <v>671</v>
      </c>
      <c r="F44" s="2917" t="s">
        <v>2090</v>
      </c>
      <c r="G44" s="2918">
        <v>6</v>
      </c>
      <c r="H44" s="2918">
        <v>0</v>
      </c>
      <c r="I44" s="2918">
        <v>0</v>
      </c>
      <c r="J44" s="2918">
        <v>0</v>
      </c>
      <c r="K44" s="2918">
        <v>0</v>
      </c>
      <c r="L44" s="2918">
        <v>0</v>
      </c>
      <c r="M44" s="2855">
        <v>0</v>
      </c>
      <c r="N44" s="2892">
        <v>0</v>
      </c>
      <c r="O44" s="2857">
        <f t="shared" si="0"/>
        <v>6</v>
      </c>
      <c r="P44" s="1836"/>
      <c r="Q44" s="1846"/>
    </row>
    <row r="45" spans="1:17" ht="20.100000000000001" customHeight="1">
      <c r="A45" s="2858">
        <v>39</v>
      </c>
      <c r="B45" s="2851" t="s">
        <v>2107</v>
      </c>
      <c r="C45" s="2852" t="s">
        <v>2084</v>
      </c>
      <c r="D45" s="2859"/>
      <c r="E45" s="2859" t="s">
        <v>442</v>
      </c>
      <c r="F45" s="2860" t="s">
        <v>2110</v>
      </c>
      <c r="G45" s="2904">
        <v>0</v>
      </c>
      <c r="H45" s="2904">
        <v>0</v>
      </c>
      <c r="I45" s="2904">
        <v>0</v>
      </c>
      <c r="J45" s="2904">
        <v>0</v>
      </c>
      <c r="K45" s="2904">
        <v>0</v>
      </c>
      <c r="L45" s="2904">
        <v>0</v>
      </c>
      <c r="M45" s="2855">
        <v>10</v>
      </c>
      <c r="N45" s="2949">
        <v>227700</v>
      </c>
      <c r="O45" s="2857">
        <f t="shared" si="0"/>
        <v>10</v>
      </c>
      <c r="P45" s="1836">
        <v>0</v>
      </c>
      <c r="Q45" s="1836">
        <v>0</v>
      </c>
    </row>
    <row r="46" spans="1:17" ht="20.100000000000001" customHeight="1">
      <c r="A46" s="2850">
        <v>40</v>
      </c>
      <c r="B46" s="2851" t="s">
        <v>2107</v>
      </c>
      <c r="C46" s="2852" t="s">
        <v>2084</v>
      </c>
      <c r="D46" s="2859"/>
      <c r="E46" s="2859" t="s">
        <v>442</v>
      </c>
      <c r="F46" s="2950" t="s">
        <v>2087</v>
      </c>
      <c r="G46" s="2865">
        <v>0</v>
      </c>
      <c r="H46" s="2865">
        <v>0</v>
      </c>
      <c r="I46" s="2865">
        <v>0</v>
      </c>
      <c r="J46" s="2865">
        <v>0</v>
      </c>
      <c r="K46" s="2865">
        <v>0</v>
      </c>
      <c r="L46" s="2865">
        <v>0</v>
      </c>
      <c r="M46" s="2945">
        <v>10</v>
      </c>
      <c r="N46" s="2951">
        <v>774000</v>
      </c>
      <c r="O46" s="2857">
        <f t="shared" si="0"/>
        <v>10</v>
      </c>
      <c r="P46" s="1840">
        <v>0</v>
      </c>
      <c r="Q46" s="1840">
        <v>0</v>
      </c>
    </row>
    <row r="47" spans="1:17" ht="20.100000000000001" customHeight="1">
      <c r="A47" s="2850">
        <v>41</v>
      </c>
      <c r="B47" s="2851" t="s">
        <v>2111</v>
      </c>
      <c r="C47" s="2852" t="s">
        <v>2084</v>
      </c>
      <c r="D47" s="2952">
        <v>46239</v>
      </c>
      <c r="E47" s="2852" t="s">
        <v>1232</v>
      </c>
      <c r="F47" s="2888" t="s">
        <v>2085</v>
      </c>
      <c r="G47" s="2890">
        <v>0</v>
      </c>
      <c r="H47" s="2890">
        <v>0</v>
      </c>
      <c r="I47" s="2890">
        <v>0</v>
      </c>
      <c r="J47" s="2890">
        <v>0</v>
      </c>
      <c r="K47" s="2890">
        <v>0</v>
      </c>
      <c r="L47" s="2890">
        <v>0</v>
      </c>
      <c r="M47" s="2953">
        <v>1</v>
      </c>
      <c r="N47" s="2954">
        <v>12694.02</v>
      </c>
      <c r="O47" s="2857">
        <f t="shared" si="0"/>
        <v>1</v>
      </c>
      <c r="P47" s="1836">
        <v>0</v>
      </c>
      <c r="Q47" s="1836">
        <v>0</v>
      </c>
    </row>
    <row r="48" spans="1:17" ht="20.100000000000001" customHeight="1">
      <c r="A48" s="2858">
        <v>42</v>
      </c>
      <c r="B48" s="2851" t="s">
        <v>2111</v>
      </c>
      <c r="C48" s="2852" t="s">
        <v>2084</v>
      </c>
      <c r="D48" s="2952">
        <v>0</v>
      </c>
      <c r="E48" s="2952" t="s">
        <v>29</v>
      </c>
      <c r="F48" s="2894" t="s">
        <v>49</v>
      </c>
      <c r="G48" s="2895">
        <v>0</v>
      </c>
      <c r="H48" s="2895">
        <v>0</v>
      </c>
      <c r="I48" s="2896">
        <v>1</v>
      </c>
      <c r="J48" s="2895">
        <v>0</v>
      </c>
      <c r="K48" s="2895">
        <v>0</v>
      </c>
      <c r="L48" s="2895">
        <v>0</v>
      </c>
      <c r="M48" s="2896"/>
      <c r="N48" s="2856">
        <v>4223356.4800000004</v>
      </c>
      <c r="O48" s="2857">
        <f t="shared" si="0"/>
        <v>1</v>
      </c>
      <c r="P48" s="1840">
        <v>0</v>
      </c>
      <c r="Q48" s="1840">
        <v>0</v>
      </c>
    </row>
    <row r="49" spans="1:17" ht="20.100000000000001" customHeight="1">
      <c r="A49" s="2850">
        <v>43</v>
      </c>
      <c r="B49" s="2851" t="s">
        <v>2111</v>
      </c>
      <c r="C49" s="2852" t="s">
        <v>2084</v>
      </c>
      <c r="D49" s="2952">
        <v>0</v>
      </c>
      <c r="E49" s="2952" t="s">
        <v>29</v>
      </c>
      <c r="F49" s="2894" t="s">
        <v>32</v>
      </c>
      <c r="G49" s="2900">
        <v>0</v>
      </c>
      <c r="H49" s="2900">
        <v>0</v>
      </c>
      <c r="I49" s="2896">
        <v>1</v>
      </c>
      <c r="J49" s="2900">
        <v>0</v>
      </c>
      <c r="K49" s="2900">
        <v>0</v>
      </c>
      <c r="L49" s="2900">
        <v>0</v>
      </c>
      <c r="M49" s="2934"/>
      <c r="N49" s="2856">
        <v>27.69</v>
      </c>
      <c r="O49" s="2857">
        <f t="shared" si="0"/>
        <v>1</v>
      </c>
      <c r="P49" s="1840">
        <v>0</v>
      </c>
      <c r="Q49" s="1840">
        <v>0</v>
      </c>
    </row>
    <row r="50" spans="1:17" ht="20.100000000000001" customHeight="1">
      <c r="A50" s="2850">
        <v>44</v>
      </c>
      <c r="B50" s="2851" t="s">
        <v>2111</v>
      </c>
      <c r="C50" s="2852" t="s">
        <v>2084</v>
      </c>
      <c r="D50" s="2952">
        <v>0</v>
      </c>
      <c r="E50" s="2893" t="s">
        <v>434</v>
      </c>
      <c r="F50" s="2917" t="s">
        <v>34</v>
      </c>
      <c r="G50" s="2904">
        <v>0</v>
      </c>
      <c r="H50" s="2904">
        <v>0</v>
      </c>
      <c r="I50" s="2904">
        <v>0</v>
      </c>
      <c r="J50" s="2955">
        <v>4</v>
      </c>
      <c r="K50" s="2956">
        <v>0</v>
      </c>
      <c r="L50" s="2904">
        <v>0</v>
      </c>
      <c r="M50" s="2855">
        <v>0</v>
      </c>
      <c r="N50" s="2856">
        <v>0</v>
      </c>
      <c r="O50" s="2857">
        <f t="shared" si="0"/>
        <v>4</v>
      </c>
      <c r="P50" s="1845">
        <v>0</v>
      </c>
      <c r="Q50" s="1836">
        <v>0</v>
      </c>
    </row>
    <row r="51" spans="1:17" ht="20.100000000000001" customHeight="1">
      <c r="A51" s="2858">
        <v>45</v>
      </c>
      <c r="B51" s="2851" t="s">
        <v>2111</v>
      </c>
      <c r="C51" s="2852" t="s">
        <v>2084</v>
      </c>
      <c r="D51" s="2952">
        <v>0</v>
      </c>
      <c r="E51" s="2852" t="s">
        <v>434</v>
      </c>
      <c r="F51" s="2853" t="s">
        <v>35</v>
      </c>
      <c r="G51" s="2854">
        <v>0</v>
      </c>
      <c r="H51" s="2854">
        <v>0</v>
      </c>
      <c r="I51" s="2854">
        <v>0</v>
      </c>
      <c r="J51" s="2854">
        <v>0</v>
      </c>
      <c r="K51" s="2957">
        <v>2872</v>
      </c>
      <c r="L51" s="2854">
        <v>0</v>
      </c>
      <c r="M51" s="2855">
        <v>0</v>
      </c>
      <c r="N51" s="2856">
        <v>0</v>
      </c>
      <c r="O51" s="2857">
        <f t="shared" si="0"/>
        <v>2872</v>
      </c>
      <c r="P51" s="1836">
        <v>0</v>
      </c>
      <c r="Q51" s="1836">
        <v>0</v>
      </c>
    </row>
    <row r="52" spans="1:17" ht="20.100000000000001" customHeight="1">
      <c r="A52" s="2850">
        <v>46</v>
      </c>
      <c r="B52" s="2851" t="s">
        <v>2111</v>
      </c>
      <c r="C52" s="2852" t="s">
        <v>2084</v>
      </c>
      <c r="D52" s="2859"/>
      <c r="E52" s="2859" t="s">
        <v>29</v>
      </c>
      <c r="F52" s="2958" t="s">
        <v>2112</v>
      </c>
      <c r="G52" s="2959">
        <v>0</v>
      </c>
      <c r="H52" s="2959">
        <v>0</v>
      </c>
      <c r="I52" s="2959">
        <v>0</v>
      </c>
      <c r="J52" s="2959">
        <v>0</v>
      </c>
      <c r="K52" s="2959">
        <v>0</v>
      </c>
      <c r="L52" s="2959">
        <v>0</v>
      </c>
      <c r="M52" s="2935">
        <v>1</v>
      </c>
      <c r="N52" s="2960">
        <v>3000</v>
      </c>
      <c r="O52" s="2857">
        <f t="shared" si="0"/>
        <v>1</v>
      </c>
      <c r="P52" s="1836">
        <v>0</v>
      </c>
      <c r="Q52" s="1836">
        <v>0</v>
      </c>
    </row>
    <row r="53" spans="1:17" ht="20.100000000000001" customHeight="1">
      <c r="A53" s="2850">
        <v>47</v>
      </c>
      <c r="B53" s="2851" t="s">
        <v>2111</v>
      </c>
      <c r="C53" s="2852" t="s">
        <v>2084</v>
      </c>
      <c r="D53" s="2859"/>
      <c r="E53" s="2859" t="s">
        <v>442</v>
      </c>
      <c r="F53" s="2864" t="s">
        <v>2087</v>
      </c>
      <c r="G53" s="2865">
        <v>0</v>
      </c>
      <c r="H53" s="2865">
        <v>0</v>
      </c>
      <c r="I53" s="2865">
        <v>0</v>
      </c>
      <c r="J53" s="2865">
        <v>0</v>
      </c>
      <c r="K53" s="2865">
        <v>0</v>
      </c>
      <c r="L53" s="2865">
        <v>0</v>
      </c>
      <c r="M53" s="2961">
        <v>7</v>
      </c>
      <c r="N53" s="2866">
        <v>3865000</v>
      </c>
      <c r="O53" s="2857">
        <f t="shared" si="0"/>
        <v>7</v>
      </c>
      <c r="P53" s="1840">
        <v>0</v>
      </c>
      <c r="Q53" s="1840">
        <v>0</v>
      </c>
    </row>
    <row r="54" spans="1:17" ht="20.100000000000001" customHeight="1">
      <c r="A54" s="2858">
        <v>48</v>
      </c>
      <c r="B54" s="2851" t="s">
        <v>2113</v>
      </c>
      <c r="C54" s="2852" t="s">
        <v>2084</v>
      </c>
      <c r="D54" s="2952" t="s">
        <v>100</v>
      </c>
      <c r="E54" s="2852" t="s">
        <v>1232</v>
      </c>
      <c r="F54" s="2888" t="s">
        <v>2085</v>
      </c>
      <c r="G54" s="2890">
        <v>0</v>
      </c>
      <c r="H54" s="2890">
        <v>0</v>
      </c>
      <c r="I54" s="2890">
        <v>0</v>
      </c>
      <c r="J54" s="2890">
        <v>0</v>
      </c>
      <c r="K54" s="2890">
        <v>0</v>
      </c>
      <c r="L54" s="2890">
        <v>0</v>
      </c>
      <c r="M54" s="2855">
        <v>1</v>
      </c>
      <c r="N54" s="2892">
        <v>20950</v>
      </c>
      <c r="O54" s="2857">
        <f t="shared" si="0"/>
        <v>1</v>
      </c>
      <c r="P54" s="1836">
        <v>0</v>
      </c>
      <c r="Q54" s="1836">
        <v>0</v>
      </c>
    </row>
    <row r="55" spans="1:17" ht="20.100000000000001" customHeight="1">
      <c r="A55" s="2850">
        <v>49</v>
      </c>
      <c r="B55" s="2851" t="s">
        <v>2113</v>
      </c>
      <c r="C55" s="2852" t="s">
        <v>2084</v>
      </c>
      <c r="D55" s="2952">
        <v>44866</v>
      </c>
      <c r="E55" s="2868" t="s">
        <v>29</v>
      </c>
      <c r="F55" s="2894" t="s">
        <v>49</v>
      </c>
      <c r="G55" s="2895">
        <v>0</v>
      </c>
      <c r="H55" s="2895">
        <v>0</v>
      </c>
      <c r="I55" s="2896">
        <v>1</v>
      </c>
      <c r="J55" s="2895">
        <v>0</v>
      </c>
      <c r="K55" s="2895">
        <v>0</v>
      </c>
      <c r="L55" s="2895">
        <v>0</v>
      </c>
      <c r="M55" s="2855">
        <v>0</v>
      </c>
      <c r="N55" s="2856">
        <v>-19601206.170000002</v>
      </c>
      <c r="O55" s="2857">
        <f t="shared" si="0"/>
        <v>1</v>
      </c>
      <c r="P55" s="1840">
        <v>0</v>
      </c>
      <c r="Q55" s="1836">
        <v>0</v>
      </c>
    </row>
    <row r="56" spans="1:17" ht="20.100000000000001" customHeight="1">
      <c r="A56" s="2850">
        <v>50</v>
      </c>
      <c r="B56" s="2851" t="s">
        <v>2113</v>
      </c>
      <c r="C56" s="2852" t="s">
        <v>2084</v>
      </c>
      <c r="D56" s="2952">
        <v>44866</v>
      </c>
      <c r="E56" s="2868" t="s">
        <v>29</v>
      </c>
      <c r="F56" s="2894" t="s">
        <v>32</v>
      </c>
      <c r="G56" s="2900">
        <v>0</v>
      </c>
      <c r="H56" s="2900">
        <v>0</v>
      </c>
      <c r="I56" s="2896">
        <v>1</v>
      </c>
      <c r="J56" s="2900">
        <v>0</v>
      </c>
      <c r="K56" s="2900">
        <v>0</v>
      </c>
      <c r="L56" s="2900">
        <v>0</v>
      </c>
      <c r="M56" s="2855">
        <v>0</v>
      </c>
      <c r="N56" s="2856">
        <v>0.96</v>
      </c>
      <c r="O56" s="2857">
        <f t="shared" si="0"/>
        <v>1</v>
      </c>
      <c r="P56" s="1840">
        <v>0</v>
      </c>
      <c r="Q56" s="1836">
        <v>0</v>
      </c>
    </row>
    <row r="57" spans="1:17" ht="20.100000000000001" customHeight="1">
      <c r="A57" s="2858">
        <v>51</v>
      </c>
      <c r="B57" s="2851" t="s">
        <v>2113</v>
      </c>
      <c r="C57" s="2852" t="s">
        <v>2084</v>
      </c>
      <c r="D57" s="2952" t="s">
        <v>100</v>
      </c>
      <c r="E57" s="2852" t="s">
        <v>434</v>
      </c>
      <c r="F57" s="2853" t="s">
        <v>35</v>
      </c>
      <c r="G57" s="2854">
        <v>0</v>
      </c>
      <c r="H57" s="2854">
        <v>0</v>
      </c>
      <c r="I57" s="2854">
        <v>0</v>
      </c>
      <c r="J57" s="2854">
        <v>0</v>
      </c>
      <c r="K57" s="2854">
        <v>178</v>
      </c>
      <c r="L57" s="2854">
        <v>0</v>
      </c>
      <c r="M57" s="2855">
        <v>0</v>
      </c>
      <c r="N57" s="2856">
        <v>78377.97</v>
      </c>
      <c r="O57" s="2857">
        <f t="shared" si="0"/>
        <v>178</v>
      </c>
      <c r="P57" s="1836">
        <v>0</v>
      </c>
      <c r="Q57" s="1836">
        <v>0</v>
      </c>
    </row>
    <row r="58" spans="1:17" ht="20.100000000000001" customHeight="1">
      <c r="A58" s="2850">
        <v>52</v>
      </c>
      <c r="B58" s="2851" t="s">
        <v>2113</v>
      </c>
      <c r="C58" s="2852" t="s">
        <v>2084</v>
      </c>
      <c r="D58" s="2952" t="s">
        <v>100</v>
      </c>
      <c r="E58" s="2868" t="s">
        <v>29</v>
      </c>
      <c r="F58" s="2894" t="s">
        <v>50</v>
      </c>
      <c r="G58" s="2913">
        <v>0</v>
      </c>
      <c r="H58" s="2913">
        <v>0</v>
      </c>
      <c r="I58" s="2909">
        <v>1</v>
      </c>
      <c r="J58" s="2913">
        <v>0</v>
      </c>
      <c r="K58" s="2913">
        <v>0</v>
      </c>
      <c r="L58" s="2913">
        <v>0</v>
      </c>
      <c r="M58" s="2855">
        <v>0</v>
      </c>
      <c r="N58" s="2915">
        <v>33.5</v>
      </c>
      <c r="O58" s="2857">
        <f t="shared" si="0"/>
        <v>1</v>
      </c>
      <c r="P58" s="1840">
        <v>0</v>
      </c>
      <c r="Q58" s="1836">
        <v>0</v>
      </c>
    </row>
    <row r="59" spans="1:17" ht="20.100000000000001" customHeight="1">
      <c r="A59" s="2850">
        <v>53</v>
      </c>
      <c r="B59" s="2851" t="s">
        <v>2113</v>
      </c>
      <c r="C59" s="2852" t="s">
        <v>2084</v>
      </c>
      <c r="D59" s="2952" t="s">
        <v>100</v>
      </c>
      <c r="E59" s="2868" t="s">
        <v>671</v>
      </c>
      <c r="F59" s="2917" t="s">
        <v>52</v>
      </c>
      <c r="G59" s="2918"/>
      <c r="H59" s="2918">
        <v>1647</v>
      </c>
      <c r="I59" s="2918">
        <v>0</v>
      </c>
      <c r="J59" s="2918">
        <v>0</v>
      </c>
      <c r="K59" s="2918">
        <v>0</v>
      </c>
      <c r="L59" s="2918">
        <v>0</v>
      </c>
      <c r="M59" s="2855">
        <v>0</v>
      </c>
      <c r="N59" s="2892">
        <v>82350</v>
      </c>
      <c r="O59" s="2857">
        <f t="shared" si="0"/>
        <v>1647</v>
      </c>
      <c r="P59" s="1836">
        <v>0</v>
      </c>
      <c r="Q59" s="1836">
        <v>0</v>
      </c>
    </row>
    <row r="60" spans="1:17" ht="20.100000000000001" customHeight="1">
      <c r="A60" s="2858">
        <v>54</v>
      </c>
      <c r="B60" s="2851" t="s">
        <v>2113</v>
      </c>
      <c r="C60" s="2852" t="s">
        <v>2084</v>
      </c>
      <c r="D60" s="2952"/>
      <c r="E60" s="2868" t="s">
        <v>671</v>
      </c>
      <c r="F60" s="2917" t="s">
        <v>2090</v>
      </c>
      <c r="G60" s="2918">
        <v>17</v>
      </c>
      <c r="H60" s="2918">
        <v>0</v>
      </c>
      <c r="I60" s="2962">
        <v>0</v>
      </c>
      <c r="J60" s="2918">
        <v>0</v>
      </c>
      <c r="K60" s="2918">
        <v>0</v>
      </c>
      <c r="L60" s="2918"/>
      <c r="M60" s="2855"/>
      <c r="N60" s="2892"/>
      <c r="O60" s="2857">
        <f t="shared" si="0"/>
        <v>17</v>
      </c>
      <c r="P60" s="1836"/>
      <c r="Q60" s="1836"/>
    </row>
    <row r="61" spans="1:17" ht="20.100000000000001" customHeight="1">
      <c r="A61" s="2850">
        <v>55</v>
      </c>
      <c r="B61" s="2851" t="s">
        <v>2114</v>
      </c>
      <c r="C61" s="2852" t="s">
        <v>2084</v>
      </c>
      <c r="D61" s="2893"/>
      <c r="E61" s="2868" t="s">
        <v>29</v>
      </c>
      <c r="F61" s="2894" t="s">
        <v>49</v>
      </c>
      <c r="G61" s="2895">
        <v>0</v>
      </c>
      <c r="H61" s="2895">
        <v>0</v>
      </c>
      <c r="I61" s="2963">
        <v>1</v>
      </c>
      <c r="J61" s="2895">
        <v>0</v>
      </c>
      <c r="K61" s="2895">
        <v>0</v>
      </c>
      <c r="L61" s="2895">
        <v>0</v>
      </c>
      <c r="M61" s="2896">
        <v>0</v>
      </c>
      <c r="N61" s="2892">
        <v>9329623.1500000004</v>
      </c>
      <c r="O61" s="2857">
        <f t="shared" si="0"/>
        <v>1</v>
      </c>
      <c r="P61" s="1840">
        <v>0</v>
      </c>
      <c r="Q61" s="434">
        <v>0</v>
      </c>
    </row>
    <row r="62" spans="1:17" ht="20.100000000000001" customHeight="1">
      <c r="A62" s="2850">
        <v>56</v>
      </c>
      <c r="B62" s="2851" t="s">
        <v>2114</v>
      </c>
      <c r="C62" s="2852" t="s">
        <v>2084</v>
      </c>
      <c r="D62" s="2893"/>
      <c r="E62" s="2868" t="s">
        <v>29</v>
      </c>
      <c r="F62" s="2894" t="s">
        <v>32</v>
      </c>
      <c r="G62" s="2900">
        <v>0</v>
      </c>
      <c r="H62" s="2900">
        <v>0</v>
      </c>
      <c r="I62" s="2896">
        <v>1</v>
      </c>
      <c r="J62" s="2900">
        <v>0</v>
      </c>
      <c r="K62" s="2900">
        <v>0</v>
      </c>
      <c r="L62" s="2900">
        <v>0</v>
      </c>
      <c r="M62" s="2934">
        <v>0</v>
      </c>
      <c r="N62" s="2856">
        <v>1618.45</v>
      </c>
      <c r="O62" s="2857">
        <f t="shared" si="0"/>
        <v>1</v>
      </c>
      <c r="P62" s="1840">
        <v>0</v>
      </c>
      <c r="Q62" s="1840">
        <v>0</v>
      </c>
    </row>
    <row r="63" spans="1:17" ht="20.100000000000001" customHeight="1">
      <c r="A63" s="2858">
        <v>57</v>
      </c>
      <c r="B63" s="2851" t="s">
        <v>2114</v>
      </c>
      <c r="C63" s="2852" t="s">
        <v>2084</v>
      </c>
      <c r="D63" s="2893"/>
      <c r="E63" s="2868" t="s">
        <v>29</v>
      </c>
      <c r="F63" s="2894" t="s">
        <v>50</v>
      </c>
      <c r="G63" s="2913">
        <v>0</v>
      </c>
      <c r="H63" s="2913">
        <v>0</v>
      </c>
      <c r="I63" s="2964">
        <v>1</v>
      </c>
      <c r="J63" s="2913">
        <v>0</v>
      </c>
      <c r="K63" s="2913">
        <v>0</v>
      </c>
      <c r="L63" s="2913">
        <v>0</v>
      </c>
      <c r="M63" s="2896">
        <v>0</v>
      </c>
      <c r="N63" s="2915">
        <v>122.32</v>
      </c>
      <c r="O63" s="2857">
        <f t="shared" si="0"/>
        <v>1</v>
      </c>
      <c r="P63" s="1840">
        <v>0</v>
      </c>
      <c r="Q63" s="1845">
        <v>0</v>
      </c>
    </row>
    <row r="64" spans="1:17" ht="20.100000000000001" customHeight="1">
      <c r="A64" s="2850">
        <v>58</v>
      </c>
      <c r="B64" s="2851" t="s">
        <v>2114</v>
      </c>
      <c r="C64" s="2852" t="s">
        <v>2084</v>
      </c>
      <c r="D64" s="2859"/>
      <c r="E64" s="2859" t="s">
        <v>442</v>
      </c>
      <c r="F64" s="2864" t="s">
        <v>2087</v>
      </c>
      <c r="G64" s="2865">
        <v>0</v>
      </c>
      <c r="H64" s="2865">
        <v>0</v>
      </c>
      <c r="I64" s="2865">
        <v>0</v>
      </c>
      <c r="J64" s="2865">
        <v>0</v>
      </c>
      <c r="K64" s="2865">
        <v>0</v>
      </c>
      <c r="L64" s="2865">
        <v>0</v>
      </c>
      <c r="M64" s="2865">
        <v>6</v>
      </c>
      <c r="N64" s="2866">
        <v>760000</v>
      </c>
      <c r="O64" s="2857">
        <f t="shared" si="0"/>
        <v>6</v>
      </c>
      <c r="P64" s="1840">
        <v>0</v>
      </c>
      <c r="Q64" s="1840">
        <v>0</v>
      </c>
    </row>
    <row r="65" spans="1:17" ht="20.100000000000001" customHeight="1">
      <c r="A65" s="2850">
        <v>59</v>
      </c>
      <c r="B65" s="2851" t="s">
        <v>2115</v>
      </c>
      <c r="C65" s="2852" t="s">
        <v>2084</v>
      </c>
      <c r="D65" s="2965">
        <v>44291</v>
      </c>
      <c r="E65" s="2868" t="s">
        <v>29</v>
      </c>
      <c r="F65" s="2894" t="s">
        <v>49</v>
      </c>
      <c r="G65" s="2895">
        <v>0</v>
      </c>
      <c r="H65" s="2895">
        <v>0</v>
      </c>
      <c r="I65" s="2896">
        <v>1</v>
      </c>
      <c r="J65" s="2895">
        <v>0</v>
      </c>
      <c r="K65" s="2895">
        <v>0</v>
      </c>
      <c r="L65" s="2895">
        <v>0</v>
      </c>
      <c r="M65" s="2896">
        <v>0</v>
      </c>
      <c r="N65" s="2856">
        <v>3045920.72</v>
      </c>
      <c r="O65" s="2857">
        <f t="shared" si="0"/>
        <v>1</v>
      </c>
      <c r="P65" s="1840">
        <v>0</v>
      </c>
      <c r="Q65" s="1840">
        <v>0</v>
      </c>
    </row>
    <row r="66" spans="1:17" ht="20.100000000000001" customHeight="1">
      <c r="A66" s="2858">
        <v>60</v>
      </c>
      <c r="B66" s="2851" t="s">
        <v>2115</v>
      </c>
      <c r="C66" s="2852" t="s">
        <v>2084</v>
      </c>
      <c r="D66" s="2852" t="s">
        <v>2116</v>
      </c>
      <c r="E66" s="2893" t="s">
        <v>434</v>
      </c>
      <c r="F66" s="2917" t="s">
        <v>34</v>
      </c>
      <c r="G66" s="2904">
        <v>0</v>
      </c>
      <c r="H66" s="2904">
        <v>0</v>
      </c>
      <c r="I66" s="2904">
        <v>0</v>
      </c>
      <c r="J66" s="2936">
        <v>4</v>
      </c>
      <c r="K66" s="2904">
        <v>0</v>
      </c>
      <c r="L66" s="2904">
        <v>0</v>
      </c>
      <c r="M66" s="2855">
        <v>0</v>
      </c>
      <c r="N66" s="2856">
        <v>200</v>
      </c>
      <c r="O66" s="2857">
        <f t="shared" si="0"/>
        <v>4</v>
      </c>
      <c r="P66" s="1845">
        <v>0</v>
      </c>
      <c r="Q66" s="1836">
        <v>0</v>
      </c>
    </row>
    <row r="67" spans="1:17" ht="20.100000000000001" customHeight="1">
      <c r="A67" s="2850">
        <v>61</v>
      </c>
      <c r="B67" s="2851" t="s">
        <v>2115</v>
      </c>
      <c r="C67" s="2852" t="s">
        <v>2084</v>
      </c>
      <c r="D67" s="2852"/>
      <c r="E67" s="2852" t="s">
        <v>434</v>
      </c>
      <c r="F67" s="2853" t="s">
        <v>35</v>
      </c>
      <c r="G67" s="2854">
        <v>0</v>
      </c>
      <c r="H67" s="2854">
        <v>0</v>
      </c>
      <c r="I67" s="2854">
        <v>0</v>
      </c>
      <c r="J67" s="2854">
        <v>0</v>
      </c>
      <c r="K67" s="2854">
        <v>110</v>
      </c>
      <c r="L67" s="2854">
        <v>0</v>
      </c>
      <c r="M67" s="2855">
        <v>0</v>
      </c>
      <c r="N67" s="2856">
        <v>0</v>
      </c>
      <c r="O67" s="2857">
        <f t="shared" si="0"/>
        <v>110</v>
      </c>
      <c r="P67" s="1836">
        <v>0</v>
      </c>
      <c r="Q67" s="1836">
        <v>0</v>
      </c>
    </row>
    <row r="68" spans="1:17" ht="20.100000000000001" customHeight="1">
      <c r="A68" s="2850">
        <v>62</v>
      </c>
      <c r="B68" s="2851" t="s">
        <v>2115</v>
      </c>
      <c r="C68" s="2852" t="s">
        <v>2084</v>
      </c>
      <c r="D68" s="2916"/>
      <c r="E68" s="2868" t="s">
        <v>671</v>
      </c>
      <c r="F68" s="2917" t="s">
        <v>2117</v>
      </c>
      <c r="G68" s="2918"/>
      <c r="H68" s="2918">
        <v>542</v>
      </c>
      <c r="I68" s="2918">
        <v>0</v>
      </c>
      <c r="J68" s="2918">
        <v>0</v>
      </c>
      <c r="K68" s="2918">
        <v>0</v>
      </c>
      <c r="L68" s="2918">
        <v>0</v>
      </c>
      <c r="M68" s="2855">
        <v>0</v>
      </c>
      <c r="N68" s="2892">
        <v>27100</v>
      </c>
      <c r="O68" s="2857">
        <f t="shared" si="0"/>
        <v>542</v>
      </c>
      <c r="P68" s="1836">
        <v>0</v>
      </c>
      <c r="Q68" s="1846">
        <v>0</v>
      </c>
    </row>
    <row r="69" spans="1:17" ht="20.100000000000001" customHeight="1">
      <c r="A69" s="2858">
        <v>63</v>
      </c>
      <c r="B69" s="2851" t="s">
        <v>2115</v>
      </c>
      <c r="C69" s="2852" t="s">
        <v>2084</v>
      </c>
      <c r="D69" s="2916"/>
      <c r="E69" s="2868" t="s">
        <v>671</v>
      </c>
      <c r="F69" s="2917" t="s">
        <v>2090</v>
      </c>
      <c r="G69" s="2918">
        <v>25</v>
      </c>
      <c r="H69" s="2918">
        <v>0</v>
      </c>
      <c r="I69" s="2918">
        <v>0</v>
      </c>
      <c r="J69" s="2918">
        <v>0</v>
      </c>
      <c r="K69" s="2918">
        <v>0</v>
      </c>
      <c r="L69" s="2918"/>
      <c r="M69" s="2855"/>
      <c r="N69" s="2966"/>
      <c r="O69" s="2857">
        <f t="shared" si="0"/>
        <v>25</v>
      </c>
      <c r="P69" s="1836"/>
      <c r="Q69" s="1846"/>
    </row>
    <row r="70" spans="1:17" ht="20.100000000000001" customHeight="1">
      <c r="A70" s="2850">
        <v>64</v>
      </c>
      <c r="B70" s="2851" t="s">
        <v>2115</v>
      </c>
      <c r="C70" s="2852" t="s">
        <v>2084</v>
      </c>
      <c r="D70" s="2859"/>
      <c r="E70" s="2859" t="s">
        <v>434</v>
      </c>
      <c r="F70" s="2917" t="s">
        <v>2118</v>
      </c>
      <c r="G70" s="2959">
        <v>0</v>
      </c>
      <c r="H70" s="2959">
        <v>0</v>
      </c>
      <c r="I70" s="2959">
        <v>0</v>
      </c>
      <c r="J70" s="2959">
        <v>0</v>
      </c>
      <c r="K70" s="2959">
        <v>0</v>
      </c>
      <c r="L70" s="2959">
        <v>0</v>
      </c>
      <c r="M70" s="2862">
        <v>25</v>
      </c>
      <c r="N70" s="2960">
        <v>2500</v>
      </c>
      <c r="O70" s="2857">
        <f t="shared" si="0"/>
        <v>25</v>
      </c>
      <c r="P70" s="1836">
        <v>0</v>
      </c>
      <c r="Q70" s="1836">
        <v>0</v>
      </c>
    </row>
    <row r="71" spans="1:17" ht="20.100000000000001" customHeight="1">
      <c r="A71" s="2850">
        <v>65</v>
      </c>
      <c r="B71" s="2851" t="s">
        <v>2115</v>
      </c>
      <c r="C71" s="2852" t="s">
        <v>2084</v>
      </c>
      <c r="D71" s="2859" t="s">
        <v>2119</v>
      </c>
      <c r="E71" s="2859" t="s">
        <v>442</v>
      </c>
      <c r="F71" s="2864" t="s">
        <v>2087</v>
      </c>
      <c r="G71" s="2865">
        <v>0</v>
      </c>
      <c r="H71" s="2865">
        <v>0</v>
      </c>
      <c r="I71" s="2865">
        <v>0</v>
      </c>
      <c r="J71" s="2865">
        <v>0</v>
      </c>
      <c r="K71" s="2865">
        <v>0</v>
      </c>
      <c r="L71" s="2865">
        <v>0</v>
      </c>
      <c r="M71" s="2865">
        <v>2</v>
      </c>
      <c r="N71" s="2866">
        <v>160000</v>
      </c>
      <c r="O71" s="2857">
        <f t="shared" si="0"/>
        <v>2</v>
      </c>
      <c r="P71" s="1840">
        <v>0</v>
      </c>
      <c r="Q71" s="1840">
        <v>0</v>
      </c>
    </row>
    <row r="72" spans="1:17" ht="20.100000000000001" customHeight="1">
      <c r="A72" s="2858">
        <v>66</v>
      </c>
      <c r="B72" s="2852" t="s">
        <v>2120</v>
      </c>
      <c r="C72" s="2852" t="s">
        <v>2084</v>
      </c>
      <c r="D72" s="2893"/>
      <c r="E72" s="2868" t="s">
        <v>29</v>
      </c>
      <c r="F72" s="2894" t="s">
        <v>49</v>
      </c>
      <c r="G72" s="2895">
        <v>0</v>
      </c>
      <c r="H72" s="2895">
        <v>0</v>
      </c>
      <c r="I72" s="2896">
        <v>1</v>
      </c>
      <c r="J72" s="2895">
        <v>0</v>
      </c>
      <c r="K72" s="2895">
        <v>0</v>
      </c>
      <c r="L72" s="2895">
        <v>0</v>
      </c>
      <c r="M72" s="2896">
        <v>0</v>
      </c>
      <c r="N72" s="2856">
        <v>6831269.6299999999</v>
      </c>
      <c r="O72" s="2857">
        <f t="shared" ref="O72:O135" si="1">G72+H72+I72+J72+K72+L72+M72</f>
        <v>1</v>
      </c>
      <c r="P72" s="1840">
        <v>0</v>
      </c>
      <c r="Q72" s="1840">
        <v>0</v>
      </c>
    </row>
    <row r="73" spans="1:17" ht="20.100000000000001" customHeight="1">
      <c r="A73" s="2850">
        <v>67</v>
      </c>
      <c r="B73" s="2852" t="s">
        <v>2120</v>
      </c>
      <c r="C73" s="2852" t="s">
        <v>2084</v>
      </c>
      <c r="D73" s="2893"/>
      <c r="E73" s="2868" t="s">
        <v>29</v>
      </c>
      <c r="F73" s="2894" t="s">
        <v>32</v>
      </c>
      <c r="G73" s="2900">
        <v>0</v>
      </c>
      <c r="H73" s="2900">
        <v>0</v>
      </c>
      <c r="I73" s="2896">
        <v>1</v>
      </c>
      <c r="J73" s="2900">
        <v>0</v>
      </c>
      <c r="K73" s="2900">
        <v>0</v>
      </c>
      <c r="L73" s="2900">
        <v>0</v>
      </c>
      <c r="M73" s="2934">
        <v>0</v>
      </c>
      <c r="N73" s="2856">
        <v>2.27</v>
      </c>
      <c r="O73" s="2857">
        <f t="shared" si="1"/>
        <v>1</v>
      </c>
      <c r="P73" s="1840">
        <v>0</v>
      </c>
      <c r="Q73" s="1840">
        <v>0</v>
      </c>
    </row>
    <row r="74" spans="1:17" ht="20.100000000000001" customHeight="1">
      <c r="A74" s="2850">
        <v>68</v>
      </c>
      <c r="B74" s="2852" t="s">
        <v>2120</v>
      </c>
      <c r="C74" s="2852" t="s">
        <v>2084</v>
      </c>
      <c r="D74" s="2852"/>
      <c r="E74" s="2852" t="s">
        <v>434</v>
      </c>
      <c r="F74" s="2853" t="s">
        <v>35</v>
      </c>
      <c r="G74" s="2854">
        <v>0</v>
      </c>
      <c r="H74" s="2854">
        <v>0</v>
      </c>
      <c r="I74" s="2854">
        <v>0</v>
      </c>
      <c r="J74" s="2854">
        <v>0</v>
      </c>
      <c r="K74" s="2889">
        <v>179</v>
      </c>
      <c r="L74" s="2854">
        <v>0</v>
      </c>
      <c r="M74" s="2855">
        <v>0</v>
      </c>
      <c r="N74" s="2856">
        <v>32273.8</v>
      </c>
      <c r="O74" s="2857">
        <f t="shared" si="1"/>
        <v>179</v>
      </c>
      <c r="P74" s="1836">
        <v>0</v>
      </c>
      <c r="Q74" s="452">
        <v>0</v>
      </c>
    </row>
    <row r="75" spans="1:17" ht="20.100000000000001" customHeight="1">
      <c r="A75" s="2858">
        <v>69</v>
      </c>
      <c r="B75" s="2852" t="s">
        <v>2120</v>
      </c>
      <c r="C75" s="2852" t="s">
        <v>2084</v>
      </c>
      <c r="D75" s="2893"/>
      <c r="E75" s="2868" t="s">
        <v>29</v>
      </c>
      <c r="F75" s="2894" t="s">
        <v>50</v>
      </c>
      <c r="G75" s="2913">
        <v>0</v>
      </c>
      <c r="H75" s="2913">
        <v>0</v>
      </c>
      <c r="I75" s="2909">
        <v>1</v>
      </c>
      <c r="J75" s="2913">
        <v>0</v>
      </c>
      <c r="K75" s="2913">
        <v>0</v>
      </c>
      <c r="L75" s="2913">
        <v>0</v>
      </c>
      <c r="M75" s="2896">
        <v>0</v>
      </c>
      <c r="N75" s="2915">
        <v>23.87</v>
      </c>
      <c r="O75" s="2857">
        <f t="shared" si="1"/>
        <v>1</v>
      </c>
      <c r="P75" s="1840">
        <v>0</v>
      </c>
      <c r="Q75" s="1845">
        <v>0</v>
      </c>
    </row>
    <row r="76" spans="1:17" ht="20.100000000000001" customHeight="1">
      <c r="A76" s="2850">
        <v>70</v>
      </c>
      <c r="B76" s="2852" t="s">
        <v>2120</v>
      </c>
      <c r="C76" s="2852" t="s">
        <v>2084</v>
      </c>
      <c r="D76" s="2916"/>
      <c r="E76" s="2868" t="s">
        <v>671</v>
      </c>
      <c r="F76" s="2967" t="s">
        <v>2121</v>
      </c>
      <c r="G76" s="2918"/>
      <c r="H76" s="2968">
        <v>1001</v>
      </c>
      <c r="I76" s="2889">
        <v>0</v>
      </c>
      <c r="J76" s="2918">
        <v>0</v>
      </c>
      <c r="K76" s="2918">
        <v>0</v>
      </c>
      <c r="L76" s="2918">
        <v>0</v>
      </c>
      <c r="M76" s="2855">
        <v>0</v>
      </c>
      <c r="N76" s="2892">
        <v>50050</v>
      </c>
      <c r="O76" s="2857">
        <f t="shared" si="1"/>
        <v>1001</v>
      </c>
      <c r="P76" s="1836">
        <v>0</v>
      </c>
      <c r="Q76" s="1846">
        <v>0</v>
      </c>
    </row>
    <row r="77" spans="1:17" ht="20.100000000000001" customHeight="1">
      <c r="A77" s="2850">
        <v>71</v>
      </c>
      <c r="B77" s="2852" t="s">
        <v>2120</v>
      </c>
      <c r="C77" s="2852" t="s">
        <v>2084</v>
      </c>
      <c r="D77" s="2916"/>
      <c r="E77" s="2868" t="s">
        <v>671</v>
      </c>
      <c r="F77" s="2917" t="s">
        <v>2090</v>
      </c>
      <c r="G77" s="2918">
        <v>41</v>
      </c>
      <c r="H77" s="2889">
        <v>0</v>
      </c>
      <c r="I77" s="2889">
        <v>0</v>
      </c>
      <c r="J77" s="2918">
        <v>0</v>
      </c>
      <c r="K77" s="2918">
        <v>0</v>
      </c>
      <c r="L77" s="2918">
        <v>0</v>
      </c>
      <c r="M77" s="2855">
        <v>0</v>
      </c>
      <c r="N77" s="2892">
        <v>0</v>
      </c>
      <c r="O77" s="2857">
        <f t="shared" si="1"/>
        <v>41</v>
      </c>
      <c r="P77" s="1836"/>
      <c r="Q77" s="1846"/>
    </row>
    <row r="78" spans="1:17" ht="20.100000000000001" customHeight="1">
      <c r="A78" s="2858">
        <v>72</v>
      </c>
      <c r="B78" s="2851" t="s">
        <v>2122</v>
      </c>
      <c r="C78" s="2852" t="s">
        <v>2084</v>
      </c>
      <c r="D78" s="2952">
        <v>46174</v>
      </c>
      <c r="E78" s="2852" t="s">
        <v>1232</v>
      </c>
      <c r="F78" s="2888" t="s">
        <v>2123</v>
      </c>
      <c r="G78" s="2890">
        <v>0</v>
      </c>
      <c r="H78" s="2890">
        <v>0</v>
      </c>
      <c r="I78" s="2890">
        <v>0</v>
      </c>
      <c r="J78" s="2890">
        <v>0</v>
      </c>
      <c r="K78" s="2890">
        <v>0</v>
      </c>
      <c r="L78" s="2890">
        <v>0</v>
      </c>
      <c r="M78" s="2855">
        <v>1</v>
      </c>
      <c r="N78" s="2892">
        <v>160742.20000000001</v>
      </c>
      <c r="O78" s="2857">
        <f t="shared" si="1"/>
        <v>1</v>
      </c>
      <c r="P78" s="1836">
        <v>0</v>
      </c>
      <c r="Q78" s="434">
        <v>0</v>
      </c>
    </row>
    <row r="79" spans="1:17" ht="20.100000000000001" customHeight="1">
      <c r="A79" s="2850">
        <v>73</v>
      </c>
      <c r="B79" s="2851" t="s">
        <v>2122</v>
      </c>
      <c r="C79" s="2852" t="s">
        <v>2084</v>
      </c>
      <c r="D79" s="2893"/>
      <c r="E79" s="2868" t="s">
        <v>29</v>
      </c>
      <c r="F79" s="2894" t="s">
        <v>49</v>
      </c>
      <c r="G79" s="2895">
        <v>0</v>
      </c>
      <c r="H79" s="2895">
        <v>0</v>
      </c>
      <c r="I79" s="2969">
        <v>1</v>
      </c>
      <c r="J79" s="2895">
        <v>0</v>
      </c>
      <c r="K79" s="2895">
        <v>0</v>
      </c>
      <c r="L79" s="2895">
        <v>0</v>
      </c>
      <c r="M79" s="2896">
        <v>0</v>
      </c>
      <c r="N79" s="2899">
        <v>7050605.0300000003</v>
      </c>
      <c r="O79" s="2857">
        <f t="shared" si="1"/>
        <v>1</v>
      </c>
      <c r="P79" s="1840">
        <v>0</v>
      </c>
      <c r="Q79" s="1843">
        <v>0</v>
      </c>
    </row>
    <row r="80" spans="1:17" ht="20.100000000000001" customHeight="1">
      <c r="A80" s="2850">
        <v>74</v>
      </c>
      <c r="B80" s="2851" t="s">
        <v>2122</v>
      </c>
      <c r="C80" s="2852" t="s">
        <v>2084</v>
      </c>
      <c r="D80" s="2893"/>
      <c r="E80" s="2868" t="s">
        <v>29</v>
      </c>
      <c r="F80" s="2894" t="s">
        <v>32</v>
      </c>
      <c r="G80" s="2900">
        <v>0</v>
      </c>
      <c r="H80" s="2900">
        <v>0</v>
      </c>
      <c r="I80" s="2969">
        <v>1</v>
      </c>
      <c r="J80" s="2900">
        <v>0</v>
      </c>
      <c r="K80" s="2900">
        <v>0</v>
      </c>
      <c r="L80" s="2900">
        <v>0</v>
      </c>
      <c r="M80" s="2934">
        <v>0</v>
      </c>
      <c r="N80" s="2892">
        <v>0.24</v>
      </c>
      <c r="O80" s="2857">
        <f t="shared" si="1"/>
        <v>1</v>
      </c>
      <c r="P80" s="1840">
        <v>0</v>
      </c>
      <c r="Q80" s="434">
        <v>0</v>
      </c>
    </row>
    <row r="81" spans="1:17" ht="20.100000000000001" customHeight="1">
      <c r="A81" s="2858">
        <v>75</v>
      </c>
      <c r="B81" s="2851" t="s">
        <v>2122</v>
      </c>
      <c r="C81" s="2852" t="s">
        <v>2084</v>
      </c>
      <c r="D81" s="2852"/>
      <c r="E81" s="2868" t="s">
        <v>29</v>
      </c>
      <c r="F81" s="2970" t="s">
        <v>886</v>
      </c>
      <c r="G81" s="2904">
        <v>0</v>
      </c>
      <c r="H81" s="2904">
        <v>0</v>
      </c>
      <c r="I81" s="2889">
        <v>1</v>
      </c>
      <c r="J81" s="2905">
        <v>0</v>
      </c>
      <c r="K81" s="2904">
        <v>0</v>
      </c>
      <c r="L81" s="2904">
        <v>0</v>
      </c>
      <c r="M81" s="2940">
        <v>0</v>
      </c>
      <c r="N81" s="2907">
        <v>161.5</v>
      </c>
      <c r="O81" s="2857">
        <f t="shared" si="1"/>
        <v>1</v>
      </c>
      <c r="P81" s="1836">
        <v>0</v>
      </c>
      <c r="Q81" s="1836">
        <v>0</v>
      </c>
    </row>
    <row r="82" spans="1:17" ht="20.100000000000001" customHeight="1">
      <c r="A82" s="2850">
        <v>76</v>
      </c>
      <c r="B82" s="2851" t="s">
        <v>2122</v>
      </c>
      <c r="C82" s="2852" t="s">
        <v>2084</v>
      </c>
      <c r="D82" s="2852"/>
      <c r="E82" s="2852" t="s">
        <v>434</v>
      </c>
      <c r="F82" s="2853" t="s">
        <v>35</v>
      </c>
      <c r="G82" s="2854">
        <v>0</v>
      </c>
      <c r="H82" s="2854">
        <v>0</v>
      </c>
      <c r="I82" s="2889">
        <v>0</v>
      </c>
      <c r="J82" s="2854">
        <v>0</v>
      </c>
      <c r="K82" s="2854">
        <v>9044</v>
      </c>
      <c r="L82" s="2854">
        <v>0</v>
      </c>
      <c r="M82" s="2855">
        <v>0</v>
      </c>
      <c r="N82" s="2856">
        <v>3147423.15</v>
      </c>
      <c r="O82" s="2857">
        <f t="shared" si="1"/>
        <v>9044</v>
      </c>
      <c r="P82" s="1836">
        <v>0</v>
      </c>
      <c r="Q82" s="1836">
        <v>0</v>
      </c>
    </row>
    <row r="83" spans="1:17" ht="20.100000000000001" customHeight="1">
      <c r="A83" s="2850">
        <v>77</v>
      </c>
      <c r="B83" s="2851" t="s">
        <v>2122</v>
      </c>
      <c r="C83" s="2852" t="s">
        <v>2084</v>
      </c>
      <c r="D83" s="2893"/>
      <c r="E83" s="2868" t="s">
        <v>29</v>
      </c>
      <c r="F83" s="2894" t="s">
        <v>50</v>
      </c>
      <c r="G83" s="2913">
        <v>0</v>
      </c>
      <c r="H83" s="2913">
        <v>0</v>
      </c>
      <c r="I83" s="2909">
        <v>1</v>
      </c>
      <c r="J83" s="2913">
        <v>0</v>
      </c>
      <c r="K83" s="2913">
        <v>0</v>
      </c>
      <c r="L83" s="2913">
        <v>0</v>
      </c>
      <c r="M83" s="2896">
        <v>0</v>
      </c>
      <c r="N83" s="2915">
        <v>157.54</v>
      </c>
      <c r="O83" s="2857">
        <f t="shared" si="1"/>
        <v>1</v>
      </c>
      <c r="P83" s="1840">
        <v>0</v>
      </c>
      <c r="Q83" s="1845">
        <v>0</v>
      </c>
    </row>
    <row r="84" spans="1:17" ht="20.100000000000001" customHeight="1">
      <c r="A84" s="2858">
        <v>78</v>
      </c>
      <c r="B84" s="2851" t="s">
        <v>2122</v>
      </c>
      <c r="C84" s="2852" t="s">
        <v>2084</v>
      </c>
      <c r="D84" s="2916"/>
      <c r="E84" s="2868" t="s">
        <v>671</v>
      </c>
      <c r="F84" s="2917" t="s">
        <v>52</v>
      </c>
      <c r="G84" s="2918">
        <v>0</v>
      </c>
      <c r="H84" s="2918">
        <v>1191</v>
      </c>
      <c r="I84" s="2919">
        <v>0</v>
      </c>
      <c r="J84" s="2918">
        <v>0</v>
      </c>
      <c r="K84" s="2918">
        <v>0</v>
      </c>
      <c r="L84" s="2918">
        <v>0</v>
      </c>
      <c r="M84" s="2855">
        <v>0</v>
      </c>
      <c r="N84" s="2892">
        <v>59550</v>
      </c>
      <c r="O84" s="2857">
        <f t="shared" si="1"/>
        <v>1191</v>
      </c>
      <c r="P84" s="1836">
        <v>0</v>
      </c>
      <c r="Q84" s="1846">
        <v>0</v>
      </c>
    </row>
    <row r="85" spans="1:17" ht="20.100000000000001" customHeight="1">
      <c r="A85" s="2850">
        <v>79</v>
      </c>
      <c r="B85" s="2851" t="s">
        <v>2124</v>
      </c>
      <c r="C85" s="2852" t="s">
        <v>2084</v>
      </c>
      <c r="D85" s="2916"/>
      <c r="E85" s="2868" t="s">
        <v>671</v>
      </c>
      <c r="F85" s="2917" t="s">
        <v>2090</v>
      </c>
      <c r="G85" s="2918">
        <v>70</v>
      </c>
      <c r="H85" s="2918">
        <v>0</v>
      </c>
      <c r="I85" s="2919">
        <v>0</v>
      </c>
      <c r="J85" s="2918">
        <v>0</v>
      </c>
      <c r="K85" s="2918">
        <v>0</v>
      </c>
      <c r="L85" s="2918">
        <v>0</v>
      </c>
      <c r="M85" s="2855">
        <v>0</v>
      </c>
      <c r="N85" s="2892">
        <v>0</v>
      </c>
      <c r="O85" s="2857">
        <f t="shared" si="1"/>
        <v>70</v>
      </c>
      <c r="P85" s="1836"/>
      <c r="Q85" s="1846"/>
    </row>
    <row r="86" spans="1:17" ht="20.100000000000001" customHeight="1">
      <c r="A86" s="2850">
        <v>80</v>
      </c>
      <c r="B86" s="2851" t="s">
        <v>2125</v>
      </c>
      <c r="C86" s="2852" t="s">
        <v>2084</v>
      </c>
      <c r="D86" s="2852"/>
      <c r="E86" s="2852" t="s">
        <v>1232</v>
      </c>
      <c r="F86" s="2888" t="s">
        <v>2085</v>
      </c>
      <c r="G86" s="2890">
        <v>0</v>
      </c>
      <c r="H86" s="2890">
        <v>0</v>
      </c>
      <c r="I86" s="2890">
        <v>0</v>
      </c>
      <c r="J86" s="2890">
        <v>0</v>
      </c>
      <c r="K86" s="2890">
        <v>0</v>
      </c>
      <c r="L86" s="2890">
        <v>0</v>
      </c>
      <c r="M86" s="2855">
        <v>1</v>
      </c>
      <c r="N86" s="2892">
        <v>40215.54</v>
      </c>
      <c r="O86" s="2857">
        <f t="shared" si="1"/>
        <v>1</v>
      </c>
      <c r="P86" s="1836">
        <v>0</v>
      </c>
      <c r="Q86" s="1836">
        <v>0</v>
      </c>
    </row>
    <row r="87" spans="1:17" ht="20.100000000000001" customHeight="1">
      <c r="A87" s="2858">
        <v>81</v>
      </c>
      <c r="B87" s="2851" t="s">
        <v>2125</v>
      </c>
      <c r="C87" s="2852" t="s">
        <v>2084</v>
      </c>
      <c r="D87" s="2893"/>
      <c r="E87" s="2868" t="s">
        <v>29</v>
      </c>
      <c r="F87" s="2971" t="s">
        <v>31</v>
      </c>
      <c r="G87" s="2972">
        <v>0</v>
      </c>
      <c r="H87" s="2972">
        <v>0</v>
      </c>
      <c r="I87" s="2896">
        <v>1</v>
      </c>
      <c r="J87" s="2972">
        <v>0</v>
      </c>
      <c r="K87" s="2972">
        <v>0</v>
      </c>
      <c r="L87" s="2972">
        <v>0</v>
      </c>
      <c r="M87" s="2905">
        <v>0</v>
      </c>
      <c r="N87" s="2881">
        <v>0.01</v>
      </c>
      <c r="O87" s="2857">
        <f t="shared" si="1"/>
        <v>1</v>
      </c>
      <c r="P87" s="1840">
        <v>0</v>
      </c>
      <c r="Q87" s="1851">
        <v>0</v>
      </c>
    </row>
    <row r="88" spans="1:17" ht="20.100000000000001" customHeight="1">
      <c r="A88" s="2850">
        <v>82</v>
      </c>
      <c r="B88" s="2851" t="s">
        <v>2125</v>
      </c>
      <c r="C88" s="2852" t="s">
        <v>2084</v>
      </c>
      <c r="D88" s="2893"/>
      <c r="E88" s="2852" t="s">
        <v>434</v>
      </c>
      <c r="F88" s="2973" t="s">
        <v>35</v>
      </c>
      <c r="G88" s="2974">
        <v>0</v>
      </c>
      <c r="H88" s="2974">
        <v>0</v>
      </c>
      <c r="I88" s="2974">
        <v>0</v>
      </c>
      <c r="J88" s="2974">
        <v>0</v>
      </c>
      <c r="K88" s="2974">
        <v>142</v>
      </c>
      <c r="L88" s="2974">
        <v>0</v>
      </c>
      <c r="M88" s="2896">
        <v>0</v>
      </c>
      <c r="N88" s="2856">
        <v>29719.96</v>
      </c>
      <c r="O88" s="2857">
        <f t="shared" si="1"/>
        <v>142</v>
      </c>
      <c r="P88" s="1840">
        <v>0</v>
      </c>
      <c r="Q88" s="1840">
        <v>0</v>
      </c>
    </row>
    <row r="89" spans="1:17" ht="20.100000000000001" customHeight="1">
      <c r="A89" s="2850">
        <v>83</v>
      </c>
      <c r="B89" s="2851" t="s">
        <v>2125</v>
      </c>
      <c r="C89" s="2852" t="s">
        <v>2084</v>
      </c>
      <c r="D89" s="2916"/>
      <c r="E89" s="2916" t="s">
        <v>671</v>
      </c>
      <c r="F89" s="2917" t="s">
        <v>2126</v>
      </c>
      <c r="G89" s="2918">
        <v>0</v>
      </c>
      <c r="H89" s="2918">
        <v>822</v>
      </c>
      <c r="I89" s="2918">
        <v>0</v>
      </c>
      <c r="J89" s="2918">
        <v>0</v>
      </c>
      <c r="K89" s="2918">
        <v>0</v>
      </c>
      <c r="L89" s="2918">
        <v>0</v>
      </c>
      <c r="M89" s="2855">
        <v>0</v>
      </c>
      <c r="N89" s="2892">
        <v>41100</v>
      </c>
      <c r="O89" s="2857">
        <f t="shared" si="1"/>
        <v>822</v>
      </c>
      <c r="P89" s="1836">
        <v>0</v>
      </c>
      <c r="Q89" s="1846">
        <v>0</v>
      </c>
    </row>
    <row r="90" spans="1:17" ht="20.100000000000001" customHeight="1">
      <c r="A90" s="2858">
        <v>84</v>
      </c>
      <c r="B90" s="2851" t="s">
        <v>2125</v>
      </c>
      <c r="C90" s="2852" t="s">
        <v>2084</v>
      </c>
      <c r="D90" s="2916"/>
      <c r="E90" s="2868" t="s">
        <v>671</v>
      </c>
      <c r="F90" s="2917" t="s">
        <v>2090</v>
      </c>
      <c r="G90" s="2918">
        <v>46</v>
      </c>
      <c r="H90" s="2918">
        <v>0</v>
      </c>
      <c r="I90" s="2918">
        <v>0</v>
      </c>
      <c r="J90" s="2918">
        <v>0</v>
      </c>
      <c r="K90" s="2918">
        <v>0</v>
      </c>
      <c r="L90" s="2918">
        <v>0</v>
      </c>
      <c r="M90" s="2855">
        <v>0</v>
      </c>
      <c r="N90" s="2892">
        <v>0</v>
      </c>
      <c r="O90" s="2857">
        <f t="shared" si="1"/>
        <v>46</v>
      </c>
      <c r="P90" s="1836">
        <v>0</v>
      </c>
      <c r="Q90" s="1846">
        <v>0</v>
      </c>
    </row>
    <row r="91" spans="1:17" ht="20.100000000000001" customHeight="1">
      <c r="A91" s="2850">
        <v>85</v>
      </c>
      <c r="B91" s="2851" t="s">
        <v>2125</v>
      </c>
      <c r="C91" s="2852" t="s">
        <v>2084</v>
      </c>
      <c r="D91" s="2975" t="s">
        <v>483</v>
      </c>
      <c r="E91" s="2859" t="s">
        <v>442</v>
      </c>
      <c r="F91" s="2864" t="s">
        <v>2127</v>
      </c>
      <c r="G91" s="2861">
        <v>0</v>
      </c>
      <c r="H91" s="2861">
        <v>0</v>
      </c>
      <c r="I91" s="2861">
        <v>0</v>
      </c>
      <c r="J91" s="2861">
        <v>0</v>
      </c>
      <c r="K91" s="2861">
        <v>0</v>
      </c>
      <c r="L91" s="2861">
        <v>0</v>
      </c>
      <c r="M91" s="2862">
        <v>1</v>
      </c>
      <c r="N91" s="2863">
        <v>50000</v>
      </c>
      <c r="O91" s="2857">
        <f t="shared" si="1"/>
        <v>1</v>
      </c>
      <c r="P91" s="1836">
        <v>0</v>
      </c>
      <c r="Q91" s="1836">
        <v>0</v>
      </c>
    </row>
    <row r="92" spans="1:17" ht="20.100000000000001" customHeight="1">
      <c r="A92" s="2850">
        <v>86</v>
      </c>
      <c r="B92" s="2851" t="s">
        <v>2125</v>
      </c>
      <c r="C92" s="2852" t="s">
        <v>2084</v>
      </c>
      <c r="D92" s="2975" t="s">
        <v>2128</v>
      </c>
      <c r="E92" s="2859" t="s">
        <v>442</v>
      </c>
      <c r="F92" s="2864" t="s">
        <v>2129</v>
      </c>
      <c r="G92" s="2976">
        <v>0</v>
      </c>
      <c r="H92" s="2976">
        <v>0</v>
      </c>
      <c r="I92" s="2976">
        <v>0</v>
      </c>
      <c r="J92" s="2976">
        <v>0</v>
      </c>
      <c r="K92" s="2976">
        <v>0</v>
      </c>
      <c r="L92" s="2976">
        <v>0</v>
      </c>
      <c r="M92" s="2969">
        <v>4</v>
      </c>
      <c r="N92" s="2892">
        <v>915000</v>
      </c>
      <c r="O92" s="2857">
        <f t="shared" si="1"/>
        <v>4</v>
      </c>
      <c r="P92" s="1836">
        <v>0</v>
      </c>
      <c r="Q92" s="1836">
        <v>0</v>
      </c>
    </row>
    <row r="93" spans="1:17" ht="20.100000000000001" customHeight="1">
      <c r="A93" s="2858">
        <v>87</v>
      </c>
      <c r="B93" s="2851" t="s">
        <v>2130</v>
      </c>
      <c r="C93" s="2852" t="s">
        <v>2084</v>
      </c>
      <c r="D93" s="2977"/>
      <c r="E93" s="2852" t="s">
        <v>1232</v>
      </c>
      <c r="F93" s="2958" t="s">
        <v>2131</v>
      </c>
      <c r="G93" s="2978">
        <v>0</v>
      </c>
      <c r="H93" s="2978">
        <v>0</v>
      </c>
      <c r="I93" s="2978">
        <v>0</v>
      </c>
      <c r="J93" s="2978">
        <v>0</v>
      </c>
      <c r="K93" s="2978">
        <v>0</v>
      </c>
      <c r="L93" s="2979">
        <v>0</v>
      </c>
      <c r="M93" s="2980">
        <v>1</v>
      </c>
      <c r="N93" s="2981">
        <v>210854.92</v>
      </c>
      <c r="O93" s="2857">
        <f t="shared" si="1"/>
        <v>1</v>
      </c>
      <c r="P93" s="1836">
        <v>0</v>
      </c>
      <c r="Q93" s="1836">
        <v>0</v>
      </c>
    </row>
    <row r="94" spans="1:17" ht="20.100000000000001" customHeight="1">
      <c r="A94" s="2850">
        <v>88</v>
      </c>
      <c r="B94" s="2851" t="s">
        <v>2130</v>
      </c>
      <c r="C94" s="2852" t="s">
        <v>2084</v>
      </c>
      <c r="D94" s="2893"/>
      <c r="E94" s="2868" t="s">
        <v>29</v>
      </c>
      <c r="F94" s="2939" t="s">
        <v>49</v>
      </c>
      <c r="G94" s="2895">
        <v>0</v>
      </c>
      <c r="H94" s="2895">
        <v>0</v>
      </c>
      <c r="I94" s="2896">
        <v>1</v>
      </c>
      <c r="J94" s="2895">
        <v>0</v>
      </c>
      <c r="K94" s="2895">
        <v>0</v>
      </c>
      <c r="L94" s="2895">
        <v>0</v>
      </c>
      <c r="M94" s="2896">
        <v>0</v>
      </c>
      <c r="N94" s="2856">
        <v>5138080</v>
      </c>
      <c r="O94" s="2857">
        <f t="shared" si="1"/>
        <v>1</v>
      </c>
      <c r="P94" s="1840">
        <v>0</v>
      </c>
      <c r="Q94" s="1840">
        <v>0</v>
      </c>
    </row>
    <row r="95" spans="1:17" ht="20.100000000000001" customHeight="1">
      <c r="A95" s="2850">
        <v>89</v>
      </c>
      <c r="B95" s="2851" t="s">
        <v>2130</v>
      </c>
      <c r="C95" s="2852" t="s">
        <v>2084</v>
      </c>
      <c r="D95" s="2852"/>
      <c r="E95" s="2852" t="s">
        <v>434</v>
      </c>
      <c r="F95" s="2864" t="s">
        <v>35</v>
      </c>
      <c r="G95" s="2854">
        <v>0</v>
      </c>
      <c r="H95" s="2854">
        <v>0</v>
      </c>
      <c r="I95" s="2854">
        <v>0</v>
      </c>
      <c r="J95" s="2854">
        <v>0</v>
      </c>
      <c r="K95" s="2854">
        <v>544</v>
      </c>
      <c r="L95" s="2854">
        <v>0</v>
      </c>
      <c r="M95" s="2855">
        <v>0</v>
      </c>
      <c r="N95" s="2856">
        <v>449163.84</v>
      </c>
      <c r="O95" s="2857">
        <f t="shared" si="1"/>
        <v>544</v>
      </c>
      <c r="P95" s="1836">
        <v>0</v>
      </c>
      <c r="Q95" s="1836">
        <v>0</v>
      </c>
    </row>
    <row r="96" spans="1:17" ht="20.100000000000001" customHeight="1">
      <c r="A96" s="2858">
        <v>90</v>
      </c>
      <c r="B96" s="2851" t="s">
        <v>2130</v>
      </c>
      <c r="C96" s="2852" t="s">
        <v>2084</v>
      </c>
      <c r="D96" s="2916"/>
      <c r="E96" s="2868" t="s">
        <v>671</v>
      </c>
      <c r="F96" s="2939" t="s">
        <v>52</v>
      </c>
      <c r="G96" s="2956">
        <v>0</v>
      </c>
      <c r="H96" s="2956">
        <v>1208</v>
      </c>
      <c r="I96" s="2918">
        <v>0</v>
      </c>
      <c r="J96" s="2918">
        <v>0</v>
      </c>
      <c r="K96" s="2918">
        <v>0</v>
      </c>
      <c r="L96" s="2918">
        <v>0</v>
      </c>
      <c r="M96" s="2855">
        <v>0</v>
      </c>
      <c r="N96" s="2892">
        <v>60400</v>
      </c>
      <c r="O96" s="2857">
        <f t="shared" si="1"/>
        <v>1208</v>
      </c>
      <c r="P96" s="1836">
        <v>0</v>
      </c>
      <c r="Q96" s="1846">
        <v>0</v>
      </c>
    </row>
    <row r="97" spans="1:17" ht="20.100000000000001" customHeight="1">
      <c r="A97" s="2850">
        <v>91</v>
      </c>
      <c r="B97" s="2851" t="s">
        <v>2132</v>
      </c>
      <c r="C97" s="2852" t="s">
        <v>2084</v>
      </c>
      <c r="D97" s="2916"/>
      <c r="E97" s="2868" t="s">
        <v>671</v>
      </c>
      <c r="F97" s="2939" t="s">
        <v>2090</v>
      </c>
      <c r="G97" s="2956">
        <v>178</v>
      </c>
      <c r="H97" s="2956">
        <v>0</v>
      </c>
      <c r="I97" s="2918">
        <v>0</v>
      </c>
      <c r="J97" s="2918">
        <v>0</v>
      </c>
      <c r="K97" s="2918">
        <v>0</v>
      </c>
      <c r="L97" s="2918">
        <v>0</v>
      </c>
      <c r="M97" s="2855">
        <v>0</v>
      </c>
      <c r="N97" s="2892">
        <v>0</v>
      </c>
      <c r="O97" s="2857">
        <f t="shared" si="1"/>
        <v>178</v>
      </c>
      <c r="P97" s="1836"/>
      <c r="Q97" s="1846"/>
    </row>
    <row r="98" spans="1:17" ht="20.100000000000001" customHeight="1">
      <c r="A98" s="2850">
        <v>92</v>
      </c>
      <c r="B98" s="2851" t="s">
        <v>2130</v>
      </c>
      <c r="C98" s="2852" t="s">
        <v>2084</v>
      </c>
      <c r="D98" s="2859"/>
      <c r="E98" s="2859" t="s">
        <v>442</v>
      </c>
      <c r="F98" s="2864" t="s">
        <v>2087</v>
      </c>
      <c r="G98" s="2875">
        <v>0</v>
      </c>
      <c r="H98" s="2875">
        <v>0</v>
      </c>
      <c r="I98" s="2865">
        <v>0</v>
      </c>
      <c r="J98" s="2865">
        <v>0</v>
      </c>
      <c r="K98" s="2865">
        <v>0</v>
      </c>
      <c r="L98" s="2865">
        <v>0</v>
      </c>
      <c r="M98" s="2865">
        <v>15</v>
      </c>
      <c r="N98" s="2866">
        <v>1878518</v>
      </c>
      <c r="O98" s="2857">
        <f t="shared" si="1"/>
        <v>15</v>
      </c>
      <c r="P98" s="1840">
        <v>0</v>
      </c>
      <c r="Q98" s="1840">
        <v>0</v>
      </c>
    </row>
    <row r="99" spans="1:17" ht="20.100000000000001" customHeight="1">
      <c r="A99" s="2858">
        <v>93</v>
      </c>
      <c r="B99" s="2851" t="s">
        <v>2130</v>
      </c>
      <c r="C99" s="2852" t="s">
        <v>2084</v>
      </c>
      <c r="D99" s="2859"/>
      <c r="E99" s="2859" t="s">
        <v>442</v>
      </c>
      <c r="F99" s="2939" t="s">
        <v>2133</v>
      </c>
      <c r="G99" s="2875">
        <v>0</v>
      </c>
      <c r="H99" s="2875">
        <v>0</v>
      </c>
      <c r="I99" s="2865">
        <v>0</v>
      </c>
      <c r="J99" s="2865">
        <v>0</v>
      </c>
      <c r="K99" s="2865">
        <v>0</v>
      </c>
      <c r="L99" s="2865">
        <v>0</v>
      </c>
      <c r="M99" s="2865">
        <v>6</v>
      </c>
      <c r="N99" s="2866">
        <v>193000</v>
      </c>
      <c r="O99" s="2857">
        <f t="shared" si="1"/>
        <v>6</v>
      </c>
      <c r="P99" s="1840">
        <v>0</v>
      </c>
      <c r="Q99" s="1840">
        <v>0</v>
      </c>
    </row>
    <row r="100" spans="1:17" ht="20.100000000000001" customHeight="1">
      <c r="A100" s="2850">
        <v>94</v>
      </c>
      <c r="B100" s="2851" t="s">
        <v>2134</v>
      </c>
      <c r="C100" s="2852" t="s">
        <v>2084</v>
      </c>
      <c r="D100" s="2893"/>
      <c r="E100" s="2868" t="s">
        <v>29</v>
      </c>
      <c r="F100" s="2894" t="s">
        <v>49</v>
      </c>
      <c r="G100" s="2895">
        <v>0</v>
      </c>
      <c r="H100" s="2895">
        <v>0</v>
      </c>
      <c r="I100" s="2896">
        <v>1</v>
      </c>
      <c r="J100" s="2895">
        <v>0</v>
      </c>
      <c r="K100" s="2895">
        <v>0</v>
      </c>
      <c r="L100" s="2895">
        <v>0</v>
      </c>
      <c r="M100" s="2896">
        <v>0</v>
      </c>
      <c r="N100" s="2856">
        <v>23467130.280000001</v>
      </c>
      <c r="O100" s="2857">
        <f t="shared" si="1"/>
        <v>1</v>
      </c>
      <c r="P100" s="1840">
        <v>0</v>
      </c>
      <c r="Q100" s="1840">
        <v>0</v>
      </c>
    </row>
    <row r="101" spans="1:17" ht="20.100000000000001" customHeight="1">
      <c r="A101" s="2850">
        <v>95</v>
      </c>
      <c r="B101" s="2851" t="s">
        <v>2134</v>
      </c>
      <c r="C101" s="2852" t="s">
        <v>2084</v>
      </c>
      <c r="D101" s="2893"/>
      <c r="E101" s="2868" t="s">
        <v>29</v>
      </c>
      <c r="F101" s="2894" t="s">
        <v>31</v>
      </c>
      <c r="G101" s="2972">
        <v>0</v>
      </c>
      <c r="H101" s="2972">
        <v>0</v>
      </c>
      <c r="I101" s="2896">
        <v>1</v>
      </c>
      <c r="J101" s="2972">
        <v>0</v>
      </c>
      <c r="K101" s="2972">
        <v>0</v>
      </c>
      <c r="L101" s="2972">
        <v>0</v>
      </c>
      <c r="M101" s="2905">
        <v>0</v>
      </c>
      <c r="N101" s="2856">
        <v>0.02</v>
      </c>
      <c r="O101" s="2857">
        <f t="shared" si="1"/>
        <v>1</v>
      </c>
      <c r="P101" s="1840">
        <v>0</v>
      </c>
      <c r="Q101" s="1840">
        <v>0</v>
      </c>
    </row>
    <row r="102" spans="1:17" ht="20.100000000000001" customHeight="1">
      <c r="A102" s="2858">
        <v>96</v>
      </c>
      <c r="B102" s="2851" t="s">
        <v>2134</v>
      </c>
      <c r="C102" s="2852" t="s">
        <v>2084</v>
      </c>
      <c r="D102" s="2893"/>
      <c r="E102" s="2868" t="s">
        <v>29</v>
      </c>
      <c r="F102" s="2894" t="s">
        <v>32</v>
      </c>
      <c r="G102" s="2900">
        <v>0</v>
      </c>
      <c r="H102" s="2900">
        <v>0</v>
      </c>
      <c r="I102" s="2896">
        <v>1</v>
      </c>
      <c r="J102" s="2900">
        <v>0</v>
      </c>
      <c r="K102" s="2900">
        <v>0</v>
      </c>
      <c r="L102" s="2900">
        <v>0</v>
      </c>
      <c r="M102" s="2934">
        <v>0</v>
      </c>
      <c r="N102" s="2856">
        <v>20.69</v>
      </c>
      <c r="O102" s="2857">
        <f t="shared" si="1"/>
        <v>1</v>
      </c>
      <c r="P102" s="1840">
        <v>0</v>
      </c>
      <c r="Q102" s="1840">
        <v>0</v>
      </c>
    </row>
    <row r="103" spans="1:17" ht="20.100000000000001" customHeight="1">
      <c r="A103" s="2850">
        <v>97</v>
      </c>
      <c r="B103" s="2851" t="s">
        <v>2134</v>
      </c>
      <c r="C103" s="2852" t="s">
        <v>2084</v>
      </c>
      <c r="D103" s="2852"/>
      <c r="E103" s="2852" t="s">
        <v>434</v>
      </c>
      <c r="F103" s="2853" t="s">
        <v>35</v>
      </c>
      <c r="G103" s="2854">
        <v>0</v>
      </c>
      <c r="H103" s="2854">
        <v>0</v>
      </c>
      <c r="I103" s="2854">
        <v>0</v>
      </c>
      <c r="J103" s="2854">
        <v>0</v>
      </c>
      <c r="K103" s="2854">
        <v>1568</v>
      </c>
      <c r="L103" s="2854">
        <v>0</v>
      </c>
      <c r="M103" s="2855">
        <v>0</v>
      </c>
      <c r="N103" s="2856">
        <v>75610.61</v>
      </c>
      <c r="O103" s="2857">
        <f t="shared" si="1"/>
        <v>1568</v>
      </c>
      <c r="P103" s="1836">
        <v>0</v>
      </c>
      <c r="Q103" s="1836">
        <v>0</v>
      </c>
    </row>
    <row r="104" spans="1:17" ht="20.100000000000001" customHeight="1">
      <c r="A104" s="2850">
        <v>98</v>
      </c>
      <c r="B104" s="2851" t="s">
        <v>2134</v>
      </c>
      <c r="C104" s="2852" t="s">
        <v>2084</v>
      </c>
      <c r="D104" s="2916"/>
      <c r="E104" s="2868" t="s">
        <v>671</v>
      </c>
      <c r="F104" s="2917" t="s">
        <v>52</v>
      </c>
      <c r="G104" s="2918"/>
      <c r="H104" s="2982">
        <v>2081</v>
      </c>
      <c r="I104" s="2918">
        <v>0</v>
      </c>
      <c r="J104" s="2918">
        <v>0</v>
      </c>
      <c r="K104" s="2918">
        <v>0</v>
      </c>
      <c r="L104" s="2918">
        <v>0</v>
      </c>
      <c r="M104" s="2855">
        <v>0</v>
      </c>
      <c r="N104" s="2892">
        <v>10950</v>
      </c>
      <c r="O104" s="2857">
        <f t="shared" si="1"/>
        <v>2081</v>
      </c>
      <c r="P104" s="1836">
        <v>0</v>
      </c>
      <c r="Q104" s="1846">
        <v>0</v>
      </c>
    </row>
    <row r="105" spans="1:17" ht="20.100000000000001" customHeight="1">
      <c r="A105" s="2858">
        <v>99</v>
      </c>
      <c r="B105" s="2851" t="s">
        <v>2134</v>
      </c>
      <c r="C105" s="2852" t="s">
        <v>2084</v>
      </c>
      <c r="D105" s="2916"/>
      <c r="E105" s="2868" t="s">
        <v>671</v>
      </c>
      <c r="F105" s="2917" t="s">
        <v>2090</v>
      </c>
      <c r="G105" s="2918">
        <v>219</v>
      </c>
      <c r="H105" s="2982">
        <v>0</v>
      </c>
      <c r="I105" s="2918"/>
      <c r="J105" s="2918"/>
      <c r="K105" s="2918"/>
      <c r="L105" s="2918"/>
      <c r="M105" s="2855"/>
      <c r="N105" s="2892"/>
      <c r="O105" s="2857">
        <f t="shared" si="1"/>
        <v>219</v>
      </c>
      <c r="P105" s="1836"/>
      <c r="Q105" s="1846"/>
    </row>
    <row r="106" spans="1:17" ht="20.100000000000001" customHeight="1">
      <c r="A106" s="2850">
        <v>100</v>
      </c>
      <c r="B106" s="2851" t="s">
        <v>2134</v>
      </c>
      <c r="C106" s="2852" t="s">
        <v>2084</v>
      </c>
      <c r="D106" s="2859"/>
      <c r="E106" s="2859" t="s">
        <v>442</v>
      </c>
      <c r="F106" s="2864" t="s">
        <v>2087</v>
      </c>
      <c r="G106" s="2865">
        <v>0</v>
      </c>
      <c r="H106" s="2865">
        <v>0</v>
      </c>
      <c r="I106" s="2865">
        <v>0</v>
      </c>
      <c r="J106" s="2865">
        <v>0</v>
      </c>
      <c r="K106" s="2865">
        <v>0</v>
      </c>
      <c r="L106" s="2865">
        <v>0</v>
      </c>
      <c r="M106" s="2865">
        <v>1</v>
      </c>
      <c r="N106" s="2866">
        <v>269000</v>
      </c>
      <c r="O106" s="2857">
        <f t="shared" si="1"/>
        <v>1</v>
      </c>
      <c r="P106" s="1840">
        <v>0</v>
      </c>
      <c r="Q106" s="1840">
        <v>0</v>
      </c>
    </row>
    <row r="107" spans="1:17" ht="20.100000000000001" customHeight="1">
      <c r="A107" s="2850">
        <v>101</v>
      </c>
      <c r="B107" s="2851" t="s">
        <v>2135</v>
      </c>
      <c r="C107" s="2852" t="s">
        <v>2084</v>
      </c>
      <c r="D107" s="2893"/>
      <c r="E107" s="2868" t="s">
        <v>29</v>
      </c>
      <c r="F107" s="2894" t="s">
        <v>31</v>
      </c>
      <c r="G107" s="2972">
        <v>0</v>
      </c>
      <c r="H107" s="2972">
        <v>0</v>
      </c>
      <c r="I107" s="2896">
        <v>1</v>
      </c>
      <c r="J107" s="2972">
        <v>0</v>
      </c>
      <c r="K107" s="2983">
        <v>0</v>
      </c>
      <c r="L107" s="2972">
        <v>0</v>
      </c>
      <c r="M107" s="2905">
        <v>0</v>
      </c>
      <c r="N107" s="2892">
        <v>84.89</v>
      </c>
      <c r="O107" s="2857">
        <f t="shared" si="1"/>
        <v>1</v>
      </c>
      <c r="P107" s="1839">
        <v>0</v>
      </c>
      <c r="Q107" s="434">
        <v>0</v>
      </c>
    </row>
    <row r="108" spans="1:17" ht="20.100000000000001" customHeight="1">
      <c r="A108" s="2858">
        <v>102</v>
      </c>
      <c r="B108" s="2851" t="s">
        <v>2135</v>
      </c>
      <c r="C108" s="2852" t="s">
        <v>2084</v>
      </c>
      <c r="D108" s="2893"/>
      <c r="E108" s="2868" t="s">
        <v>29</v>
      </c>
      <c r="F108" s="2984" t="s">
        <v>2136</v>
      </c>
      <c r="G108" s="2972">
        <v>0</v>
      </c>
      <c r="H108" s="2972">
        <v>0</v>
      </c>
      <c r="I108" s="2896">
        <v>1</v>
      </c>
      <c r="J108" s="2972">
        <v>0</v>
      </c>
      <c r="K108" s="2983">
        <v>0</v>
      </c>
      <c r="L108" s="2972">
        <v>0</v>
      </c>
      <c r="M108" s="2905">
        <v>0</v>
      </c>
      <c r="N108" s="2892">
        <v>9.51</v>
      </c>
      <c r="O108" s="2857">
        <f t="shared" si="1"/>
        <v>1</v>
      </c>
      <c r="P108" s="1839">
        <v>0</v>
      </c>
      <c r="Q108" s="434">
        <v>0</v>
      </c>
    </row>
    <row r="109" spans="1:17" ht="20.100000000000001" customHeight="1">
      <c r="A109" s="2850">
        <v>103</v>
      </c>
      <c r="B109" s="2851" t="s">
        <v>2135</v>
      </c>
      <c r="C109" s="2852" t="s">
        <v>2084</v>
      </c>
      <c r="D109" s="2893"/>
      <c r="E109" s="2868" t="s">
        <v>29</v>
      </c>
      <c r="F109" s="2894" t="s">
        <v>32</v>
      </c>
      <c r="G109" s="2900">
        <v>0</v>
      </c>
      <c r="H109" s="2900">
        <v>0</v>
      </c>
      <c r="I109" s="2896">
        <v>1</v>
      </c>
      <c r="J109" s="2900">
        <v>0</v>
      </c>
      <c r="K109" s="2983">
        <v>0</v>
      </c>
      <c r="L109" s="2900">
        <v>0</v>
      </c>
      <c r="M109" s="2934">
        <v>0</v>
      </c>
      <c r="N109" s="2985"/>
      <c r="O109" s="2857">
        <f t="shared" si="1"/>
        <v>1</v>
      </c>
      <c r="P109" s="1839">
        <v>0</v>
      </c>
      <c r="Q109" s="1853">
        <v>0</v>
      </c>
    </row>
    <row r="110" spans="1:17" ht="20.100000000000001" customHeight="1">
      <c r="A110" s="2850">
        <v>104</v>
      </c>
      <c r="B110" s="2851" t="s">
        <v>2135</v>
      </c>
      <c r="C110" s="2852" t="s">
        <v>2084</v>
      </c>
      <c r="D110" s="2852"/>
      <c r="E110" s="2852" t="s">
        <v>434</v>
      </c>
      <c r="F110" s="2853" t="s">
        <v>35</v>
      </c>
      <c r="G110" s="2854">
        <v>0</v>
      </c>
      <c r="H110" s="2956">
        <v>0</v>
      </c>
      <c r="I110" s="2854">
        <v>0</v>
      </c>
      <c r="J110" s="2854">
        <v>0</v>
      </c>
      <c r="K110" s="2855">
        <v>555</v>
      </c>
      <c r="L110" s="2854">
        <v>0</v>
      </c>
      <c r="M110" s="2986">
        <v>0</v>
      </c>
      <c r="N110" s="2856">
        <v>63407.98</v>
      </c>
      <c r="O110" s="2857">
        <f t="shared" si="1"/>
        <v>555</v>
      </c>
      <c r="P110" s="107">
        <v>0</v>
      </c>
      <c r="Q110" s="1836">
        <v>0</v>
      </c>
    </row>
    <row r="111" spans="1:17" ht="20.100000000000001" customHeight="1">
      <c r="A111" s="2858">
        <v>105</v>
      </c>
      <c r="B111" s="2851" t="s">
        <v>2135</v>
      </c>
      <c r="C111" s="2852" t="s">
        <v>2084</v>
      </c>
      <c r="D111" s="2916"/>
      <c r="E111" s="2868" t="s">
        <v>671</v>
      </c>
      <c r="F111" s="2917" t="s">
        <v>52</v>
      </c>
      <c r="G111" s="2855">
        <v>0</v>
      </c>
      <c r="H111" s="2987">
        <v>1191</v>
      </c>
      <c r="I111" s="2918">
        <v>0</v>
      </c>
      <c r="J111" s="2918">
        <v>0</v>
      </c>
      <c r="K111" s="2918">
        <v>0</v>
      </c>
      <c r="L111" s="2918">
        <v>0</v>
      </c>
      <c r="M111" s="2855">
        <v>0</v>
      </c>
      <c r="N111" s="2892">
        <v>59550</v>
      </c>
      <c r="O111" s="2857">
        <f t="shared" si="1"/>
        <v>1191</v>
      </c>
      <c r="P111" s="1839">
        <v>0</v>
      </c>
      <c r="Q111" s="434">
        <v>0</v>
      </c>
    </row>
    <row r="112" spans="1:17" ht="20.100000000000001" customHeight="1">
      <c r="A112" s="2850">
        <v>106</v>
      </c>
      <c r="B112" s="2851" t="s">
        <v>2135</v>
      </c>
      <c r="C112" s="2852" t="s">
        <v>2084</v>
      </c>
      <c r="D112" s="2916"/>
      <c r="E112" s="2868" t="s">
        <v>671</v>
      </c>
      <c r="F112" s="2917" t="s">
        <v>2090</v>
      </c>
      <c r="G112" s="2855">
        <v>107</v>
      </c>
      <c r="H112" s="2987">
        <v>0</v>
      </c>
      <c r="I112" s="2918"/>
      <c r="J112" s="2918"/>
      <c r="K112" s="2918"/>
      <c r="L112" s="2918"/>
      <c r="M112" s="2855"/>
      <c r="N112" s="2892"/>
      <c r="O112" s="2857">
        <f t="shared" si="1"/>
        <v>107</v>
      </c>
      <c r="P112" s="1839"/>
      <c r="Q112" s="434"/>
    </row>
    <row r="113" spans="1:17" ht="20.100000000000001" customHeight="1">
      <c r="A113" s="2850">
        <v>107</v>
      </c>
      <c r="B113" s="2851" t="s">
        <v>2135</v>
      </c>
      <c r="C113" s="2852" t="s">
        <v>2084</v>
      </c>
      <c r="D113" s="2859"/>
      <c r="E113" s="2852" t="s">
        <v>29</v>
      </c>
      <c r="F113" s="2939" t="s">
        <v>2137</v>
      </c>
      <c r="G113" s="2988">
        <v>0</v>
      </c>
      <c r="H113" s="2988">
        <v>0</v>
      </c>
      <c r="I113" s="2988">
        <v>0</v>
      </c>
      <c r="J113" s="2988">
        <v>0</v>
      </c>
      <c r="K113" s="2988">
        <v>0</v>
      </c>
      <c r="L113" s="2988">
        <v>0</v>
      </c>
      <c r="M113" s="2989">
        <v>1</v>
      </c>
      <c r="N113" s="2990">
        <v>43317.22</v>
      </c>
      <c r="O113" s="2857">
        <f t="shared" si="1"/>
        <v>1</v>
      </c>
      <c r="P113" s="1839">
        <v>0</v>
      </c>
      <c r="Q113" s="1836">
        <v>0</v>
      </c>
    </row>
    <row r="114" spans="1:17" ht="20.100000000000001" customHeight="1">
      <c r="A114" s="2858">
        <v>108</v>
      </c>
      <c r="B114" s="2851" t="s">
        <v>2138</v>
      </c>
      <c r="C114" s="2852" t="s">
        <v>2084</v>
      </c>
      <c r="D114" s="2942">
        <v>46088</v>
      </c>
      <c r="E114" s="2859" t="s">
        <v>442</v>
      </c>
      <c r="F114" s="2860" t="s">
        <v>2139</v>
      </c>
      <c r="G114" s="2861">
        <v>0</v>
      </c>
      <c r="H114" s="2861">
        <v>0</v>
      </c>
      <c r="I114" s="2861">
        <v>0</v>
      </c>
      <c r="J114" s="2861">
        <v>0</v>
      </c>
      <c r="K114" s="2861">
        <v>0</v>
      </c>
      <c r="L114" s="2861">
        <v>0</v>
      </c>
      <c r="M114" s="2862">
        <v>1</v>
      </c>
      <c r="N114" s="2863">
        <v>200</v>
      </c>
      <c r="O114" s="2857">
        <f t="shared" si="1"/>
        <v>1</v>
      </c>
      <c r="P114" s="1836">
        <v>0</v>
      </c>
      <c r="Q114" s="1836">
        <v>0</v>
      </c>
    </row>
    <row r="115" spans="1:17" ht="20.100000000000001" customHeight="1">
      <c r="A115" s="2850">
        <v>109</v>
      </c>
      <c r="B115" s="2851" t="s">
        <v>2138</v>
      </c>
      <c r="C115" s="2852" t="s">
        <v>2084</v>
      </c>
      <c r="D115" s="2942">
        <v>46119</v>
      </c>
      <c r="E115" s="2859" t="s">
        <v>442</v>
      </c>
      <c r="F115" s="2864" t="s">
        <v>2087</v>
      </c>
      <c r="G115" s="2865">
        <v>0</v>
      </c>
      <c r="H115" s="2865">
        <v>0</v>
      </c>
      <c r="I115" s="2865">
        <v>0</v>
      </c>
      <c r="J115" s="2865">
        <v>0</v>
      </c>
      <c r="K115" s="2865">
        <v>0</v>
      </c>
      <c r="L115" s="2865">
        <v>0</v>
      </c>
      <c r="M115" s="2865">
        <v>1</v>
      </c>
      <c r="N115" s="2866">
        <v>27500</v>
      </c>
      <c r="O115" s="2857">
        <f t="shared" si="1"/>
        <v>1</v>
      </c>
      <c r="P115" s="1840">
        <v>0</v>
      </c>
      <c r="Q115" s="1840">
        <v>0</v>
      </c>
    </row>
    <row r="116" spans="1:17" ht="20.100000000000001" customHeight="1">
      <c r="A116" s="2850">
        <v>110</v>
      </c>
      <c r="B116" s="2851" t="s">
        <v>2140</v>
      </c>
      <c r="C116" s="2852" t="s">
        <v>2084</v>
      </c>
      <c r="D116" s="2893"/>
      <c r="E116" s="2868" t="s">
        <v>29</v>
      </c>
      <c r="F116" s="2894" t="s">
        <v>49</v>
      </c>
      <c r="G116" s="2895">
        <v>0</v>
      </c>
      <c r="H116" s="2895">
        <v>0</v>
      </c>
      <c r="I116" s="2896">
        <v>1</v>
      </c>
      <c r="J116" s="2895">
        <v>0</v>
      </c>
      <c r="K116" s="2895">
        <v>0</v>
      </c>
      <c r="L116" s="2895">
        <v>0</v>
      </c>
      <c r="M116" s="2896">
        <v>0</v>
      </c>
      <c r="N116" s="2856">
        <v>19092.27</v>
      </c>
      <c r="O116" s="2857">
        <f t="shared" si="1"/>
        <v>1</v>
      </c>
      <c r="P116" s="1840">
        <v>0</v>
      </c>
      <c r="Q116" s="1840">
        <v>0</v>
      </c>
    </row>
    <row r="117" spans="1:17" ht="20.100000000000001" customHeight="1">
      <c r="A117" s="2858">
        <v>111</v>
      </c>
      <c r="B117" s="2851" t="s">
        <v>2140</v>
      </c>
      <c r="C117" s="2852" t="s">
        <v>2084</v>
      </c>
      <c r="D117" s="2965">
        <v>44204</v>
      </c>
      <c r="E117" s="2868" t="s">
        <v>29</v>
      </c>
      <c r="F117" s="2894" t="s">
        <v>2141</v>
      </c>
      <c r="G117" s="2972">
        <v>0</v>
      </c>
      <c r="H117" s="2972">
        <v>0</v>
      </c>
      <c r="I117" s="2896">
        <v>1</v>
      </c>
      <c r="J117" s="2972">
        <v>0</v>
      </c>
      <c r="K117" s="2972">
        <v>0</v>
      </c>
      <c r="L117" s="2972">
        <v>0</v>
      </c>
      <c r="M117" s="2905">
        <v>0</v>
      </c>
      <c r="N117" s="2856">
        <v>7282.21</v>
      </c>
      <c r="O117" s="2857">
        <f t="shared" si="1"/>
        <v>1</v>
      </c>
      <c r="P117" s="1840">
        <v>0</v>
      </c>
      <c r="Q117" s="1840">
        <v>0</v>
      </c>
    </row>
    <row r="118" spans="1:17" ht="20.100000000000001" customHeight="1">
      <c r="A118" s="2850">
        <v>112</v>
      </c>
      <c r="B118" s="2851" t="s">
        <v>2140</v>
      </c>
      <c r="C118" s="2852" t="s">
        <v>2084</v>
      </c>
      <c r="D118" s="2965">
        <v>44204</v>
      </c>
      <c r="E118" s="2868" t="s">
        <v>29</v>
      </c>
      <c r="F118" s="2894" t="s">
        <v>2142</v>
      </c>
      <c r="G118" s="2900">
        <v>0</v>
      </c>
      <c r="H118" s="2900">
        <v>0</v>
      </c>
      <c r="I118" s="2896">
        <v>1</v>
      </c>
      <c r="J118" s="2900">
        <v>0</v>
      </c>
      <c r="K118" s="2900">
        <v>0</v>
      </c>
      <c r="L118" s="2900">
        <v>0</v>
      </c>
      <c r="M118" s="2934">
        <v>0</v>
      </c>
      <c r="N118" s="2856">
        <v>1008.02</v>
      </c>
      <c r="O118" s="2857">
        <f t="shared" si="1"/>
        <v>1</v>
      </c>
      <c r="P118" s="1840">
        <v>0</v>
      </c>
      <c r="Q118" s="1840">
        <v>0</v>
      </c>
    </row>
    <row r="119" spans="1:17" ht="20.100000000000001" customHeight="1">
      <c r="A119" s="2850">
        <v>113</v>
      </c>
      <c r="B119" s="2851" t="s">
        <v>2140</v>
      </c>
      <c r="C119" s="2852" t="s">
        <v>2084</v>
      </c>
      <c r="D119" s="2852"/>
      <c r="E119" s="2852" t="s">
        <v>434</v>
      </c>
      <c r="F119" s="2853" t="s">
        <v>35</v>
      </c>
      <c r="G119" s="2854">
        <v>0</v>
      </c>
      <c r="H119" s="2854">
        <v>0</v>
      </c>
      <c r="I119" s="2854">
        <v>0</v>
      </c>
      <c r="J119" s="2854">
        <v>0</v>
      </c>
      <c r="K119" s="2854">
        <v>125</v>
      </c>
      <c r="L119" s="2854">
        <v>0</v>
      </c>
      <c r="M119" s="2855">
        <v>0</v>
      </c>
      <c r="N119" s="2856">
        <v>13265.84</v>
      </c>
      <c r="O119" s="2857">
        <f t="shared" si="1"/>
        <v>125</v>
      </c>
      <c r="P119" s="1836">
        <v>0</v>
      </c>
      <c r="Q119" s="452">
        <v>0</v>
      </c>
    </row>
    <row r="120" spans="1:17" ht="20.100000000000001" customHeight="1">
      <c r="A120" s="2858">
        <v>114</v>
      </c>
      <c r="B120" s="2851" t="s">
        <v>2140</v>
      </c>
      <c r="C120" s="2852" t="s">
        <v>2084</v>
      </c>
      <c r="D120" s="2916"/>
      <c r="E120" s="2868" t="s">
        <v>671</v>
      </c>
      <c r="F120" s="2917" t="s">
        <v>52</v>
      </c>
      <c r="G120" s="2918">
        <v>0</v>
      </c>
      <c r="H120" s="2918">
        <v>406</v>
      </c>
      <c r="I120" s="2918">
        <v>0</v>
      </c>
      <c r="J120" s="2918">
        <v>0</v>
      </c>
      <c r="K120" s="2918">
        <v>0</v>
      </c>
      <c r="L120" s="2918">
        <v>0</v>
      </c>
      <c r="M120" s="2855">
        <v>0</v>
      </c>
      <c r="N120" s="2892">
        <v>20300</v>
      </c>
      <c r="O120" s="2857">
        <f t="shared" si="1"/>
        <v>406</v>
      </c>
      <c r="P120" s="1836">
        <v>0</v>
      </c>
      <c r="Q120" s="1846">
        <v>0</v>
      </c>
    </row>
    <row r="121" spans="1:17" ht="20.100000000000001" customHeight="1">
      <c r="A121" s="2850">
        <v>115</v>
      </c>
      <c r="B121" s="2851" t="s">
        <v>2140</v>
      </c>
      <c r="C121" s="2852" t="s">
        <v>2084</v>
      </c>
      <c r="D121" s="2916"/>
      <c r="E121" s="2868" t="s">
        <v>671</v>
      </c>
      <c r="F121" s="2917" t="s">
        <v>2090</v>
      </c>
      <c r="G121" s="2918">
        <v>2</v>
      </c>
      <c r="H121" s="2918">
        <v>0</v>
      </c>
      <c r="I121" s="2918"/>
      <c r="J121" s="2918"/>
      <c r="K121" s="2918"/>
      <c r="L121" s="2918"/>
      <c r="M121" s="2855"/>
      <c r="N121" s="2892"/>
      <c r="O121" s="2857">
        <f t="shared" si="1"/>
        <v>2</v>
      </c>
      <c r="P121" s="1836"/>
      <c r="Q121" s="1846"/>
    </row>
    <row r="122" spans="1:17" ht="20.100000000000001" customHeight="1">
      <c r="A122" s="2850">
        <v>116</v>
      </c>
      <c r="B122" s="2851" t="s">
        <v>2140</v>
      </c>
      <c r="C122" s="2852" t="s">
        <v>2084</v>
      </c>
      <c r="D122" s="2859"/>
      <c r="E122" s="2859" t="s">
        <v>442</v>
      </c>
      <c r="F122" s="2860" t="s">
        <v>2139</v>
      </c>
      <c r="G122" s="2861">
        <v>0</v>
      </c>
      <c r="H122" s="2861">
        <v>0</v>
      </c>
      <c r="I122" s="2861">
        <v>0</v>
      </c>
      <c r="J122" s="2861">
        <v>0</v>
      </c>
      <c r="K122" s="2861">
        <v>0</v>
      </c>
      <c r="L122" s="2861">
        <v>0</v>
      </c>
      <c r="M122" s="2862">
        <v>7</v>
      </c>
      <c r="N122" s="2863">
        <v>261500</v>
      </c>
      <c r="O122" s="2857">
        <f t="shared" si="1"/>
        <v>7</v>
      </c>
      <c r="P122" s="1836">
        <v>0</v>
      </c>
      <c r="Q122" s="1836">
        <v>0</v>
      </c>
    </row>
    <row r="123" spans="1:17" ht="20.100000000000001" customHeight="1">
      <c r="A123" s="2858">
        <v>117</v>
      </c>
      <c r="B123" s="2851" t="s">
        <v>2140</v>
      </c>
      <c r="C123" s="2852" t="s">
        <v>2084</v>
      </c>
      <c r="D123" s="2859" t="s">
        <v>486</v>
      </c>
      <c r="E123" s="2859" t="s">
        <v>442</v>
      </c>
      <c r="F123" s="2939" t="s">
        <v>2143</v>
      </c>
      <c r="G123" s="2861">
        <v>0</v>
      </c>
      <c r="H123" s="2861">
        <v>0</v>
      </c>
      <c r="I123" s="2861">
        <v>0</v>
      </c>
      <c r="J123" s="2861">
        <v>0</v>
      </c>
      <c r="K123" s="2861">
        <v>0</v>
      </c>
      <c r="L123" s="2861">
        <v>0</v>
      </c>
      <c r="M123" s="2862">
        <v>1</v>
      </c>
      <c r="N123" s="2863">
        <v>6500</v>
      </c>
      <c r="O123" s="2857">
        <f t="shared" si="1"/>
        <v>1</v>
      </c>
      <c r="P123" s="1836">
        <v>0</v>
      </c>
      <c r="Q123" s="1836">
        <v>0</v>
      </c>
    </row>
    <row r="124" spans="1:17" ht="20.100000000000001" customHeight="1">
      <c r="A124" s="2850">
        <v>118</v>
      </c>
      <c r="B124" s="2851" t="s">
        <v>2140</v>
      </c>
      <c r="C124" s="2852" t="s">
        <v>2084</v>
      </c>
      <c r="D124" s="2859"/>
      <c r="E124" s="2859" t="s">
        <v>442</v>
      </c>
      <c r="F124" s="2864" t="s">
        <v>2087</v>
      </c>
      <c r="G124" s="2865">
        <v>0</v>
      </c>
      <c r="H124" s="2865">
        <v>0</v>
      </c>
      <c r="I124" s="2865">
        <v>0</v>
      </c>
      <c r="J124" s="2865">
        <v>0</v>
      </c>
      <c r="K124" s="2865">
        <v>0</v>
      </c>
      <c r="L124" s="2865">
        <v>0</v>
      </c>
      <c r="M124" s="2865">
        <v>8</v>
      </c>
      <c r="N124" s="2866">
        <v>884000</v>
      </c>
      <c r="O124" s="2857">
        <f t="shared" si="1"/>
        <v>8</v>
      </c>
      <c r="P124" s="1840">
        <v>0</v>
      </c>
      <c r="Q124" s="1840">
        <v>0</v>
      </c>
    </row>
    <row r="125" spans="1:17" ht="20.100000000000001" customHeight="1">
      <c r="A125" s="2850">
        <v>119</v>
      </c>
      <c r="B125" s="2851" t="s">
        <v>2140</v>
      </c>
      <c r="C125" s="2852" t="s">
        <v>2084</v>
      </c>
      <c r="D125" s="2859"/>
      <c r="E125" s="2859" t="s">
        <v>29</v>
      </c>
      <c r="F125" s="2991" t="s">
        <v>2144</v>
      </c>
      <c r="G125" s="2904">
        <v>0</v>
      </c>
      <c r="H125" s="2904">
        <v>0</v>
      </c>
      <c r="I125" s="2904">
        <v>0</v>
      </c>
      <c r="J125" s="2904">
        <v>0</v>
      </c>
      <c r="K125" s="2904">
        <v>0</v>
      </c>
      <c r="L125" s="2904">
        <v>0</v>
      </c>
      <c r="M125" s="2896">
        <v>3</v>
      </c>
      <c r="N125" s="2892">
        <v>10520</v>
      </c>
      <c r="O125" s="2857">
        <f t="shared" si="1"/>
        <v>3</v>
      </c>
      <c r="P125" s="1836">
        <v>0</v>
      </c>
      <c r="Q125" s="1836">
        <v>0</v>
      </c>
    </row>
    <row r="126" spans="1:17" ht="20.100000000000001" customHeight="1">
      <c r="A126" s="2858">
        <v>120</v>
      </c>
      <c r="B126" s="2851" t="s">
        <v>2145</v>
      </c>
      <c r="C126" s="2852" t="s">
        <v>2084</v>
      </c>
      <c r="D126" s="2893"/>
      <c r="E126" s="2868" t="s">
        <v>29</v>
      </c>
      <c r="F126" s="2894" t="s">
        <v>49</v>
      </c>
      <c r="G126" s="2895">
        <v>0</v>
      </c>
      <c r="H126" s="2895">
        <v>0</v>
      </c>
      <c r="I126" s="2963">
        <v>1</v>
      </c>
      <c r="J126" s="2895">
        <v>0</v>
      </c>
      <c r="K126" s="2895">
        <v>0</v>
      </c>
      <c r="L126" s="2895">
        <v>0</v>
      </c>
      <c r="M126" s="2896">
        <v>0</v>
      </c>
      <c r="N126" s="2892">
        <v>24568499.579999998</v>
      </c>
      <c r="O126" s="2857">
        <f t="shared" si="1"/>
        <v>1</v>
      </c>
      <c r="P126" s="1840">
        <v>0</v>
      </c>
      <c r="Q126" s="434">
        <v>0</v>
      </c>
    </row>
    <row r="127" spans="1:17" ht="20.100000000000001" customHeight="1">
      <c r="A127" s="2850">
        <v>121</v>
      </c>
      <c r="B127" s="2851" t="s">
        <v>2145</v>
      </c>
      <c r="C127" s="2852" t="s">
        <v>2084</v>
      </c>
      <c r="D127" s="2852"/>
      <c r="E127" s="2893" t="s">
        <v>434</v>
      </c>
      <c r="F127" s="2917" t="s">
        <v>34</v>
      </c>
      <c r="G127" s="2904">
        <v>0</v>
      </c>
      <c r="H127" s="2904">
        <v>0</v>
      </c>
      <c r="I127" s="2904">
        <v>0</v>
      </c>
      <c r="J127" s="2936">
        <v>54</v>
      </c>
      <c r="K127" s="2904">
        <v>0</v>
      </c>
      <c r="L127" s="2904">
        <v>0</v>
      </c>
      <c r="M127" s="2855">
        <v>0</v>
      </c>
      <c r="N127" s="2856">
        <v>0</v>
      </c>
      <c r="O127" s="2857">
        <f t="shared" si="1"/>
        <v>54</v>
      </c>
      <c r="P127" s="1845">
        <v>0</v>
      </c>
      <c r="Q127" s="1836">
        <v>0</v>
      </c>
    </row>
    <row r="128" spans="1:17" ht="20.100000000000001" customHeight="1">
      <c r="A128" s="2850">
        <v>122</v>
      </c>
      <c r="B128" s="2851" t="s">
        <v>2145</v>
      </c>
      <c r="C128" s="2852" t="s">
        <v>2084</v>
      </c>
      <c r="D128" s="2852"/>
      <c r="E128" s="2852" t="s">
        <v>434</v>
      </c>
      <c r="F128" s="2853" t="s">
        <v>35</v>
      </c>
      <c r="G128" s="2854">
        <v>0</v>
      </c>
      <c r="H128" s="2854">
        <v>0</v>
      </c>
      <c r="I128" s="2854">
        <v>0</v>
      </c>
      <c r="J128" s="2854">
        <v>0</v>
      </c>
      <c r="K128" s="2956">
        <v>252</v>
      </c>
      <c r="L128" s="2854">
        <v>0</v>
      </c>
      <c r="M128" s="2855">
        <v>0</v>
      </c>
      <c r="N128" s="2856">
        <v>142053.9</v>
      </c>
      <c r="O128" s="2857">
        <f t="shared" si="1"/>
        <v>252</v>
      </c>
      <c r="P128" s="1836">
        <v>0</v>
      </c>
      <c r="Q128" s="452">
        <v>0</v>
      </c>
    </row>
    <row r="129" spans="1:17" ht="20.100000000000001" customHeight="1">
      <c r="A129" s="2858">
        <v>123</v>
      </c>
      <c r="B129" s="2851" t="s">
        <v>2145</v>
      </c>
      <c r="C129" s="2852" t="s">
        <v>2084</v>
      </c>
      <c r="D129" s="2916"/>
      <c r="E129" s="2868" t="s">
        <v>671</v>
      </c>
      <c r="F129" s="2917" t="s">
        <v>52</v>
      </c>
      <c r="G129" s="2918"/>
      <c r="H129" s="2992">
        <v>246</v>
      </c>
      <c r="I129" s="2918">
        <v>0</v>
      </c>
      <c r="J129" s="2918">
        <v>0</v>
      </c>
      <c r="K129" s="2918">
        <v>0</v>
      </c>
      <c r="L129" s="2918">
        <v>0</v>
      </c>
      <c r="M129" s="2855">
        <v>0</v>
      </c>
      <c r="N129" s="2993">
        <v>21392.16</v>
      </c>
      <c r="O129" s="2857">
        <f t="shared" si="1"/>
        <v>246</v>
      </c>
      <c r="P129" s="1836">
        <v>0</v>
      </c>
      <c r="Q129" s="567">
        <v>0</v>
      </c>
    </row>
    <row r="130" spans="1:17" ht="20.100000000000001" customHeight="1">
      <c r="A130" s="2850">
        <v>124</v>
      </c>
      <c r="B130" s="2851" t="s">
        <v>2145</v>
      </c>
      <c r="C130" s="2852" t="s">
        <v>2084</v>
      </c>
      <c r="D130" s="2916"/>
      <c r="E130" s="2868" t="s">
        <v>671</v>
      </c>
      <c r="F130" s="2917" t="s">
        <v>2090</v>
      </c>
      <c r="G130" s="2918">
        <v>41</v>
      </c>
      <c r="H130" s="2992">
        <v>0</v>
      </c>
      <c r="I130" s="2918"/>
      <c r="J130" s="2918"/>
      <c r="K130" s="2918"/>
      <c r="L130" s="2918"/>
      <c r="M130" s="2855"/>
      <c r="N130" s="2993"/>
      <c r="O130" s="2857">
        <f t="shared" si="1"/>
        <v>41</v>
      </c>
      <c r="P130" s="1836"/>
      <c r="Q130" s="567"/>
    </row>
    <row r="131" spans="1:17" ht="20.100000000000001" customHeight="1">
      <c r="A131" s="2850">
        <v>125</v>
      </c>
      <c r="B131" s="2851" t="s">
        <v>2145</v>
      </c>
      <c r="C131" s="2852" t="s">
        <v>2084</v>
      </c>
      <c r="D131" s="2859"/>
      <c r="E131" s="2859" t="s">
        <v>442</v>
      </c>
      <c r="F131" s="2864" t="s">
        <v>2087</v>
      </c>
      <c r="G131" s="2865">
        <v>0</v>
      </c>
      <c r="H131" s="2865">
        <v>0</v>
      </c>
      <c r="I131" s="2865">
        <v>0</v>
      </c>
      <c r="J131" s="2865">
        <v>0</v>
      </c>
      <c r="K131" s="2865">
        <v>0</v>
      </c>
      <c r="L131" s="2865">
        <v>0</v>
      </c>
      <c r="M131" s="2865">
        <v>3</v>
      </c>
      <c r="N131" s="2866">
        <v>663500</v>
      </c>
      <c r="O131" s="2857">
        <f t="shared" si="1"/>
        <v>3</v>
      </c>
      <c r="P131" s="1840">
        <v>0</v>
      </c>
      <c r="Q131" s="1840">
        <v>0</v>
      </c>
    </row>
    <row r="132" spans="1:17" ht="20.100000000000001" customHeight="1">
      <c r="A132" s="2858">
        <v>126</v>
      </c>
      <c r="B132" s="2851" t="s">
        <v>2084</v>
      </c>
      <c r="C132" s="2852" t="s">
        <v>2084</v>
      </c>
      <c r="D132" s="2852"/>
      <c r="E132" s="2852" t="s">
        <v>1232</v>
      </c>
      <c r="F132" s="2888" t="s">
        <v>2146</v>
      </c>
      <c r="G132" s="2890">
        <v>0</v>
      </c>
      <c r="H132" s="2919">
        <v>0</v>
      </c>
      <c r="I132" s="2890">
        <v>0</v>
      </c>
      <c r="J132" s="2890">
        <v>0</v>
      </c>
      <c r="K132" s="2890">
        <v>0</v>
      </c>
      <c r="L132" s="2890">
        <v>0</v>
      </c>
      <c r="M132" s="2994">
        <v>6</v>
      </c>
      <c r="N132" s="2892">
        <v>331041.21999999997</v>
      </c>
      <c r="O132" s="2857">
        <f t="shared" si="1"/>
        <v>6</v>
      </c>
      <c r="P132" s="1836">
        <v>0</v>
      </c>
      <c r="Q132" s="1836">
        <v>0</v>
      </c>
    </row>
    <row r="133" spans="1:17" ht="20.100000000000001" customHeight="1">
      <c r="A133" s="2850">
        <v>127</v>
      </c>
      <c r="B133" s="2995" t="s">
        <v>2084</v>
      </c>
      <c r="C133" s="2852" t="s">
        <v>2084</v>
      </c>
      <c r="D133" s="2893"/>
      <c r="E133" s="2868" t="s">
        <v>29</v>
      </c>
      <c r="F133" s="2894" t="s">
        <v>49</v>
      </c>
      <c r="G133" s="2895">
        <v>0</v>
      </c>
      <c r="H133" s="2895">
        <v>0</v>
      </c>
      <c r="I133" s="2896">
        <v>1</v>
      </c>
      <c r="J133" s="2895">
        <v>0</v>
      </c>
      <c r="K133" s="2895">
        <v>0</v>
      </c>
      <c r="L133" s="2895">
        <v>0</v>
      </c>
      <c r="M133" s="2896">
        <v>0</v>
      </c>
      <c r="N133" s="2996" t="s">
        <v>2147</v>
      </c>
      <c r="O133" s="2857">
        <f t="shared" si="1"/>
        <v>1</v>
      </c>
      <c r="P133" s="1840">
        <v>0</v>
      </c>
      <c r="Q133" s="1840">
        <v>0</v>
      </c>
    </row>
    <row r="134" spans="1:17" ht="20.100000000000001" customHeight="1">
      <c r="A134" s="2850">
        <v>128</v>
      </c>
      <c r="B134" s="2995" t="s">
        <v>2084</v>
      </c>
      <c r="C134" s="2852" t="s">
        <v>2084</v>
      </c>
      <c r="D134" s="2893"/>
      <c r="E134" s="2868" t="s">
        <v>29</v>
      </c>
      <c r="F134" s="2894" t="s">
        <v>708</v>
      </c>
      <c r="G134" s="2972">
        <v>0</v>
      </c>
      <c r="H134" s="2972">
        <v>0</v>
      </c>
      <c r="I134" s="2896">
        <v>1</v>
      </c>
      <c r="J134" s="2972">
        <v>0</v>
      </c>
      <c r="K134" s="2972">
        <v>0</v>
      </c>
      <c r="L134" s="2972">
        <v>0</v>
      </c>
      <c r="M134" s="2905">
        <v>0</v>
      </c>
      <c r="N134" s="2996">
        <v>24119.58</v>
      </c>
      <c r="O134" s="2857">
        <f t="shared" si="1"/>
        <v>1</v>
      </c>
      <c r="P134" s="1840">
        <v>0</v>
      </c>
      <c r="Q134" s="1840">
        <v>0</v>
      </c>
    </row>
    <row r="135" spans="1:17" ht="20.100000000000001" customHeight="1">
      <c r="A135" s="2858">
        <v>129</v>
      </c>
      <c r="B135" s="2995" t="s">
        <v>2084</v>
      </c>
      <c r="C135" s="2852" t="s">
        <v>2084</v>
      </c>
      <c r="D135" s="2893"/>
      <c r="E135" s="2868" t="s">
        <v>29</v>
      </c>
      <c r="F135" s="2894" t="s">
        <v>32</v>
      </c>
      <c r="G135" s="2900">
        <v>0</v>
      </c>
      <c r="H135" s="2900">
        <v>0</v>
      </c>
      <c r="I135" s="2896">
        <v>1</v>
      </c>
      <c r="J135" s="2900">
        <v>0</v>
      </c>
      <c r="K135" s="2900">
        <v>0</v>
      </c>
      <c r="L135" s="2900">
        <v>0</v>
      </c>
      <c r="M135" s="2934">
        <v>0</v>
      </c>
      <c r="N135" s="2997" t="s">
        <v>2148</v>
      </c>
      <c r="O135" s="2857">
        <f t="shared" si="1"/>
        <v>1</v>
      </c>
      <c r="P135" s="1840">
        <v>0</v>
      </c>
      <c r="Q135" s="1840">
        <v>0</v>
      </c>
    </row>
    <row r="136" spans="1:17" ht="20.100000000000001" customHeight="1">
      <c r="A136" s="2850">
        <v>130</v>
      </c>
      <c r="B136" s="2995" t="s">
        <v>2084</v>
      </c>
      <c r="C136" s="2852" t="s">
        <v>2084</v>
      </c>
      <c r="D136" s="2852"/>
      <c r="E136" s="2893" t="s">
        <v>434</v>
      </c>
      <c r="F136" s="2917" t="s">
        <v>34</v>
      </c>
      <c r="G136" s="2904">
        <v>0</v>
      </c>
      <c r="H136" s="2904">
        <v>0</v>
      </c>
      <c r="I136" s="2904">
        <v>0</v>
      </c>
      <c r="J136" s="2936">
        <v>14</v>
      </c>
      <c r="K136" s="2904">
        <v>0</v>
      </c>
      <c r="L136" s="2904">
        <v>0</v>
      </c>
      <c r="M136" s="2855">
        <v>0</v>
      </c>
      <c r="N136" s="2996">
        <v>0</v>
      </c>
      <c r="O136" s="2857">
        <f t="shared" ref="O136:O199" si="2">G136+H136+I136+J136+K136+L136+M136</f>
        <v>14</v>
      </c>
      <c r="P136" s="1845">
        <v>0</v>
      </c>
      <c r="Q136" s="1836">
        <v>0</v>
      </c>
    </row>
    <row r="137" spans="1:17" ht="20.100000000000001" customHeight="1">
      <c r="A137" s="2850">
        <v>131</v>
      </c>
      <c r="B137" s="2995" t="s">
        <v>2084</v>
      </c>
      <c r="C137" s="2852" t="s">
        <v>2084</v>
      </c>
      <c r="D137" s="2916"/>
      <c r="E137" s="2916" t="s">
        <v>1232</v>
      </c>
      <c r="F137" s="2917" t="s">
        <v>2149</v>
      </c>
      <c r="G137" s="2959">
        <v>0</v>
      </c>
      <c r="H137" s="2919">
        <v>0</v>
      </c>
      <c r="I137" s="2959">
        <v>0</v>
      </c>
      <c r="J137" s="2959">
        <v>0</v>
      </c>
      <c r="K137" s="2959">
        <v>0</v>
      </c>
      <c r="L137" s="2959">
        <v>0</v>
      </c>
      <c r="M137" s="2940">
        <v>1</v>
      </c>
      <c r="N137" s="2998" t="s">
        <v>2150</v>
      </c>
      <c r="O137" s="2857">
        <f t="shared" si="2"/>
        <v>1</v>
      </c>
      <c r="P137" s="1836">
        <v>0</v>
      </c>
      <c r="Q137" s="1836">
        <v>0</v>
      </c>
    </row>
    <row r="138" spans="1:17" ht="20.100000000000001" customHeight="1">
      <c r="A138" s="2858">
        <v>132</v>
      </c>
      <c r="B138" s="2995" t="s">
        <v>2084</v>
      </c>
      <c r="C138" s="2852" t="s">
        <v>2084</v>
      </c>
      <c r="D138" s="2931"/>
      <c r="E138" s="2868" t="s">
        <v>29</v>
      </c>
      <c r="F138" s="2894" t="s">
        <v>992</v>
      </c>
      <c r="G138" s="2900">
        <v>0</v>
      </c>
      <c r="H138" s="2900">
        <v>0</v>
      </c>
      <c r="I138" s="2900">
        <v>1</v>
      </c>
      <c r="J138" s="2900">
        <v>0</v>
      </c>
      <c r="K138" s="2900">
        <v>0</v>
      </c>
      <c r="L138" s="2900">
        <v>0</v>
      </c>
      <c r="M138" s="2999">
        <v>0</v>
      </c>
      <c r="N138" s="2933">
        <v>66.5</v>
      </c>
      <c r="O138" s="2857">
        <f t="shared" si="2"/>
        <v>1</v>
      </c>
      <c r="P138" s="1840">
        <v>0</v>
      </c>
      <c r="Q138" s="1840">
        <v>0</v>
      </c>
    </row>
    <row r="139" spans="1:17" ht="20.100000000000001" customHeight="1">
      <c r="A139" s="2850">
        <v>133</v>
      </c>
      <c r="B139" s="2995" t="s">
        <v>2084</v>
      </c>
      <c r="C139" s="2852" t="s">
        <v>2084</v>
      </c>
      <c r="D139" s="2859"/>
      <c r="E139" s="2859" t="s">
        <v>442</v>
      </c>
      <c r="F139" s="2864" t="s">
        <v>2087</v>
      </c>
      <c r="G139" s="2865">
        <v>0</v>
      </c>
      <c r="H139" s="2865">
        <v>0</v>
      </c>
      <c r="I139" s="2865">
        <v>0</v>
      </c>
      <c r="J139" s="2865">
        <v>0</v>
      </c>
      <c r="K139" s="2865">
        <v>0</v>
      </c>
      <c r="L139" s="2865">
        <v>0</v>
      </c>
      <c r="M139" s="2969">
        <v>22</v>
      </c>
      <c r="N139" s="2866">
        <v>7650049.0199999996</v>
      </c>
      <c r="O139" s="2857">
        <f t="shared" si="2"/>
        <v>22</v>
      </c>
      <c r="P139" s="1840">
        <v>0</v>
      </c>
      <c r="Q139" s="1840">
        <v>0</v>
      </c>
    </row>
    <row r="140" spans="1:17" ht="20.100000000000001" customHeight="1">
      <c r="A140" s="2850">
        <v>134</v>
      </c>
      <c r="B140" s="2995" t="s">
        <v>2084</v>
      </c>
      <c r="C140" s="2852" t="s">
        <v>2084</v>
      </c>
      <c r="D140" s="2859"/>
      <c r="E140" s="2859" t="s">
        <v>442</v>
      </c>
      <c r="F140" s="2864" t="s">
        <v>2151</v>
      </c>
      <c r="G140" s="2865">
        <v>0</v>
      </c>
      <c r="H140" s="2865">
        <v>0</v>
      </c>
      <c r="I140" s="2865">
        <v>0</v>
      </c>
      <c r="J140" s="2865">
        <v>0</v>
      </c>
      <c r="K140" s="2865">
        <v>0</v>
      </c>
      <c r="L140" s="2865">
        <v>0</v>
      </c>
      <c r="M140" s="2969">
        <v>4</v>
      </c>
      <c r="N140" s="2866">
        <v>109250</v>
      </c>
      <c r="O140" s="2857">
        <f t="shared" si="2"/>
        <v>4</v>
      </c>
      <c r="P140" s="1840">
        <v>0</v>
      </c>
      <c r="Q140" s="1840">
        <v>0</v>
      </c>
    </row>
    <row r="141" spans="1:17" ht="20.100000000000001" customHeight="1">
      <c r="A141" s="2858">
        <v>135</v>
      </c>
      <c r="B141" s="2995" t="s">
        <v>2152</v>
      </c>
      <c r="C141" s="2852" t="s">
        <v>2084</v>
      </c>
      <c r="D141" s="2852"/>
      <c r="E141" s="2852" t="s">
        <v>1232</v>
      </c>
      <c r="F141" s="2864" t="s">
        <v>2085</v>
      </c>
      <c r="G141" s="2890">
        <v>0</v>
      </c>
      <c r="H141" s="2890">
        <v>0</v>
      </c>
      <c r="I141" s="2890">
        <v>0</v>
      </c>
      <c r="J141" s="2890">
        <v>0</v>
      </c>
      <c r="K141" s="3000">
        <v>0</v>
      </c>
      <c r="L141" s="3000">
        <v>0</v>
      </c>
      <c r="M141" s="2855">
        <v>1</v>
      </c>
      <c r="N141" s="3001" t="s">
        <v>2153</v>
      </c>
      <c r="O141" s="2857">
        <f t="shared" si="2"/>
        <v>1</v>
      </c>
      <c r="P141" s="1836">
        <v>0</v>
      </c>
      <c r="Q141" s="1836">
        <v>0</v>
      </c>
    </row>
    <row r="142" spans="1:17" ht="20.100000000000001" customHeight="1">
      <c r="A142" s="2850">
        <v>136</v>
      </c>
      <c r="B142" s="2995" t="s">
        <v>2152</v>
      </c>
      <c r="C142" s="2852" t="s">
        <v>2084</v>
      </c>
      <c r="D142" s="2893"/>
      <c r="E142" s="2868" t="s">
        <v>29</v>
      </c>
      <c r="F142" s="2894" t="s">
        <v>49</v>
      </c>
      <c r="G142" s="2895">
        <v>0</v>
      </c>
      <c r="H142" s="2895">
        <v>0</v>
      </c>
      <c r="I142" s="2896">
        <v>1</v>
      </c>
      <c r="J142" s="2895">
        <v>0</v>
      </c>
      <c r="K142" s="3002">
        <v>0</v>
      </c>
      <c r="L142" s="2895">
        <v>0</v>
      </c>
      <c r="M142" s="2896">
        <v>0</v>
      </c>
      <c r="N142" s="3001">
        <v>8171134.2800000003</v>
      </c>
      <c r="O142" s="2857">
        <f t="shared" si="2"/>
        <v>1</v>
      </c>
      <c r="P142" s="1840">
        <v>0</v>
      </c>
      <c r="Q142" s="1840">
        <v>0</v>
      </c>
    </row>
    <row r="143" spans="1:17" ht="20.100000000000001" customHeight="1">
      <c r="A143" s="2850">
        <v>137</v>
      </c>
      <c r="B143" s="2995" t="s">
        <v>2152</v>
      </c>
      <c r="C143" s="2852" t="s">
        <v>2084</v>
      </c>
      <c r="D143" s="2893"/>
      <c r="E143" s="2868" t="s">
        <v>29</v>
      </c>
      <c r="F143" s="2894" t="s">
        <v>31</v>
      </c>
      <c r="G143" s="2972">
        <v>0</v>
      </c>
      <c r="H143" s="2972">
        <v>0</v>
      </c>
      <c r="I143" s="2896">
        <v>1</v>
      </c>
      <c r="J143" s="2972">
        <v>0</v>
      </c>
      <c r="K143" s="2972">
        <v>0</v>
      </c>
      <c r="L143" s="2972">
        <v>0</v>
      </c>
      <c r="M143" s="2905">
        <v>0</v>
      </c>
      <c r="N143" s="3001">
        <v>64000.18</v>
      </c>
      <c r="O143" s="2857">
        <f t="shared" si="2"/>
        <v>1</v>
      </c>
      <c r="P143" s="1840">
        <v>0</v>
      </c>
      <c r="Q143" s="1840">
        <v>0</v>
      </c>
    </row>
    <row r="144" spans="1:17" ht="20.100000000000001" customHeight="1">
      <c r="A144" s="2858">
        <v>138</v>
      </c>
      <c r="B144" s="2995" t="s">
        <v>2152</v>
      </c>
      <c r="C144" s="2852" t="s">
        <v>2084</v>
      </c>
      <c r="D144" s="2893"/>
      <c r="E144" s="2868" t="s">
        <v>29</v>
      </c>
      <c r="F144" s="2894" t="s">
        <v>32</v>
      </c>
      <c r="G144" s="2900">
        <v>0</v>
      </c>
      <c r="H144" s="2900">
        <v>0</v>
      </c>
      <c r="I144" s="2896">
        <v>1</v>
      </c>
      <c r="J144" s="2900">
        <v>0</v>
      </c>
      <c r="K144" s="2900">
        <v>0</v>
      </c>
      <c r="L144" s="2900">
        <v>0</v>
      </c>
      <c r="M144" s="2934">
        <v>0</v>
      </c>
      <c r="N144" s="3001">
        <v>0.78</v>
      </c>
      <c r="O144" s="2857">
        <f t="shared" si="2"/>
        <v>1</v>
      </c>
      <c r="P144" s="1840">
        <v>0</v>
      </c>
      <c r="Q144" s="1840">
        <v>0</v>
      </c>
    </row>
    <row r="145" spans="1:17" ht="20.100000000000001" customHeight="1">
      <c r="A145" s="2850">
        <v>139</v>
      </c>
      <c r="B145" s="2995" t="s">
        <v>2152</v>
      </c>
      <c r="C145" s="2852" t="s">
        <v>2084</v>
      </c>
      <c r="D145" s="2852"/>
      <c r="E145" s="2893" t="s">
        <v>434</v>
      </c>
      <c r="F145" s="2894" t="s">
        <v>34</v>
      </c>
      <c r="G145" s="2904">
        <v>0</v>
      </c>
      <c r="H145" s="2904">
        <v>0</v>
      </c>
      <c r="I145" s="2904">
        <v>0</v>
      </c>
      <c r="J145" s="2936">
        <v>20</v>
      </c>
      <c r="K145" s="2904">
        <v>0</v>
      </c>
      <c r="L145" s="2904">
        <v>0</v>
      </c>
      <c r="M145" s="2855">
        <v>0</v>
      </c>
      <c r="N145" s="2856">
        <v>1000</v>
      </c>
      <c r="O145" s="2857">
        <f t="shared" si="2"/>
        <v>20</v>
      </c>
      <c r="P145" s="1845">
        <v>0</v>
      </c>
      <c r="Q145" s="1836">
        <v>0</v>
      </c>
    </row>
    <row r="146" spans="1:17" ht="20.100000000000001" customHeight="1">
      <c r="A146" s="2850">
        <v>140</v>
      </c>
      <c r="B146" s="2995" t="s">
        <v>2152</v>
      </c>
      <c r="C146" s="2852" t="s">
        <v>2084</v>
      </c>
      <c r="D146" s="2852"/>
      <c r="E146" s="2852" t="s">
        <v>434</v>
      </c>
      <c r="F146" s="2894" t="s">
        <v>35</v>
      </c>
      <c r="G146" s="2854">
        <v>0</v>
      </c>
      <c r="H146" s="2854">
        <v>0</v>
      </c>
      <c r="I146" s="2854">
        <v>0</v>
      </c>
      <c r="J146" s="2854">
        <v>0</v>
      </c>
      <c r="K146" s="2947">
        <v>100</v>
      </c>
      <c r="L146" s="2854">
        <v>0</v>
      </c>
      <c r="M146" s="2855">
        <v>0</v>
      </c>
      <c r="N146" s="2997" t="s">
        <v>2154</v>
      </c>
      <c r="O146" s="2857">
        <f t="shared" si="2"/>
        <v>100</v>
      </c>
      <c r="P146" s="1836">
        <v>0</v>
      </c>
      <c r="Q146" s="1836">
        <v>0</v>
      </c>
    </row>
    <row r="147" spans="1:17" ht="20.100000000000001" customHeight="1">
      <c r="A147" s="2858">
        <v>141</v>
      </c>
      <c r="B147" s="2995" t="s">
        <v>2152</v>
      </c>
      <c r="C147" s="2852" t="s">
        <v>2084</v>
      </c>
      <c r="D147" s="2893"/>
      <c r="E147" s="2868" t="s">
        <v>29</v>
      </c>
      <c r="F147" s="2894" t="s">
        <v>50</v>
      </c>
      <c r="G147" s="2913">
        <v>0</v>
      </c>
      <c r="H147" s="2913">
        <v>0</v>
      </c>
      <c r="I147" s="2909">
        <v>1</v>
      </c>
      <c r="J147" s="2913">
        <v>0</v>
      </c>
      <c r="K147" s="2913">
        <v>0</v>
      </c>
      <c r="L147" s="2913">
        <v>0</v>
      </c>
      <c r="M147" s="2896">
        <v>0</v>
      </c>
      <c r="N147" s="3003">
        <v>39346.410000000003</v>
      </c>
      <c r="O147" s="2857">
        <f t="shared" si="2"/>
        <v>1</v>
      </c>
      <c r="P147" s="1840">
        <v>0</v>
      </c>
      <c r="Q147" s="1845">
        <v>0</v>
      </c>
    </row>
    <row r="148" spans="1:17" ht="20.100000000000001" customHeight="1">
      <c r="A148" s="2850">
        <v>142</v>
      </c>
      <c r="B148" s="2995" t="s">
        <v>2152</v>
      </c>
      <c r="C148" s="2852" t="s">
        <v>2084</v>
      </c>
      <c r="D148" s="2916"/>
      <c r="E148" s="2868" t="s">
        <v>671</v>
      </c>
      <c r="F148" s="2917" t="s">
        <v>52</v>
      </c>
      <c r="G148" s="2976">
        <v>0</v>
      </c>
      <c r="H148" s="2976">
        <v>1941</v>
      </c>
      <c r="I148" s="2918">
        <v>0</v>
      </c>
      <c r="J148" s="2918">
        <v>0</v>
      </c>
      <c r="K148" s="2918">
        <v>0</v>
      </c>
      <c r="L148" s="2918">
        <v>0</v>
      </c>
      <c r="M148" s="2855">
        <v>0</v>
      </c>
      <c r="N148" s="2892">
        <v>97050</v>
      </c>
      <c r="O148" s="2857">
        <f t="shared" si="2"/>
        <v>1941</v>
      </c>
      <c r="P148" s="1836">
        <v>0</v>
      </c>
      <c r="Q148" s="1846">
        <v>0</v>
      </c>
    </row>
    <row r="149" spans="1:17" ht="20.100000000000001" customHeight="1">
      <c r="A149" s="2850">
        <v>143</v>
      </c>
      <c r="B149" s="2995" t="s">
        <v>2152</v>
      </c>
      <c r="C149" s="2852" t="s">
        <v>2084</v>
      </c>
      <c r="D149" s="2916"/>
      <c r="E149" s="2868" t="s">
        <v>671</v>
      </c>
      <c r="F149" s="2917" t="s">
        <v>2090</v>
      </c>
      <c r="G149" s="2976">
        <v>304</v>
      </c>
      <c r="H149" s="2976">
        <v>0</v>
      </c>
      <c r="I149" s="2918"/>
      <c r="J149" s="2918"/>
      <c r="K149" s="2918"/>
      <c r="L149" s="2918"/>
      <c r="M149" s="2855"/>
      <c r="N149" s="2892"/>
      <c r="O149" s="2857">
        <f t="shared" si="2"/>
        <v>304</v>
      </c>
      <c r="P149" s="1836"/>
      <c r="Q149" s="1846"/>
    </row>
    <row r="150" spans="1:17" ht="20.100000000000001" customHeight="1">
      <c r="A150" s="2858">
        <v>144</v>
      </c>
      <c r="B150" s="2851" t="s">
        <v>2155</v>
      </c>
      <c r="C150" s="2852" t="s">
        <v>2084</v>
      </c>
      <c r="D150" s="2852"/>
      <c r="E150" s="2852" t="s">
        <v>1232</v>
      </c>
      <c r="F150" s="3004" t="s">
        <v>2085</v>
      </c>
      <c r="G150" s="2890">
        <v>0</v>
      </c>
      <c r="H150" s="2972">
        <v>0</v>
      </c>
      <c r="I150" s="2890">
        <v>0</v>
      </c>
      <c r="J150" s="2890">
        <v>0</v>
      </c>
      <c r="K150" s="2890">
        <v>0</v>
      </c>
      <c r="L150" s="2890">
        <v>0</v>
      </c>
      <c r="M150" s="2896">
        <v>1</v>
      </c>
      <c r="N150" s="2856">
        <v>220975.13</v>
      </c>
      <c r="O150" s="2857">
        <f t="shared" si="2"/>
        <v>1</v>
      </c>
      <c r="P150" s="1836">
        <v>0</v>
      </c>
      <c r="Q150" s="452">
        <v>0</v>
      </c>
    </row>
    <row r="151" spans="1:17" ht="20.100000000000001" customHeight="1">
      <c r="A151" s="2850">
        <v>145</v>
      </c>
      <c r="B151" s="2851" t="s">
        <v>2155</v>
      </c>
      <c r="C151" s="2852" t="s">
        <v>2084</v>
      </c>
      <c r="D151" s="2852"/>
      <c r="E151" s="2893" t="s">
        <v>434</v>
      </c>
      <c r="F151" s="3005" t="s">
        <v>34</v>
      </c>
      <c r="G151" s="2904">
        <v>0</v>
      </c>
      <c r="H151" s="2904">
        <v>0</v>
      </c>
      <c r="I151" s="2904">
        <v>0</v>
      </c>
      <c r="J151" s="3006">
        <v>1</v>
      </c>
      <c r="K151" s="2904">
        <v>0</v>
      </c>
      <c r="L151" s="2904">
        <v>0</v>
      </c>
      <c r="M151" s="2896">
        <v>0</v>
      </c>
      <c r="N151" s="2856">
        <v>0</v>
      </c>
      <c r="O151" s="2857">
        <f t="shared" si="2"/>
        <v>1</v>
      </c>
      <c r="P151" s="1845">
        <v>0</v>
      </c>
      <c r="Q151" s="1840">
        <v>0</v>
      </c>
    </row>
    <row r="152" spans="1:17" ht="20.100000000000001" customHeight="1">
      <c r="A152" s="2850">
        <v>146</v>
      </c>
      <c r="B152" s="2851" t="s">
        <v>2155</v>
      </c>
      <c r="C152" s="2852" t="s">
        <v>2084</v>
      </c>
      <c r="D152" s="2893"/>
      <c r="E152" s="2868" t="s">
        <v>29</v>
      </c>
      <c r="F152" s="2971" t="s">
        <v>50</v>
      </c>
      <c r="G152" s="2913">
        <v>0</v>
      </c>
      <c r="H152" s="2913">
        <v>0</v>
      </c>
      <c r="I152" s="2909">
        <v>1</v>
      </c>
      <c r="J152" s="2913">
        <v>0</v>
      </c>
      <c r="K152" s="2913">
        <v>0</v>
      </c>
      <c r="L152" s="2913">
        <v>0</v>
      </c>
      <c r="M152" s="3007">
        <v>0</v>
      </c>
      <c r="N152" s="2915">
        <v>1845.72</v>
      </c>
      <c r="O152" s="2857">
        <f t="shared" si="2"/>
        <v>1</v>
      </c>
      <c r="P152" s="1840">
        <v>0</v>
      </c>
      <c r="Q152" s="567">
        <v>0</v>
      </c>
    </row>
    <row r="153" spans="1:17" ht="20.100000000000001" customHeight="1">
      <c r="A153" s="2858">
        <v>147</v>
      </c>
      <c r="B153" s="2851" t="s">
        <v>2155</v>
      </c>
      <c r="C153" s="2852" t="s">
        <v>2084</v>
      </c>
      <c r="D153" s="2916"/>
      <c r="E153" s="2868" t="s">
        <v>671</v>
      </c>
      <c r="F153" s="3005" t="s">
        <v>52</v>
      </c>
      <c r="G153" s="3008">
        <v>0</v>
      </c>
      <c r="H153" s="2972">
        <v>250</v>
      </c>
      <c r="I153" s="2895">
        <v>0</v>
      </c>
      <c r="J153" s="2918">
        <v>0</v>
      </c>
      <c r="K153" s="2918">
        <v>0</v>
      </c>
      <c r="L153" s="2918">
        <v>0</v>
      </c>
      <c r="M153" s="3007">
        <v>0</v>
      </c>
      <c r="N153" s="2892">
        <v>12500</v>
      </c>
      <c r="O153" s="2857">
        <f t="shared" si="2"/>
        <v>250</v>
      </c>
      <c r="P153" s="1836">
        <v>0</v>
      </c>
      <c r="Q153" s="1846">
        <v>0</v>
      </c>
    </row>
    <row r="154" spans="1:17" ht="20.100000000000001" customHeight="1">
      <c r="A154" s="2850">
        <v>148</v>
      </c>
      <c r="B154" s="2851" t="s">
        <v>2155</v>
      </c>
      <c r="C154" s="2852" t="s">
        <v>2084</v>
      </c>
      <c r="D154" s="2916"/>
      <c r="E154" s="2868" t="s">
        <v>671</v>
      </c>
      <c r="F154" s="3005" t="s">
        <v>2090</v>
      </c>
      <c r="G154" s="3008">
        <v>385</v>
      </c>
      <c r="H154" s="2972">
        <v>0</v>
      </c>
      <c r="I154" s="2895"/>
      <c r="J154" s="2918"/>
      <c r="K154" s="2918"/>
      <c r="L154" s="2918"/>
      <c r="M154" s="3007"/>
      <c r="N154" s="2892"/>
      <c r="O154" s="2857">
        <f t="shared" si="2"/>
        <v>385</v>
      </c>
      <c r="P154" s="1836"/>
      <c r="Q154" s="1846"/>
    </row>
    <row r="155" spans="1:17" ht="20.100000000000001" customHeight="1">
      <c r="A155" s="2850">
        <v>149</v>
      </c>
      <c r="B155" s="2851" t="s">
        <v>2156</v>
      </c>
      <c r="C155" s="2852" t="s">
        <v>2084</v>
      </c>
      <c r="D155" s="2952">
        <v>0</v>
      </c>
      <c r="E155" s="2868" t="s">
        <v>29</v>
      </c>
      <c r="F155" s="2894" t="s">
        <v>49</v>
      </c>
      <c r="G155" s="2895">
        <v>0</v>
      </c>
      <c r="H155" s="2895">
        <v>0</v>
      </c>
      <c r="I155" s="2896">
        <v>1</v>
      </c>
      <c r="J155" s="2895">
        <v>0</v>
      </c>
      <c r="K155" s="2895">
        <v>0</v>
      </c>
      <c r="L155" s="2895">
        <v>0</v>
      </c>
      <c r="M155" s="2896">
        <v>0</v>
      </c>
      <c r="N155" s="2856">
        <v>47328906.939999998</v>
      </c>
      <c r="O155" s="2857">
        <f t="shared" si="2"/>
        <v>1</v>
      </c>
      <c r="P155" s="1840">
        <v>0</v>
      </c>
      <c r="Q155" s="1840">
        <v>0</v>
      </c>
    </row>
    <row r="156" spans="1:17" ht="20.100000000000001" customHeight="1">
      <c r="A156" s="2858">
        <v>150</v>
      </c>
      <c r="B156" s="2851" t="s">
        <v>2156</v>
      </c>
      <c r="C156" s="2852" t="s">
        <v>2084</v>
      </c>
      <c r="D156" s="2952">
        <v>0</v>
      </c>
      <c r="E156" s="2868" t="s">
        <v>29</v>
      </c>
      <c r="F156" s="2894" t="s">
        <v>31</v>
      </c>
      <c r="G156" s="2972">
        <v>0</v>
      </c>
      <c r="H156" s="2972">
        <v>0</v>
      </c>
      <c r="I156" s="2896">
        <v>1</v>
      </c>
      <c r="J156" s="2972">
        <v>0</v>
      </c>
      <c r="K156" s="2972">
        <v>0</v>
      </c>
      <c r="L156" s="2972">
        <v>0</v>
      </c>
      <c r="M156" s="2905">
        <v>0</v>
      </c>
      <c r="N156" s="2856">
        <v>119.84</v>
      </c>
      <c r="O156" s="2857">
        <f t="shared" si="2"/>
        <v>1</v>
      </c>
      <c r="P156" s="1840">
        <v>0</v>
      </c>
      <c r="Q156" s="1840">
        <v>0</v>
      </c>
    </row>
    <row r="157" spans="1:17" ht="20.100000000000001" customHeight="1">
      <c r="A157" s="2850">
        <v>151</v>
      </c>
      <c r="B157" s="2851" t="s">
        <v>2156</v>
      </c>
      <c r="C157" s="2852" t="s">
        <v>2084</v>
      </c>
      <c r="D157" s="2952">
        <v>0</v>
      </c>
      <c r="E157" s="2868" t="s">
        <v>29</v>
      </c>
      <c r="F157" s="2894" t="s">
        <v>32</v>
      </c>
      <c r="G157" s="2900">
        <v>0</v>
      </c>
      <c r="H157" s="2900">
        <v>0</v>
      </c>
      <c r="I157" s="2896">
        <v>1</v>
      </c>
      <c r="J157" s="2900">
        <v>0</v>
      </c>
      <c r="K157" s="2900">
        <v>0</v>
      </c>
      <c r="L157" s="2900">
        <v>0</v>
      </c>
      <c r="M157" s="2934">
        <v>0</v>
      </c>
      <c r="N157" s="2856">
        <v>1084.42</v>
      </c>
      <c r="O157" s="2857">
        <f t="shared" si="2"/>
        <v>1</v>
      </c>
      <c r="P157" s="1840">
        <v>0</v>
      </c>
      <c r="Q157" s="1840">
        <v>0</v>
      </c>
    </row>
    <row r="158" spans="1:17" ht="20.100000000000001" customHeight="1">
      <c r="A158" s="2850">
        <v>152</v>
      </c>
      <c r="B158" s="2851" t="s">
        <v>2156</v>
      </c>
      <c r="C158" s="2852" t="s">
        <v>2084</v>
      </c>
      <c r="D158" s="2952">
        <v>0</v>
      </c>
      <c r="E158" s="2852" t="s">
        <v>434</v>
      </c>
      <c r="F158" s="2853" t="s">
        <v>35</v>
      </c>
      <c r="G158" s="2854">
        <v>0</v>
      </c>
      <c r="H158" s="2854">
        <v>0</v>
      </c>
      <c r="I158" s="2854">
        <v>0</v>
      </c>
      <c r="J158" s="2854">
        <v>0</v>
      </c>
      <c r="K158" s="2957">
        <v>29</v>
      </c>
      <c r="L158" s="2854">
        <v>0</v>
      </c>
      <c r="M158" s="2855">
        <v>0</v>
      </c>
      <c r="N158" s="2856">
        <v>7820</v>
      </c>
      <c r="O158" s="2857">
        <f t="shared" si="2"/>
        <v>29</v>
      </c>
      <c r="P158" s="1836">
        <v>0</v>
      </c>
      <c r="Q158" s="1836">
        <v>0</v>
      </c>
    </row>
    <row r="159" spans="1:17" ht="20.100000000000001" customHeight="1">
      <c r="A159" s="2858">
        <v>153</v>
      </c>
      <c r="B159" s="2851" t="s">
        <v>2156</v>
      </c>
      <c r="C159" s="2852" t="s">
        <v>2084</v>
      </c>
      <c r="D159" s="2952">
        <v>0</v>
      </c>
      <c r="E159" s="2868" t="s">
        <v>29</v>
      </c>
      <c r="F159" s="2894" t="s">
        <v>2089</v>
      </c>
      <c r="G159" s="2865">
        <v>0</v>
      </c>
      <c r="H159" s="2865">
        <v>0</v>
      </c>
      <c r="I159" s="2909">
        <v>1</v>
      </c>
      <c r="J159" s="2865">
        <v>0</v>
      </c>
      <c r="K159" s="2865">
        <v>0</v>
      </c>
      <c r="L159" s="2865">
        <v>0</v>
      </c>
      <c r="M159" s="2865">
        <v>0</v>
      </c>
      <c r="N159" s="2912">
        <v>99822.86</v>
      </c>
      <c r="O159" s="2857">
        <f t="shared" si="2"/>
        <v>1</v>
      </c>
      <c r="P159" s="1840">
        <v>0</v>
      </c>
      <c r="Q159" s="1854">
        <v>0</v>
      </c>
    </row>
    <row r="160" spans="1:17" ht="20.100000000000001" customHeight="1">
      <c r="A160" s="2850">
        <v>154</v>
      </c>
      <c r="B160" s="2851" t="s">
        <v>2156</v>
      </c>
      <c r="C160" s="2852" t="s">
        <v>2084</v>
      </c>
      <c r="D160" s="2952">
        <v>0</v>
      </c>
      <c r="E160" s="2868" t="s">
        <v>29</v>
      </c>
      <c r="F160" s="2894" t="s">
        <v>50</v>
      </c>
      <c r="G160" s="2913">
        <v>0</v>
      </c>
      <c r="H160" s="2913">
        <v>0</v>
      </c>
      <c r="I160" s="2909">
        <v>1</v>
      </c>
      <c r="J160" s="2913">
        <v>0</v>
      </c>
      <c r="K160" s="2913">
        <v>0</v>
      </c>
      <c r="L160" s="2913">
        <v>0</v>
      </c>
      <c r="M160" s="2896">
        <v>0</v>
      </c>
      <c r="N160" s="2915">
        <v>254.6</v>
      </c>
      <c r="O160" s="2857">
        <f t="shared" si="2"/>
        <v>1</v>
      </c>
      <c r="P160" s="1840">
        <v>0</v>
      </c>
      <c r="Q160" s="1845">
        <v>0</v>
      </c>
    </row>
    <row r="161" spans="1:17" ht="20.100000000000001" customHeight="1">
      <c r="A161" s="2850">
        <v>155</v>
      </c>
      <c r="B161" s="2851" t="s">
        <v>2156</v>
      </c>
      <c r="C161" s="2852" t="s">
        <v>2084</v>
      </c>
      <c r="D161" s="2952">
        <v>0</v>
      </c>
      <c r="E161" s="2868" t="s">
        <v>671</v>
      </c>
      <c r="F161" s="2917" t="s">
        <v>52</v>
      </c>
      <c r="G161" s="2918">
        <v>0</v>
      </c>
      <c r="H161" s="2918">
        <v>2580</v>
      </c>
      <c r="I161" s="2918">
        <v>0</v>
      </c>
      <c r="J161" s="2918">
        <v>0</v>
      </c>
      <c r="K161" s="2918">
        <v>0</v>
      </c>
      <c r="L161" s="2918">
        <v>0</v>
      </c>
      <c r="M161" s="2855">
        <v>0</v>
      </c>
      <c r="N161" s="2892">
        <v>129000</v>
      </c>
      <c r="O161" s="2857">
        <f t="shared" si="2"/>
        <v>2580</v>
      </c>
      <c r="P161" s="1836">
        <v>0</v>
      </c>
      <c r="Q161" s="1846">
        <v>0</v>
      </c>
    </row>
    <row r="162" spans="1:17" ht="20.100000000000001" customHeight="1">
      <c r="A162" s="2858">
        <v>156</v>
      </c>
      <c r="B162" s="2851" t="s">
        <v>2156</v>
      </c>
      <c r="C162" s="2852" t="s">
        <v>2084</v>
      </c>
      <c r="D162" s="2952"/>
      <c r="E162" s="2868" t="s">
        <v>671</v>
      </c>
      <c r="F162" s="2917" t="s">
        <v>2090</v>
      </c>
      <c r="G162" s="2918">
        <v>104</v>
      </c>
      <c r="H162" s="2918">
        <v>0</v>
      </c>
      <c r="I162" s="2918"/>
      <c r="J162" s="2918"/>
      <c r="K162" s="2918"/>
      <c r="L162" s="2918"/>
      <c r="M162" s="2855"/>
      <c r="N162" s="2892"/>
      <c r="O162" s="2857">
        <f t="shared" si="2"/>
        <v>104</v>
      </c>
      <c r="P162" s="1836"/>
      <c r="Q162" s="1846"/>
    </row>
    <row r="163" spans="1:17" ht="20.100000000000001" customHeight="1">
      <c r="A163" s="2850">
        <v>157</v>
      </c>
      <c r="B163" s="2851" t="s">
        <v>2156</v>
      </c>
      <c r="C163" s="2852" t="s">
        <v>2084</v>
      </c>
      <c r="D163" s="2859"/>
      <c r="E163" s="2859" t="s">
        <v>442</v>
      </c>
      <c r="F163" s="2864" t="s">
        <v>2087</v>
      </c>
      <c r="G163" s="2865">
        <v>0</v>
      </c>
      <c r="H163" s="2865">
        <v>0</v>
      </c>
      <c r="I163" s="2865">
        <v>0</v>
      </c>
      <c r="J163" s="2865">
        <v>0</v>
      </c>
      <c r="K163" s="2865">
        <v>0</v>
      </c>
      <c r="L163" s="2865">
        <v>0</v>
      </c>
      <c r="M163" s="2865">
        <v>3</v>
      </c>
      <c r="N163" s="2866">
        <v>2800000</v>
      </c>
      <c r="O163" s="2857">
        <f t="shared" si="2"/>
        <v>3</v>
      </c>
      <c r="P163" s="1840">
        <v>0</v>
      </c>
      <c r="Q163" s="1840">
        <v>0</v>
      </c>
    </row>
    <row r="164" spans="1:17" ht="20.100000000000001" customHeight="1">
      <c r="A164" s="2850">
        <v>158</v>
      </c>
      <c r="B164" s="2851" t="s">
        <v>2157</v>
      </c>
      <c r="C164" s="2852" t="s">
        <v>2084</v>
      </c>
      <c r="D164" s="2852"/>
      <c r="E164" s="2852" t="s">
        <v>1232</v>
      </c>
      <c r="F164" s="2888" t="s">
        <v>2158</v>
      </c>
      <c r="G164" s="2890">
        <v>0</v>
      </c>
      <c r="H164" s="2890">
        <v>0</v>
      </c>
      <c r="I164" s="2890">
        <v>0</v>
      </c>
      <c r="J164" s="2890">
        <v>0</v>
      </c>
      <c r="K164" s="2890">
        <v>0</v>
      </c>
      <c r="L164" s="2890">
        <v>0</v>
      </c>
      <c r="M164" s="2855">
        <v>1</v>
      </c>
      <c r="N164" s="2892">
        <v>32403.7</v>
      </c>
      <c r="O164" s="2857">
        <f t="shared" si="2"/>
        <v>1</v>
      </c>
      <c r="P164" s="1836">
        <v>0</v>
      </c>
      <c r="Q164" s="434">
        <v>0</v>
      </c>
    </row>
    <row r="165" spans="1:17" ht="20.100000000000001" customHeight="1">
      <c r="A165" s="2858">
        <v>159</v>
      </c>
      <c r="B165" s="2851" t="s">
        <v>2157</v>
      </c>
      <c r="C165" s="2852" t="s">
        <v>2084</v>
      </c>
      <c r="D165" s="2852"/>
      <c r="E165" s="2893" t="s">
        <v>434</v>
      </c>
      <c r="F165" s="2853" t="s">
        <v>34</v>
      </c>
      <c r="G165" s="2904">
        <v>0</v>
      </c>
      <c r="H165" s="2904">
        <v>0</v>
      </c>
      <c r="I165" s="2904">
        <v>0</v>
      </c>
      <c r="J165" s="2936">
        <v>2</v>
      </c>
      <c r="K165" s="2904">
        <v>0</v>
      </c>
      <c r="L165" s="2904">
        <v>0</v>
      </c>
      <c r="M165" s="2855">
        <v>0</v>
      </c>
      <c r="N165" s="2856">
        <v>0</v>
      </c>
      <c r="O165" s="2857">
        <f t="shared" si="2"/>
        <v>2</v>
      </c>
      <c r="P165" s="1845">
        <v>0</v>
      </c>
      <c r="Q165" s="1836">
        <v>0</v>
      </c>
    </row>
    <row r="166" spans="1:17" ht="20.100000000000001" customHeight="1">
      <c r="A166" s="2850">
        <v>160</v>
      </c>
      <c r="B166" s="2851" t="s">
        <v>2157</v>
      </c>
      <c r="C166" s="2852" t="s">
        <v>2084</v>
      </c>
      <c r="D166" s="2852"/>
      <c r="E166" s="2852" t="s">
        <v>434</v>
      </c>
      <c r="F166" s="2853" t="s">
        <v>35</v>
      </c>
      <c r="G166" s="2854">
        <v>0</v>
      </c>
      <c r="H166" s="2854">
        <v>0</v>
      </c>
      <c r="I166" s="2854">
        <v>0</v>
      </c>
      <c r="J166" s="2854">
        <v>0</v>
      </c>
      <c r="K166" s="2854">
        <v>73</v>
      </c>
      <c r="L166" s="2854">
        <v>0</v>
      </c>
      <c r="M166" s="2855">
        <v>0</v>
      </c>
      <c r="N166" s="2856">
        <v>6547.12</v>
      </c>
      <c r="O166" s="2857">
        <f t="shared" si="2"/>
        <v>73</v>
      </c>
      <c r="P166" s="1836">
        <v>0</v>
      </c>
      <c r="Q166" s="452">
        <v>0</v>
      </c>
    </row>
    <row r="167" spans="1:17" ht="20.100000000000001" customHeight="1">
      <c r="A167" s="2850">
        <v>161</v>
      </c>
      <c r="B167" s="2851" t="s">
        <v>2157</v>
      </c>
      <c r="C167" s="2852" t="s">
        <v>2084</v>
      </c>
      <c r="D167" s="2893"/>
      <c r="E167" s="2868" t="s">
        <v>29</v>
      </c>
      <c r="F167" s="2894" t="s">
        <v>2089</v>
      </c>
      <c r="G167" s="2865">
        <v>0</v>
      </c>
      <c r="H167" s="2865">
        <v>0</v>
      </c>
      <c r="I167" s="2909">
        <v>1</v>
      </c>
      <c r="J167" s="2865">
        <v>0</v>
      </c>
      <c r="K167" s="2865">
        <v>0</v>
      </c>
      <c r="L167" s="2865">
        <v>0</v>
      </c>
      <c r="M167" s="2865">
        <v>0</v>
      </c>
      <c r="N167" s="2912">
        <v>7979.07</v>
      </c>
      <c r="O167" s="2857">
        <f t="shared" si="2"/>
        <v>1</v>
      </c>
      <c r="P167" s="1840">
        <v>0</v>
      </c>
      <c r="Q167" s="1854">
        <v>0</v>
      </c>
    </row>
    <row r="168" spans="1:17" ht="20.100000000000001" customHeight="1">
      <c r="A168" s="2858">
        <v>162</v>
      </c>
      <c r="B168" s="2851" t="s">
        <v>2157</v>
      </c>
      <c r="C168" s="2852" t="s">
        <v>2084</v>
      </c>
      <c r="D168" s="3009"/>
      <c r="E168" s="2868" t="s">
        <v>29</v>
      </c>
      <c r="F168" s="3010" t="s">
        <v>50</v>
      </c>
      <c r="G168" s="2905">
        <v>0</v>
      </c>
      <c r="H168" s="2905">
        <v>0</v>
      </c>
      <c r="I168" s="2909">
        <v>1</v>
      </c>
      <c r="J168" s="2905">
        <v>0</v>
      </c>
      <c r="K168" s="2905">
        <v>0</v>
      </c>
      <c r="L168" s="2905">
        <v>0</v>
      </c>
      <c r="M168" s="2896">
        <v>0</v>
      </c>
      <c r="N168" s="2915">
        <v>51.14</v>
      </c>
      <c r="O168" s="2857">
        <f t="shared" si="2"/>
        <v>1</v>
      </c>
      <c r="P168" s="1855">
        <v>0</v>
      </c>
      <c r="Q168" s="1856">
        <v>0</v>
      </c>
    </row>
    <row r="169" spans="1:17" ht="20.100000000000001" customHeight="1">
      <c r="A169" s="2850">
        <v>163</v>
      </c>
      <c r="B169" s="2851" t="s">
        <v>2157</v>
      </c>
      <c r="C169" s="2852" t="s">
        <v>2084</v>
      </c>
      <c r="D169" s="2916"/>
      <c r="E169" s="2868" t="s">
        <v>671</v>
      </c>
      <c r="F169" s="2917" t="s">
        <v>2159</v>
      </c>
      <c r="G169" s="2918">
        <v>0</v>
      </c>
      <c r="H169" s="2918">
        <v>429</v>
      </c>
      <c r="I169" s="2918">
        <v>0</v>
      </c>
      <c r="J169" s="2918">
        <v>0</v>
      </c>
      <c r="K169" s="2918">
        <v>0</v>
      </c>
      <c r="L169" s="2918">
        <v>0</v>
      </c>
      <c r="M169" s="2855">
        <v>0</v>
      </c>
      <c r="N169" s="2892">
        <v>21450</v>
      </c>
      <c r="O169" s="2857">
        <f t="shared" si="2"/>
        <v>429</v>
      </c>
      <c r="P169" s="1836">
        <v>0</v>
      </c>
      <c r="Q169" s="434">
        <v>0</v>
      </c>
    </row>
    <row r="170" spans="1:17" ht="20.100000000000001" customHeight="1">
      <c r="A170" s="2850">
        <v>164</v>
      </c>
      <c r="B170" s="2851" t="s">
        <v>2157</v>
      </c>
      <c r="C170" s="2852" t="s">
        <v>2084</v>
      </c>
      <c r="D170" s="2916"/>
      <c r="E170" s="2868" t="s">
        <v>671</v>
      </c>
      <c r="F170" s="2917" t="s">
        <v>2090</v>
      </c>
      <c r="G170" s="2918">
        <v>15</v>
      </c>
      <c r="H170" s="2918">
        <v>0</v>
      </c>
      <c r="I170" s="2918"/>
      <c r="J170" s="2918"/>
      <c r="K170" s="2918"/>
      <c r="L170" s="2918"/>
      <c r="M170" s="2855"/>
      <c r="N170" s="2892"/>
      <c r="O170" s="2857">
        <f t="shared" si="2"/>
        <v>15</v>
      </c>
      <c r="P170" s="1836"/>
      <c r="Q170" s="434"/>
    </row>
    <row r="171" spans="1:17" ht="20.100000000000001" customHeight="1">
      <c r="A171" s="2858">
        <v>165</v>
      </c>
      <c r="B171" s="2851" t="s">
        <v>2157</v>
      </c>
      <c r="C171" s="2852" t="s">
        <v>2084</v>
      </c>
      <c r="D171" s="2859" t="s">
        <v>2160</v>
      </c>
      <c r="E171" s="2859" t="s">
        <v>442</v>
      </c>
      <c r="F171" s="2860" t="s">
        <v>2087</v>
      </c>
      <c r="G171" s="2865">
        <v>0</v>
      </c>
      <c r="H171" s="2865">
        <v>0</v>
      </c>
      <c r="I171" s="2865">
        <v>0</v>
      </c>
      <c r="J171" s="2865">
        <v>0</v>
      </c>
      <c r="K171" s="2865">
        <v>0</v>
      </c>
      <c r="L171" s="2865">
        <v>0</v>
      </c>
      <c r="M171" s="2865">
        <v>4</v>
      </c>
      <c r="N171" s="2866">
        <v>802500</v>
      </c>
      <c r="O171" s="2857">
        <f t="shared" si="2"/>
        <v>4</v>
      </c>
      <c r="P171" s="1840">
        <v>0</v>
      </c>
      <c r="Q171" s="1840">
        <v>0</v>
      </c>
    </row>
    <row r="172" spans="1:17" ht="20.100000000000001" customHeight="1">
      <c r="A172" s="2850">
        <v>166</v>
      </c>
      <c r="B172" s="2851" t="s">
        <v>2161</v>
      </c>
      <c r="C172" s="2852" t="s">
        <v>2084</v>
      </c>
      <c r="D172" s="2893"/>
      <c r="E172" s="2868" t="s">
        <v>29</v>
      </c>
      <c r="F172" s="2970" t="s">
        <v>886</v>
      </c>
      <c r="G172" s="2972">
        <v>0</v>
      </c>
      <c r="H172" s="2972">
        <v>0</v>
      </c>
      <c r="I172" s="2896">
        <v>1</v>
      </c>
      <c r="J172" s="2972">
        <v>0</v>
      </c>
      <c r="K172" s="2972">
        <v>0</v>
      </c>
      <c r="L172" s="2972">
        <v>0</v>
      </c>
      <c r="M172" s="2905">
        <v>0</v>
      </c>
      <c r="N172" s="2899">
        <v>0</v>
      </c>
      <c r="O172" s="2857">
        <f t="shared" si="2"/>
        <v>1</v>
      </c>
      <c r="P172" s="1840">
        <v>0</v>
      </c>
      <c r="Q172" s="1843">
        <v>0</v>
      </c>
    </row>
    <row r="173" spans="1:17" ht="20.100000000000001" customHeight="1">
      <c r="A173" s="2850">
        <v>167</v>
      </c>
      <c r="B173" s="2851" t="s">
        <v>2161</v>
      </c>
      <c r="C173" s="2852" t="s">
        <v>2084</v>
      </c>
      <c r="D173" s="2893"/>
      <c r="E173" s="2868" t="s">
        <v>29</v>
      </c>
      <c r="F173" s="2894" t="s">
        <v>50</v>
      </c>
      <c r="G173" s="2913">
        <v>0</v>
      </c>
      <c r="H173" s="2913">
        <v>0</v>
      </c>
      <c r="I173" s="2909">
        <v>1</v>
      </c>
      <c r="J173" s="2913">
        <v>0</v>
      </c>
      <c r="K173" s="2913">
        <v>0</v>
      </c>
      <c r="L173" s="2913">
        <v>0</v>
      </c>
      <c r="M173" s="2896">
        <v>0</v>
      </c>
      <c r="N173" s="2915">
        <v>102.28</v>
      </c>
      <c r="O173" s="2857">
        <f t="shared" si="2"/>
        <v>1</v>
      </c>
      <c r="P173" s="1840">
        <v>0</v>
      </c>
      <c r="Q173" s="1845">
        <v>0</v>
      </c>
    </row>
    <row r="174" spans="1:17" ht="20.100000000000001" customHeight="1">
      <c r="A174" s="2858">
        <v>168</v>
      </c>
      <c r="B174" s="2851" t="s">
        <v>2161</v>
      </c>
      <c r="C174" s="2852" t="s">
        <v>2084</v>
      </c>
      <c r="D174" s="2859"/>
      <c r="E174" s="2859" t="s">
        <v>434</v>
      </c>
      <c r="F174" s="2917" t="s">
        <v>2118</v>
      </c>
      <c r="G174" s="2959">
        <v>0</v>
      </c>
      <c r="H174" s="2959">
        <v>0</v>
      </c>
      <c r="I174" s="2959">
        <v>0</v>
      </c>
      <c r="J174" s="2959">
        <v>0</v>
      </c>
      <c r="K174" s="2959">
        <v>0</v>
      </c>
      <c r="L174" s="2959">
        <v>0</v>
      </c>
      <c r="M174" s="2862">
        <v>56</v>
      </c>
      <c r="N174" s="3011">
        <v>0</v>
      </c>
      <c r="O174" s="2857">
        <f t="shared" si="2"/>
        <v>56</v>
      </c>
      <c r="P174" s="1836">
        <v>0</v>
      </c>
      <c r="Q174" s="1836">
        <v>0</v>
      </c>
    </row>
    <row r="175" spans="1:17" ht="20.100000000000001" customHeight="1">
      <c r="A175" s="2850">
        <v>169</v>
      </c>
      <c r="B175" s="2851" t="s">
        <v>2162</v>
      </c>
      <c r="C175" s="2852" t="s">
        <v>2084</v>
      </c>
      <c r="D175" s="2859"/>
      <c r="E175" s="2859" t="s">
        <v>442</v>
      </c>
      <c r="F175" s="2864" t="s">
        <v>2087</v>
      </c>
      <c r="G175" s="2865">
        <v>0</v>
      </c>
      <c r="H175" s="2865">
        <v>0</v>
      </c>
      <c r="I175" s="2865">
        <v>0</v>
      </c>
      <c r="J175" s="2865">
        <v>0</v>
      </c>
      <c r="K175" s="2865">
        <v>0</v>
      </c>
      <c r="L175" s="2865">
        <v>0</v>
      </c>
      <c r="M175" s="2865">
        <v>1</v>
      </c>
      <c r="N175" s="2866">
        <v>75000</v>
      </c>
      <c r="O175" s="2857">
        <f t="shared" si="2"/>
        <v>1</v>
      </c>
      <c r="P175" s="1840">
        <v>0</v>
      </c>
      <c r="Q175" s="1840">
        <v>0</v>
      </c>
    </row>
    <row r="176" spans="1:17" ht="20.100000000000001" customHeight="1">
      <c r="A176" s="2850">
        <v>170</v>
      </c>
      <c r="B176" s="2995" t="s">
        <v>2163</v>
      </c>
      <c r="C176" s="2852" t="s">
        <v>2084</v>
      </c>
      <c r="D176" s="2852"/>
      <c r="E176" s="2852" t="s">
        <v>1232</v>
      </c>
      <c r="F176" s="2888" t="s">
        <v>2085</v>
      </c>
      <c r="G176" s="2890">
        <v>0</v>
      </c>
      <c r="H176" s="2890">
        <v>0</v>
      </c>
      <c r="I176" s="2890">
        <v>0</v>
      </c>
      <c r="J176" s="2890">
        <v>0</v>
      </c>
      <c r="K176" s="2890">
        <v>0</v>
      </c>
      <c r="L176" s="2890">
        <v>0</v>
      </c>
      <c r="M176" s="2855">
        <v>1</v>
      </c>
      <c r="N176" s="2892">
        <v>59983.65</v>
      </c>
      <c r="O176" s="2857">
        <f t="shared" si="2"/>
        <v>1</v>
      </c>
      <c r="P176" s="1836">
        <v>0</v>
      </c>
      <c r="Q176" s="1836">
        <v>0</v>
      </c>
    </row>
    <row r="177" spans="1:17" ht="20.100000000000001" customHeight="1">
      <c r="A177" s="2858">
        <v>171</v>
      </c>
      <c r="B177" s="2995" t="s">
        <v>2163</v>
      </c>
      <c r="C177" s="2852" t="s">
        <v>2084</v>
      </c>
      <c r="D177" s="2965">
        <v>44206</v>
      </c>
      <c r="E177" s="2868" t="s">
        <v>29</v>
      </c>
      <c r="F177" s="2894" t="s">
        <v>49</v>
      </c>
      <c r="G177" s="2895">
        <v>0</v>
      </c>
      <c r="H177" s="2895">
        <v>0</v>
      </c>
      <c r="I177" s="2865">
        <v>1</v>
      </c>
      <c r="J177" s="2895">
        <v>0</v>
      </c>
      <c r="K177" s="2895">
        <v>0</v>
      </c>
      <c r="L177" s="2895">
        <v>0</v>
      </c>
      <c r="M177" s="2896">
        <v>0</v>
      </c>
      <c r="N177" s="2856">
        <v>40885958.770000003</v>
      </c>
      <c r="O177" s="2857">
        <f t="shared" si="2"/>
        <v>1</v>
      </c>
      <c r="P177" s="1840">
        <v>0</v>
      </c>
      <c r="Q177" s="1840">
        <v>0</v>
      </c>
    </row>
    <row r="178" spans="1:17" ht="20.100000000000001" customHeight="1">
      <c r="A178" s="2850">
        <v>172</v>
      </c>
      <c r="B178" s="2995" t="s">
        <v>2163</v>
      </c>
      <c r="C178" s="2852" t="s">
        <v>2084</v>
      </c>
      <c r="D178" s="2965">
        <v>44206</v>
      </c>
      <c r="E178" s="2868" t="s">
        <v>29</v>
      </c>
      <c r="F178" s="2894" t="s">
        <v>32</v>
      </c>
      <c r="G178" s="2900">
        <v>0</v>
      </c>
      <c r="H178" s="2900">
        <v>0</v>
      </c>
      <c r="I178" s="2865">
        <v>1</v>
      </c>
      <c r="J178" s="2900">
        <v>0</v>
      </c>
      <c r="K178" s="2900">
        <v>0</v>
      </c>
      <c r="L178" s="2900">
        <v>0</v>
      </c>
      <c r="M178" s="2934">
        <v>0</v>
      </c>
      <c r="N178" s="2856">
        <v>0.53</v>
      </c>
      <c r="O178" s="2857">
        <f t="shared" si="2"/>
        <v>1</v>
      </c>
      <c r="P178" s="1840">
        <v>0</v>
      </c>
      <c r="Q178" s="1840">
        <v>0</v>
      </c>
    </row>
    <row r="179" spans="1:17" ht="20.100000000000001" customHeight="1">
      <c r="A179" s="2850">
        <v>173</v>
      </c>
      <c r="B179" s="2995" t="s">
        <v>2163</v>
      </c>
      <c r="C179" s="2852" t="s">
        <v>2084</v>
      </c>
      <c r="D179" s="2893"/>
      <c r="E179" s="2868" t="s">
        <v>29</v>
      </c>
      <c r="F179" s="3012" t="s">
        <v>2164</v>
      </c>
      <c r="G179" s="2865">
        <v>0</v>
      </c>
      <c r="H179" s="2865">
        <v>0</v>
      </c>
      <c r="I179" s="2865">
        <v>1</v>
      </c>
      <c r="J179" s="2865">
        <v>0</v>
      </c>
      <c r="K179" s="2865">
        <v>0</v>
      </c>
      <c r="L179" s="2865">
        <v>0</v>
      </c>
      <c r="M179" s="2865">
        <v>0</v>
      </c>
      <c r="N179" s="2866">
        <v>457.53</v>
      </c>
      <c r="O179" s="2857">
        <f t="shared" si="2"/>
        <v>1</v>
      </c>
      <c r="P179" s="1840">
        <v>0</v>
      </c>
      <c r="Q179" s="1840">
        <v>0</v>
      </c>
    </row>
    <row r="180" spans="1:17" ht="20.100000000000001" customHeight="1">
      <c r="A180" s="2858">
        <v>174</v>
      </c>
      <c r="B180" s="2995" t="s">
        <v>2163</v>
      </c>
      <c r="C180" s="2852" t="s">
        <v>2084</v>
      </c>
      <c r="D180" s="2965">
        <v>44206</v>
      </c>
      <c r="E180" s="2868" t="s">
        <v>29</v>
      </c>
      <c r="F180" s="2894" t="s">
        <v>50</v>
      </c>
      <c r="G180" s="2913">
        <v>0</v>
      </c>
      <c r="H180" s="2913">
        <v>0</v>
      </c>
      <c r="I180" s="2865">
        <v>1</v>
      </c>
      <c r="J180" s="2913">
        <v>0</v>
      </c>
      <c r="K180" s="2913">
        <v>0</v>
      </c>
      <c r="L180" s="2913">
        <v>0</v>
      </c>
      <c r="M180" s="2896">
        <v>0</v>
      </c>
      <c r="N180" s="2915">
        <v>117.27</v>
      </c>
      <c r="O180" s="2857">
        <f t="shared" si="2"/>
        <v>1</v>
      </c>
      <c r="P180" s="1840">
        <v>0</v>
      </c>
      <c r="Q180" s="1845">
        <v>0</v>
      </c>
    </row>
    <row r="181" spans="1:17" ht="20.100000000000001" customHeight="1">
      <c r="A181" s="2850">
        <v>175</v>
      </c>
      <c r="B181" s="2995" t="s">
        <v>2163</v>
      </c>
      <c r="C181" s="2852" t="s">
        <v>2084</v>
      </c>
      <c r="D181" s="2916"/>
      <c r="E181" s="2868" t="s">
        <v>671</v>
      </c>
      <c r="F181" s="2917" t="s">
        <v>52</v>
      </c>
      <c r="G181" s="2918">
        <v>0</v>
      </c>
      <c r="H181" s="2918">
        <v>1048</v>
      </c>
      <c r="I181" s="2918">
        <v>0</v>
      </c>
      <c r="J181" s="2918">
        <v>0</v>
      </c>
      <c r="K181" s="2918">
        <v>0</v>
      </c>
      <c r="L181" s="2918">
        <v>0</v>
      </c>
      <c r="M181" s="2855">
        <v>0</v>
      </c>
      <c r="N181" s="2892">
        <v>0</v>
      </c>
      <c r="O181" s="2857">
        <f t="shared" si="2"/>
        <v>1048</v>
      </c>
      <c r="P181" s="1836">
        <v>0</v>
      </c>
      <c r="Q181" s="1846">
        <v>0</v>
      </c>
    </row>
    <row r="182" spans="1:17" ht="20.100000000000001" customHeight="1">
      <c r="A182" s="2850">
        <v>176</v>
      </c>
      <c r="B182" s="2995" t="s">
        <v>2163</v>
      </c>
      <c r="C182" s="2852" t="s">
        <v>2084</v>
      </c>
      <c r="D182" s="2916"/>
      <c r="E182" s="2868" t="s">
        <v>671</v>
      </c>
      <c r="F182" s="2917" t="s">
        <v>2090</v>
      </c>
      <c r="G182" s="2918">
        <v>88</v>
      </c>
      <c r="H182" s="2918">
        <v>0</v>
      </c>
      <c r="I182" s="2918">
        <v>0</v>
      </c>
      <c r="J182" s="2918"/>
      <c r="K182" s="2918"/>
      <c r="L182" s="2918"/>
      <c r="M182" s="2855"/>
      <c r="N182" s="2892"/>
      <c r="O182" s="2857">
        <f t="shared" si="2"/>
        <v>88</v>
      </c>
      <c r="P182" s="1836"/>
      <c r="Q182" s="1846"/>
    </row>
    <row r="183" spans="1:17" ht="20.100000000000001" customHeight="1">
      <c r="A183" s="2858">
        <v>177</v>
      </c>
      <c r="B183" s="2995" t="s">
        <v>2163</v>
      </c>
      <c r="C183" s="2852" t="s">
        <v>2084</v>
      </c>
      <c r="D183" s="2859" t="s">
        <v>100</v>
      </c>
      <c r="E183" s="2859" t="s">
        <v>442</v>
      </c>
      <c r="F183" s="2864" t="s">
        <v>2087</v>
      </c>
      <c r="G183" s="2865">
        <v>0</v>
      </c>
      <c r="H183" s="2865">
        <v>0</v>
      </c>
      <c r="I183" s="2865">
        <v>0</v>
      </c>
      <c r="J183" s="2865">
        <v>0</v>
      </c>
      <c r="K183" s="2865">
        <v>0</v>
      </c>
      <c r="L183" s="2865">
        <v>0</v>
      </c>
      <c r="M183" s="2865">
        <v>15</v>
      </c>
      <c r="N183" s="2866">
        <v>1935000</v>
      </c>
      <c r="O183" s="2857">
        <f t="shared" si="2"/>
        <v>15</v>
      </c>
      <c r="P183" s="1840">
        <v>0</v>
      </c>
      <c r="Q183" s="1840">
        <v>0</v>
      </c>
    </row>
    <row r="184" spans="1:17" ht="20.100000000000001" customHeight="1">
      <c r="A184" s="2850">
        <v>178</v>
      </c>
      <c r="B184" s="2851" t="s">
        <v>2165</v>
      </c>
      <c r="C184" s="2852" t="s">
        <v>2084</v>
      </c>
      <c r="D184" s="2916"/>
      <c r="E184" s="2852" t="s">
        <v>1232</v>
      </c>
      <c r="F184" s="2888" t="s">
        <v>2085</v>
      </c>
      <c r="G184" s="3013">
        <v>0</v>
      </c>
      <c r="H184" s="3013">
        <v>0</v>
      </c>
      <c r="I184" s="3014">
        <v>0</v>
      </c>
      <c r="J184" s="3015">
        <v>0</v>
      </c>
      <c r="K184" s="3013">
        <v>0</v>
      </c>
      <c r="L184" s="3016">
        <v>0</v>
      </c>
      <c r="M184" s="2994">
        <v>1</v>
      </c>
      <c r="N184" s="3017">
        <v>24270.57</v>
      </c>
      <c r="O184" s="2857">
        <f t="shared" si="2"/>
        <v>1</v>
      </c>
      <c r="P184" s="1836">
        <v>0</v>
      </c>
      <c r="Q184" s="434">
        <v>0</v>
      </c>
    </row>
    <row r="185" spans="1:17" ht="20.100000000000001" customHeight="1">
      <c r="A185" s="2850">
        <v>179</v>
      </c>
      <c r="B185" s="2851" t="s">
        <v>2165</v>
      </c>
      <c r="C185" s="2852" t="s">
        <v>2084</v>
      </c>
      <c r="D185" s="3018">
        <v>0</v>
      </c>
      <c r="E185" s="2868" t="s">
        <v>29</v>
      </c>
      <c r="F185" s="2894" t="s">
        <v>49</v>
      </c>
      <c r="G185" s="2982">
        <v>0</v>
      </c>
      <c r="H185" s="2982">
        <v>0</v>
      </c>
      <c r="I185" s="3019">
        <v>1</v>
      </c>
      <c r="J185" s="2982">
        <v>0</v>
      </c>
      <c r="K185" s="2982">
        <v>0</v>
      </c>
      <c r="L185" s="2982">
        <v>0</v>
      </c>
      <c r="M185" s="2994">
        <v>0</v>
      </c>
      <c r="N185" s="3020">
        <v>26132250.670000002</v>
      </c>
      <c r="O185" s="2857">
        <f t="shared" si="2"/>
        <v>1</v>
      </c>
      <c r="P185" s="452">
        <v>0</v>
      </c>
      <c r="Q185" s="452">
        <v>0</v>
      </c>
    </row>
    <row r="186" spans="1:17" ht="20.100000000000001" customHeight="1">
      <c r="A186" s="2858">
        <v>180</v>
      </c>
      <c r="B186" s="2851" t="s">
        <v>2165</v>
      </c>
      <c r="C186" s="2852" t="s">
        <v>2084</v>
      </c>
      <c r="D186" s="2916"/>
      <c r="E186" s="2852" t="s">
        <v>434</v>
      </c>
      <c r="F186" s="2853" t="s">
        <v>35</v>
      </c>
      <c r="G186" s="3021">
        <v>0</v>
      </c>
      <c r="H186" s="3021">
        <v>0</v>
      </c>
      <c r="I186" s="3021">
        <v>0</v>
      </c>
      <c r="J186" s="3021">
        <v>0</v>
      </c>
      <c r="K186" s="3022">
        <v>164</v>
      </c>
      <c r="L186" s="3021">
        <v>0</v>
      </c>
      <c r="M186" s="2994">
        <v>0</v>
      </c>
      <c r="N186" s="3020">
        <v>44780.45</v>
      </c>
      <c r="O186" s="2857">
        <f t="shared" si="2"/>
        <v>164</v>
      </c>
      <c r="P186" s="1836">
        <v>0</v>
      </c>
      <c r="Q186" s="1836">
        <v>0</v>
      </c>
    </row>
    <row r="187" spans="1:17" ht="20.100000000000001" customHeight="1">
      <c r="A187" s="2850">
        <v>181</v>
      </c>
      <c r="B187" s="2851" t="s">
        <v>2165</v>
      </c>
      <c r="C187" s="2852" t="s">
        <v>2084</v>
      </c>
      <c r="D187" s="2916"/>
      <c r="E187" s="2916" t="s">
        <v>29</v>
      </c>
      <c r="F187" s="2894" t="s">
        <v>2089</v>
      </c>
      <c r="G187" s="3023">
        <v>0</v>
      </c>
      <c r="H187" s="3023">
        <v>0</v>
      </c>
      <c r="I187" s="3024">
        <v>1</v>
      </c>
      <c r="J187" s="3023">
        <v>0</v>
      </c>
      <c r="K187" s="3023">
        <v>0</v>
      </c>
      <c r="L187" s="3023">
        <v>0</v>
      </c>
      <c r="M187" s="3023">
        <v>0</v>
      </c>
      <c r="N187" s="3025">
        <v>1582.09</v>
      </c>
      <c r="O187" s="2857">
        <f t="shared" si="2"/>
        <v>1</v>
      </c>
      <c r="P187" s="1840">
        <v>0</v>
      </c>
      <c r="Q187" s="1845">
        <v>0</v>
      </c>
    </row>
    <row r="188" spans="1:17" ht="20.100000000000001" customHeight="1">
      <c r="A188" s="2850">
        <v>182</v>
      </c>
      <c r="B188" s="2851" t="s">
        <v>2165</v>
      </c>
      <c r="C188" s="2852" t="s">
        <v>2084</v>
      </c>
      <c r="D188" s="2916"/>
      <c r="E188" s="2916" t="s">
        <v>29</v>
      </c>
      <c r="F188" s="2894" t="s">
        <v>675</v>
      </c>
      <c r="G188" s="3023">
        <v>0</v>
      </c>
      <c r="H188" s="3023">
        <v>0</v>
      </c>
      <c r="I188" s="3024">
        <v>1</v>
      </c>
      <c r="J188" s="3023">
        <v>0</v>
      </c>
      <c r="K188" s="3023">
        <v>0</v>
      </c>
      <c r="L188" s="3023">
        <v>0</v>
      </c>
      <c r="M188" s="3023">
        <v>0</v>
      </c>
      <c r="N188" s="3025">
        <v>27</v>
      </c>
      <c r="O188" s="2857">
        <f t="shared" si="2"/>
        <v>1</v>
      </c>
      <c r="P188" s="1840">
        <v>0</v>
      </c>
      <c r="Q188" s="1845">
        <v>0</v>
      </c>
    </row>
    <row r="189" spans="1:17" ht="20.100000000000001" customHeight="1">
      <c r="A189" s="2858">
        <v>183</v>
      </c>
      <c r="B189" s="2851" t="s">
        <v>2165</v>
      </c>
      <c r="C189" s="2852" t="s">
        <v>2084</v>
      </c>
      <c r="D189" s="2916"/>
      <c r="E189" s="2868" t="s">
        <v>671</v>
      </c>
      <c r="F189" s="2917" t="s">
        <v>2166</v>
      </c>
      <c r="G189" s="3026"/>
      <c r="H189" s="3026">
        <v>212</v>
      </c>
      <c r="I189" s="2982">
        <v>0</v>
      </c>
      <c r="J189" s="2982">
        <v>0</v>
      </c>
      <c r="K189" s="2982">
        <v>0</v>
      </c>
      <c r="L189" s="2982">
        <v>0</v>
      </c>
      <c r="M189" s="2994">
        <v>0</v>
      </c>
      <c r="N189" s="3020">
        <v>10600</v>
      </c>
      <c r="O189" s="2857">
        <f t="shared" si="2"/>
        <v>212</v>
      </c>
      <c r="P189" s="1836">
        <v>0</v>
      </c>
      <c r="Q189" s="1846">
        <v>0</v>
      </c>
    </row>
    <row r="190" spans="1:17" ht="20.100000000000001" customHeight="1">
      <c r="A190" s="2850">
        <v>184</v>
      </c>
      <c r="B190" s="2851" t="s">
        <v>2165</v>
      </c>
      <c r="C190" s="2852" t="s">
        <v>2084</v>
      </c>
      <c r="D190" s="2916"/>
      <c r="E190" s="2868" t="s">
        <v>671</v>
      </c>
      <c r="F190" s="2917" t="s">
        <v>2090</v>
      </c>
      <c r="G190" s="3026">
        <v>60</v>
      </c>
      <c r="H190" s="2982"/>
      <c r="I190" s="2982"/>
      <c r="J190" s="2982"/>
      <c r="K190" s="2982"/>
      <c r="L190" s="2982"/>
      <c r="M190" s="2994"/>
      <c r="N190" s="3027"/>
      <c r="O190" s="2857">
        <f t="shared" si="2"/>
        <v>60</v>
      </c>
      <c r="P190" s="1836"/>
      <c r="Q190" s="1846"/>
    </row>
    <row r="191" spans="1:17" ht="20.100000000000001" customHeight="1">
      <c r="A191" s="2850">
        <v>185</v>
      </c>
      <c r="B191" s="2851" t="s">
        <v>2165</v>
      </c>
      <c r="C191" s="2852" t="s">
        <v>2084</v>
      </c>
      <c r="D191" s="2916"/>
      <c r="E191" s="2916" t="s">
        <v>1118</v>
      </c>
      <c r="F191" s="3028" t="s">
        <v>2167</v>
      </c>
      <c r="G191" s="3013">
        <v>0</v>
      </c>
      <c r="H191" s="3013">
        <v>0</v>
      </c>
      <c r="I191" s="3013">
        <v>0</v>
      </c>
      <c r="J191" s="3013">
        <v>0</v>
      </c>
      <c r="K191" s="3013">
        <v>0</v>
      </c>
      <c r="L191" s="3013">
        <v>0</v>
      </c>
      <c r="M191" s="3029">
        <v>1</v>
      </c>
      <c r="N191" s="3030">
        <v>0</v>
      </c>
      <c r="O191" s="2857">
        <f t="shared" si="2"/>
        <v>1</v>
      </c>
      <c r="P191" s="1836">
        <v>0</v>
      </c>
      <c r="Q191" s="1846">
        <v>0</v>
      </c>
    </row>
    <row r="192" spans="1:17" ht="20.100000000000001" customHeight="1">
      <c r="A192" s="2858">
        <v>186</v>
      </c>
      <c r="B192" s="2851" t="s">
        <v>2165</v>
      </c>
      <c r="C192" s="2852" t="s">
        <v>2084</v>
      </c>
      <c r="D192" s="3031"/>
      <c r="E192" s="3031" t="s">
        <v>671</v>
      </c>
      <c r="F192" s="2939" t="s">
        <v>2168</v>
      </c>
      <c r="G192" s="3023">
        <v>0</v>
      </c>
      <c r="H192" s="3023">
        <v>0</v>
      </c>
      <c r="I192" s="3023">
        <v>0</v>
      </c>
      <c r="J192" s="3023">
        <v>0</v>
      </c>
      <c r="K192" s="3023">
        <v>0</v>
      </c>
      <c r="L192" s="3023">
        <v>0</v>
      </c>
      <c r="M192" s="3032">
        <v>1</v>
      </c>
      <c r="N192" s="3033">
        <v>0</v>
      </c>
      <c r="O192" s="2857">
        <f t="shared" si="2"/>
        <v>1</v>
      </c>
      <c r="P192" s="1840">
        <v>0</v>
      </c>
      <c r="Q192" s="1840">
        <v>0</v>
      </c>
    </row>
    <row r="193" spans="1:17" ht="20.100000000000001" customHeight="1">
      <c r="A193" s="2850">
        <v>187</v>
      </c>
      <c r="B193" s="2851" t="s">
        <v>2165</v>
      </c>
      <c r="C193" s="2852" t="s">
        <v>2084</v>
      </c>
      <c r="D193" s="3034"/>
      <c r="E193" s="3034" t="s">
        <v>434</v>
      </c>
      <c r="F193" s="2917" t="s">
        <v>2118</v>
      </c>
      <c r="G193" s="3035">
        <v>0</v>
      </c>
      <c r="H193" s="3035">
        <v>0</v>
      </c>
      <c r="I193" s="3035">
        <v>0</v>
      </c>
      <c r="J193" s="3035">
        <v>0</v>
      </c>
      <c r="K193" s="3035">
        <v>0</v>
      </c>
      <c r="L193" s="3035">
        <v>0</v>
      </c>
      <c r="M193" s="3036">
        <v>42</v>
      </c>
      <c r="N193" s="3030">
        <v>3950</v>
      </c>
      <c r="O193" s="2857">
        <f t="shared" si="2"/>
        <v>42</v>
      </c>
      <c r="P193" s="1836">
        <v>0</v>
      </c>
      <c r="Q193" s="1836">
        <v>0</v>
      </c>
    </row>
    <row r="194" spans="1:17" ht="20.100000000000001" customHeight="1">
      <c r="A194" s="2850">
        <v>188</v>
      </c>
      <c r="B194" s="2851" t="s">
        <v>2165</v>
      </c>
      <c r="C194" s="2852" t="s">
        <v>2084</v>
      </c>
      <c r="D194" s="3034"/>
      <c r="E194" s="3034" t="s">
        <v>2169</v>
      </c>
      <c r="F194" s="2939" t="s">
        <v>2170</v>
      </c>
      <c r="G194" s="3037">
        <v>0</v>
      </c>
      <c r="H194" s="3037">
        <v>0</v>
      </c>
      <c r="I194" s="3037">
        <v>0</v>
      </c>
      <c r="J194" s="3037">
        <v>0</v>
      </c>
      <c r="K194" s="3037">
        <v>0</v>
      </c>
      <c r="L194" s="3037">
        <v>0</v>
      </c>
      <c r="M194" s="3036">
        <v>4</v>
      </c>
      <c r="N194" s="3038">
        <v>0</v>
      </c>
      <c r="O194" s="2857">
        <f t="shared" si="2"/>
        <v>4</v>
      </c>
      <c r="P194" s="1836">
        <v>0</v>
      </c>
      <c r="Q194" s="1836">
        <v>0</v>
      </c>
    </row>
    <row r="195" spans="1:17" ht="20.100000000000001" customHeight="1">
      <c r="A195" s="2858">
        <v>189</v>
      </c>
      <c r="B195" s="2851" t="s">
        <v>2165</v>
      </c>
      <c r="C195" s="2852" t="s">
        <v>2084</v>
      </c>
      <c r="D195" s="3034"/>
      <c r="E195" s="2868" t="s">
        <v>29</v>
      </c>
      <c r="F195" s="2894" t="s">
        <v>992</v>
      </c>
      <c r="G195" s="3013">
        <v>0</v>
      </c>
      <c r="H195" s="3013">
        <v>0</v>
      </c>
      <c r="I195" s="3013">
        <v>1</v>
      </c>
      <c r="J195" s="3013">
        <v>0</v>
      </c>
      <c r="K195" s="3013">
        <v>0</v>
      </c>
      <c r="L195" s="3013">
        <v>0</v>
      </c>
      <c r="M195" s="3039">
        <v>0</v>
      </c>
      <c r="N195" s="3033">
        <v>27</v>
      </c>
      <c r="O195" s="2857">
        <f t="shared" si="2"/>
        <v>1</v>
      </c>
      <c r="P195" s="1840">
        <v>0</v>
      </c>
      <c r="Q195" s="1840">
        <v>0</v>
      </c>
    </row>
    <row r="196" spans="1:17" ht="20.100000000000001" customHeight="1">
      <c r="A196" s="2850">
        <v>190</v>
      </c>
      <c r="B196" s="2851" t="s">
        <v>2165</v>
      </c>
      <c r="C196" s="2852" t="s">
        <v>2084</v>
      </c>
      <c r="D196" s="3034"/>
      <c r="E196" s="2859" t="s">
        <v>442</v>
      </c>
      <c r="F196" s="2860" t="s">
        <v>2171</v>
      </c>
      <c r="G196" s="3035">
        <v>0</v>
      </c>
      <c r="H196" s="3035">
        <v>0</v>
      </c>
      <c r="I196" s="3035">
        <v>0</v>
      </c>
      <c r="J196" s="3035">
        <v>0</v>
      </c>
      <c r="K196" s="3035">
        <v>0</v>
      </c>
      <c r="L196" s="3035">
        <v>0</v>
      </c>
      <c r="M196" s="3036">
        <v>3</v>
      </c>
      <c r="N196" s="3040">
        <v>102000</v>
      </c>
      <c r="O196" s="2857">
        <f t="shared" si="2"/>
        <v>3</v>
      </c>
      <c r="P196" s="1836">
        <v>0</v>
      </c>
      <c r="Q196" s="1836">
        <v>0</v>
      </c>
    </row>
    <row r="197" spans="1:17" ht="20.100000000000001" customHeight="1">
      <c r="A197" s="2850">
        <v>191</v>
      </c>
      <c r="B197" s="2851" t="s">
        <v>2165</v>
      </c>
      <c r="C197" s="2852" t="s">
        <v>2084</v>
      </c>
      <c r="D197" s="3034"/>
      <c r="E197" s="2859" t="s">
        <v>442</v>
      </c>
      <c r="F197" s="2864" t="s">
        <v>2087</v>
      </c>
      <c r="G197" s="3023">
        <v>0</v>
      </c>
      <c r="H197" s="3023">
        <v>0</v>
      </c>
      <c r="I197" s="3023">
        <v>0</v>
      </c>
      <c r="J197" s="3023">
        <v>0</v>
      </c>
      <c r="K197" s="3023">
        <v>0</v>
      </c>
      <c r="L197" s="3023">
        <v>0</v>
      </c>
      <c r="M197" s="3023">
        <v>6</v>
      </c>
      <c r="N197" s="3038">
        <v>315000</v>
      </c>
      <c r="O197" s="2857">
        <f t="shared" si="2"/>
        <v>6</v>
      </c>
      <c r="P197" s="1840">
        <v>0</v>
      </c>
      <c r="Q197" s="1840">
        <v>0</v>
      </c>
    </row>
    <row r="198" spans="1:17" ht="20.100000000000001" customHeight="1">
      <c r="A198" s="2858">
        <v>192</v>
      </c>
      <c r="B198" s="2851" t="s">
        <v>2172</v>
      </c>
      <c r="C198" s="2852" t="s">
        <v>2084</v>
      </c>
      <c r="D198" s="2852"/>
      <c r="E198" s="2852" t="s">
        <v>1232</v>
      </c>
      <c r="F198" s="2888" t="s">
        <v>2085</v>
      </c>
      <c r="G198" s="2890">
        <v>0</v>
      </c>
      <c r="H198" s="2890">
        <v>0</v>
      </c>
      <c r="I198" s="2890">
        <v>0</v>
      </c>
      <c r="J198" s="2890">
        <v>0</v>
      </c>
      <c r="K198" s="2890">
        <v>0</v>
      </c>
      <c r="L198" s="2890">
        <v>0</v>
      </c>
      <c r="M198" s="2855">
        <v>1</v>
      </c>
      <c r="N198" s="2892">
        <v>40500</v>
      </c>
      <c r="O198" s="2857">
        <f t="shared" si="2"/>
        <v>1</v>
      </c>
      <c r="P198" s="1836">
        <v>0</v>
      </c>
      <c r="Q198" s="1836">
        <v>0</v>
      </c>
    </row>
    <row r="199" spans="1:17" ht="20.100000000000001" customHeight="1">
      <c r="A199" s="2850">
        <v>193</v>
      </c>
      <c r="B199" s="2851" t="s">
        <v>2172</v>
      </c>
      <c r="C199" s="2852" t="s">
        <v>2084</v>
      </c>
      <c r="D199" s="2893"/>
      <c r="E199" s="2868" t="s">
        <v>29</v>
      </c>
      <c r="F199" s="2894" t="s">
        <v>49</v>
      </c>
      <c r="G199" s="2895">
        <v>0</v>
      </c>
      <c r="H199" s="2895">
        <v>0</v>
      </c>
      <c r="I199" s="2896">
        <v>1</v>
      </c>
      <c r="J199" s="2895">
        <v>0</v>
      </c>
      <c r="K199" s="2895">
        <v>0</v>
      </c>
      <c r="L199" s="2895">
        <v>0</v>
      </c>
      <c r="M199" s="2896">
        <v>0</v>
      </c>
      <c r="N199" s="2856">
        <v>7597122.5999999996</v>
      </c>
      <c r="O199" s="2857">
        <f t="shared" si="2"/>
        <v>1</v>
      </c>
      <c r="P199" s="1840">
        <v>0</v>
      </c>
      <c r="Q199" s="1840">
        <v>0</v>
      </c>
    </row>
    <row r="200" spans="1:17" ht="20.100000000000001" customHeight="1">
      <c r="A200" s="2850">
        <v>194</v>
      </c>
      <c r="B200" s="2851" t="s">
        <v>2172</v>
      </c>
      <c r="C200" s="2852" t="s">
        <v>2084</v>
      </c>
      <c r="D200" s="2893"/>
      <c r="E200" s="2868" t="s">
        <v>29</v>
      </c>
      <c r="F200" s="2894" t="s">
        <v>32</v>
      </c>
      <c r="G200" s="2900">
        <v>0</v>
      </c>
      <c r="H200" s="2900">
        <v>0</v>
      </c>
      <c r="I200" s="2896">
        <v>1</v>
      </c>
      <c r="J200" s="2900">
        <v>0</v>
      </c>
      <c r="K200" s="2900">
        <v>0</v>
      </c>
      <c r="L200" s="2900">
        <v>0</v>
      </c>
      <c r="M200" s="2934">
        <v>0</v>
      </c>
      <c r="N200" s="2856">
        <v>0.45</v>
      </c>
      <c r="O200" s="2857">
        <f t="shared" ref="O200:O263" si="3">G200+H200+I200+J200+K200+L200+M200</f>
        <v>1</v>
      </c>
      <c r="P200" s="1840">
        <v>0</v>
      </c>
      <c r="Q200" s="1840">
        <v>0</v>
      </c>
    </row>
    <row r="201" spans="1:17" ht="20.100000000000001" customHeight="1">
      <c r="A201" s="2858">
        <v>195</v>
      </c>
      <c r="B201" s="2851" t="s">
        <v>2172</v>
      </c>
      <c r="C201" s="2852" t="s">
        <v>2084</v>
      </c>
      <c r="D201" s="2852"/>
      <c r="E201" s="2852" t="s">
        <v>434</v>
      </c>
      <c r="F201" s="2853" t="s">
        <v>35</v>
      </c>
      <c r="G201" s="2854">
        <v>0</v>
      </c>
      <c r="H201" s="2854">
        <v>0</v>
      </c>
      <c r="I201" s="2854">
        <v>0</v>
      </c>
      <c r="J201" s="2854">
        <v>0</v>
      </c>
      <c r="K201" s="2854">
        <v>146</v>
      </c>
      <c r="L201" s="2854">
        <v>0</v>
      </c>
      <c r="M201" s="2855">
        <v>0</v>
      </c>
      <c r="N201" s="2856">
        <v>170595.76</v>
      </c>
      <c r="O201" s="2857">
        <f t="shared" si="3"/>
        <v>146</v>
      </c>
      <c r="P201" s="1836">
        <v>0</v>
      </c>
      <c r="Q201" s="1836">
        <v>0</v>
      </c>
    </row>
    <row r="202" spans="1:17" ht="20.100000000000001" customHeight="1">
      <c r="A202" s="2850">
        <v>196</v>
      </c>
      <c r="B202" s="2851" t="s">
        <v>2172</v>
      </c>
      <c r="C202" s="2852" t="s">
        <v>2084</v>
      </c>
      <c r="D202" s="2852"/>
      <c r="E202" s="2852" t="s">
        <v>29</v>
      </c>
      <c r="F202" s="2853" t="s">
        <v>2173</v>
      </c>
      <c r="G202" s="2854">
        <v>0</v>
      </c>
      <c r="H202" s="2854">
        <v>0</v>
      </c>
      <c r="I202" s="2854">
        <v>0</v>
      </c>
      <c r="J202" s="2854">
        <v>0</v>
      </c>
      <c r="K202" s="2854">
        <v>0</v>
      </c>
      <c r="L202" s="2854">
        <v>0</v>
      </c>
      <c r="M202" s="2855">
        <v>1</v>
      </c>
      <c r="N202" s="2856">
        <v>1795015</v>
      </c>
      <c r="O202" s="2857">
        <f t="shared" si="3"/>
        <v>1</v>
      </c>
      <c r="P202" s="1836">
        <v>0</v>
      </c>
      <c r="Q202" s="1836">
        <v>0</v>
      </c>
    </row>
    <row r="203" spans="1:17" ht="20.100000000000001" customHeight="1">
      <c r="A203" s="2850">
        <v>197</v>
      </c>
      <c r="B203" s="2851" t="s">
        <v>2172</v>
      </c>
      <c r="C203" s="2852" t="s">
        <v>2084</v>
      </c>
      <c r="D203" s="2916"/>
      <c r="E203" s="2868" t="s">
        <v>671</v>
      </c>
      <c r="F203" s="2917" t="s">
        <v>52</v>
      </c>
      <c r="G203" s="2918">
        <v>0</v>
      </c>
      <c r="H203" s="2918">
        <v>1075</v>
      </c>
      <c r="I203" s="2918">
        <v>0</v>
      </c>
      <c r="J203" s="2918">
        <v>0</v>
      </c>
      <c r="K203" s="2918">
        <v>0</v>
      </c>
      <c r="L203" s="2918">
        <v>0</v>
      </c>
      <c r="M203" s="2855">
        <v>0</v>
      </c>
      <c r="N203" s="2892">
        <f>H203*50</f>
        <v>53750</v>
      </c>
      <c r="O203" s="2857">
        <f t="shared" si="3"/>
        <v>1075</v>
      </c>
      <c r="P203" s="1836">
        <v>0</v>
      </c>
      <c r="Q203" s="1846">
        <v>0</v>
      </c>
    </row>
    <row r="204" spans="1:17" ht="20.100000000000001" customHeight="1">
      <c r="A204" s="2858">
        <v>198</v>
      </c>
      <c r="B204" s="2851" t="s">
        <v>2172</v>
      </c>
      <c r="C204" s="2852" t="s">
        <v>2084</v>
      </c>
      <c r="D204" s="2916"/>
      <c r="E204" s="2868" t="s">
        <v>671</v>
      </c>
      <c r="F204" s="2917" t="s">
        <v>2090</v>
      </c>
      <c r="G204" s="2918">
        <v>133</v>
      </c>
      <c r="H204" s="2918">
        <v>0</v>
      </c>
      <c r="I204" s="2918"/>
      <c r="J204" s="2918"/>
      <c r="K204" s="2918"/>
      <c r="L204" s="2918"/>
      <c r="M204" s="2855"/>
      <c r="N204" s="2892"/>
      <c r="O204" s="2857">
        <f t="shared" si="3"/>
        <v>133</v>
      </c>
      <c r="P204" s="1836"/>
      <c r="Q204" s="1846"/>
    </row>
    <row r="205" spans="1:17" ht="20.100000000000001" customHeight="1">
      <c r="A205" s="2850">
        <v>199</v>
      </c>
      <c r="B205" s="2851" t="s">
        <v>2172</v>
      </c>
      <c r="C205" s="2852" t="s">
        <v>2084</v>
      </c>
      <c r="D205" s="2931"/>
      <c r="E205" s="2868" t="s">
        <v>29</v>
      </c>
      <c r="F205" s="2937" t="s">
        <v>2097</v>
      </c>
      <c r="G205" s="2865">
        <v>0</v>
      </c>
      <c r="H205" s="2865">
        <v>0</v>
      </c>
      <c r="I205" s="2865">
        <v>1</v>
      </c>
      <c r="J205" s="2865">
        <v>0</v>
      </c>
      <c r="K205" s="2865">
        <v>0</v>
      </c>
      <c r="L205" s="2865">
        <v>0</v>
      </c>
      <c r="M205" s="2865">
        <v>0</v>
      </c>
      <c r="N205" s="2866">
        <v>10340.469999999999</v>
      </c>
      <c r="O205" s="2857">
        <f t="shared" si="3"/>
        <v>1</v>
      </c>
      <c r="P205" s="1840">
        <v>0</v>
      </c>
      <c r="Q205" s="1840">
        <v>0</v>
      </c>
    </row>
    <row r="206" spans="1:17" ht="20.100000000000001" customHeight="1">
      <c r="A206" s="2850">
        <v>200</v>
      </c>
      <c r="B206" s="2851" t="s">
        <v>2174</v>
      </c>
      <c r="C206" s="2852" t="s">
        <v>2084</v>
      </c>
      <c r="D206" s="2916"/>
      <c r="E206" s="2852" t="s">
        <v>434</v>
      </c>
      <c r="F206" s="2853" t="s">
        <v>35</v>
      </c>
      <c r="G206" s="3021">
        <v>0</v>
      </c>
      <c r="H206" s="3021">
        <v>0</v>
      </c>
      <c r="I206" s="3021">
        <v>0</v>
      </c>
      <c r="J206" s="3021">
        <v>0</v>
      </c>
      <c r="K206" s="3021">
        <v>722</v>
      </c>
      <c r="L206" s="3021">
        <v>0</v>
      </c>
      <c r="M206" s="2994">
        <v>0</v>
      </c>
      <c r="N206" s="3020">
        <v>51220.85</v>
      </c>
      <c r="O206" s="2857">
        <f t="shared" si="3"/>
        <v>722</v>
      </c>
      <c r="P206" s="1839">
        <v>0</v>
      </c>
      <c r="Q206" s="1839">
        <v>0</v>
      </c>
    </row>
    <row r="207" spans="1:17" ht="20.100000000000001" customHeight="1">
      <c r="A207" s="2858">
        <v>201</v>
      </c>
      <c r="B207" s="2851" t="s">
        <v>2174</v>
      </c>
      <c r="C207" s="2852" t="s">
        <v>2084</v>
      </c>
      <c r="D207" s="3041"/>
      <c r="E207" s="2868" t="s">
        <v>29</v>
      </c>
      <c r="F207" s="3010" t="s">
        <v>50</v>
      </c>
      <c r="G207" s="3032">
        <v>0</v>
      </c>
      <c r="H207" s="3032">
        <v>0</v>
      </c>
      <c r="I207" s="3024">
        <v>1</v>
      </c>
      <c r="J207" s="3032">
        <v>0</v>
      </c>
      <c r="K207" s="3032">
        <v>0</v>
      </c>
      <c r="L207" s="3032">
        <v>0</v>
      </c>
      <c r="M207" s="2994">
        <v>0</v>
      </c>
      <c r="N207" s="3025">
        <v>840.83</v>
      </c>
      <c r="O207" s="2857">
        <f t="shared" si="3"/>
        <v>1</v>
      </c>
      <c r="P207" s="1838">
        <v>0</v>
      </c>
      <c r="Q207" s="1857">
        <v>0</v>
      </c>
    </row>
    <row r="208" spans="1:17" ht="20.100000000000001" customHeight="1">
      <c r="A208" s="2850">
        <v>202</v>
      </c>
      <c r="B208" s="2851" t="s">
        <v>2174</v>
      </c>
      <c r="C208" s="2852" t="s">
        <v>2084</v>
      </c>
      <c r="D208" s="3034"/>
      <c r="E208" s="2859" t="s">
        <v>442</v>
      </c>
      <c r="F208" s="2864" t="s">
        <v>2175</v>
      </c>
      <c r="G208" s="3042">
        <v>0</v>
      </c>
      <c r="H208" s="3042">
        <v>0</v>
      </c>
      <c r="I208" s="3042">
        <v>0</v>
      </c>
      <c r="J208" s="3042">
        <v>0</v>
      </c>
      <c r="K208" s="3042">
        <v>0</v>
      </c>
      <c r="L208" s="3042">
        <v>0</v>
      </c>
      <c r="M208" s="3043">
        <v>2</v>
      </c>
      <c r="N208" s="3020">
        <v>240000</v>
      </c>
      <c r="O208" s="2857">
        <f t="shared" si="3"/>
        <v>2</v>
      </c>
      <c r="P208" s="1839">
        <v>0</v>
      </c>
      <c r="Q208" s="1839">
        <v>0</v>
      </c>
    </row>
    <row r="209" spans="1:17" ht="20.100000000000001" customHeight="1">
      <c r="A209" s="2850">
        <v>203</v>
      </c>
      <c r="B209" s="2851" t="s">
        <v>2174</v>
      </c>
      <c r="C209" s="2852" t="s">
        <v>2084</v>
      </c>
      <c r="D209" s="3044">
        <v>0</v>
      </c>
      <c r="E209" s="2859" t="s">
        <v>442</v>
      </c>
      <c r="F209" s="2864" t="s">
        <v>2176</v>
      </c>
      <c r="G209" s="3023">
        <v>0</v>
      </c>
      <c r="H209" s="3023">
        <v>0</v>
      </c>
      <c r="I209" s="3023">
        <v>0</v>
      </c>
      <c r="J209" s="3023">
        <v>0</v>
      </c>
      <c r="K209" s="3023">
        <v>0</v>
      </c>
      <c r="L209" s="3023">
        <v>0</v>
      </c>
      <c r="M209" s="3043">
        <v>3</v>
      </c>
      <c r="N209" s="3020">
        <v>27100</v>
      </c>
      <c r="O209" s="2857">
        <f t="shared" si="3"/>
        <v>3</v>
      </c>
      <c r="P209" s="1839">
        <v>0</v>
      </c>
      <c r="Q209" s="1839">
        <v>0</v>
      </c>
    </row>
    <row r="210" spans="1:17" ht="20.100000000000001" customHeight="1">
      <c r="A210" s="2858">
        <v>204</v>
      </c>
      <c r="B210" s="2851" t="s">
        <v>2178</v>
      </c>
      <c r="C210" s="2852" t="s">
        <v>2084</v>
      </c>
      <c r="D210" s="3045" t="s">
        <v>2177</v>
      </c>
      <c r="E210" s="2852" t="s">
        <v>1232</v>
      </c>
      <c r="F210" s="2888" t="s">
        <v>2085</v>
      </c>
      <c r="G210" s="2890">
        <v>0</v>
      </c>
      <c r="H210" s="2890">
        <v>0</v>
      </c>
      <c r="I210" s="2890">
        <v>0</v>
      </c>
      <c r="J210" s="2890">
        <v>0</v>
      </c>
      <c r="K210" s="2890">
        <v>0</v>
      </c>
      <c r="L210" s="2890">
        <v>0</v>
      </c>
      <c r="M210" s="2855">
        <v>1</v>
      </c>
      <c r="N210" s="2892">
        <v>86051.25</v>
      </c>
      <c r="O210" s="2857">
        <f t="shared" si="3"/>
        <v>1</v>
      </c>
      <c r="P210" s="1836">
        <v>0</v>
      </c>
      <c r="Q210" s="434">
        <v>0</v>
      </c>
    </row>
    <row r="211" spans="1:17" ht="20.100000000000001" customHeight="1">
      <c r="A211" s="2850">
        <v>205</v>
      </c>
      <c r="B211" s="2851" t="s">
        <v>2178</v>
      </c>
      <c r="C211" s="2852" t="s">
        <v>2084</v>
      </c>
      <c r="D211" s="2893"/>
      <c r="E211" s="2868" t="s">
        <v>29</v>
      </c>
      <c r="F211" s="2894" t="s">
        <v>49</v>
      </c>
      <c r="G211" s="2895">
        <v>0</v>
      </c>
      <c r="H211" s="2895">
        <v>0</v>
      </c>
      <c r="I211" s="2896">
        <v>1</v>
      </c>
      <c r="J211" s="2895">
        <v>0</v>
      </c>
      <c r="K211" s="2895">
        <v>0</v>
      </c>
      <c r="L211" s="2895">
        <v>0</v>
      </c>
      <c r="M211" s="2896">
        <v>0</v>
      </c>
      <c r="N211" s="2892">
        <v>89677932.609999999</v>
      </c>
      <c r="O211" s="2857">
        <f t="shared" si="3"/>
        <v>1</v>
      </c>
      <c r="P211" s="1840">
        <v>0</v>
      </c>
      <c r="Q211" s="434">
        <v>0</v>
      </c>
    </row>
    <row r="212" spans="1:17" ht="20.100000000000001" customHeight="1">
      <c r="A212" s="2850">
        <v>206</v>
      </c>
      <c r="B212" s="2851" t="s">
        <v>2178</v>
      </c>
      <c r="C212" s="2852" t="s">
        <v>2084</v>
      </c>
      <c r="D212" s="2893"/>
      <c r="E212" s="2868" t="s">
        <v>29</v>
      </c>
      <c r="F212" s="2894" t="s">
        <v>32</v>
      </c>
      <c r="G212" s="2900">
        <v>0</v>
      </c>
      <c r="H212" s="2900">
        <v>0</v>
      </c>
      <c r="I212" s="2896">
        <v>1</v>
      </c>
      <c r="J212" s="2900">
        <v>0</v>
      </c>
      <c r="K212" s="2900">
        <v>0</v>
      </c>
      <c r="L212" s="2900">
        <v>0</v>
      </c>
      <c r="M212" s="2934">
        <v>0</v>
      </c>
      <c r="N212" s="3046">
        <v>104516.45</v>
      </c>
      <c r="O212" s="2857">
        <f t="shared" si="3"/>
        <v>1</v>
      </c>
      <c r="P212" s="1840">
        <v>0</v>
      </c>
      <c r="Q212" s="437">
        <v>0</v>
      </c>
    </row>
    <row r="213" spans="1:17" ht="20.100000000000001" customHeight="1">
      <c r="A213" s="2858">
        <v>207</v>
      </c>
      <c r="B213" s="2851" t="s">
        <v>2178</v>
      </c>
      <c r="C213" s="2852" t="s">
        <v>2084</v>
      </c>
      <c r="D213" s="2893"/>
      <c r="E213" s="2868" t="s">
        <v>29</v>
      </c>
      <c r="F213" s="2894" t="s">
        <v>50</v>
      </c>
      <c r="G213" s="2913">
        <v>0</v>
      </c>
      <c r="H213" s="2913">
        <v>0</v>
      </c>
      <c r="I213" s="2909">
        <v>1</v>
      </c>
      <c r="J213" s="2913">
        <v>0</v>
      </c>
      <c r="K213" s="2913">
        <v>0</v>
      </c>
      <c r="L213" s="2913">
        <v>0</v>
      </c>
      <c r="M213" s="2896">
        <v>0</v>
      </c>
      <c r="N213" s="3047">
        <v>276615.94</v>
      </c>
      <c r="O213" s="2857">
        <f t="shared" si="3"/>
        <v>1</v>
      </c>
      <c r="P213" s="1840">
        <v>0</v>
      </c>
      <c r="Q213" s="437">
        <v>0</v>
      </c>
    </row>
    <row r="214" spans="1:17" ht="20.100000000000001" customHeight="1">
      <c r="A214" s="2850">
        <v>208</v>
      </c>
      <c r="B214" s="2851" t="s">
        <v>2178</v>
      </c>
      <c r="C214" s="2852" t="s">
        <v>2084</v>
      </c>
      <c r="D214" s="2916"/>
      <c r="E214" s="2868" t="s">
        <v>671</v>
      </c>
      <c r="F214" s="2917" t="s">
        <v>52</v>
      </c>
      <c r="G214" s="2918">
        <v>0</v>
      </c>
      <c r="H214" s="2855">
        <v>1131</v>
      </c>
      <c r="I214" s="2918">
        <v>0</v>
      </c>
      <c r="J214" s="2918">
        <v>0</v>
      </c>
      <c r="K214" s="2918">
        <v>0</v>
      </c>
      <c r="L214" s="2918">
        <v>0</v>
      </c>
      <c r="M214" s="2855">
        <v>0</v>
      </c>
      <c r="N214" s="2892">
        <v>56550</v>
      </c>
      <c r="O214" s="2857">
        <f t="shared" si="3"/>
        <v>1131</v>
      </c>
      <c r="P214" s="1836">
        <v>0</v>
      </c>
      <c r="Q214" s="434">
        <v>0</v>
      </c>
    </row>
    <row r="215" spans="1:17" ht="20.100000000000001" customHeight="1">
      <c r="A215" s="2850">
        <v>209</v>
      </c>
      <c r="B215" s="2851" t="s">
        <v>2178</v>
      </c>
      <c r="C215" s="2852" t="s">
        <v>2084</v>
      </c>
      <c r="D215" s="2916"/>
      <c r="E215" s="2868" t="s">
        <v>671</v>
      </c>
      <c r="F215" s="2917" t="s">
        <v>2090</v>
      </c>
      <c r="G215" s="2918">
        <v>1043</v>
      </c>
      <c r="H215" s="2855">
        <v>0</v>
      </c>
      <c r="I215" s="2918"/>
      <c r="J215" s="2918"/>
      <c r="K215" s="2918"/>
      <c r="L215" s="2918"/>
      <c r="M215" s="2855"/>
      <c r="N215" s="2892"/>
      <c r="O215" s="2857">
        <f t="shared" si="3"/>
        <v>1043</v>
      </c>
      <c r="P215" s="1836"/>
      <c r="Q215" s="434"/>
    </row>
    <row r="216" spans="1:17" ht="20.100000000000001" customHeight="1">
      <c r="A216" s="2858">
        <v>210</v>
      </c>
      <c r="B216" s="2851" t="s">
        <v>2178</v>
      </c>
      <c r="C216" s="2852" t="s">
        <v>2084</v>
      </c>
      <c r="D216" s="2931"/>
      <c r="E216" s="2868" t="s">
        <v>29</v>
      </c>
      <c r="F216" s="2894" t="s">
        <v>992</v>
      </c>
      <c r="G216" s="2900">
        <v>0</v>
      </c>
      <c r="H216" s="2900">
        <v>0</v>
      </c>
      <c r="I216" s="2900">
        <v>1</v>
      </c>
      <c r="J216" s="2900">
        <v>0</v>
      </c>
      <c r="K216" s="2900">
        <v>0</v>
      </c>
      <c r="L216" s="2900">
        <v>0</v>
      </c>
      <c r="M216" s="2999">
        <v>0</v>
      </c>
      <c r="N216" s="2933">
        <v>12.5</v>
      </c>
      <c r="O216" s="2857">
        <f t="shared" si="3"/>
        <v>1</v>
      </c>
      <c r="P216" s="1840">
        <v>0</v>
      </c>
      <c r="Q216" s="1858">
        <v>0</v>
      </c>
    </row>
    <row r="217" spans="1:17" ht="20.100000000000001" customHeight="1">
      <c r="A217" s="2850">
        <v>211</v>
      </c>
      <c r="B217" s="2851" t="s">
        <v>2178</v>
      </c>
      <c r="C217" s="2852" t="s">
        <v>2084</v>
      </c>
      <c r="D217" s="2859"/>
      <c r="E217" s="2859" t="s">
        <v>442</v>
      </c>
      <c r="F217" s="2864" t="s">
        <v>2087</v>
      </c>
      <c r="G217" s="2865">
        <v>0</v>
      </c>
      <c r="H217" s="2865">
        <v>0</v>
      </c>
      <c r="I217" s="2865">
        <v>0</v>
      </c>
      <c r="J217" s="2865">
        <v>0</v>
      </c>
      <c r="K217" s="2865">
        <v>0</v>
      </c>
      <c r="L217" s="2865">
        <v>0</v>
      </c>
      <c r="M217" s="2865">
        <v>12</v>
      </c>
      <c r="N217" s="2949">
        <v>4671000</v>
      </c>
      <c r="O217" s="2857">
        <f t="shared" si="3"/>
        <v>12</v>
      </c>
      <c r="P217" s="1840">
        <v>0</v>
      </c>
      <c r="Q217" s="1840">
        <v>0</v>
      </c>
    </row>
    <row r="218" spans="1:17" ht="20.100000000000001" customHeight="1">
      <c r="A218" s="2850">
        <v>212</v>
      </c>
      <c r="B218" s="2851" t="s">
        <v>2179</v>
      </c>
      <c r="C218" s="2852" t="s">
        <v>2084</v>
      </c>
      <c r="D218" s="2893" t="s">
        <v>100</v>
      </c>
      <c r="E218" s="2893" t="s">
        <v>434</v>
      </c>
      <c r="F218" s="2917" t="s">
        <v>34</v>
      </c>
      <c r="G218" s="2904">
        <v>0</v>
      </c>
      <c r="H218" s="2904">
        <v>0</v>
      </c>
      <c r="I218" s="2904">
        <v>0</v>
      </c>
      <c r="J218" s="2936">
        <v>6</v>
      </c>
      <c r="K218" s="2904">
        <v>0</v>
      </c>
      <c r="L218" s="2904">
        <v>0</v>
      </c>
      <c r="M218" s="2855">
        <v>0</v>
      </c>
      <c r="N218" s="2856">
        <v>300</v>
      </c>
      <c r="O218" s="2857">
        <f t="shared" si="3"/>
        <v>6</v>
      </c>
      <c r="P218" s="1845">
        <v>0</v>
      </c>
      <c r="Q218" s="1836">
        <v>0</v>
      </c>
    </row>
    <row r="219" spans="1:17" ht="20.100000000000001" customHeight="1">
      <c r="A219" s="2858">
        <v>213</v>
      </c>
      <c r="B219" s="2851" t="s">
        <v>2179</v>
      </c>
      <c r="C219" s="2852" t="s">
        <v>2084</v>
      </c>
      <c r="D219" s="2893" t="s">
        <v>100</v>
      </c>
      <c r="E219" s="2868" t="s">
        <v>29</v>
      </c>
      <c r="F219" s="2894" t="s">
        <v>50</v>
      </c>
      <c r="G219" s="2913">
        <v>0</v>
      </c>
      <c r="H219" s="2913">
        <v>0</v>
      </c>
      <c r="I219" s="2909">
        <v>1</v>
      </c>
      <c r="J219" s="2913">
        <v>0</v>
      </c>
      <c r="K219" s="2913">
        <v>0</v>
      </c>
      <c r="L219" s="2913">
        <v>0</v>
      </c>
      <c r="M219" s="2896">
        <v>0</v>
      </c>
      <c r="N219" s="2915">
        <v>204.24</v>
      </c>
      <c r="O219" s="2857">
        <f t="shared" si="3"/>
        <v>1</v>
      </c>
      <c r="P219" s="1840">
        <v>0</v>
      </c>
      <c r="Q219" s="1845">
        <v>0</v>
      </c>
    </row>
    <row r="220" spans="1:17" ht="20.100000000000001" customHeight="1">
      <c r="A220" s="2850">
        <v>214</v>
      </c>
      <c r="B220" s="2851" t="s">
        <v>2179</v>
      </c>
      <c r="C220" s="2852" t="s">
        <v>2084</v>
      </c>
      <c r="D220" s="2859"/>
      <c r="E220" s="2859" t="s">
        <v>434</v>
      </c>
      <c r="F220" s="2917" t="s">
        <v>2118</v>
      </c>
      <c r="G220" s="2959">
        <v>0</v>
      </c>
      <c r="H220" s="2959">
        <v>0</v>
      </c>
      <c r="I220" s="2959">
        <v>0</v>
      </c>
      <c r="J220" s="2959">
        <v>0</v>
      </c>
      <c r="K220" s="2959">
        <v>0</v>
      </c>
      <c r="L220" s="2959">
        <v>0</v>
      </c>
      <c r="M220" s="2862">
        <v>138</v>
      </c>
      <c r="N220" s="2960">
        <v>174000</v>
      </c>
      <c r="O220" s="2857">
        <f t="shared" si="3"/>
        <v>138</v>
      </c>
      <c r="P220" s="1836">
        <v>0</v>
      </c>
      <c r="Q220" s="1836">
        <v>0</v>
      </c>
    </row>
    <row r="221" spans="1:17" ht="20.100000000000001" customHeight="1">
      <c r="A221" s="2850">
        <v>215</v>
      </c>
      <c r="B221" s="2851" t="s">
        <v>2179</v>
      </c>
      <c r="C221" s="2852" t="s">
        <v>2084</v>
      </c>
      <c r="D221" s="2859" t="s">
        <v>2180</v>
      </c>
      <c r="E221" s="2859" t="s">
        <v>442</v>
      </c>
      <c r="F221" s="2864" t="s">
        <v>2087</v>
      </c>
      <c r="G221" s="2865">
        <v>0</v>
      </c>
      <c r="H221" s="2865">
        <v>0</v>
      </c>
      <c r="I221" s="2865">
        <v>0</v>
      </c>
      <c r="J221" s="2865">
        <v>0</v>
      </c>
      <c r="K221" s="2865">
        <v>0</v>
      </c>
      <c r="L221" s="2865">
        <v>0</v>
      </c>
      <c r="M221" s="2865">
        <v>7</v>
      </c>
      <c r="N221" s="2866">
        <v>840400</v>
      </c>
      <c r="O221" s="2857">
        <f t="shared" si="3"/>
        <v>7</v>
      </c>
      <c r="P221" s="1840">
        <v>0</v>
      </c>
      <c r="Q221" s="1840">
        <v>0</v>
      </c>
    </row>
    <row r="222" spans="1:17" ht="20.100000000000001" customHeight="1">
      <c r="A222" s="2858">
        <v>216</v>
      </c>
      <c r="B222" s="2851" t="s">
        <v>2179</v>
      </c>
      <c r="C222" s="2852" t="s">
        <v>2084</v>
      </c>
      <c r="D222" s="2942" t="s">
        <v>2181</v>
      </c>
      <c r="E222" s="2859" t="s">
        <v>442</v>
      </c>
      <c r="F222" s="2864" t="s">
        <v>2105</v>
      </c>
      <c r="G222" s="2865">
        <v>0</v>
      </c>
      <c r="H222" s="2865">
        <v>0</v>
      </c>
      <c r="I222" s="2865">
        <v>0</v>
      </c>
      <c r="J222" s="2865">
        <v>0</v>
      </c>
      <c r="K222" s="2865">
        <v>0</v>
      </c>
      <c r="L222" s="2865">
        <v>0</v>
      </c>
      <c r="M222" s="2865">
        <v>5</v>
      </c>
      <c r="N222" s="2866">
        <v>107000</v>
      </c>
      <c r="O222" s="2857">
        <f t="shared" si="3"/>
        <v>5</v>
      </c>
      <c r="P222" s="1840">
        <v>0</v>
      </c>
      <c r="Q222" s="1840">
        <v>0</v>
      </c>
    </row>
    <row r="223" spans="1:17" ht="20.100000000000001" customHeight="1">
      <c r="A223" s="2850">
        <v>217</v>
      </c>
      <c r="B223" s="2851" t="s">
        <v>2182</v>
      </c>
      <c r="C223" s="2852" t="s">
        <v>2084</v>
      </c>
      <c r="D223" s="2852"/>
      <c r="E223" s="2852" t="s">
        <v>1232</v>
      </c>
      <c r="F223" s="2888" t="s">
        <v>2085</v>
      </c>
      <c r="G223" s="2890">
        <v>0</v>
      </c>
      <c r="H223" s="2890">
        <v>0</v>
      </c>
      <c r="I223" s="2890">
        <v>0</v>
      </c>
      <c r="J223" s="2890">
        <v>0</v>
      </c>
      <c r="K223" s="2890">
        <v>0</v>
      </c>
      <c r="L223" s="2890">
        <v>0</v>
      </c>
      <c r="M223" s="2855">
        <v>1</v>
      </c>
      <c r="N223" s="3048">
        <v>30918.68</v>
      </c>
      <c r="O223" s="2857">
        <f t="shared" si="3"/>
        <v>1</v>
      </c>
      <c r="P223" s="1836">
        <v>0</v>
      </c>
      <c r="Q223" s="1836">
        <v>0</v>
      </c>
    </row>
    <row r="224" spans="1:17" ht="20.100000000000001" customHeight="1">
      <c r="A224" s="2850">
        <v>218</v>
      </c>
      <c r="B224" s="2851" t="s">
        <v>2182</v>
      </c>
      <c r="C224" s="2852" t="s">
        <v>2084</v>
      </c>
      <c r="D224" s="2893"/>
      <c r="E224" s="2868" t="s">
        <v>29</v>
      </c>
      <c r="F224" s="2894" t="s">
        <v>49</v>
      </c>
      <c r="G224" s="2895">
        <v>0</v>
      </c>
      <c r="H224" s="2895">
        <v>0</v>
      </c>
      <c r="I224" s="2896">
        <v>1</v>
      </c>
      <c r="J224" s="2895">
        <v>0</v>
      </c>
      <c r="K224" s="2895">
        <v>0</v>
      </c>
      <c r="L224" s="2895">
        <v>0</v>
      </c>
      <c r="M224" s="2896">
        <v>0</v>
      </c>
      <c r="N224" s="2856">
        <v>108310521.59999999</v>
      </c>
      <c r="O224" s="2857">
        <f t="shared" si="3"/>
        <v>1</v>
      </c>
      <c r="P224" s="1840">
        <v>0</v>
      </c>
      <c r="Q224" s="1840">
        <v>0</v>
      </c>
    </row>
    <row r="225" spans="1:17" ht="20.100000000000001" customHeight="1">
      <c r="A225" s="2858">
        <v>219</v>
      </c>
      <c r="B225" s="2851" t="s">
        <v>2182</v>
      </c>
      <c r="C225" s="2852" t="s">
        <v>2084</v>
      </c>
      <c r="D225" s="2893"/>
      <c r="E225" s="2868" t="s">
        <v>29</v>
      </c>
      <c r="F225" s="2894" t="s">
        <v>32</v>
      </c>
      <c r="G225" s="2900">
        <v>0</v>
      </c>
      <c r="H225" s="2900">
        <v>0</v>
      </c>
      <c r="I225" s="2896">
        <v>1</v>
      </c>
      <c r="J225" s="2900">
        <v>0</v>
      </c>
      <c r="K225" s="2900">
        <v>0</v>
      </c>
      <c r="L225" s="2900">
        <v>0</v>
      </c>
      <c r="M225" s="2934">
        <v>0</v>
      </c>
      <c r="N225" s="2856">
        <v>126820.15</v>
      </c>
      <c r="O225" s="2857">
        <f t="shared" si="3"/>
        <v>1</v>
      </c>
      <c r="P225" s="1840">
        <v>0</v>
      </c>
      <c r="Q225" s="1840">
        <v>0</v>
      </c>
    </row>
    <row r="226" spans="1:17" ht="20.100000000000001" customHeight="1">
      <c r="A226" s="2850">
        <v>220</v>
      </c>
      <c r="B226" s="2851" t="s">
        <v>2182</v>
      </c>
      <c r="C226" s="2852" t="s">
        <v>2084</v>
      </c>
      <c r="D226" s="2852"/>
      <c r="E226" s="2852" t="s">
        <v>434</v>
      </c>
      <c r="F226" s="2853" t="s">
        <v>35</v>
      </c>
      <c r="G226" s="2854">
        <v>0</v>
      </c>
      <c r="H226" s="2854">
        <v>0</v>
      </c>
      <c r="I226" s="2854">
        <v>0</v>
      </c>
      <c r="J226" s="3049">
        <v>0</v>
      </c>
      <c r="K226" s="2854">
        <v>100</v>
      </c>
      <c r="L226" s="2854">
        <v>0</v>
      </c>
      <c r="M226" s="2855">
        <v>0</v>
      </c>
      <c r="N226" s="2856">
        <v>40756.5</v>
      </c>
      <c r="O226" s="2857">
        <f t="shared" si="3"/>
        <v>100</v>
      </c>
      <c r="P226" s="1836">
        <v>0</v>
      </c>
      <c r="Q226" s="1836">
        <v>0</v>
      </c>
    </row>
    <row r="227" spans="1:17" ht="20.100000000000001" customHeight="1">
      <c r="A227" s="2850">
        <v>221</v>
      </c>
      <c r="B227" s="2851" t="s">
        <v>2182</v>
      </c>
      <c r="C227" s="2852" t="s">
        <v>2084</v>
      </c>
      <c r="D227" s="2893"/>
      <c r="E227" s="2868" t="s">
        <v>29</v>
      </c>
      <c r="F227" s="2894" t="s">
        <v>50</v>
      </c>
      <c r="G227" s="2913">
        <v>0</v>
      </c>
      <c r="H227" s="2913">
        <v>0</v>
      </c>
      <c r="I227" s="2909">
        <v>1</v>
      </c>
      <c r="J227" s="2913">
        <v>0</v>
      </c>
      <c r="K227" s="2913">
        <v>0</v>
      </c>
      <c r="L227" s="2913">
        <v>0</v>
      </c>
      <c r="M227" s="2896">
        <v>0</v>
      </c>
      <c r="N227" s="2915">
        <v>70074.63</v>
      </c>
      <c r="O227" s="2857">
        <f t="shared" si="3"/>
        <v>1</v>
      </c>
      <c r="P227" s="1840">
        <v>0</v>
      </c>
      <c r="Q227" s="1845">
        <v>0</v>
      </c>
    </row>
    <row r="228" spans="1:17" ht="20.100000000000001" customHeight="1">
      <c r="A228" s="2858">
        <v>222</v>
      </c>
      <c r="B228" s="2851" t="s">
        <v>2182</v>
      </c>
      <c r="C228" s="2852" t="s">
        <v>2084</v>
      </c>
      <c r="D228" s="2916"/>
      <c r="E228" s="2868" t="s">
        <v>671</v>
      </c>
      <c r="F228" s="2917" t="s">
        <v>52</v>
      </c>
      <c r="G228" s="2918">
        <v>0</v>
      </c>
      <c r="H228" s="2918">
        <v>2163</v>
      </c>
      <c r="I228" s="2918">
        <v>0</v>
      </c>
      <c r="J228" s="2918">
        <v>0</v>
      </c>
      <c r="K228" s="2918">
        <v>0</v>
      </c>
      <c r="L228" s="2918">
        <v>0</v>
      </c>
      <c r="M228" s="2855">
        <v>0</v>
      </c>
      <c r="N228" s="2892">
        <v>108150</v>
      </c>
      <c r="O228" s="2857">
        <f t="shared" si="3"/>
        <v>2163</v>
      </c>
      <c r="P228" s="1836">
        <v>0</v>
      </c>
      <c r="Q228" s="1846">
        <v>0</v>
      </c>
    </row>
    <row r="229" spans="1:17" ht="20.100000000000001" customHeight="1">
      <c r="A229" s="2850">
        <v>223</v>
      </c>
      <c r="B229" s="2851" t="s">
        <v>2182</v>
      </c>
      <c r="C229" s="2852" t="s">
        <v>2084</v>
      </c>
      <c r="D229" s="2916"/>
      <c r="E229" s="2868" t="s">
        <v>671</v>
      </c>
      <c r="F229" s="2917" t="s">
        <v>2090</v>
      </c>
      <c r="G229" s="2918">
        <v>64</v>
      </c>
      <c r="H229" s="2918">
        <v>0</v>
      </c>
      <c r="I229" s="2918"/>
      <c r="J229" s="2918"/>
      <c r="K229" s="2918"/>
      <c r="L229" s="2918"/>
      <c r="M229" s="2855"/>
      <c r="N229" s="2892"/>
      <c r="O229" s="2857">
        <f t="shared" si="3"/>
        <v>64</v>
      </c>
      <c r="P229" s="1836"/>
      <c r="Q229" s="1846"/>
    </row>
    <row r="230" spans="1:17" ht="20.100000000000001" customHeight="1">
      <c r="A230" s="2850">
        <v>224</v>
      </c>
      <c r="B230" s="2851" t="s">
        <v>2182</v>
      </c>
      <c r="C230" s="2852" t="s">
        <v>2084</v>
      </c>
      <c r="D230" s="2931"/>
      <c r="E230" s="2868" t="s">
        <v>29</v>
      </c>
      <c r="F230" s="2937" t="s">
        <v>2097</v>
      </c>
      <c r="G230" s="2865">
        <v>0</v>
      </c>
      <c r="H230" s="2865">
        <v>0</v>
      </c>
      <c r="I230" s="2909">
        <v>1</v>
      </c>
      <c r="J230" s="2865">
        <v>0</v>
      </c>
      <c r="K230" s="2865">
        <v>0</v>
      </c>
      <c r="L230" s="2865">
        <v>0</v>
      </c>
      <c r="M230" s="2865">
        <v>0</v>
      </c>
      <c r="N230" s="2866">
        <v>54573378.270000003</v>
      </c>
      <c r="O230" s="2857">
        <f t="shared" si="3"/>
        <v>1</v>
      </c>
      <c r="P230" s="1840">
        <v>0</v>
      </c>
      <c r="Q230" s="1840">
        <v>0</v>
      </c>
    </row>
    <row r="231" spans="1:17" ht="20.100000000000001" customHeight="1">
      <c r="A231" s="2858">
        <v>225</v>
      </c>
      <c r="B231" s="2851" t="s">
        <v>2182</v>
      </c>
      <c r="C231" s="2852" t="s">
        <v>2084</v>
      </c>
      <c r="D231" s="2859"/>
      <c r="E231" s="2859" t="s">
        <v>1232</v>
      </c>
      <c r="F231" s="2917" t="s">
        <v>2183</v>
      </c>
      <c r="G231" s="2999">
        <v>0</v>
      </c>
      <c r="H231" s="2999">
        <v>0</v>
      </c>
      <c r="I231" s="2999">
        <v>0</v>
      </c>
      <c r="J231" s="2999">
        <v>0</v>
      </c>
      <c r="K231" s="2999">
        <v>0</v>
      </c>
      <c r="L231" s="2999">
        <v>0</v>
      </c>
      <c r="M231" s="3050">
        <v>1</v>
      </c>
      <c r="N231" s="2866">
        <v>100</v>
      </c>
      <c r="O231" s="2857">
        <f t="shared" si="3"/>
        <v>1</v>
      </c>
      <c r="P231" s="1840">
        <v>0</v>
      </c>
      <c r="Q231" s="1840">
        <v>0</v>
      </c>
    </row>
    <row r="232" spans="1:17" ht="20.100000000000001" customHeight="1">
      <c r="A232" s="2850">
        <v>226</v>
      </c>
      <c r="B232" s="2851" t="s">
        <v>2182</v>
      </c>
      <c r="C232" s="2852" t="s">
        <v>2084</v>
      </c>
      <c r="D232" s="2931"/>
      <c r="E232" s="2868" t="s">
        <v>29</v>
      </c>
      <c r="F232" s="2894" t="s">
        <v>992</v>
      </c>
      <c r="G232" s="2900">
        <v>0</v>
      </c>
      <c r="H232" s="2900">
        <v>0</v>
      </c>
      <c r="I232" s="2909">
        <v>1</v>
      </c>
      <c r="J232" s="2900">
        <v>0</v>
      </c>
      <c r="K232" s="2900">
        <v>0</v>
      </c>
      <c r="L232" s="2900">
        <v>0</v>
      </c>
      <c r="M232" s="2963">
        <v>0</v>
      </c>
      <c r="N232" s="2933">
        <v>11</v>
      </c>
      <c r="O232" s="2857">
        <f t="shared" si="3"/>
        <v>1</v>
      </c>
      <c r="P232" s="1840">
        <v>0</v>
      </c>
      <c r="Q232" s="1840">
        <v>0</v>
      </c>
    </row>
    <row r="233" spans="1:17" ht="20.100000000000001" customHeight="1">
      <c r="A233" s="2850">
        <v>227</v>
      </c>
      <c r="B233" s="2851" t="s">
        <v>2182</v>
      </c>
      <c r="C233" s="2852" t="s">
        <v>2084</v>
      </c>
      <c r="D233" s="2859"/>
      <c r="E233" s="2859" t="s">
        <v>442</v>
      </c>
      <c r="F233" s="2864" t="s">
        <v>2087</v>
      </c>
      <c r="G233" s="2865">
        <v>0</v>
      </c>
      <c r="H233" s="2865">
        <v>0</v>
      </c>
      <c r="I233" s="2865">
        <v>0</v>
      </c>
      <c r="J233" s="2865">
        <v>0</v>
      </c>
      <c r="K233" s="2865">
        <v>0</v>
      </c>
      <c r="L233" s="2865">
        <v>0</v>
      </c>
      <c r="M233" s="2909">
        <v>1</v>
      </c>
      <c r="N233" s="2866">
        <v>140000</v>
      </c>
      <c r="O233" s="2857">
        <f t="shared" si="3"/>
        <v>1</v>
      </c>
      <c r="P233" s="1859">
        <v>0</v>
      </c>
      <c r="Q233" s="1840">
        <v>0</v>
      </c>
    </row>
    <row r="234" spans="1:17" ht="20.100000000000001" customHeight="1">
      <c r="A234" s="2858">
        <v>228</v>
      </c>
      <c r="B234" s="3051" t="s">
        <v>2184</v>
      </c>
      <c r="C234" s="2852" t="s">
        <v>2084</v>
      </c>
      <c r="D234" s="2952" t="s">
        <v>100</v>
      </c>
      <c r="E234" s="2852" t="s">
        <v>1232</v>
      </c>
      <c r="F234" s="2888" t="s">
        <v>2085</v>
      </c>
      <c r="G234" s="2890">
        <v>0</v>
      </c>
      <c r="H234" s="2890">
        <v>0</v>
      </c>
      <c r="I234" s="2890">
        <v>0</v>
      </c>
      <c r="J234" s="2890">
        <v>0</v>
      </c>
      <c r="K234" s="2890">
        <v>0</v>
      </c>
      <c r="L234" s="2890">
        <v>0</v>
      </c>
      <c r="M234" s="2855">
        <v>1</v>
      </c>
      <c r="N234" s="2866">
        <v>16468.400000000001</v>
      </c>
      <c r="O234" s="2857">
        <f t="shared" si="3"/>
        <v>1</v>
      </c>
      <c r="P234" s="1836">
        <v>0</v>
      </c>
      <c r="Q234" s="1836">
        <v>0</v>
      </c>
    </row>
    <row r="235" spans="1:17" ht="20.100000000000001" customHeight="1">
      <c r="A235" s="2850">
        <v>229</v>
      </c>
      <c r="B235" s="3051" t="s">
        <v>2184</v>
      </c>
      <c r="C235" s="2852" t="s">
        <v>2084</v>
      </c>
      <c r="D235" s="2893"/>
      <c r="E235" s="2868" t="s">
        <v>29</v>
      </c>
      <c r="F235" s="2894" t="s">
        <v>49</v>
      </c>
      <c r="G235" s="2895">
        <v>0</v>
      </c>
      <c r="H235" s="2895">
        <v>0</v>
      </c>
      <c r="I235" s="2896">
        <v>1</v>
      </c>
      <c r="J235" s="2895">
        <v>0</v>
      </c>
      <c r="K235" s="2895">
        <v>0</v>
      </c>
      <c r="L235" s="2895">
        <v>0</v>
      </c>
      <c r="M235" s="2896">
        <v>0</v>
      </c>
      <c r="N235" s="2866">
        <v>10469267.68</v>
      </c>
      <c r="O235" s="2857">
        <f t="shared" si="3"/>
        <v>1</v>
      </c>
      <c r="P235" s="1840">
        <v>0</v>
      </c>
      <c r="Q235" s="1840">
        <v>0</v>
      </c>
    </row>
    <row r="236" spans="1:17" ht="20.100000000000001" customHeight="1">
      <c r="A236" s="2850">
        <v>230</v>
      </c>
      <c r="B236" s="3051" t="s">
        <v>2184</v>
      </c>
      <c r="C236" s="2852" t="s">
        <v>2084</v>
      </c>
      <c r="D236" s="2893"/>
      <c r="E236" s="2868" t="s">
        <v>29</v>
      </c>
      <c r="F236" s="2894" t="s">
        <v>32</v>
      </c>
      <c r="G236" s="2900">
        <v>0</v>
      </c>
      <c r="H236" s="2900">
        <v>0</v>
      </c>
      <c r="I236" s="2896">
        <v>1</v>
      </c>
      <c r="J236" s="2900">
        <v>0</v>
      </c>
      <c r="K236" s="2900">
        <v>0</v>
      </c>
      <c r="L236" s="2900">
        <v>0</v>
      </c>
      <c r="M236" s="2934">
        <v>0</v>
      </c>
      <c r="N236" s="2866">
        <v>0.52</v>
      </c>
      <c r="O236" s="2857">
        <f t="shared" si="3"/>
        <v>1</v>
      </c>
      <c r="P236" s="1840">
        <v>0</v>
      </c>
      <c r="Q236" s="1840">
        <v>0</v>
      </c>
    </row>
    <row r="237" spans="1:17" ht="20.100000000000001" customHeight="1">
      <c r="A237" s="2858">
        <v>231</v>
      </c>
      <c r="B237" s="3051" t="s">
        <v>2184</v>
      </c>
      <c r="C237" s="2852" t="s">
        <v>2084</v>
      </c>
      <c r="D237" s="2852"/>
      <c r="E237" s="2852" t="s">
        <v>434</v>
      </c>
      <c r="F237" s="2853" t="s">
        <v>35</v>
      </c>
      <c r="G237" s="2854">
        <v>0</v>
      </c>
      <c r="H237" s="2854">
        <v>0</v>
      </c>
      <c r="I237" s="2854">
        <v>0</v>
      </c>
      <c r="J237" s="2854">
        <v>0</v>
      </c>
      <c r="K237" s="2854">
        <v>220</v>
      </c>
      <c r="L237" s="2854">
        <v>0</v>
      </c>
      <c r="M237" s="2855">
        <v>0</v>
      </c>
      <c r="N237" s="2866">
        <v>822085.85</v>
      </c>
      <c r="O237" s="2857">
        <f t="shared" si="3"/>
        <v>220</v>
      </c>
      <c r="P237" s="1836">
        <v>0</v>
      </c>
      <c r="Q237" s="1836">
        <v>0</v>
      </c>
    </row>
    <row r="238" spans="1:17" ht="20.100000000000001" customHeight="1">
      <c r="A238" s="2850">
        <v>232</v>
      </c>
      <c r="B238" s="3051" t="s">
        <v>2184</v>
      </c>
      <c r="C238" s="2852" t="s">
        <v>2084</v>
      </c>
      <c r="D238" s="2916"/>
      <c r="E238" s="2868" t="s">
        <v>671</v>
      </c>
      <c r="F238" s="2917" t="s">
        <v>52</v>
      </c>
      <c r="G238" s="2918">
        <v>0</v>
      </c>
      <c r="H238" s="2918">
        <v>940</v>
      </c>
      <c r="I238" s="2918">
        <v>0</v>
      </c>
      <c r="J238" s="2918">
        <v>0</v>
      </c>
      <c r="K238" s="2918">
        <v>0</v>
      </c>
      <c r="L238" s="2918">
        <v>0</v>
      </c>
      <c r="M238" s="2855">
        <v>0</v>
      </c>
      <c r="N238" s="2892">
        <v>0</v>
      </c>
      <c r="O238" s="2857">
        <f t="shared" si="3"/>
        <v>940</v>
      </c>
      <c r="P238" s="1836">
        <v>0</v>
      </c>
      <c r="Q238" s="1846">
        <v>0</v>
      </c>
    </row>
    <row r="239" spans="1:17" ht="20.100000000000001" customHeight="1">
      <c r="A239" s="2850">
        <v>233</v>
      </c>
      <c r="B239" s="3051" t="s">
        <v>2184</v>
      </c>
      <c r="C239" s="2852" t="s">
        <v>2084</v>
      </c>
      <c r="D239" s="2916"/>
      <c r="E239" s="2868" t="s">
        <v>671</v>
      </c>
      <c r="F239" s="2917" t="s">
        <v>2090</v>
      </c>
      <c r="G239" s="2918">
        <v>68</v>
      </c>
      <c r="H239" s="2918">
        <v>0</v>
      </c>
      <c r="I239" s="2918"/>
      <c r="J239" s="2918"/>
      <c r="K239" s="2918"/>
      <c r="L239" s="2918"/>
      <c r="M239" s="2855"/>
      <c r="N239" s="2892"/>
      <c r="O239" s="2857">
        <f t="shared" si="3"/>
        <v>68</v>
      </c>
      <c r="P239" s="1836"/>
      <c r="Q239" s="1846"/>
    </row>
    <row r="240" spans="1:17" ht="20.100000000000001" customHeight="1">
      <c r="A240" s="2858">
        <v>234</v>
      </c>
      <c r="B240" s="2851" t="s">
        <v>2185</v>
      </c>
      <c r="C240" s="2852" t="s">
        <v>2084</v>
      </c>
      <c r="D240" s="2893"/>
      <c r="E240" s="2868" t="s">
        <v>29</v>
      </c>
      <c r="F240" s="2894" t="s">
        <v>49</v>
      </c>
      <c r="G240" s="2895">
        <v>0</v>
      </c>
      <c r="H240" s="2895">
        <v>0</v>
      </c>
      <c r="I240" s="2896">
        <v>1</v>
      </c>
      <c r="J240" s="2895">
        <v>0</v>
      </c>
      <c r="K240" s="2895">
        <v>0</v>
      </c>
      <c r="L240" s="2895">
        <v>0</v>
      </c>
      <c r="M240" s="2896">
        <v>0</v>
      </c>
      <c r="N240" s="2866">
        <v>876774.06</v>
      </c>
      <c r="O240" s="2857">
        <f t="shared" si="3"/>
        <v>1</v>
      </c>
      <c r="P240" s="1840">
        <v>0</v>
      </c>
      <c r="Q240" s="1840">
        <v>0</v>
      </c>
    </row>
    <row r="241" spans="1:17" ht="20.100000000000001" customHeight="1">
      <c r="A241" s="2850">
        <v>235</v>
      </c>
      <c r="B241" s="2851" t="s">
        <v>2185</v>
      </c>
      <c r="C241" s="2852" t="s">
        <v>2084</v>
      </c>
      <c r="D241" s="2893"/>
      <c r="E241" s="2868" t="s">
        <v>29</v>
      </c>
      <c r="F241" s="2894" t="s">
        <v>31</v>
      </c>
      <c r="G241" s="2972">
        <v>0</v>
      </c>
      <c r="H241" s="2972">
        <v>0</v>
      </c>
      <c r="I241" s="2862">
        <v>1</v>
      </c>
      <c r="J241" s="2972">
        <v>0</v>
      </c>
      <c r="K241" s="2972">
        <v>0</v>
      </c>
      <c r="L241" s="2972">
        <v>0</v>
      </c>
      <c r="M241" s="2905">
        <v>0</v>
      </c>
      <c r="N241" s="2866">
        <v>43.38</v>
      </c>
      <c r="O241" s="2857">
        <f t="shared" si="3"/>
        <v>1</v>
      </c>
      <c r="P241" s="1840">
        <v>0</v>
      </c>
      <c r="Q241" s="1840">
        <v>0</v>
      </c>
    </row>
    <row r="242" spans="1:17" ht="20.100000000000001" customHeight="1">
      <c r="A242" s="2850">
        <v>236</v>
      </c>
      <c r="B242" s="2851" t="s">
        <v>2185</v>
      </c>
      <c r="C242" s="2852" t="s">
        <v>2084</v>
      </c>
      <c r="D242" s="2893"/>
      <c r="E242" s="2868" t="s">
        <v>29</v>
      </c>
      <c r="F242" s="2894" t="s">
        <v>32</v>
      </c>
      <c r="G242" s="2900">
        <v>0</v>
      </c>
      <c r="H242" s="2900">
        <v>0</v>
      </c>
      <c r="I242" s="2896">
        <v>1</v>
      </c>
      <c r="J242" s="2900">
        <v>0</v>
      </c>
      <c r="K242" s="2900">
        <v>0</v>
      </c>
      <c r="L242" s="2900">
        <v>0</v>
      </c>
      <c r="M242" s="2934">
        <v>0</v>
      </c>
      <c r="N242" s="2866">
        <v>1799354</v>
      </c>
      <c r="O242" s="2857">
        <f t="shared" si="3"/>
        <v>1</v>
      </c>
      <c r="P242" s="1840">
        <v>0</v>
      </c>
      <c r="Q242" s="1840">
        <v>0</v>
      </c>
    </row>
    <row r="243" spans="1:17" ht="20.100000000000001" customHeight="1">
      <c r="A243" s="2858">
        <v>237</v>
      </c>
      <c r="B243" s="2851" t="s">
        <v>2185</v>
      </c>
      <c r="C243" s="2852" t="s">
        <v>2084</v>
      </c>
      <c r="D243" s="2931"/>
      <c r="E243" s="2868" t="s">
        <v>29</v>
      </c>
      <c r="F243" s="2937" t="s">
        <v>2097</v>
      </c>
      <c r="G243" s="2865">
        <v>0</v>
      </c>
      <c r="H243" s="2865">
        <v>0</v>
      </c>
      <c r="I243" s="2865">
        <v>1</v>
      </c>
      <c r="J243" s="2865">
        <v>0</v>
      </c>
      <c r="K243" s="2865">
        <v>0</v>
      </c>
      <c r="L243" s="2865">
        <v>0</v>
      </c>
      <c r="M243" s="2865">
        <v>0</v>
      </c>
      <c r="N243" s="2866">
        <v>2062397.17</v>
      </c>
      <c r="O243" s="2857">
        <f t="shared" si="3"/>
        <v>1</v>
      </c>
      <c r="P243" s="1840">
        <v>0</v>
      </c>
      <c r="Q243" s="1840">
        <v>0</v>
      </c>
    </row>
    <row r="244" spans="1:17" ht="20.100000000000001" customHeight="1">
      <c r="A244" s="2850">
        <v>238</v>
      </c>
      <c r="B244" s="2851" t="s">
        <v>2185</v>
      </c>
      <c r="C244" s="2852" t="s">
        <v>2084</v>
      </c>
      <c r="D244" s="2859"/>
      <c r="E244" s="2859" t="s">
        <v>1105</v>
      </c>
      <c r="F244" s="2958" t="s">
        <v>791</v>
      </c>
      <c r="G244" s="2959">
        <v>0</v>
      </c>
      <c r="H244" s="2959">
        <v>0</v>
      </c>
      <c r="I244" s="2959">
        <v>0</v>
      </c>
      <c r="J244" s="2959">
        <v>0</v>
      </c>
      <c r="K244" s="2959">
        <v>0</v>
      </c>
      <c r="L244" s="2959">
        <v>0</v>
      </c>
      <c r="M244" s="2862">
        <v>2</v>
      </c>
      <c r="N244" s="2949">
        <v>138712.81</v>
      </c>
      <c r="O244" s="2857">
        <f t="shared" si="3"/>
        <v>2</v>
      </c>
      <c r="P244" s="1836">
        <v>0</v>
      </c>
      <c r="Q244" s="1836">
        <v>0</v>
      </c>
    </row>
    <row r="245" spans="1:17" ht="20.100000000000001" customHeight="1">
      <c r="A245" s="2850">
        <v>239</v>
      </c>
      <c r="B245" s="2851" t="s">
        <v>2185</v>
      </c>
      <c r="C245" s="2852" t="s">
        <v>2084</v>
      </c>
      <c r="D245" s="2859"/>
      <c r="E245" s="2859" t="s">
        <v>29</v>
      </c>
      <c r="F245" s="2860" t="s">
        <v>2186</v>
      </c>
      <c r="G245" s="2861">
        <v>0</v>
      </c>
      <c r="H245" s="2861">
        <v>0</v>
      </c>
      <c r="I245" s="2861">
        <v>0</v>
      </c>
      <c r="J245" s="2861">
        <v>0</v>
      </c>
      <c r="K245" s="2861">
        <v>0</v>
      </c>
      <c r="L245" s="2861">
        <v>0</v>
      </c>
      <c r="M245" s="2862">
        <v>1</v>
      </c>
      <c r="N245" s="2949">
        <v>37800</v>
      </c>
      <c r="O245" s="2857">
        <f t="shared" si="3"/>
        <v>1</v>
      </c>
      <c r="P245" s="1836">
        <v>0</v>
      </c>
      <c r="Q245" s="1860">
        <v>0</v>
      </c>
    </row>
    <row r="246" spans="1:17" ht="20.100000000000001" customHeight="1">
      <c r="A246" s="2858">
        <v>240</v>
      </c>
      <c r="B246" s="2851" t="s">
        <v>2187</v>
      </c>
      <c r="C246" s="2852" t="s">
        <v>2084</v>
      </c>
      <c r="D246" s="2852"/>
      <c r="E246" s="2852" t="s">
        <v>1232</v>
      </c>
      <c r="F246" s="2888" t="s">
        <v>2085</v>
      </c>
      <c r="G246" s="2890">
        <v>0</v>
      </c>
      <c r="H246" s="2890">
        <v>0</v>
      </c>
      <c r="I246" s="2890">
        <v>0</v>
      </c>
      <c r="J246" s="2890">
        <v>0</v>
      </c>
      <c r="K246" s="2890">
        <v>0</v>
      </c>
      <c r="L246" s="2890">
        <v>0</v>
      </c>
      <c r="M246" s="2855">
        <v>1</v>
      </c>
      <c r="N246" s="2892">
        <v>159004.04</v>
      </c>
      <c r="O246" s="2857">
        <f t="shared" si="3"/>
        <v>1</v>
      </c>
      <c r="P246" s="1836">
        <v>0</v>
      </c>
      <c r="Q246" s="1836">
        <v>0</v>
      </c>
    </row>
    <row r="247" spans="1:17" ht="20.100000000000001" customHeight="1">
      <c r="A247" s="2850">
        <v>241</v>
      </c>
      <c r="B247" s="2851" t="s">
        <v>2187</v>
      </c>
      <c r="C247" s="2852" t="s">
        <v>2084</v>
      </c>
      <c r="D247" s="2893"/>
      <c r="E247" s="2868" t="s">
        <v>29</v>
      </c>
      <c r="F247" s="2894" t="s">
        <v>49</v>
      </c>
      <c r="G247" s="2895">
        <v>0</v>
      </c>
      <c r="H247" s="2895">
        <v>0</v>
      </c>
      <c r="I247" s="2896">
        <v>1</v>
      </c>
      <c r="J247" s="2895">
        <v>0</v>
      </c>
      <c r="K247" s="2895">
        <v>0</v>
      </c>
      <c r="L247" s="2895">
        <v>0</v>
      </c>
      <c r="M247" s="2896">
        <v>0</v>
      </c>
      <c r="N247" s="2856">
        <v>9305622.9800000004</v>
      </c>
      <c r="O247" s="2857">
        <f t="shared" si="3"/>
        <v>1</v>
      </c>
      <c r="P247" s="1840">
        <v>0</v>
      </c>
      <c r="Q247" s="1840">
        <v>0</v>
      </c>
    </row>
    <row r="248" spans="1:17" ht="20.100000000000001" customHeight="1">
      <c r="A248" s="2850">
        <v>242</v>
      </c>
      <c r="B248" s="2851" t="s">
        <v>2187</v>
      </c>
      <c r="C248" s="2852" t="s">
        <v>2084</v>
      </c>
      <c r="D248" s="2893"/>
      <c r="E248" s="2868" t="s">
        <v>29</v>
      </c>
      <c r="F248" s="2894" t="s">
        <v>32</v>
      </c>
      <c r="G248" s="2900">
        <v>0</v>
      </c>
      <c r="H248" s="2900">
        <v>0</v>
      </c>
      <c r="I248" s="2896">
        <v>1</v>
      </c>
      <c r="J248" s="2900">
        <v>0</v>
      </c>
      <c r="K248" s="2900">
        <v>0</v>
      </c>
      <c r="L248" s="2900">
        <v>0</v>
      </c>
      <c r="M248" s="2934">
        <v>0</v>
      </c>
      <c r="N248" s="2856">
        <v>27.99</v>
      </c>
      <c r="O248" s="2857">
        <f t="shared" si="3"/>
        <v>1</v>
      </c>
      <c r="P248" s="1840">
        <v>0</v>
      </c>
      <c r="Q248" s="1840">
        <v>0</v>
      </c>
    </row>
    <row r="249" spans="1:17" ht="20.100000000000001" customHeight="1">
      <c r="A249" s="2858">
        <v>243</v>
      </c>
      <c r="B249" s="2851" t="s">
        <v>2187</v>
      </c>
      <c r="C249" s="2852" t="s">
        <v>2084</v>
      </c>
      <c r="D249" s="2852"/>
      <c r="E249" s="2893" t="s">
        <v>434</v>
      </c>
      <c r="F249" s="2917" t="s">
        <v>34</v>
      </c>
      <c r="G249" s="2904">
        <v>0</v>
      </c>
      <c r="H249" s="2904">
        <v>0</v>
      </c>
      <c r="I249" s="2904">
        <v>0</v>
      </c>
      <c r="J249" s="2936">
        <v>16</v>
      </c>
      <c r="K249" s="2904">
        <v>0</v>
      </c>
      <c r="L249" s="2904">
        <v>0</v>
      </c>
      <c r="M249" s="2855">
        <v>0</v>
      </c>
      <c r="N249" s="2856">
        <v>800</v>
      </c>
      <c r="O249" s="2857">
        <f t="shared" si="3"/>
        <v>16</v>
      </c>
      <c r="P249" s="1845">
        <v>0</v>
      </c>
      <c r="Q249" s="1836">
        <v>0</v>
      </c>
    </row>
    <row r="250" spans="1:17" ht="20.100000000000001" customHeight="1">
      <c r="A250" s="2850">
        <v>244</v>
      </c>
      <c r="B250" s="2851" t="s">
        <v>2187</v>
      </c>
      <c r="C250" s="2852" t="s">
        <v>2084</v>
      </c>
      <c r="D250" s="2852"/>
      <c r="E250" s="2852" t="s">
        <v>434</v>
      </c>
      <c r="F250" s="2853" t="s">
        <v>35</v>
      </c>
      <c r="G250" s="2854">
        <v>0</v>
      </c>
      <c r="H250" s="2854">
        <v>0</v>
      </c>
      <c r="I250" s="2854">
        <v>0</v>
      </c>
      <c r="J250" s="2854">
        <v>0</v>
      </c>
      <c r="K250" s="2956">
        <v>57</v>
      </c>
      <c r="L250" s="2854">
        <v>0</v>
      </c>
      <c r="M250" s="2855">
        <v>0</v>
      </c>
      <c r="N250" s="2856">
        <v>3117.9</v>
      </c>
      <c r="O250" s="2857">
        <f t="shared" si="3"/>
        <v>57</v>
      </c>
      <c r="P250" s="1836">
        <v>0</v>
      </c>
      <c r="Q250" s="1836">
        <v>0</v>
      </c>
    </row>
    <row r="251" spans="1:17" ht="20.100000000000001" customHeight="1">
      <c r="A251" s="2850">
        <v>245</v>
      </c>
      <c r="B251" s="2851" t="s">
        <v>2187</v>
      </c>
      <c r="C251" s="2852" t="s">
        <v>2084</v>
      </c>
      <c r="D251" s="2893"/>
      <c r="E251" s="2868" t="s">
        <v>29</v>
      </c>
      <c r="F251" s="2894" t="s">
        <v>50</v>
      </c>
      <c r="G251" s="2913">
        <v>0</v>
      </c>
      <c r="H251" s="2913">
        <v>0</v>
      </c>
      <c r="I251" s="2909">
        <v>1</v>
      </c>
      <c r="J251" s="2913">
        <v>0</v>
      </c>
      <c r="K251" s="2913">
        <v>0</v>
      </c>
      <c r="L251" s="2913">
        <v>0</v>
      </c>
      <c r="M251" s="2896">
        <v>0</v>
      </c>
      <c r="N251" s="2915">
        <v>102015.03999999999</v>
      </c>
      <c r="O251" s="2857">
        <f t="shared" si="3"/>
        <v>1</v>
      </c>
      <c r="P251" s="1840">
        <v>0</v>
      </c>
      <c r="Q251" s="1845">
        <v>0</v>
      </c>
    </row>
    <row r="252" spans="1:17" ht="20.100000000000001" customHeight="1">
      <c r="A252" s="2858">
        <v>246</v>
      </c>
      <c r="B252" s="2851" t="s">
        <v>2187</v>
      </c>
      <c r="C252" s="2852" t="s">
        <v>2084</v>
      </c>
      <c r="D252" s="2893"/>
      <c r="E252" s="2868" t="s">
        <v>671</v>
      </c>
      <c r="F252" s="3052" t="s">
        <v>52</v>
      </c>
      <c r="G252" s="3053"/>
      <c r="H252" s="3053">
        <v>724</v>
      </c>
      <c r="I252" s="3054">
        <v>0</v>
      </c>
      <c r="J252" s="3053">
        <v>0</v>
      </c>
      <c r="K252" s="3053">
        <v>0</v>
      </c>
      <c r="L252" s="3053">
        <v>0</v>
      </c>
      <c r="M252" s="3055">
        <v>0</v>
      </c>
      <c r="N252" s="3056">
        <v>0</v>
      </c>
      <c r="O252" s="2857">
        <f t="shared" si="3"/>
        <v>724</v>
      </c>
      <c r="P252" s="1840">
        <v>0</v>
      </c>
      <c r="Q252" s="1861">
        <v>0</v>
      </c>
    </row>
    <row r="253" spans="1:17" ht="20.100000000000001" customHeight="1">
      <c r="A253" s="2850">
        <v>247</v>
      </c>
      <c r="B253" s="2851" t="s">
        <v>2187</v>
      </c>
      <c r="C253" s="2852" t="s">
        <v>2084</v>
      </c>
      <c r="D253" s="2893"/>
      <c r="E253" s="2868" t="s">
        <v>671</v>
      </c>
      <c r="F253" s="3052" t="s">
        <v>2090</v>
      </c>
      <c r="G253" s="3053">
        <v>18</v>
      </c>
      <c r="H253" s="3053">
        <v>0</v>
      </c>
      <c r="I253" s="3054"/>
      <c r="J253" s="3053"/>
      <c r="K253" s="3053"/>
      <c r="L253" s="3053"/>
      <c r="M253" s="3057"/>
      <c r="N253" s="3056"/>
      <c r="O253" s="2857">
        <f t="shared" si="3"/>
        <v>18</v>
      </c>
      <c r="P253" s="1840"/>
      <c r="Q253" s="1861"/>
    </row>
    <row r="254" spans="1:17" ht="20.100000000000001" customHeight="1">
      <c r="A254" s="2850">
        <v>248</v>
      </c>
      <c r="B254" s="2851" t="s">
        <v>2187</v>
      </c>
      <c r="C254" s="2852" t="s">
        <v>2084</v>
      </c>
      <c r="D254" s="3058"/>
      <c r="E254" s="2868" t="s">
        <v>29</v>
      </c>
      <c r="F254" s="2894" t="s">
        <v>207</v>
      </c>
      <c r="G254" s="2861">
        <v>0</v>
      </c>
      <c r="H254" s="2861">
        <v>0</v>
      </c>
      <c r="I254" s="2905">
        <v>1</v>
      </c>
      <c r="J254" s="2861">
        <v>0</v>
      </c>
      <c r="K254" s="2934">
        <v>0</v>
      </c>
      <c r="L254" s="2861">
        <v>0</v>
      </c>
      <c r="M254" s="2963">
        <v>0</v>
      </c>
      <c r="N254" s="2993">
        <v>-362726.08</v>
      </c>
      <c r="O254" s="2857">
        <f t="shared" si="3"/>
        <v>1</v>
      </c>
      <c r="P254" s="1840">
        <v>0</v>
      </c>
      <c r="Q254" s="1845">
        <v>0</v>
      </c>
    </row>
    <row r="255" spans="1:17" ht="20.100000000000001" customHeight="1">
      <c r="A255" s="2858">
        <v>249</v>
      </c>
      <c r="B255" s="2851" t="s">
        <v>2187</v>
      </c>
      <c r="C255" s="2852" t="s">
        <v>2084</v>
      </c>
      <c r="D255" s="2931"/>
      <c r="E255" s="2868" t="s">
        <v>29</v>
      </c>
      <c r="F255" s="2894" t="s">
        <v>992</v>
      </c>
      <c r="G255" s="2900">
        <v>0</v>
      </c>
      <c r="H255" s="2900">
        <v>0</v>
      </c>
      <c r="I255" s="2900">
        <v>1</v>
      </c>
      <c r="J255" s="2900">
        <v>0</v>
      </c>
      <c r="K255" s="2900">
        <v>0</v>
      </c>
      <c r="L255" s="2900">
        <v>0</v>
      </c>
      <c r="M255" s="2999">
        <v>0</v>
      </c>
      <c r="N255" s="2933">
        <v>84</v>
      </c>
      <c r="O255" s="2857">
        <f t="shared" si="3"/>
        <v>1</v>
      </c>
      <c r="P255" s="1840">
        <v>0</v>
      </c>
      <c r="Q255" s="1840">
        <v>0</v>
      </c>
    </row>
    <row r="256" spans="1:17" ht="20.100000000000001" customHeight="1">
      <c r="A256" s="2850">
        <v>250</v>
      </c>
      <c r="B256" s="2851" t="s">
        <v>2187</v>
      </c>
      <c r="C256" s="2852" t="s">
        <v>2084</v>
      </c>
      <c r="D256" s="2859"/>
      <c r="E256" s="2859" t="s">
        <v>29</v>
      </c>
      <c r="F256" s="2864" t="s">
        <v>2188</v>
      </c>
      <c r="G256" s="2890">
        <v>0</v>
      </c>
      <c r="H256" s="2890">
        <v>0</v>
      </c>
      <c r="I256" s="2890">
        <v>0</v>
      </c>
      <c r="J256" s="2890">
        <v>0</v>
      </c>
      <c r="K256" s="2890">
        <v>0</v>
      </c>
      <c r="L256" s="2890">
        <v>0</v>
      </c>
      <c r="M256" s="3059">
        <v>1</v>
      </c>
      <c r="N256" s="3060">
        <v>-4575.92</v>
      </c>
      <c r="O256" s="2857">
        <f t="shared" si="3"/>
        <v>1</v>
      </c>
      <c r="P256" s="1836">
        <v>0</v>
      </c>
      <c r="Q256" s="1836">
        <v>0</v>
      </c>
    </row>
    <row r="257" spans="1:17" ht="20.100000000000001" customHeight="1">
      <c r="A257" s="2850">
        <v>251</v>
      </c>
      <c r="B257" s="2851" t="s">
        <v>2187</v>
      </c>
      <c r="C257" s="2852" t="s">
        <v>2084</v>
      </c>
      <c r="D257" s="2859"/>
      <c r="E257" s="2859" t="s">
        <v>442</v>
      </c>
      <c r="F257" s="2864" t="s">
        <v>2087</v>
      </c>
      <c r="G257" s="2865">
        <v>0</v>
      </c>
      <c r="H257" s="2865">
        <v>0</v>
      </c>
      <c r="I257" s="2865">
        <v>0</v>
      </c>
      <c r="J257" s="2865">
        <v>0</v>
      </c>
      <c r="K257" s="2865">
        <v>0</v>
      </c>
      <c r="L257" s="2865">
        <v>0</v>
      </c>
      <c r="M257" s="2865">
        <v>7</v>
      </c>
      <c r="N257" s="2866">
        <v>1114460</v>
      </c>
      <c r="O257" s="2857">
        <f t="shared" si="3"/>
        <v>7</v>
      </c>
      <c r="P257" s="1840">
        <v>0</v>
      </c>
      <c r="Q257" s="1840">
        <v>0</v>
      </c>
    </row>
    <row r="258" spans="1:17" ht="20.100000000000001" customHeight="1">
      <c r="A258" s="2858">
        <v>252</v>
      </c>
      <c r="B258" s="2851" t="s">
        <v>2189</v>
      </c>
      <c r="C258" s="2852" t="s">
        <v>2084</v>
      </c>
      <c r="D258" s="2852"/>
      <c r="E258" s="2852" t="s">
        <v>1232</v>
      </c>
      <c r="F258" s="2888" t="s">
        <v>2085</v>
      </c>
      <c r="G258" s="2890">
        <v>0</v>
      </c>
      <c r="H258" s="3061">
        <v>0</v>
      </c>
      <c r="I258" s="3061">
        <v>0</v>
      </c>
      <c r="J258" s="3061">
        <v>0</v>
      </c>
      <c r="K258" s="3061">
        <v>0</v>
      </c>
      <c r="L258" s="3061">
        <v>0</v>
      </c>
      <c r="M258" s="2908">
        <v>1</v>
      </c>
      <c r="N258" s="3062">
        <v>3800</v>
      </c>
      <c r="O258" s="2857">
        <f t="shared" si="3"/>
        <v>1</v>
      </c>
      <c r="P258" s="1836">
        <v>0</v>
      </c>
      <c r="Q258" s="1836">
        <v>0</v>
      </c>
    </row>
    <row r="259" spans="1:17" ht="20.100000000000001" customHeight="1">
      <c r="A259" s="2850">
        <v>253</v>
      </c>
      <c r="B259" s="2851" t="s">
        <v>2189</v>
      </c>
      <c r="C259" s="2852" t="s">
        <v>2084</v>
      </c>
      <c r="D259" s="2893"/>
      <c r="E259" s="2868" t="s">
        <v>29</v>
      </c>
      <c r="F259" s="2894" t="s">
        <v>49</v>
      </c>
      <c r="G259" s="2895">
        <v>0</v>
      </c>
      <c r="H259" s="2983">
        <v>0</v>
      </c>
      <c r="I259" s="2898">
        <v>1</v>
      </c>
      <c r="J259" s="2983">
        <v>0</v>
      </c>
      <c r="K259" s="2983">
        <v>0</v>
      </c>
      <c r="L259" s="2983">
        <v>0</v>
      </c>
      <c r="M259" s="2898">
        <v>0</v>
      </c>
      <c r="N259" s="2996">
        <v>24996607.350000001</v>
      </c>
      <c r="O259" s="2857">
        <f t="shared" si="3"/>
        <v>1</v>
      </c>
      <c r="P259" s="1840">
        <v>0</v>
      </c>
      <c r="Q259" s="1840">
        <v>0</v>
      </c>
    </row>
    <row r="260" spans="1:17" ht="20.100000000000001" customHeight="1">
      <c r="A260" s="2850">
        <v>254</v>
      </c>
      <c r="B260" s="2851" t="s">
        <v>2189</v>
      </c>
      <c r="C260" s="2852" t="s">
        <v>2084</v>
      </c>
      <c r="D260" s="2893"/>
      <c r="E260" s="2868" t="s">
        <v>29</v>
      </c>
      <c r="F260" s="2894" t="s">
        <v>32</v>
      </c>
      <c r="G260" s="2861">
        <v>0</v>
      </c>
      <c r="H260" s="3063">
        <v>0</v>
      </c>
      <c r="I260" s="2898">
        <v>1</v>
      </c>
      <c r="J260" s="3063">
        <v>0</v>
      </c>
      <c r="K260" s="3063">
        <v>0</v>
      </c>
      <c r="L260" s="3063">
        <v>0</v>
      </c>
      <c r="M260" s="2902">
        <v>0</v>
      </c>
      <c r="N260" s="2996">
        <v>0.79</v>
      </c>
      <c r="O260" s="2857">
        <f t="shared" si="3"/>
        <v>1</v>
      </c>
      <c r="P260" s="1840">
        <v>0</v>
      </c>
      <c r="Q260" s="1840">
        <v>0</v>
      </c>
    </row>
    <row r="261" spans="1:17" ht="20.100000000000001" customHeight="1">
      <c r="A261" s="2858">
        <v>255</v>
      </c>
      <c r="B261" s="2851" t="s">
        <v>2189</v>
      </c>
      <c r="C261" s="2852" t="s">
        <v>2084</v>
      </c>
      <c r="D261" s="2852"/>
      <c r="E261" s="2852" t="s">
        <v>1105</v>
      </c>
      <c r="F261" s="2903" t="s">
        <v>2190</v>
      </c>
      <c r="G261" s="2904">
        <v>0</v>
      </c>
      <c r="H261" s="2956">
        <v>0</v>
      </c>
      <c r="I261" s="2956">
        <v>0</v>
      </c>
      <c r="J261" s="2964">
        <v>0</v>
      </c>
      <c r="K261" s="2956">
        <v>0</v>
      </c>
      <c r="L261" s="2956">
        <v>0</v>
      </c>
      <c r="M261" s="3064">
        <v>1</v>
      </c>
      <c r="N261" s="3062">
        <v>47032.24</v>
      </c>
      <c r="O261" s="2857">
        <f t="shared" si="3"/>
        <v>1</v>
      </c>
      <c r="P261" s="1836">
        <v>0</v>
      </c>
      <c r="Q261" s="1836">
        <v>0</v>
      </c>
    </row>
    <row r="262" spans="1:17" ht="20.100000000000001" customHeight="1">
      <c r="A262" s="2850">
        <v>256</v>
      </c>
      <c r="B262" s="2851" t="s">
        <v>2189</v>
      </c>
      <c r="C262" s="2852" t="s">
        <v>2084</v>
      </c>
      <c r="D262" s="2852"/>
      <c r="E262" s="2852" t="s">
        <v>434</v>
      </c>
      <c r="F262" s="2853" t="s">
        <v>35</v>
      </c>
      <c r="G262" s="2854">
        <v>0</v>
      </c>
      <c r="H262" s="2956">
        <v>0</v>
      </c>
      <c r="I262" s="2956">
        <v>0</v>
      </c>
      <c r="J262" s="2956">
        <v>0</v>
      </c>
      <c r="K262" s="2908">
        <v>266</v>
      </c>
      <c r="L262" s="2956">
        <v>0</v>
      </c>
      <c r="M262" s="3065">
        <v>0</v>
      </c>
      <c r="N262" s="2996">
        <v>43656.67</v>
      </c>
      <c r="O262" s="2857">
        <f t="shared" si="3"/>
        <v>266</v>
      </c>
      <c r="P262" s="1836">
        <v>0</v>
      </c>
      <c r="Q262" s="1836">
        <v>0</v>
      </c>
    </row>
    <row r="263" spans="1:17" ht="20.100000000000001" customHeight="1">
      <c r="A263" s="2850">
        <v>257</v>
      </c>
      <c r="B263" s="2851" t="s">
        <v>2189</v>
      </c>
      <c r="C263" s="2852" t="s">
        <v>2084</v>
      </c>
      <c r="D263" s="2893"/>
      <c r="E263" s="2868" t="s">
        <v>29</v>
      </c>
      <c r="F263" s="2894" t="s">
        <v>2089</v>
      </c>
      <c r="G263" s="2865">
        <v>0</v>
      </c>
      <c r="H263" s="2911">
        <v>0</v>
      </c>
      <c r="I263" s="2964">
        <v>1</v>
      </c>
      <c r="J263" s="2911">
        <v>0</v>
      </c>
      <c r="K263" s="2911">
        <v>0</v>
      </c>
      <c r="L263" s="2911">
        <v>0</v>
      </c>
      <c r="M263" s="2911">
        <v>0</v>
      </c>
      <c r="N263" s="3066">
        <v>1912.36</v>
      </c>
      <c r="O263" s="2857">
        <f t="shared" si="3"/>
        <v>1</v>
      </c>
      <c r="P263" s="1840">
        <v>0</v>
      </c>
      <c r="Q263" s="1845">
        <v>0</v>
      </c>
    </row>
    <row r="264" spans="1:17" ht="20.100000000000001" customHeight="1">
      <c r="A264" s="2858">
        <v>258</v>
      </c>
      <c r="B264" s="2851" t="s">
        <v>2189</v>
      </c>
      <c r="C264" s="2852" t="s">
        <v>2084</v>
      </c>
      <c r="D264" s="2893"/>
      <c r="E264" s="2868" t="s">
        <v>29</v>
      </c>
      <c r="F264" s="2894" t="s">
        <v>50</v>
      </c>
      <c r="G264" s="2913">
        <v>0</v>
      </c>
      <c r="H264" s="2983">
        <v>0</v>
      </c>
      <c r="I264" s="2964">
        <v>1</v>
      </c>
      <c r="J264" s="2983">
        <v>0</v>
      </c>
      <c r="K264" s="2983">
        <v>0</v>
      </c>
      <c r="L264" s="2983">
        <v>0</v>
      </c>
      <c r="M264" s="2898">
        <v>0</v>
      </c>
      <c r="N264" s="3066">
        <v>0.79</v>
      </c>
      <c r="O264" s="2857">
        <f t="shared" ref="O264:O296" si="4">G264+H264+I264+J264+K264+L264+M264</f>
        <v>1</v>
      </c>
      <c r="P264" s="1840">
        <v>0</v>
      </c>
      <c r="Q264" s="1845">
        <v>0</v>
      </c>
    </row>
    <row r="265" spans="1:17" ht="20.100000000000001" customHeight="1">
      <c r="A265" s="2850">
        <v>259</v>
      </c>
      <c r="B265" s="2851" t="s">
        <v>2189</v>
      </c>
      <c r="C265" s="2852" t="s">
        <v>2084</v>
      </c>
      <c r="D265" s="2916"/>
      <c r="E265" s="2868" t="s">
        <v>671</v>
      </c>
      <c r="F265" s="2917" t="s">
        <v>52</v>
      </c>
      <c r="G265" s="2918">
        <v>0</v>
      </c>
      <c r="H265" s="2992">
        <v>1689</v>
      </c>
      <c r="I265" s="2992">
        <v>0</v>
      </c>
      <c r="J265" s="2992">
        <v>0</v>
      </c>
      <c r="K265" s="2992">
        <v>0</v>
      </c>
      <c r="L265" s="2992">
        <v>0</v>
      </c>
      <c r="M265" s="2908">
        <v>0</v>
      </c>
      <c r="N265" s="3062">
        <v>73394.27</v>
      </c>
      <c r="O265" s="2857">
        <f t="shared" si="4"/>
        <v>1689</v>
      </c>
      <c r="P265" s="1836">
        <v>0</v>
      </c>
      <c r="Q265" s="1846">
        <v>0</v>
      </c>
    </row>
    <row r="266" spans="1:17" ht="20.100000000000001" customHeight="1">
      <c r="A266" s="2850">
        <v>260</v>
      </c>
      <c r="B266" s="2851" t="s">
        <v>2189</v>
      </c>
      <c r="C266" s="2852" t="s">
        <v>2084</v>
      </c>
      <c r="D266" s="2916"/>
      <c r="E266" s="2868" t="s">
        <v>671</v>
      </c>
      <c r="F266" s="2917" t="s">
        <v>2090</v>
      </c>
      <c r="G266" s="2918">
        <v>70</v>
      </c>
      <c r="H266" s="2992"/>
      <c r="I266" s="2992"/>
      <c r="J266" s="2992"/>
      <c r="K266" s="2992"/>
      <c r="L266" s="2992"/>
      <c r="M266" s="2908"/>
      <c r="N266" s="3062"/>
      <c r="O266" s="2857">
        <f t="shared" si="4"/>
        <v>70</v>
      </c>
      <c r="P266" s="1836"/>
      <c r="Q266" s="1846"/>
    </row>
    <row r="267" spans="1:17" ht="20.100000000000001" customHeight="1">
      <c r="A267" s="2858">
        <v>261</v>
      </c>
      <c r="B267" s="2851" t="s">
        <v>2189</v>
      </c>
      <c r="C267" s="2852" t="s">
        <v>2084</v>
      </c>
      <c r="D267" s="2931"/>
      <c r="E267" s="2931" t="s">
        <v>29</v>
      </c>
      <c r="F267" s="2937" t="s">
        <v>2097</v>
      </c>
      <c r="G267" s="2865">
        <v>0</v>
      </c>
      <c r="H267" s="2911">
        <v>0</v>
      </c>
      <c r="I267" s="2911">
        <v>1</v>
      </c>
      <c r="J267" s="2911">
        <v>0</v>
      </c>
      <c r="K267" s="2911">
        <v>0</v>
      </c>
      <c r="L267" s="2911">
        <v>0</v>
      </c>
      <c r="M267" s="2911">
        <v>0</v>
      </c>
      <c r="N267" s="3067">
        <v>872770.57</v>
      </c>
      <c r="O267" s="2857">
        <f t="shared" si="4"/>
        <v>1</v>
      </c>
      <c r="P267" s="1840">
        <v>0</v>
      </c>
      <c r="Q267" s="1840">
        <v>0</v>
      </c>
    </row>
    <row r="268" spans="1:17" ht="20.100000000000001" customHeight="1">
      <c r="A268" s="2850">
        <v>262</v>
      </c>
      <c r="B268" s="2851" t="s">
        <v>2189</v>
      </c>
      <c r="C268" s="2852" t="s">
        <v>2084</v>
      </c>
      <c r="D268" s="2859"/>
      <c r="E268" s="2859" t="s">
        <v>29</v>
      </c>
      <c r="F268" s="2937" t="s">
        <v>2191</v>
      </c>
      <c r="G268" s="2959">
        <v>0</v>
      </c>
      <c r="H268" s="3061">
        <v>0</v>
      </c>
      <c r="I268" s="3061">
        <v>0</v>
      </c>
      <c r="J268" s="3061">
        <v>0</v>
      </c>
      <c r="K268" s="3061">
        <v>0</v>
      </c>
      <c r="L268" s="3061">
        <v>0</v>
      </c>
      <c r="M268" s="3068">
        <v>1</v>
      </c>
      <c r="N268" s="3062">
        <v>18522.169999999998</v>
      </c>
      <c r="O268" s="2857">
        <f t="shared" si="4"/>
        <v>1</v>
      </c>
      <c r="P268" s="1836">
        <v>0</v>
      </c>
      <c r="Q268" s="1836">
        <v>0</v>
      </c>
    </row>
    <row r="269" spans="1:17" ht="20.100000000000001" customHeight="1">
      <c r="A269" s="2850">
        <v>263</v>
      </c>
      <c r="B269" s="2851" t="s">
        <v>2189</v>
      </c>
      <c r="C269" s="2852" t="s">
        <v>2084</v>
      </c>
      <c r="D269" s="2859"/>
      <c r="E269" s="2859" t="s">
        <v>29</v>
      </c>
      <c r="F269" s="2864" t="s">
        <v>3089</v>
      </c>
      <c r="G269" s="2890">
        <v>0</v>
      </c>
      <c r="H269" s="3061">
        <v>0</v>
      </c>
      <c r="I269" s="3061">
        <v>0</v>
      </c>
      <c r="J269" s="3061">
        <v>0</v>
      </c>
      <c r="K269" s="3061">
        <v>0</v>
      </c>
      <c r="L269" s="3061">
        <v>0</v>
      </c>
      <c r="M269" s="3069">
        <v>1</v>
      </c>
      <c r="N269" s="3062">
        <v>13169.53</v>
      </c>
      <c r="O269" s="2857">
        <f t="shared" si="4"/>
        <v>1</v>
      </c>
      <c r="P269" s="1836">
        <v>0</v>
      </c>
      <c r="Q269" s="1836">
        <v>0</v>
      </c>
    </row>
    <row r="270" spans="1:17" ht="20.100000000000001" customHeight="1">
      <c r="A270" s="2858">
        <v>264</v>
      </c>
      <c r="B270" s="2851" t="s">
        <v>2189</v>
      </c>
      <c r="C270" s="2852" t="s">
        <v>2084</v>
      </c>
      <c r="D270" s="2859"/>
      <c r="E270" s="2859" t="s">
        <v>29</v>
      </c>
      <c r="F270" s="3070" t="s">
        <v>2192</v>
      </c>
      <c r="G270" s="2944">
        <v>0</v>
      </c>
      <c r="H270" s="3061">
        <v>0</v>
      </c>
      <c r="I270" s="3061">
        <v>0</v>
      </c>
      <c r="J270" s="3061">
        <v>0</v>
      </c>
      <c r="K270" s="3061">
        <v>0</v>
      </c>
      <c r="L270" s="3061">
        <v>0</v>
      </c>
      <c r="M270" s="3071">
        <v>1</v>
      </c>
      <c r="N270" s="3072">
        <v>32333.27</v>
      </c>
      <c r="O270" s="2857">
        <f t="shared" si="4"/>
        <v>1</v>
      </c>
      <c r="P270" s="1836">
        <v>0</v>
      </c>
      <c r="Q270" s="1836">
        <v>0</v>
      </c>
    </row>
    <row r="271" spans="1:17" ht="20.100000000000001" customHeight="1">
      <c r="A271" s="2850">
        <v>265</v>
      </c>
      <c r="B271" s="2851" t="s">
        <v>2189</v>
      </c>
      <c r="C271" s="2852" t="s">
        <v>2084</v>
      </c>
      <c r="D271" s="2859"/>
      <c r="E271" s="2859" t="s">
        <v>29</v>
      </c>
      <c r="F271" s="3070" t="s">
        <v>2193</v>
      </c>
      <c r="G271" s="3073">
        <v>0</v>
      </c>
      <c r="H271" s="3061">
        <v>0</v>
      </c>
      <c r="I271" s="3061">
        <v>0</v>
      </c>
      <c r="J271" s="3061">
        <v>0</v>
      </c>
      <c r="K271" s="3061">
        <v>0</v>
      </c>
      <c r="L271" s="3061">
        <v>0</v>
      </c>
      <c r="M271" s="3074">
        <v>1</v>
      </c>
      <c r="N271" s="3075">
        <v>1105904.3500000001</v>
      </c>
      <c r="O271" s="2857">
        <f t="shared" si="4"/>
        <v>1</v>
      </c>
      <c r="P271" s="1836">
        <v>0</v>
      </c>
      <c r="Q271" s="1836">
        <v>0</v>
      </c>
    </row>
    <row r="272" spans="1:17" ht="20.100000000000001" customHeight="1">
      <c r="A272" s="2850">
        <v>266</v>
      </c>
      <c r="B272" s="2851" t="s">
        <v>2189</v>
      </c>
      <c r="C272" s="2852" t="s">
        <v>2084</v>
      </c>
      <c r="D272" s="2859"/>
      <c r="E272" s="2859" t="s">
        <v>29</v>
      </c>
      <c r="F272" s="3070" t="s">
        <v>2194</v>
      </c>
      <c r="G272" s="3073">
        <v>0</v>
      </c>
      <c r="H272" s="3061">
        <v>0</v>
      </c>
      <c r="I272" s="3061">
        <v>0</v>
      </c>
      <c r="J272" s="3061">
        <v>0</v>
      </c>
      <c r="K272" s="3061">
        <v>0</v>
      </c>
      <c r="L272" s="3061">
        <v>0</v>
      </c>
      <c r="M272" s="3074">
        <v>1</v>
      </c>
      <c r="N272" s="3075">
        <v>2304.5100000000002</v>
      </c>
      <c r="O272" s="2857">
        <f t="shared" si="4"/>
        <v>1</v>
      </c>
      <c r="P272" s="1836">
        <v>0</v>
      </c>
      <c r="Q272" s="1836">
        <v>0</v>
      </c>
    </row>
    <row r="273" spans="1:17" ht="20.100000000000001" customHeight="1">
      <c r="A273" s="2858">
        <v>267</v>
      </c>
      <c r="B273" s="2851" t="s">
        <v>2189</v>
      </c>
      <c r="C273" s="2852" t="s">
        <v>2084</v>
      </c>
      <c r="D273" s="3076"/>
      <c r="E273" s="3076" t="s">
        <v>1232</v>
      </c>
      <c r="F273" s="3077" t="s">
        <v>2195</v>
      </c>
      <c r="G273" s="3078">
        <v>0</v>
      </c>
      <c r="H273" s="3079">
        <v>0</v>
      </c>
      <c r="I273" s="3079">
        <v>0</v>
      </c>
      <c r="J273" s="3079">
        <v>0</v>
      </c>
      <c r="K273" s="3079">
        <v>0</v>
      </c>
      <c r="L273" s="3079">
        <v>0</v>
      </c>
      <c r="M273" s="3080">
        <v>1</v>
      </c>
      <c r="N273" s="3081">
        <v>2258.83</v>
      </c>
      <c r="O273" s="2857">
        <f t="shared" si="4"/>
        <v>1</v>
      </c>
      <c r="P273" s="1862">
        <v>0</v>
      </c>
      <c r="Q273" s="1836">
        <v>0</v>
      </c>
    </row>
    <row r="274" spans="1:17" ht="20.100000000000001" customHeight="1">
      <c r="A274" s="2850">
        <v>268</v>
      </c>
      <c r="B274" s="2851" t="s">
        <v>2189</v>
      </c>
      <c r="C274" s="2852" t="s">
        <v>2084</v>
      </c>
      <c r="D274" s="2859"/>
      <c r="E274" s="2859" t="s">
        <v>29</v>
      </c>
      <c r="F274" s="3082" t="s">
        <v>2196</v>
      </c>
      <c r="G274" s="3073">
        <v>0</v>
      </c>
      <c r="H274" s="3083">
        <v>0</v>
      </c>
      <c r="I274" s="3083">
        <v>0</v>
      </c>
      <c r="J274" s="3083">
        <v>0</v>
      </c>
      <c r="K274" s="3083">
        <v>0</v>
      </c>
      <c r="L274" s="3083">
        <v>0</v>
      </c>
      <c r="M274" s="3074">
        <v>1</v>
      </c>
      <c r="N274" s="3075">
        <v>21187.9</v>
      </c>
      <c r="O274" s="2857">
        <f t="shared" si="4"/>
        <v>1</v>
      </c>
      <c r="P274" s="1836">
        <v>0</v>
      </c>
      <c r="Q274" s="1836">
        <v>0</v>
      </c>
    </row>
    <row r="275" spans="1:17" ht="20.100000000000001" customHeight="1">
      <c r="A275" s="3084">
        <v>269</v>
      </c>
      <c r="B275" s="2851" t="s">
        <v>2088</v>
      </c>
      <c r="C275" s="2852" t="s">
        <v>2084</v>
      </c>
      <c r="D275" s="2859"/>
      <c r="E275" s="2859" t="s">
        <v>1232</v>
      </c>
      <c r="F275" s="3082" t="s">
        <v>3090</v>
      </c>
      <c r="G275" s="3073"/>
      <c r="H275" s="3083"/>
      <c r="I275" s="3083"/>
      <c r="J275" s="3083"/>
      <c r="K275" s="3083"/>
      <c r="L275" s="3083"/>
      <c r="M275" s="3085">
        <v>1</v>
      </c>
      <c r="N275" s="3075">
        <v>0</v>
      </c>
      <c r="O275" s="2857">
        <f t="shared" si="4"/>
        <v>1</v>
      </c>
      <c r="P275" s="1836">
        <v>0</v>
      </c>
      <c r="Q275" s="1836"/>
    </row>
    <row r="276" spans="1:17" ht="20.100000000000001" customHeight="1">
      <c r="A276" s="3084">
        <v>270</v>
      </c>
      <c r="B276" s="2851" t="s">
        <v>2088</v>
      </c>
      <c r="C276" s="2852" t="s">
        <v>2084</v>
      </c>
      <c r="D276" s="2859"/>
      <c r="E276" s="2859" t="s">
        <v>1232</v>
      </c>
      <c r="F276" s="3086" t="s">
        <v>3091</v>
      </c>
      <c r="G276" s="3073"/>
      <c r="H276" s="3083"/>
      <c r="I276" s="3083"/>
      <c r="J276" s="3083"/>
      <c r="K276" s="3083"/>
      <c r="L276" s="3083"/>
      <c r="M276" s="3085">
        <v>2</v>
      </c>
      <c r="N276" s="3075">
        <v>10497.67</v>
      </c>
      <c r="O276" s="2857">
        <f t="shared" si="4"/>
        <v>2</v>
      </c>
      <c r="P276" s="1836">
        <v>0</v>
      </c>
      <c r="Q276" s="1836"/>
    </row>
    <row r="277" spans="1:17" ht="20.100000000000001" customHeight="1">
      <c r="A277" s="3084">
        <v>271</v>
      </c>
      <c r="B277" s="2851" t="s">
        <v>2088</v>
      </c>
      <c r="C277" s="2852" t="s">
        <v>2084</v>
      </c>
      <c r="D277" s="2859"/>
      <c r="E277" s="2859" t="s">
        <v>1232</v>
      </c>
      <c r="F277" s="3086" t="s">
        <v>3092</v>
      </c>
      <c r="G277" s="3073"/>
      <c r="H277" s="3083"/>
      <c r="I277" s="3083"/>
      <c r="J277" s="3083"/>
      <c r="K277" s="3083"/>
      <c r="L277" s="3083"/>
      <c r="M277" s="3085">
        <v>1</v>
      </c>
      <c r="N277" s="3075"/>
      <c r="O277" s="2857">
        <f t="shared" si="4"/>
        <v>1</v>
      </c>
      <c r="P277" s="1836">
        <v>0</v>
      </c>
      <c r="Q277" s="1836"/>
    </row>
    <row r="278" spans="1:17" ht="20.100000000000001" customHeight="1">
      <c r="A278" s="3084">
        <v>272</v>
      </c>
      <c r="B278" s="2851" t="s">
        <v>2088</v>
      </c>
      <c r="C278" s="2852" t="s">
        <v>2084</v>
      </c>
      <c r="D278" s="2859"/>
      <c r="E278" s="2859" t="s">
        <v>1232</v>
      </c>
      <c r="F278" s="3086" t="s">
        <v>3093</v>
      </c>
      <c r="G278" s="3073"/>
      <c r="H278" s="3083"/>
      <c r="I278" s="3083"/>
      <c r="J278" s="3083"/>
      <c r="K278" s="3083"/>
      <c r="L278" s="3083"/>
      <c r="M278" s="3085">
        <v>1</v>
      </c>
      <c r="N278" s="3075"/>
      <c r="O278" s="2857">
        <f t="shared" si="4"/>
        <v>1</v>
      </c>
      <c r="P278" s="1836">
        <v>0</v>
      </c>
      <c r="Q278" s="1836"/>
    </row>
    <row r="279" spans="1:17" ht="20.100000000000001" customHeight="1">
      <c r="A279" s="3084">
        <v>273</v>
      </c>
      <c r="B279" s="2851" t="s">
        <v>2088</v>
      </c>
      <c r="C279" s="2852" t="s">
        <v>2084</v>
      </c>
      <c r="D279" s="2859"/>
      <c r="E279" s="2859" t="s">
        <v>1232</v>
      </c>
      <c r="F279" s="3082" t="s">
        <v>3094</v>
      </c>
      <c r="G279" s="3073"/>
      <c r="H279" s="3083"/>
      <c r="I279" s="3083"/>
      <c r="J279" s="3083"/>
      <c r="K279" s="3083"/>
      <c r="L279" s="3083"/>
      <c r="M279" s="3085">
        <v>1</v>
      </c>
      <c r="N279" s="3075"/>
      <c r="O279" s="2857">
        <f t="shared" si="4"/>
        <v>1</v>
      </c>
      <c r="P279" s="1836">
        <v>0</v>
      </c>
      <c r="Q279" s="1836"/>
    </row>
    <row r="280" spans="1:17" ht="20.100000000000001" customHeight="1">
      <c r="A280" s="3084">
        <v>274</v>
      </c>
      <c r="B280" s="2851" t="s">
        <v>2088</v>
      </c>
      <c r="C280" s="2852" t="s">
        <v>2084</v>
      </c>
      <c r="D280" s="2859"/>
      <c r="E280" s="2859" t="s">
        <v>29</v>
      </c>
      <c r="F280" s="3086" t="s">
        <v>3095</v>
      </c>
      <c r="G280" s="3073"/>
      <c r="H280" s="3083"/>
      <c r="I280" s="3083"/>
      <c r="J280" s="3083"/>
      <c r="K280" s="3083"/>
      <c r="L280" s="3083"/>
      <c r="M280" s="3085">
        <v>1</v>
      </c>
      <c r="N280" s="3075">
        <v>2807.33</v>
      </c>
      <c r="O280" s="2857">
        <f t="shared" si="4"/>
        <v>1</v>
      </c>
      <c r="P280" s="1836">
        <v>0</v>
      </c>
      <c r="Q280" s="1836"/>
    </row>
    <row r="281" spans="1:17" ht="20.100000000000001" customHeight="1">
      <c r="A281" s="3084">
        <v>275</v>
      </c>
      <c r="B281" s="2851" t="s">
        <v>2088</v>
      </c>
      <c r="C281" s="2852" t="s">
        <v>2084</v>
      </c>
      <c r="D281" s="2859"/>
      <c r="E281" s="2859" t="s">
        <v>29</v>
      </c>
      <c r="F281" s="3086" t="s">
        <v>3096</v>
      </c>
      <c r="G281" s="3073"/>
      <c r="H281" s="3083"/>
      <c r="I281" s="3083"/>
      <c r="J281" s="3083"/>
      <c r="K281" s="3083"/>
      <c r="L281" s="3083"/>
      <c r="M281" s="3085">
        <v>1</v>
      </c>
      <c r="N281" s="3075">
        <v>4033.34</v>
      </c>
      <c r="O281" s="2857">
        <f t="shared" si="4"/>
        <v>1</v>
      </c>
      <c r="P281" s="1836">
        <v>0</v>
      </c>
      <c r="Q281" s="1836"/>
    </row>
    <row r="282" spans="1:17" ht="20.100000000000001" customHeight="1">
      <c r="A282" s="3084">
        <v>276</v>
      </c>
      <c r="B282" s="2851" t="s">
        <v>2088</v>
      </c>
      <c r="C282" s="2852" t="s">
        <v>2084</v>
      </c>
      <c r="D282" s="2859"/>
      <c r="E282" s="2859" t="s">
        <v>29</v>
      </c>
      <c r="F282" s="3087" t="s">
        <v>3097</v>
      </c>
      <c r="G282" s="3073"/>
      <c r="H282" s="3083"/>
      <c r="I282" s="3083"/>
      <c r="J282" s="3083"/>
      <c r="K282" s="3083"/>
      <c r="L282" s="3083"/>
      <c r="M282" s="3085">
        <v>8</v>
      </c>
      <c r="N282" s="3075">
        <v>57767.33</v>
      </c>
      <c r="O282" s="2857">
        <f t="shared" si="4"/>
        <v>8</v>
      </c>
      <c r="P282" s="1836">
        <v>0</v>
      </c>
      <c r="Q282" s="1836"/>
    </row>
    <row r="283" spans="1:17" ht="20.100000000000001" customHeight="1">
      <c r="A283" s="3084">
        <v>277</v>
      </c>
      <c r="B283" s="2851" t="s">
        <v>2088</v>
      </c>
      <c r="C283" s="2852" t="s">
        <v>2084</v>
      </c>
      <c r="D283" s="2859"/>
      <c r="E283" s="2859" t="s">
        <v>29</v>
      </c>
      <c r="F283" s="3087" t="s">
        <v>3098</v>
      </c>
      <c r="G283" s="3073"/>
      <c r="H283" s="3083"/>
      <c r="I283" s="3083"/>
      <c r="J283" s="3083"/>
      <c r="K283" s="3083"/>
      <c r="L283" s="3083"/>
      <c r="M283" s="3085">
        <v>1</v>
      </c>
      <c r="N283" s="3075">
        <v>34383</v>
      </c>
      <c r="O283" s="2857">
        <f t="shared" si="4"/>
        <v>1</v>
      </c>
      <c r="P283" s="1836">
        <v>0</v>
      </c>
      <c r="Q283" s="1836"/>
    </row>
    <row r="284" spans="1:17" ht="20.100000000000001" customHeight="1">
      <c r="A284" s="3084">
        <v>278</v>
      </c>
      <c r="B284" s="2851" t="s">
        <v>2088</v>
      </c>
      <c r="C284" s="2852" t="s">
        <v>2084</v>
      </c>
      <c r="D284" s="2859"/>
      <c r="E284" s="2859" t="s">
        <v>29</v>
      </c>
      <c r="F284" s="3087" t="s">
        <v>3099</v>
      </c>
      <c r="G284" s="3073"/>
      <c r="H284" s="3083"/>
      <c r="I284" s="3083"/>
      <c r="J284" s="3083"/>
      <c r="K284" s="3083"/>
      <c r="L284" s="3083"/>
      <c r="M284" s="3085">
        <v>1</v>
      </c>
      <c r="N284" s="3075">
        <v>950</v>
      </c>
      <c r="O284" s="2857">
        <f t="shared" si="4"/>
        <v>1</v>
      </c>
      <c r="P284" s="1836">
        <v>0</v>
      </c>
      <c r="Q284" s="1836"/>
    </row>
    <row r="285" spans="1:17" ht="20.100000000000001" customHeight="1">
      <c r="A285" s="3084">
        <v>279</v>
      </c>
      <c r="B285" s="2851" t="s">
        <v>2088</v>
      </c>
      <c r="C285" s="2852" t="s">
        <v>2084</v>
      </c>
      <c r="D285" s="2859"/>
      <c r="E285" s="2859" t="s">
        <v>29</v>
      </c>
      <c r="F285" s="3087" t="s">
        <v>3100</v>
      </c>
      <c r="G285" s="3073"/>
      <c r="H285" s="3083"/>
      <c r="I285" s="3083"/>
      <c r="J285" s="3083"/>
      <c r="K285" s="3083"/>
      <c r="L285" s="3083"/>
      <c r="M285" s="3085">
        <v>1</v>
      </c>
      <c r="N285" s="3075">
        <v>50000</v>
      </c>
      <c r="O285" s="2857">
        <f t="shared" si="4"/>
        <v>1</v>
      </c>
      <c r="P285" s="1836">
        <v>0</v>
      </c>
      <c r="Q285" s="1836"/>
    </row>
    <row r="286" spans="1:17" ht="20.100000000000001" customHeight="1">
      <c r="A286" s="3084">
        <v>280</v>
      </c>
      <c r="B286" s="2851" t="s">
        <v>2088</v>
      </c>
      <c r="C286" s="2852" t="s">
        <v>2084</v>
      </c>
      <c r="D286" s="2859"/>
      <c r="E286" s="2859" t="s">
        <v>29</v>
      </c>
      <c r="F286" s="3087" t="s">
        <v>3101</v>
      </c>
      <c r="G286" s="3073"/>
      <c r="H286" s="3083"/>
      <c r="I286" s="3083"/>
      <c r="J286" s="3083"/>
      <c r="K286" s="3083"/>
      <c r="L286" s="3083"/>
      <c r="M286" s="3085">
        <v>1</v>
      </c>
      <c r="N286" s="3075">
        <v>500</v>
      </c>
      <c r="O286" s="2857">
        <f t="shared" si="4"/>
        <v>1</v>
      </c>
      <c r="P286" s="1836">
        <v>0</v>
      </c>
      <c r="Q286" s="1836"/>
    </row>
    <row r="287" spans="1:17" ht="20.100000000000001" customHeight="1">
      <c r="A287" s="3084">
        <v>281</v>
      </c>
      <c r="B287" s="2851" t="s">
        <v>2088</v>
      </c>
      <c r="C287" s="2852" t="s">
        <v>2084</v>
      </c>
      <c r="D287" s="2859"/>
      <c r="E287" s="2859" t="s">
        <v>29</v>
      </c>
      <c r="F287" s="3087" t="s">
        <v>3102</v>
      </c>
      <c r="G287" s="3073"/>
      <c r="H287" s="3083"/>
      <c r="I287" s="3083"/>
      <c r="J287" s="3083"/>
      <c r="K287" s="3083"/>
      <c r="L287" s="3083"/>
      <c r="M287" s="3085">
        <v>1</v>
      </c>
      <c r="N287" s="3075">
        <v>1380</v>
      </c>
      <c r="O287" s="2857">
        <f t="shared" si="4"/>
        <v>1</v>
      </c>
      <c r="P287" s="1836">
        <v>0</v>
      </c>
      <c r="Q287" s="1836"/>
    </row>
    <row r="288" spans="1:17" ht="20.100000000000001" customHeight="1">
      <c r="A288" s="3084">
        <v>282</v>
      </c>
      <c r="B288" s="2851" t="s">
        <v>2088</v>
      </c>
      <c r="C288" s="2852" t="s">
        <v>2084</v>
      </c>
      <c r="D288" s="2859"/>
      <c r="E288" s="2859" t="s">
        <v>29</v>
      </c>
      <c r="F288" s="3087" t="s">
        <v>3103</v>
      </c>
      <c r="G288" s="3073"/>
      <c r="H288" s="3083"/>
      <c r="I288" s="3083"/>
      <c r="J288" s="3083"/>
      <c r="K288" s="3083"/>
      <c r="L288" s="3083"/>
      <c r="M288" s="3085">
        <v>1</v>
      </c>
      <c r="N288" s="3075">
        <v>-132623.91</v>
      </c>
      <c r="O288" s="2857">
        <f t="shared" si="4"/>
        <v>1</v>
      </c>
      <c r="P288" s="1836">
        <v>0</v>
      </c>
      <c r="Q288" s="1836"/>
    </row>
    <row r="289" spans="1:17" ht="20.100000000000001" customHeight="1">
      <c r="A289" s="3084">
        <v>283</v>
      </c>
      <c r="B289" s="2851" t="s">
        <v>2088</v>
      </c>
      <c r="C289" s="2852" t="s">
        <v>2084</v>
      </c>
      <c r="D289" s="2859"/>
      <c r="E289" s="2859" t="s">
        <v>29</v>
      </c>
      <c r="F289" s="3087" t="s">
        <v>3104</v>
      </c>
      <c r="G289" s="3073"/>
      <c r="H289" s="3083"/>
      <c r="I289" s="3083"/>
      <c r="J289" s="3083"/>
      <c r="K289" s="3083"/>
      <c r="L289" s="3083"/>
      <c r="M289" s="3085">
        <v>1</v>
      </c>
      <c r="N289" s="3075">
        <v>132623.91</v>
      </c>
      <c r="O289" s="2857">
        <f t="shared" si="4"/>
        <v>1</v>
      </c>
      <c r="P289" s="1836">
        <v>0</v>
      </c>
      <c r="Q289" s="1836"/>
    </row>
    <row r="290" spans="1:17" ht="20.100000000000001" customHeight="1">
      <c r="A290" s="3084">
        <v>284</v>
      </c>
      <c r="B290" s="2851" t="s">
        <v>2088</v>
      </c>
      <c r="C290" s="2852" t="s">
        <v>2084</v>
      </c>
      <c r="D290" s="2859"/>
      <c r="E290" s="2859" t="s">
        <v>29</v>
      </c>
      <c r="F290" s="3088" t="s">
        <v>3105</v>
      </c>
      <c r="G290" s="3073"/>
      <c r="H290" s="3083"/>
      <c r="I290" s="3083"/>
      <c r="J290" s="3083"/>
      <c r="K290" s="3083"/>
      <c r="L290" s="3083"/>
      <c r="M290" s="3085">
        <v>1</v>
      </c>
      <c r="N290" s="3075">
        <v>5000</v>
      </c>
      <c r="O290" s="2857">
        <f t="shared" si="4"/>
        <v>1</v>
      </c>
      <c r="P290" s="1836">
        <v>0</v>
      </c>
      <c r="Q290" s="1836"/>
    </row>
    <row r="291" spans="1:17" ht="20.100000000000001" customHeight="1">
      <c r="A291" s="3084">
        <v>285</v>
      </c>
      <c r="B291" s="2851" t="s">
        <v>2088</v>
      </c>
      <c r="C291" s="2852" t="s">
        <v>2084</v>
      </c>
      <c r="D291" s="2859"/>
      <c r="E291" s="2859" t="s">
        <v>29</v>
      </c>
      <c r="F291" s="3088" t="s">
        <v>3106</v>
      </c>
      <c r="G291" s="3073"/>
      <c r="H291" s="3083"/>
      <c r="I291" s="3083"/>
      <c r="J291" s="3083"/>
      <c r="K291" s="3083"/>
      <c r="L291" s="3083"/>
      <c r="M291" s="3085">
        <v>1</v>
      </c>
      <c r="N291" s="3075">
        <v>1250</v>
      </c>
      <c r="O291" s="2857">
        <f t="shared" si="4"/>
        <v>1</v>
      </c>
      <c r="P291" s="1836">
        <v>0</v>
      </c>
      <c r="Q291" s="1836"/>
    </row>
    <row r="292" spans="1:17" ht="20.100000000000001" customHeight="1">
      <c r="A292" s="3084">
        <v>286</v>
      </c>
      <c r="B292" s="2851" t="s">
        <v>2088</v>
      </c>
      <c r="C292" s="2852" t="s">
        <v>2084</v>
      </c>
      <c r="D292" s="2859"/>
      <c r="E292" s="2859" t="s">
        <v>29</v>
      </c>
      <c r="F292" s="3088" t="s">
        <v>3107</v>
      </c>
      <c r="G292" s="3073"/>
      <c r="H292" s="3083"/>
      <c r="I292" s="3083"/>
      <c r="J292" s="3083"/>
      <c r="K292" s="3083"/>
      <c r="L292" s="3083"/>
      <c r="M292" s="3085">
        <v>1</v>
      </c>
      <c r="N292" s="3075">
        <v>19970</v>
      </c>
      <c r="O292" s="2857">
        <f t="shared" si="4"/>
        <v>1</v>
      </c>
      <c r="P292" s="1836">
        <v>0</v>
      </c>
      <c r="Q292" s="1836"/>
    </row>
    <row r="293" spans="1:17" ht="20.100000000000001" customHeight="1">
      <c r="A293" s="3084">
        <v>287</v>
      </c>
      <c r="B293" s="2851" t="s">
        <v>2088</v>
      </c>
      <c r="C293" s="2852" t="s">
        <v>2084</v>
      </c>
      <c r="D293" s="2859"/>
      <c r="E293" s="2859" t="s">
        <v>29</v>
      </c>
      <c r="F293" s="3088" t="s">
        <v>3108</v>
      </c>
      <c r="G293" s="3073"/>
      <c r="H293" s="3083"/>
      <c r="I293" s="3083"/>
      <c r="J293" s="3083"/>
      <c r="K293" s="3083"/>
      <c r="L293" s="3083"/>
      <c r="M293" s="3085">
        <v>1</v>
      </c>
      <c r="N293" s="3075"/>
      <c r="O293" s="2857">
        <f t="shared" si="4"/>
        <v>1</v>
      </c>
      <c r="P293" s="1836">
        <v>0</v>
      </c>
      <c r="Q293" s="1836"/>
    </row>
    <row r="294" spans="1:17" ht="20.100000000000001" customHeight="1">
      <c r="A294" s="3084">
        <v>288</v>
      </c>
      <c r="B294" s="2851" t="s">
        <v>2088</v>
      </c>
      <c r="C294" s="2852" t="s">
        <v>2084</v>
      </c>
      <c r="D294" s="2859"/>
      <c r="E294" s="2859" t="s">
        <v>434</v>
      </c>
      <c r="F294" s="3088" t="s">
        <v>3109</v>
      </c>
      <c r="G294" s="3073"/>
      <c r="H294" s="3083"/>
      <c r="I294" s="3083"/>
      <c r="J294" s="3083"/>
      <c r="K294" s="3083"/>
      <c r="L294" s="3083"/>
      <c r="M294" s="3085">
        <v>7</v>
      </c>
      <c r="N294" s="3075"/>
      <c r="O294" s="2857">
        <f t="shared" si="4"/>
        <v>7</v>
      </c>
      <c r="P294" s="1836">
        <v>0</v>
      </c>
      <c r="Q294" s="1836"/>
    </row>
    <row r="295" spans="1:17" ht="20.100000000000001" customHeight="1">
      <c r="A295" s="3084">
        <v>289</v>
      </c>
      <c r="B295" s="2851" t="s">
        <v>2088</v>
      </c>
      <c r="C295" s="2852" t="s">
        <v>2084</v>
      </c>
      <c r="D295" s="2859"/>
      <c r="E295" s="2859" t="s">
        <v>434</v>
      </c>
      <c r="F295" s="3088" t="s">
        <v>3110</v>
      </c>
      <c r="G295" s="3073"/>
      <c r="H295" s="3083"/>
      <c r="I295" s="3083"/>
      <c r="J295" s="3083"/>
      <c r="K295" s="3083"/>
      <c r="L295" s="3083"/>
      <c r="M295" s="3085">
        <v>8</v>
      </c>
      <c r="N295" s="3075"/>
      <c r="O295" s="2857">
        <f t="shared" si="4"/>
        <v>8</v>
      </c>
      <c r="P295" s="1836">
        <v>0</v>
      </c>
      <c r="Q295" s="1836"/>
    </row>
    <row r="296" spans="1:17" ht="20.100000000000001" customHeight="1">
      <c r="A296" s="3084">
        <v>290</v>
      </c>
      <c r="B296" s="2851" t="s">
        <v>2088</v>
      </c>
      <c r="C296" s="2852" t="s">
        <v>2084</v>
      </c>
      <c r="D296" s="3034"/>
      <c r="E296" s="3034" t="s">
        <v>442</v>
      </c>
      <c r="F296" s="3089" t="s">
        <v>3111</v>
      </c>
      <c r="G296" s="3073"/>
      <c r="H296" s="3083"/>
      <c r="I296" s="3083"/>
      <c r="J296" s="3083"/>
      <c r="K296" s="3083"/>
      <c r="L296" s="3083"/>
      <c r="M296" s="3085">
        <v>8</v>
      </c>
      <c r="N296" s="3075">
        <f>8000000+50000+350000+120000+128800+10000+130000+70000</f>
        <v>8858800</v>
      </c>
      <c r="O296" s="2857">
        <f t="shared" si="4"/>
        <v>8</v>
      </c>
      <c r="P296" s="1836">
        <v>0</v>
      </c>
      <c r="Q296" s="1836"/>
    </row>
    <row r="297" spans="1:17" ht="20.100000000000001" customHeight="1">
      <c r="A297" s="3517"/>
      <c r="B297" s="3518"/>
      <c r="C297" s="3518"/>
      <c r="D297" s="3519"/>
      <c r="E297" s="1863"/>
      <c r="F297" s="1864" t="s">
        <v>1005</v>
      </c>
      <c r="G297" s="132">
        <f>SUM(G7:G296)</f>
        <v>3320</v>
      </c>
      <c r="H297" s="132">
        <f t="shared" ref="H297:Q297" si="5">SUM(H7:H296)</f>
        <v>29868</v>
      </c>
      <c r="I297" s="132">
        <f t="shared" si="5"/>
        <v>94</v>
      </c>
      <c r="J297" s="132">
        <f t="shared" si="5"/>
        <v>130</v>
      </c>
      <c r="K297" s="132">
        <f t="shared" si="5"/>
        <v>18486</v>
      </c>
      <c r="L297" s="132">
        <f t="shared" si="5"/>
        <v>1</v>
      </c>
      <c r="M297" s="132">
        <f t="shared" si="5"/>
        <v>582</v>
      </c>
      <c r="N297" s="132">
        <f t="shared" si="5"/>
        <v>586890307.36999965</v>
      </c>
      <c r="O297" s="132">
        <f t="shared" si="5"/>
        <v>52481</v>
      </c>
      <c r="P297" s="132">
        <f t="shared" si="5"/>
        <v>0</v>
      </c>
      <c r="Q297" s="132">
        <f t="shared" si="5"/>
        <v>0</v>
      </c>
    </row>
    <row r="298" spans="1:17" ht="20.100000000000001" customHeight="1">
      <c r="P298" s="130"/>
      <c r="Q298" s="130"/>
    </row>
    <row r="299" spans="1:17" ht="20.100000000000001" customHeight="1">
      <c r="G299" s="130"/>
      <c r="H299" s="131"/>
      <c r="I299" s="131" t="s">
        <v>1012</v>
      </c>
      <c r="J299" s="131" t="s">
        <v>22</v>
      </c>
      <c r="K299" s="131" t="s">
        <v>1013</v>
      </c>
      <c r="L299" s="129"/>
      <c r="M299" s="130"/>
      <c r="O299" s="1865"/>
      <c r="P299" s="130"/>
      <c r="Q299" s="130"/>
    </row>
    <row r="300" spans="1:17" ht="20.100000000000001" customHeight="1">
      <c r="H300" s="132" t="s">
        <v>779</v>
      </c>
      <c r="I300" s="133">
        <f>G297</f>
        <v>3320</v>
      </c>
      <c r="J300" s="133">
        <f>P15+P26+P44+P60+P69+P77+P85+P90+P97+P105+P112+P121+P130+P149+P162+P170+P182+P190+P204+P215+P229+P239+P253+P266</f>
        <v>0</v>
      </c>
      <c r="K300" s="133">
        <f>I300-J300</f>
        <v>3320</v>
      </c>
      <c r="L300" s="129"/>
      <c r="P300" s="130"/>
      <c r="Q300" s="130"/>
    </row>
    <row r="301" spans="1:17" ht="20.100000000000001" customHeight="1">
      <c r="H301" s="132" t="s">
        <v>1006</v>
      </c>
      <c r="I301" s="133">
        <f>H297</f>
        <v>29868</v>
      </c>
      <c r="J301" s="133">
        <f>P14+P25+P34+P43+P59+P68+P76+P84+P89+P96+P104+P111+P120+P129+P148+P153+P161+P169+P181+P189+P203+P214+P228+P238+P252+P265</f>
        <v>0</v>
      </c>
      <c r="K301" s="133">
        <f t="shared" ref="K301:K306" si="6">I301-J301</f>
        <v>29868</v>
      </c>
      <c r="L301" s="129"/>
      <c r="P301" s="130"/>
      <c r="Q301" s="130"/>
    </row>
    <row r="302" spans="1:17" ht="20.100000000000001" customHeight="1">
      <c r="H302" s="132" t="s">
        <v>1007</v>
      </c>
      <c r="I302" s="133">
        <f>I297</f>
        <v>94</v>
      </c>
      <c r="J302" s="133">
        <f>P12+P13+P19+P20+P23+P24+P28+P29+P31+P35+P48+P49+P55+P56+P58+P61+P62+P63+P65+P72+P75+P79+P80+P81+P83+P87+P100+P101+P102+P107+P108+P109+P116+P117+P118+P126+P133+P134+P135+P138+P142+P143+P144+P147+P152+P155+P156+P157+P159+P160+P167+P168+P172+P173+P177+P178+P179+P180+P185+P187+P188+P195+P199+P200+P205+P207+P211+P212+P213+P216+P219+P224+P225+P227+P230+P232+P235+P236+P240+P241+P242+P243+P247+P248+P251+P254+P255+P259+P260+P263+P264+P267</f>
        <v>0</v>
      </c>
      <c r="K302" s="133">
        <f t="shared" si="6"/>
        <v>94</v>
      </c>
      <c r="L302" s="129"/>
      <c r="P302" s="130"/>
      <c r="Q302" s="130"/>
    </row>
    <row r="303" spans="1:17" ht="20.100000000000001" customHeight="1">
      <c r="H303" s="132" t="s">
        <v>9</v>
      </c>
      <c r="I303" s="133">
        <f>J297</f>
        <v>130</v>
      </c>
      <c r="J303" s="134">
        <f>P33+P41+P50+P66+P127+P136+P145+P151+P165+P218+P249</f>
        <v>0</v>
      </c>
      <c r="K303" s="133">
        <f t="shared" si="6"/>
        <v>130</v>
      </c>
      <c r="L303" s="129"/>
      <c r="P303" s="130"/>
      <c r="Q303" s="130"/>
    </row>
    <row r="304" spans="1:17" ht="20.100000000000001" customHeight="1">
      <c r="H304" s="132" t="s">
        <v>1014</v>
      </c>
      <c r="I304" s="133">
        <f>K297</f>
        <v>18486</v>
      </c>
      <c r="J304" s="133">
        <f>P8+P11+P22+P42+P51+P57+P67+P74+P82+P88+P95+P103+P110+P119+P128+P146+P158+P166+P186+P201+P206+P226+P237+P250+P262</f>
        <v>0</v>
      </c>
      <c r="K304" s="133">
        <f t="shared" si="6"/>
        <v>18486</v>
      </c>
      <c r="L304" s="129"/>
      <c r="P304" s="130"/>
      <c r="Q304" s="130"/>
    </row>
    <row r="305" spans="8:17" ht="20.100000000000001" customHeight="1">
      <c r="H305" s="132" t="s">
        <v>1009</v>
      </c>
      <c r="I305" s="133">
        <f>L297</f>
        <v>1</v>
      </c>
      <c r="J305" s="134">
        <f>P27</f>
        <v>0</v>
      </c>
      <c r="K305" s="133">
        <f t="shared" si="6"/>
        <v>1</v>
      </c>
      <c r="L305" s="129"/>
      <c r="P305" s="130"/>
      <c r="Q305" s="130"/>
    </row>
    <row r="306" spans="8:17" ht="20.100000000000001" customHeight="1">
      <c r="H306" s="132" t="s">
        <v>1010</v>
      </c>
      <c r="I306" s="133">
        <f>M297</f>
        <v>582</v>
      </c>
      <c r="J306" s="134">
        <f>P7+P9+P10+P16+P17+P18+P21+P30+P32+P36+P37+P38+P39+P40+P45+P46+P47+P52+P53+P54+P64+P70+P71+P86+P91+P92+P93+P98+P99+P106+P113+P114+P115+P122+P123+P124+P125+P131+P132+P137+P139+P140+P141+P150+P163+P164+P171+P174+P175+P176+P183+P184+P191+P192+P193+P194+P196+P197+P198+P202+P208+P209+P210+P217+P220+P221+P222+P223+P231+P233+P234+P244+P245+P246+P256+P257+P258+P261+P268+P269+P270+P271+P272+P273+P274</f>
        <v>0</v>
      </c>
      <c r="K306" s="133">
        <f t="shared" si="6"/>
        <v>582</v>
      </c>
      <c r="L306" s="135">
        <f>J306/I306</f>
        <v>0</v>
      </c>
      <c r="P306" s="130"/>
      <c r="Q306" s="130"/>
    </row>
    <row r="307" spans="8:17" ht="20.100000000000001" customHeight="1">
      <c r="H307" s="132" t="s">
        <v>1005</v>
      </c>
      <c r="I307" s="120">
        <f>SUM(I300:I306)</f>
        <v>52481</v>
      </c>
      <c r="J307" s="120">
        <f>SUBTOTAL(9,J300:J306)</f>
        <v>0</v>
      </c>
      <c r="K307" s="120">
        <f>SUBTOTAL(9,K300:K306)</f>
        <v>52481</v>
      </c>
      <c r="L307" s="135">
        <f>J307/I307</f>
        <v>0</v>
      </c>
      <c r="P307" s="130"/>
      <c r="Q307" s="130"/>
    </row>
  </sheetData>
  <mergeCells count="19">
    <mergeCell ref="A1:Q1"/>
    <mergeCell ref="A2:Q2"/>
    <mergeCell ref="A3:Q3"/>
    <mergeCell ref="A4:Q4"/>
    <mergeCell ref="A5:A6"/>
    <mergeCell ref="B5:B6"/>
    <mergeCell ref="C5:C6"/>
    <mergeCell ref="D5:D6"/>
    <mergeCell ref="E5:E6"/>
    <mergeCell ref="F5:F6"/>
    <mergeCell ref="N5:N6"/>
    <mergeCell ref="O5:Q5"/>
    <mergeCell ref="L5:L6"/>
    <mergeCell ref="M5:M6"/>
    <mergeCell ref="A297:D297"/>
    <mergeCell ref="G5:H5"/>
    <mergeCell ref="I5:I6"/>
    <mergeCell ref="J5:J6"/>
    <mergeCell ref="K5:K6"/>
  </mergeCells>
  <conditionalFormatting sqref="F16">
    <cfRule type="duplicateValues" dxfId="45" priority="9"/>
  </conditionalFormatting>
  <conditionalFormatting sqref="F89">
    <cfRule type="duplicateValues" dxfId="44" priority="8"/>
  </conditionalFormatting>
  <conditionalFormatting sqref="F113">
    <cfRule type="duplicateValues" dxfId="43" priority="7"/>
  </conditionalFormatting>
  <conditionalFormatting sqref="F258:F269">
    <cfRule type="duplicateValues" dxfId="42" priority="10"/>
  </conditionalFormatting>
  <conditionalFormatting sqref="F246:F257">
    <cfRule type="duplicateValues" dxfId="41" priority="11"/>
  </conditionalFormatting>
  <conditionalFormatting sqref="F240:F245">
    <cfRule type="duplicateValues" dxfId="40" priority="12"/>
  </conditionalFormatting>
  <conditionalFormatting sqref="F234:F239">
    <cfRule type="duplicateValues" dxfId="39" priority="13"/>
  </conditionalFormatting>
  <conditionalFormatting sqref="F223:F233">
    <cfRule type="duplicateValues" dxfId="38" priority="14"/>
  </conditionalFormatting>
  <conditionalFormatting sqref="F218:F222">
    <cfRule type="duplicateValues" dxfId="37" priority="15"/>
  </conditionalFormatting>
  <conditionalFormatting sqref="F210:F217">
    <cfRule type="duplicateValues" dxfId="36" priority="16"/>
  </conditionalFormatting>
  <conditionalFormatting sqref="F206:F209">
    <cfRule type="duplicateValues" dxfId="35" priority="17"/>
  </conditionalFormatting>
  <conditionalFormatting sqref="F198:F205">
    <cfRule type="duplicateValues" dxfId="34" priority="18"/>
  </conditionalFormatting>
  <conditionalFormatting sqref="F184:F197">
    <cfRule type="duplicateValues" dxfId="33" priority="19"/>
  </conditionalFormatting>
  <conditionalFormatting sqref="F176:F183">
    <cfRule type="duplicateValues" dxfId="32" priority="20"/>
  </conditionalFormatting>
  <conditionalFormatting sqref="F175">
    <cfRule type="duplicateValues" dxfId="31" priority="21"/>
  </conditionalFormatting>
  <conditionalFormatting sqref="F173:F174">
    <cfRule type="duplicateValues" dxfId="30" priority="22"/>
  </conditionalFormatting>
  <conditionalFormatting sqref="F164:F171">
    <cfRule type="duplicateValues" dxfId="29" priority="23"/>
  </conditionalFormatting>
  <conditionalFormatting sqref="F155:F163">
    <cfRule type="duplicateValues" dxfId="28" priority="24"/>
  </conditionalFormatting>
  <conditionalFormatting sqref="F150:F154">
    <cfRule type="duplicateValues" dxfId="27" priority="25"/>
  </conditionalFormatting>
  <conditionalFormatting sqref="F132:F140">
    <cfRule type="duplicateValues" dxfId="26" priority="26"/>
  </conditionalFormatting>
  <conditionalFormatting sqref="F126:F131">
    <cfRule type="duplicateValues" dxfId="25" priority="27"/>
  </conditionalFormatting>
  <conditionalFormatting sqref="F116:F125">
    <cfRule type="duplicateValues" dxfId="24" priority="28"/>
  </conditionalFormatting>
  <conditionalFormatting sqref="F114:F115">
    <cfRule type="duplicateValues" dxfId="23" priority="29"/>
  </conditionalFormatting>
  <conditionalFormatting sqref="F100:F106">
    <cfRule type="duplicateValues" dxfId="22" priority="30"/>
  </conditionalFormatting>
  <conditionalFormatting sqref="F90:F92 F86:F88">
    <cfRule type="duplicateValues" dxfId="21" priority="31"/>
  </conditionalFormatting>
  <conditionalFormatting sqref="F82:F85 F78:F80">
    <cfRule type="duplicateValues" dxfId="20" priority="32"/>
  </conditionalFormatting>
  <conditionalFormatting sqref="F72:F77">
    <cfRule type="duplicateValues" dxfId="19" priority="33"/>
  </conditionalFormatting>
  <conditionalFormatting sqref="F65:F71">
    <cfRule type="duplicateValues" dxfId="18" priority="34"/>
  </conditionalFormatting>
  <conditionalFormatting sqref="F61:F64">
    <cfRule type="duplicateValues" dxfId="17" priority="35"/>
  </conditionalFormatting>
  <conditionalFormatting sqref="F54:F60">
    <cfRule type="duplicateValues" dxfId="16" priority="36"/>
  </conditionalFormatting>
  <conditionalFormatting sqref="F47:F53">
    <cfRule type="duplicateValues" dxfId="15" priority="37"/>
  </conditionalFormatting>
  <conditionalFormatting sqref="F40:F46">
    <cfRule type="duplicateValues" dxfId="14" priority="38"/>
  </conditionalFormatting>
  <conditionalFormatting sqref="F31:F38">
    <cfRule type="duplicateValues" dxfId="13" priority="39"/>
  </conditionalFormatting>
  <conditionalFormatting sqref="F18:F30">
    <cfRule type="duplicateValues" dxfId="12" priority="40"/>
  </conditionalFormatting>
  <conditionalFormatting sqref="F17 F11:F15">
    <cfRule type="duplicateValues" dxfId="11" priority="41"/>
  </conditionalFormatting>
  <conditionalFormatting sqref="F7:F10">
    <cfRule type="duplicateValues" dxfId="10" priority="42"/>
  </conditionalFormatting>
  <conditionalFormatting sqref="F148:F149">
    <cfRule type="duplicateValues" dxfId="9" priority="6"/>
  </conditionalFormatting>
  <conditionalFormatting sqref="F142:F147">
    <cfRule type="duplicateValues" dxfId="8" priority="5"/>
  </conditionalFormatting>
  <conditionalFormatting sqref="F98 F95 F93">
    <cfRule type="duplicateValues" dxfId="7" priority="4"/>
  </conditionalFormatting>
  <conditionalFormatting sqref="F99 F96:F97 F94">
    <cfRule type="duplicateValues" dxfId="6" priority="3"/>
  </conditionalFormatting>
  <conditionalFormatting sqref="F141">
    <cfRule type="duplicateValues" dxfId="5" priority="2"/>
  </conditionalFormatting>
  <conditionalFormatting sqref="F107:F112">
    <cfRule type="duplicateValues" dxfId="4" priority="43"/>
  </conditionalFormatting>
  <conditionalFormatting sqref="F282:F295">
    <cfRule type="duplicateValues" dxfId="3"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0"/>
  <sheetViews>
    <sheetView topLeftCell="A230" workbookViewId="0">
      <selection activeCell="G246" sqref="G246"/>
    </sheetView>
  </sheetViews>
  <sheetFormatPr defaultRowHeight="15"/>
  <sheetData>
    <row r="1" spans="1:17" ht="20.100000000000001" customHeight="1">
      <c r="A1" s="3406" t="s">
        <v>0</v>
      </c>
      <c r="B1" s="3406"/>
      <c r="C1" s="3406"/>
      <c r="D1" s="3406"/>
      <c r="E1" s="3406"/>
      <c r="F1" s="3406"/>
      <c r="G1" s="3406"/>
      <c r="H1" s="3406"/>
      <c r="I1" s="3406"/>
      <c r="J1" s="3406"/>
      <c r="K1" s="3406"/>
      <c r="L1" s="3406"/>
      <c r="M1" s="3406"/>
      <c r="N1" s="3406"/>
      <c r="O1" s="3406"/>
      <c r="P1" s="3406"/>
      <c r="Q1" s="3406"/>
    </row>
    <row r="2" spans="1:17" ht="20.100000000000001" customHeight="1">
      <c r="A2" s="3406" t="s">
        <v>1844</v>
      </c>
      <c r="B2" s="3406"/>
      <c r="C2" s="3406"/>
      <c r="D2" s="3406"/>
      <c r="E2" s="3406"/>
      <c r="F2" s="3406"/>
      <c r="G2" s="3406"/>
      <c r="H2" s="3406"/>
      <c r="I2" s="3406"/>
      <c r="J2" s="3406"/>
      <c r="K2" s="3406"/>
      <c r="L2" s="3406"/>
      <c r="M2" s="3406"/>
      <c r="N2" s="3406"/>
      <c r="O2" s="3406"/>
      <c r="P2" s="3406"/>
      <c r="Q2" s="3406"/>
    </row>
    <row r="3" spans="1:17" ht="20.100000000000001" customHeight="1">
      <c r="A3" s="3406" t="s">
        <v>770</v>
      </c>
      <c r="B3" s="3406"/>
      <c r="C3" s="3406"/>
      <c r="D3" s="3406"/>
      <c r="E3" s="3406"/>
      <c r="F3" s="3406"/>
      <c r="G3" s="3406"/>
      <c r="H3" s="3406"/>
      <c r="I3" s="3406"/>
      <c r="J3" s="3406"/>
      <c r="K3" s="3406"/>
      <c r="L3" s="3406"/>
      <c r="M3" s="3406"/>
      <c r="N3" s="3406"/>
      <c r="O3" s="3406"/>
      <c r="P3" s="3406"/>
      <c r="Q3" s="3406"/>
    </row>
    <row r="4" spans="1:17" ht="20.100000000000001" customHeight="1">
      <c r="A4" s="3406" t="s">
        <v>1845</v>
      </c>
      <c r="B4" s="3406"/>
      <c r="C4" s="3406" t="s">
        <v>1846</v>
      </c>
      <c r="D4" s="3406"/>
      <c r="E4" s="3406"/>
      <c r="F4" s="3406"/>
      <c r="G4" s="3406"/>
      <c r="H4" s="3406"/>
      <c r="I4" s="3406"/>
      <c r="J4" s="3406"/>
      <c r="K4" s="3406"/>
      <c r="L4" s="3406"/>
      <c r="M4" s="3406"/>
      <c r="N4" s="3406"/>
      <c r="O4" s="3406"/>
      <c r="P4" s="3406"/>
      <c r="Q4" s="3406"/>
    </row>
    <row r="5" spans="1:17" ht="20.100000000000001" customHeight="1">
      <c r="A5" s="3414" t="s">
        <v>1579</v>
      </c>
      <c r="B5" s="3414" t="s">
        <v>1847</v>
      </c>
      <c r="C5" s="3538" t="s">
        <v>5</v>
      </c>
      <c r="D5" s="1349"/>
      <c r="E5" s="3445" t="s">
        <v>1848</v>
      </c>
      <c r="F5" s="3438" t="s">
        <v>775</v>
      </c>
      <c r="G5" s="3439"/>
      <c r="H5" s="1350"/>
      <c r="I5" s="1350"/>
      <c r="J5" s="1350"/>
      <c r="K5" s="1350"/>
      <c r="L5" s="3540" t="s">
        <v>776</v>
      </c>
      <c r="M5" s="3542" t="s">
        <v>777</v>
      </c>
      <c r="N5" s="3438" t="s">
        <v>16</v>
      </c>
      <c r="O5" s="3530"/>
      <c r="P5" s="3439"/>
    </row>
    <row r="6" spans="1:17" ht="20.100000000000001" customHeight="1">
      <c r="A6" s="3415"/>
      <c r="B6" s="3415"/>
      <c r="C6" s="3539"/>
      <c r="D6" s="1351" t="s">
        <v>1849</v>
      </c>
      <c r="E6" s="3446"/>
      <c r="F6" s="1352" t="s">
        <v>779</v>
      </c>
      <c r="G6" s="1353" t="s">
        <v>780</v>
      </c>
      <c r="H6" s="1353" t="s">
        <v>781</v>
      </c>
      <c r="I6" s="1353" t="s">
        <v>782</v>
      </c>
      <c r="J6" s="1353" t="s">
        <v>10</v>
      </c>
      <c r="K6" s="1353" t="s">
        <v>1850</v>
      </c>
      <c r="L6" s="3541"/>
      <c r="M6" s="3543"/>
      <c r="N6" s="1354" t="s">
        <v>21</v>
      </c>
      <c r="O6" s="1354" t="s">
        <v>22</v>
      </c>
      <c r="P6" s="1355" t="s">
        <v>23</v>
      </c>
    </row>
    <row r="7" spans="1:17" ht="20.100000000000001" customHeight="1">
      <c r="A7" s="1356">
        <v>1</v>
      </c>
      <c r="B7" s="1357" t="s">
        <v>1851</v>
      </c>
      <c r="C7" s="1358" t="s">
        <v>1852</v>
      </c>
      <c r="D7" s="1359" t="s">
        <v>1853</v>
      </c>
      <c r="E7" s="1360" t="s">
        <v>283</v>
      </c>
      <c r="F7" s="1361">
        <v>0</v>
      </c>
      <c r="G7" s="1361">
        <v>0</v>
      </c>
      <c r="H7" s="1361">
        <v>0</v>
      </c>
      <c r="I7" s="1361">
        <v>0</v>
      </c>
      <c r="J7" s="1362">
        <v>122</v>
      </c>
      <c r="K7" s="1361">
        <v>0</v>
      </c>
      <c r="L7" s="1363">
        <v>0</v>
      </c>
      <c r="M7" s="1364">
        <v>26996.519999999964</v>
      </c>
      <c r="N7" s="1365">
        <f>F7+G7+H7+I7+J7+K7+L7-O7</f>
        <v>0</v>
      </c>
      <c r="O7" s="1366">
        <v>122</v>
      </c>
      <c r="P7" s="3382">
        <v>122</v>
      </c>
      <c r="Q7" s="1367"/>
    </row>
    <row r="8" spans="1:17" ht="20.100000000000001" customHeight="1">
      <c r="A8" s="1356">
        <v>2</v>
      </c>
      <c r="B8" s="1357" t="s">
        <v>1851</v>
      </c>
      <c r="C8" s="1358" t="s">
        <v>1852</v>
      </c>
      <c r="D8" s="1359" t="s">
        <v>1853</v>
      </c>
      <c r="E8" s="1360" t="s">
        <v>1854</v>
      </c>
      <c r="F8" s="1361">
        <v>0</v>
      </c>
      <c r="G8" s="1361">
        <v>0</v>
      </c>
      <c r="H8" s="1361">
        <v>0</v>
      </c>
      <c r="I8" s="1361">
        <v>0</v>
      </c>
      <c r="J8" s="1361">
        <v>0</v>
      </c>
      <c r="K8" s="1361">
        <v>0</v>
      </c>
      <c r="L8" s="1368">
        <v>1</v>
      </c>
      <c r="M8" s="1369">
        <v>0</v>
      </c>
      <c r="N8" s="1365">
        <f t="shared" ref="N8:N71" si="0">F8+G8+H8+I8+J8+K8+L8-O8</f>
        <v>1</v>
      </c>
      <c r="O8" s="1366"/>
      <c r="P8" s="3382"/>
      <c r="Q8" s="1367"/>
    </row>
    <row r="9" spans="1:17" ht="20.100000000000001" customHeight="1">
      <c r="A9" s="1356">
        <v>3</v>
      </c>
      <c r="B9" s="1357" t="s">
        <v>1851</v>
      </c>
      <c r="C9" s="1358" t="s">
        <v>1852</v>
      </c>
      <c r="D9" s="1359" t="s">
        <v>1853</v>
      </c>
      <c r="E9" s="1360" t="s">
        <v>1855</v>
      </c>
      <c r="F9" s="1361">
        <v>0</v>
      </c>
      <c r="G9" s="1361">
        <v>0</v>
      </c>
      <c r="H9" s="1361">
        <v>0</v>
      </c>
      <c r="I9" s="1361">
        <v>0</v>
      </c>
      <c r="J9" s="1361">
        <v>0</v>
      </c>
      <c r="K9" s="1361">
        <v>0</v>
      </c>
      <c r="L9" s="1368">
        <v>4</v>
      </c>
      <c r="M9" s="1364">
        <v>60383.93</v>
      </c>
      <c r="N9" s="1365">
        <f t="shared" si="0"/>
        <v>4</v>
      </c>
      <c r="O9" s="1366"/>
      <c r="P9" s="3382"/>
      <c r="Q9" s="1367"/>
    </row>
    <row r="10" spans="1:17" ht="20.100000000000001" customHeight="1">
      <c r="A10" s="1356">
        <v>4</v>
      </c>
      <c r="B10" s="1357" t="s">
        <v>1851</v>
      </c>
      <c r="C10" s="1358" t="s">
        <v>1852</v>
      </c>
      <c r="D10" s="1359" t="s">
        <v>1853</v>
      </c>
      <c r="E10" s="1370" t="s">
        <v>1856</v>
      </c>
      <c r="F10" s="1361">
        <v>0</v>
      </c>
      <c r="G10" s="1371">
        <v>85</v>
      </c>
      <c r="H10" s="1361">
        <v>0</v>
      </c>
      <c r="I10" s="1361">
        <v>0</v>
      </c>
      <c r="J10" s="1361">
        <v>0</v>
      </c>
      <c r="K10" s="1361">
        <v>0</v>
      </c>
      <c r="L10" s="1363">
        <v>0</v>
      </c>
      <c r="M10" s="1372">
        <v>7391.5999999999995</v>
      </c>
      <c r="N10" s="1365">
        <f t="shared" si="0"/>
        <v>85</v>
      </c>
      <c r="O10" s="1366"/>
      <c r="P10" s="3382"/>
      <c r="Q10" s="1367"/>
    </row>
    <row r="11" spans="1:17" ht="20.100000000000001" customHeight="1">
      <c r="A11" s="1356">
        <v>5</v>
      </c>
      <c r="B11" s="1357" t="s">
        <v>1851</v>
      </c>
      <c r="C11" s="1358" t="s">
        <v>1852</v>
      </c>
      <c r="D11" s="1359" t="s">
        <v>1853</v>
      </c>
      <c r="E11" s="1370" t="s">
        <v>1857</v>
      </c>
      <c r="F11" s="1371">
        <v>54</v>
      </c>
      <c r="G11" s="1361">
        <v>0</v>
      </c>
      <c r="H11" s="1361">
        <v>0</v>
      </c>
      <c r="I11" s="1361">
        <v>0</v>
      </c>
      <c r="J11" s="1361">
        <v>0</v>
      </c>
      <c r="K11" s="1361">
        <v>0</v>
      </c>
      <c r="L11" s="1363">
        <v>0</v>
      </c>
      <c r="M11" s="1372">
        <v>0</v>
      </c>
      <c r="N11" s="1365">
        <f t="shared" si="0"/>
        <v>54</v>
      </c>
      <c r="O11" s="1373"/>
      <c r="P11" s="3383"/>
    </row>
    <row r="12" spans="1:17" ht="20.100000000000001" customHeight="1">
      <c r="A12" s="1356">
        <v>6</v>
      </c>
      <c r="B12" s="1374" t="s">
        <v>1858</v>
      </c>
      <c r="C12" s="1358" t="s">
        <v>1852</v>
      </c>
      <c r="D12" s="1375" t="s">
        <v>1859</v>
      </c>
      <c r="E12" s="1376" t="s">
        <v>1860</v>
      </c>
      <c r="F12" s="1361">
        <v>0</v>
      </c>
      <c r="G12" s="1377">
        <v>0</v>
      </c>
      <c r="H12" s="1378">
        <v>0</v>
      </c>
      <c r="I12" s="1378">
        <v>0</v>
      </c>
      <c r="J12" s="1378">
        <v>0</v>
      </c>
      <c r="K12" s="1378">
        <v>0</v>
      </c>
      <c r="L12" s="1379">
        <v>1</v>
      </c>
      <c r="M12" s="1380">
        <v>0</v>
      </c>
      <c r="N12" s="1365">
        <f t="shared" si="0"/>
        <v>1</v>
      </c>
      <c r="O12" s="1373"/>
      <c r="P12" s="3383"/>
    </row>
    <row r="13" spans="1:17" ht="20.100000000000001" customHeight="1">
      <c r="A13" s="1356">
        <v>7</v>
      </c>
      <c r="B13" s="1374" t="s">
        <v>1858</v>
      </c>
      <c r="C13" s="1358" t="s">
        <v>1852</v>
      </c>
      <c r="D13" s="1375" t="s">
        <v>1861</v>
      </c>
      <c r="E13" s="1376" t="s">
        <v>35</v>
      </c>
      <c r="F13" s="1361">
        <v>0</v>
      </c>
      <c r="G13" s="1377">
        <v>0</v>
      </c>
      <c r="H13" s="1378">
        <v>0</v>
      </c>
      <c r="I13" s="1378">
        <v>0</v>
      </c>
      <c r="J13" s="1378">
        <v>31</v>
      </c>
      <c r="K13" s="1378">
        <v>0</v>
      </c>
      <c r="L13" s="1381">
        <v>0</v>
      </c>
      <c r="M13" s="1380">
        <v>4769.01</v>
      </c>
      <c r="N13" s="1365">
        <f t="shared" si="0"/>
        <v>0</v>
      </c>
      <c r="O13" s="1373">
        <v>31</v>
      </c>
      <c r="P13" s="3383">
        <v>31</v>
      </c>
    </row>
    <row r="14" spans="1:17" ht="20.100000000000001" customHeight="1">
      <c r="A14" s="1356">
        <v>8</v>
      </c>
      <c r="B14" s="1374" t="s">
        <v>1858</v>
      </c>
      <c r="C14" s="1358" t="s">
        <v>1852</v>
      </c>
      <c r="D14" s="1382" t="s">
        <v>1862</v>
      </c>
      <c r="E14" s="1383" t="s">
        <v>52</v>
      </c>
      <c r="F14" s="1361">
        <v>0</v>
      </c>
      <c r="G14" s="1384">
        <v>11</v>
      </c>
      <c r="H14" s="1378">
        <v>0</v>
      </c>
      <c r="I14" s="1378">
        <v>0</v>
      </c>
      <c r="J14" s="1378">
        <v>0</v>
      </c>
      <c r="K14" s="1378">
        <v>0</v>
      </c>
      <c r="L14" s="1381">
        <v>0</v>
      </c>
      <c r="M14" s="1385">
        <v>1100</v>
      </c>
      <c r="N14" s="1365">
        <f t="shared" si="0"/>
        <v>11</v>
      </c>
      <c r="O14" s="1373"/>
      <c r="P14" s="3383"/>
    </row>
    <row r="15" spans="1:17" ht="20.100000000000001" customHeight="1">
      <c r="A15" s="1356">
        <v>9</v>
      </c>
      <c r="B15" s="1386" t="s">
        <v>1858</v>
      </c>
      <c r="C15" s="1358" t="s">
        <v>1852</v>
      </c>
      <c r="D15" s="1382" t="s">
        <v>1862</v>
      </c>
      <c r="E15" s="1387" t="s">
        <v>1863</v>
      </c>
      <c r="F15" s="1388">
        <v>4</v>
      </c>
      <c r="G15" s="1389">
        <v>0</v>
      </c>
      <c r="H15" s="1390">
        <v>0</v>
      </c>
      <c r="I15" s="1390">
        <v>0</v>
      </c>
      <c r="J15" s="1390">
        <v>0</v>
      </c>
      <c r="K15" s="1390">
        <v>0</v>
      </c>
      <c r="L15" s="1381">
        <v>0</v>
      </c>
      <c r="M15" s="1391">
        <v>0</v>
      </c>
      <c r="N15" s="1365">
        <f t="shared" si="0"/>
        <v>4</v>
      </c>
      <c r="O15" s="1373"/>
      <c r="P15" s="3383"/>
    </row>
    <row r="16" spans="1:17" ht="20.100000000000001" customHeight="1" thickBot="1">
      <c r="A16" s="1356">
        <v>10</v>
      </c>
      <c r="B16" s="1374" t="s">
        <v>1858</v>
      </c>
      <c r="C16" s="1358" t="s">
        <v>1852</v>
      </c>
      <c r="D16" s="1382" t="s">
        <v>1862</v>
      </c>
      <c r="E16" s="1392" t="s">
        <v>1864</v>
      </c>
      <c r="F16" s="1393">
        <v>0</v>
      </c>
      <c r="G16" s="1393">
        <v>0</v>
      </c>
      <c r="H16" s="1378">
        <v>0</v>
      </c>
      <c r="I16" s="1378">
        <v>0</v>
      </c>
      <c r="J16" s="1378">
        <v>0</v>
      </c>
      <c r="K16" s="1378">
        <v>0</v>
      </c>
      <c r="L16" s="1394">
        <v>1</v>
      </c>
      <c r="M16" s="1395">
        <v>0</v>
      </c>
      <c r="N16" s="1365">
        <f t="shared" si="0"/>
        <v>1</v>
      </c>
      <c r="O16" s="1373"/>
      <c r="P16" s="3383"/>
    </row>
    <row r="17" spans="1:16" ht="20.100000000000001" customHeight="1">
      <c r="A17" s="1356">
        <v>11</v>
      </c>
      <c r="B17" s="1396" t="s">
        <v>1865</v>
      </c>
      <c r="C17" s="1358" t="s">
        <v>1852</v>
      </c>
      <c r="D17" s="1397" t="s">
        <v>1866</v>
      </c>
      <c r="E17" s="1398" t="s">
        <v>49</v>
      </c>
      <c r="F17" s="1361">
        <v>0</v>
      </c>
      <c r="G17" s="1361">
        <v>0</v>
      </c>
      <c r="H17" s="1399">
        <v>1</v>
      </c>
      <c r="I17" s="1361">
        <v>0</v>
      </c>
      <c r="J17" s="1361">
        <v>0</v>
      </c>
      <c r="K17" s="1361">
        <v>0</v>
      </c>
      <c r="L17" s="1363">
        <v>0</v>
      </c>
      <c r="M17" s="1400">
        <v>287842745.89999998</v>
      </c>
      <c r="N17" s="1365">
        <f t="shared" si="0"/>
        <v>1</v>
      </c>
      <c r="O17" s="1373"/>
      <c r="P17" s="3383"/>
    </row>
    <row r="18" spans="1:16" ht="20.100000000000001" customHeight="1">
      <c r="A18" s="1356">
        <v>12</v>
      </c>
      <c r="B18" s="1401" t="s">
        <v>1865</v>
      </c>
      <c r="C18" s="1358" t="s">
        <v>1852</v>
      </c>
      <c r="D18" s="1402" t="s">
        <v>1866</v>
      </c>
      <c r="E18" s="1403" t="s">
        <v>31</v>
      </c>
      <c r="F18" s="1361">
        <v>0</v>
      </c>
      <c r="G18" s="1361">
        <v>0</v>
      </c>
      <c r="H18" s="1404">
        <v>1</v>
      </c>
      <c r="I18" s="1361">
        <v>0</v>
      </c>
      <c r="J18" s="1361">
        <v>0</v>
      </c>
      <c r="K18" s="1361">
        <v>0</v>
      </c>
      <c r="L18" s="1363">
        <v>0</v>
      </c>
      <c r="M18" s="1405">
        <v>69</v>
      </c>
      <c r="N18" s="1365">
        <f t="shared" si="0"/>
        <v>0</v>
      </c>
      <c r="O18" s="1373">
        <v>1</v>
      </c>
      <c r="P18" s="3383">
        <v>1</v>
      </c>
    </row>
    <row r="19" spans="1:16" ht="20.100000000000001" customHeight="1">
      <c r="A19" s="1356">
        <v>13</v>
      </c>
      <c r="B19" s="1401" t="s">
        <v>1865</v>
      </c>
      <c r="C19" s="1358" t="s">
        <v>1852</v>
      </c>
      <c r="D19" s="1402" t="s">
        <v>1866</v>
      </c>
      <c r="E19" s="1403" t="s">
        <v>32</v>
      </c>
      <c r="F19" s="1361">
        <v>0</v>
      </c>
      <c r="G19" s="1361">
        <v>0</v>
      </c>
      <c r="H19" s="1404">
        <v>1</v>
      </c>
      <c r="I19" s="1361">
        <v>0</v>
      </c>
      <c r="J19" s="1361">
        <v>0</v>
      </c>
      <c r="K19" s="1361">
        <v>0</v>
      </c>
      <c r="L19" s="1363">
        <v>0</v>
      </c>
      <c r="M19" s="1405">
        <v>79</v>
      </c>
      <c r="N19" s="1365">
        <f t="shared" si="0"/>
        <v>1</v>
      </c>
      <c r="O19" s="1373"/>
      <c r="P19" s="3383"/>
    </row>
    <row r="20" spans="1:16" ht="20.100000000000001" customHeight="1">
      <c r="A20" s="1356">
        <v>14</v>
      </c>
      <c r="B20" s="1406" t="s">
        <v>1865</v>
      </c>
      <c r="C20" s="1358" t="s">
        <v>1852</v>
      </c>
      <c r="D20" s="1407" t="s">
        <v>1867</v>
      </c>
      <c r="E20" s="1408" t="s">
        <v>35</v>
      </c>
      <c r="F20" s="1361">
        <v>0</v>
      </c>
      <c r="G20" s="1361">
        <v>0</v>
      </c>
      <c r="H20" s="1361">
        <v>0</v>
      </c>
      <c r="I20" s="1361">
        <v>0</v>
      </c>
      <c r="J20" s="1409">
        <v>1886</v>
      </c>
      <c r="K20" s="1361">
        <v>0</v>
      </c>
      <c r="L20" s="1363">
        <v>0</v>
      </c>
      <c r="M20" s="1405">
        <v>2510017.16</v>
      </c>
      <c r="N20" s="1365">
        <f t="shared" si="0"/>
        <v>1673</v>
      </c>
      <c r="O20" s="1373">
        <v>213</v>
      </c>
      <c r="P20" s="3383">
        <v>213</v>
      </c>
    </row>
    <row r="21" spans="1:16" ht="20.100000000000001" customHeight="1">
      <c r="A21" s="1356">
        <v>15</v>
      </c>
      <c r="B21" s="1410" t="s">
        <v>1865</v>
      </c>
      <c r="C21" s="1358" t="s">
        <v>1852</v>
      </c>
      <c r="D21" s="1411" t="s">
        <v>1868</v>
      </c>
      <c r="E21" s="1412" t="s">
        <v>1869</v>
      </c>
      <c r="F21" s="1361">
        <v>0</v>
      </c>
      <c r="G21" s="1361">
        <v>0</v>
      </c>
      <c r="H21" s="1361">
        <v>0</v>
      </c>
      <c r="I21" s="1361">
        <v>0</v>
      </c>
      <c r="J21" s="1361">
        <v>0</v>
      </c>
      <c r="K21" s="1361">
        <v>0</v>
      </c>
      <c r="L21" s="1413">
        <v>12</v>
      </c>
      <c r="M21" s="1414">
        <v>-87790.2</v>
      </c>
      <c r="N21" s="1365">
        <f t="shared" si="0"/>
        <v>12</v>
      </c>
      <c r="O21" s="1373"/>
      <c r="P21" s="3383"/>
    </row>
    <row r="22" spans="1:16" ht="20.100000000000001" customHeight="1" thickBot="1">
      <c r="A22" s="1356">
        <v>16</v>
      </c>
      <c r="B22" s="1410" t="s">
        <v>1865</v>
      </c>
      <c r="C22" s="1358" t="s">
        <v>1852</v>
      </c>
      <c r="D22" s="1411" t="s">
        <v>1870</v>
      </c>
      <c r="E22" s="1415" t="s">
        <v>1871</v>
      </c>
      <c r="F22" s="1361">
        <v>0</v>
      </c>
      <c r="G22" s="1361">
        <v>0</v>
      </c>
      <c r="H22" s="1361">
        <v>0</v>
      </c>
      <c r="I22" s="1361">
        <v>0</v>
      </c>
      <c r="J22" s="1361">
        <v>0</v>
      </c>
      <c r="K22" s="1361">
        <v>0</v>
      </c>
      <c r="L22" s="1416">
        <v>46</v>
      </c>
      <c r="M22" s="1417">
        <v>-19256361.93</v>
      </c>
      <c r="N22" s="1365">
        <f t="shared" si="0"/>
        <v>46</v>
      </c>
      <c r="O22" s="1373"/>
      <c r="P22" s="3384"/>
    </row>
    <row r="23" spans="1:16" ht="20.100000000000001" customHeight="1">
      <c r="A23" s="1356">
        <v>17</v>
      </c>
      <c r="B23" s="1418" t="s">
        <v>1872</v>
      </c>
      <c r="C23" s="1358" t="s">
        <v>1852</v>
      </c>
      <c r="D23" s="1419" t="s">
        <v>100</v>
      </c>
      <c r="E23" s="1420" t="s">
        <v>1873</v>
      </c>
      <c r="F23" s="1361">
        <v>0</v>
      </c>
      <c r="G23" s="1361">
        <v>0</v>
      </c>
      <c r="H23" s="1421">
        <f t="shared" ref="H23:K23" si="1">SUM(I39)</f>
        <v>0</v>
      </c>
      <c r="I23" s="1421">
        <f t="shared" si="1"/>
        <v>0</v>
      </c>
      <c r="J23" s="1421">
        <f t="shared" si="1"/>
        <v>0</v>
      </c>
      <c r="K23" s="1421">
        <f t="shared" si="1"/>
        <v>0</v>
      </c>
      <c r="L23" s="1422">
        <v>11</v>
      </c>
      <c r="M23" s="1423">
        <v>850</v>
      </c>
      <c r="N23" s="1365">
        <f t="shared" si="0"/>
        <v>0</v>
      </c>
      <c r="O23" s="1373">
        <v>11</v>
      </c>
      <c r="P23" s="3383">
        <v>11</v>
      </c>
    </row>
    <row r="24" spans="1:16" ht="20.100000000000001" customHeight="1">
      <c r="A24" s="1356">
        <v>18</v>
      </c>
      <c r="B24" s="1418" t="s">
        <v>1872</v>
      </c>
      <c r="C24" s="1358" t="s">
        <v>1852</v>
      </c>
      <c r="D24" s="1419" t="s">
        <v>100</v>
      </c>
      <c r="E24" s="1424" t="s">
        <v>1874</v>
      </c>
      <c r="F24" s="1361">
        <v>0</v>
      </c>
      <c r="G24" s="1361">
        <v>0</v>
      </c>
      <c r="H24" s="1361">
        <v>0</v>
      </c>
      <c r="I24" s="1361">
        <v>0</v>
      </c>
      <c r="J24" s="1361">
        <v>0</v>
      </c>
      <c r="K24" s="1361">
        <v>0</v>
      </c>
      <c r="L24" s="1422">
        <v>60</v>
      </c>
      <c r="M24" s="1425">
        <v>6600</v>
      </c>
      <c r="N24" s="1365">
        <f t="shared" si="0"/>
        <v>60</v>
      </c>
      <c r="O24" s="1373"/>
      <c r="P24" s="3383"/>
    </row>
    <row r="25" spans="1:16" ht="20.100000000000001" customHeight="1">
      <c r="A25" s="1356">
        <v>19</v>
      </c>
      <c r="B25" s="1418" t="s">
        <v>1872</v>
      </c>
      <c r="C25" s="1358" t="s">
        <v>1852</v>
      </c>
      <c r="D25" s="1419" t="s">
        <v>1875</v>
      </c>
      <c r="E25" s="1426" t="s">
        <v>1876</v>
      </c>
      <c r="F25" s="1361">
        <v>0</v>
      </c>
      <c r="G25" s="1361">
        <v>0</v>
      </c>
      <c r="H25" s="1361">
        <v>0</v>
      </c>
      <c r="I25" s="1361">
        <v>0</v>
      </c>
      <c r="J25" s="1361">
        <v>0</v>
      </c>
      <c r="K25" s="1361">
        <v>0</v>
      </c>
      <c r="L25" s="1422">
        <v>1</v>
      </c>
      <c r="M25" s="1425">
        <v>400</v>
      </c>
      <c r="N25" s="1365">
        <f t="shared" si="0"/>
        <v>0</v>
      </c>
      <c r="O25" s="1373">
        <v>1</v>
      </c>
      <c r="P25" s="3383">
        <v>1</v>
      </c>
    </row>
    <row r="26" spans="1:16" ht="20.100000000000001" customHeight="1">
      <c r="A26" s="1356">
        <v>20</v>
      </c>
      <c r="B26" s="1418" t="s">
        <v>1872</v>
      </c>
      <c r="C26" s="1358" t="s">
        <v>1852</v>
      </c>
      <c r="D26" s="1419" t="s">
        <v>100</v>
      </c>
      <c r="E26" s="1420" t="s">
        <v>1877</v>
      </c>
      <c r="F26" s="1361">
        <v>0</v>
      </c>
      <c r="G26" s="1361">
        <v>0</v>
      </c>
      <c r="H26" s="1361">
        <v>0</v>
      </c>
      <c r="I26" s="1361">
        <v>0</v>
      </c>
      <c r="J26" s="1361">
        <v>0</v>
      </c>
      <c r="K26" s="1361">
        <v>0</v>
      </c>
      <c r="L26" s="1422">
        <v>1</v>
      </c>
      <c r="M26" s="1425"/>
      <c r="N26" s="1365">
        <f t="shared" si="0"/>
        <v>0</v>
      </c>
      <c r="O26" s="1373">
        <v>1</v>
      </c>
      <c r="P26" s="3383">
        <v>1</v>
      </c>
    </row>
    <row r="27" spans="1:16" ht="20.100000000000001" customHeight="1">
      <c r="A27" s="1356">
        <v>21</v>
      </c>
      <c r="B27" s="1418" t="s">
        <v>1872</v>
      </c>
      <c r="C27" s="1358" t="s">
        <v>1852</v>
      </c>
      <c r="D27" s="1419" t="s">
        <v>1875</v>
      </c>
      <c r="E27" s="1420" t="s">
        <v>1878</v>
      </c>
      <c r="F27" s="1361">
        <v>0</v>
      </c>
      <c r="G27" s="1361">
        <v>0</v>
      </c>
      <c r="H27" s="1421">
        <v>1</v>
      </c>
      <c r="I27" s="1361">
        <v>0</v>
      </c>
      <c r="J27" s="1361">
        <v>0</v>
      </c>
      <c r="K27" s="1361">
        <v>0</v>
      </c>
      <c r="L27" s="1363">
        <v>0</v>
      </c>
      <c r="M27" s="1423">
        <v>31000</v>
      </c>
      <c r="N27" s="1365">
        <f t="shared" si="0"/>
        <v>1</v>
      </c>
      <c r="O27" s="1373"/>
      <c r="P27" s="3383"/>
    </row>
    <row r="28" spans="1:16" ht="20.100000000000001" customHeight="1">
      <c r="A28" s="1356">
        <v>22</v>
      </c>
      <c r="B28" s="1418" t="s">
        <v>1872</v>
      </c>
      <c r="C28" s="1358" t="s">
        <v>1852</v>
      </c>
      <c r="D28" s="1419">
        <v>44851</v>
      </c>
      <c r="E28" s="1420" t="s">
        <v>1879</v>
      </c>
      <c r="F28" s="1361">
        <v>0</v>
      </c>
      <c r="G28" s="1361">
        <v>0</v>
      </c>
      <c r="H28" s="1361">
        <v>0</v>
      </c>
      <c r="I28" s="1361">
        <v>0</v>
      </c>
      <c r="J28" s="1361">
        <v>0</v>
      </c>
      <c r="K28" s="1361">
        <v>0</v>
      </c>
      <c r="L28" s="1422">
        <v>1</v>
      </c>
      <c r="M28" s="1423">
        <v>18215.25</v>
      </c>
      <c r="N28" s="1365">
        <f t="shared" si="0"/>
        <v>1</v>
      </c>
      <c r="O28" s="1373"/>
      <c r="P28" s="3383"/>
    </row>
    <row r="29" spans="1:16" ht="20.100000000000001" customHeight="1">
      <c r="A29" s="1356">
        <v>23</v>
      </c>
      <c r="B29" s="1418" t="s">
        <v>1872</v>
      </c>
      <c r="C29" s="1358" t="s">
        <v>1852</v>
      </c>
      <c r="D29" s="1419">
        <v>45658</v>
      </c>
      <c r="E29" s="1424" t="s">
        <v>1880</v>
      </c>
      <c r="F29" s="1361">
        <v>0</v>
      </c>
      <c r="G29" s="1361">
        <v>0</v>
      </c>
      <c r="H29" s="1361">
        <v>0</v>
      </c>
      <c r="I29" s="1361">
        <v>0</v>
      </c>
      <c r="J29" s="1361">
        <v>0</v>
      </c>
      <c r="K29" s="1361">
        <v>0</v>
      </c>
      <c r="L29" s="1422">
        <v>1</v>
      </c>
      <c r="M29" s="1423">
        <v>5000</v>
      </c>
      <c r="N29" s="1365">
        <f t="shared" si="0"/>
        <v>0</v>
      </c>
      <c r="O29" s="1373">
        <v>1</v>
      </c>
      <c r="P29" s="3383">
        <v>1</v>
      </c>
    </row>
    <row r="30" spans="1:16" ht="20.100000000000001" customHeight="1">
      <c r="A30" s="1356">
        <v>24</v>
      </c>
      <c r="B30" s="1418" t="s">
        <v>1872</v>
      </c>
      <c r="C30" s="1358" t="s">
        <v>1852</v>
      </c>
      <c r="D30" s="1419" t="s">
        <v>1881</v>
      </c>
      <c r="E30" s="1427" t="s">
        <v>1882</v>
      </c>
      <c r="F30" s="1421">
        <v>0</v>
      </c>
      <c r="G30" s="1421">
        <v>334</v>
      </c>
      <c r="H30" s="1361">
        <v>0</v>
      </c>
      <c r="I30" s="1361">
        <v>0</v>
      </c>
      <c r="J30" s="1361">
        <v>0</v>
      </c>
      <c r="K30" s="1361">
        <v>0</v>
      </c>
      <c r="L30" s="1363">
        <v>0</v>
      </c>
      <c r="M30" s="1423">
        <v>33400</v>
      </c>
      <c r="N30" s="1365">
        <f t="shared" si="0"/>
        <v>334</v>
      </c>
      <c r="O30" s="1373"/>
      <c r="P30" s="3383"/>
    </row>
    <row r="31" spans="1:16" ht="20.100000000000001" customHeight="1">
      <c r="A31" s="1356">
        <v>25</v>
      </c>
      <c r="B31" s="1418" t="s">
        <v>1872</v>
      </c>
      <c r="C31" s="1358" t="s">
        <v>1852</v>
      </c>
      <c r="D31" s="1419" t="s">
        <v>888</v>
      </c>
      <c r="E31" s="1420" t="s">
        <v>1883</v>
      </c>
      <c r="F31" s="1361">
        <v>0</v>
      </c>
      <c r="G31" s="1361">
        <v>0</v>
      </c>
      <c r="H31" s="1361">
        <v>0</v>
      </c>
      <c r="I31" s="1361">
        <v>0</v>
      </c>
      <c r="J31" s="1361">
        <v>0</v>
      </c>
      <c r="K31" s="1361">
        <v>0</v>
      </c>
      <c r="L31" s="1422">
        <v>3</v>
      </c>
      <c r="M31" s="1423">
        <v>0</v>
      </c>
      <c r="N31" s="1365">
        <f t="shared" si="0"/>
        <v>0</v>
      </c>
      <c r="O31" s="1373">
        <v>3</v>
      </c>
      <c r="P31" s="3383">
        <v>3</v>
      </c>
    </row>
    <row r="32" spans="1:16" ht="20.100000000000001" customHeight="1">
      <c r="A32" s="1356">
        <v>26</v>
      </c>
      <c r="B32" s="1418" t="s">
        <v>1872</v>
      </c>
      <c r="C32" s="1358" t="s">
        <v>1852</v>
      </c>
      <c r="D32" s="1419" t="s">
        <v>1884</v>
      </c>
      <c r="E32" s="1424" t="s">
        <v>1885</v>
      </c>
      <c r="F32" s="1361">
        <v>0</v>
      </c>
      <c r="G32" s="1361">
        <v>0</v>
      </c>
      <c r="H32" s="1361">
        <v>0</v>
      </c>
      <c r="I32" s="1361">
        <v>0</v>
      </c>
      <c r="J32" s="1361">
        <v>0</v>
      </c>
      <c r="K32" s="1361">
        <v>0</v>
      </c>
      <c r="L32" s="1422">
        <v>1</v>
      </c>
      <c r="M32" s="1423">
        <v>485000</v>
      </c>
      <c r="N32" s="1365">
        <f t="shared" si="0"/>
        <v>0</v>
      </c>
      <c r="O32" s="1373">
        <v>1</v>
      </c>
      <c r="P32" s="3383">
        <v>1</v>
      </c>
    </row>
    <row r="33" spans="1:16" ht="20.100000000000001" customHeight="1">
      <c r="A33" s="1356">
        <v>27</v>
      </c>
      <c r="B33" s="1418" t="s">
        <v>1872</v>
      </c>
      <c r="C33" s="1358" t="s">
        <v>1852</v>
      </c>
      <c r="D33" s="1419" t="s">
        <v>100</v>
      </c>
      <c r="E33" s="1426" t="s">
        <v>1886</v>
      </c>
      <c r="F33" s="1361">
        <v>0</v>
      </c>
      <c r="G33" s="1361">
        <v>0</v>
      </c>
      <c r="H33" s="1361">
        <v>0</v>
      </c>
      <c r="I33" s="1361">
        <v>0</v>
      </c>
      <c r="J33" s="1428">
        <v>529</v>
      </c>
      <c r="K33" s="1361">
        <v>0</v>
      </c>
      <c r="L33" s="1363">
        <v>0</v>
      </c>
      <c r="M33" s="1423">
        <v>142942.26999999999</v>
      </c>
      <c r="N33" s="1365">
        <f t="shared" si="0"/>
        <v>462</v>
      </c>
      <c r="O33" s="1373">
        <v>67</v>
      </c>
      <c r="P33" s="3383">
        <v>67</v>
      </c>
    </row>
    <row r="34" spans="1:16" ht="20.100000000000001" customHeight="1">
      <c r="A34" s="1356">
        <v>28</v>
      </c>
      <c r="B34" s="1418" t="s">
        <v>1872</v>
      </c>
      <c r="C34" s="1358" t="s">
        <v>1852</v>
      </c>
      <c r="D34" s="1419" t="s">
        <v>76</v>
      </c>
      <c r="E34" s="1424" t="s">
        <v>1887</v>
      </c>
      <c r="F34" s="1361">
        <v>0</v>
      </c>
      <c r="G34" s="1361">
        <v>0</v>
      </c>
      <c r="H34" s="1361">
        <v>0</v>
      </c>
      <c r="I34" s="1361">
        <v>0</v>
      </c>
      <c r="J34" s="1361">
        <v>0</v>
      </c>
      <c r="K34" s="1361">
        <v>0</v>
      </c>
      <c r="L34" s="1422">
        <v>2</v>
      </c>
      <c r="M34" s="1423" t="s">
        <v>1888</v>
      </c>
      <c r="N34" s="1365">
        <f t="shared" si="0"/>
        <v>2</v>
      </c>
      <c r="O34" s="1373"/>
      <c r="P34" s="3383"/>
    </row>
    <row r="35" spans="1:16" ht="20.100000000000001" customHeight="1">
      <c r="A35" s="1356">
        <v>29</v>
      </c>
      <c r="B35" s="1418" t="s">
        <v>1872</v>
      </c>
      <c r="C35" s="1358" t="s">
        <v>1852</v>
      </c>
      <c r="D35" s="1419" t="s">
        <v>1889</v>
      </c>
      <c r="E35" s="1424" t="s">
        <v>1890</v>
      </c>
      <c r="F35" s="1361">
        <v>0</v>
      </c>
      <c r="G35" s="1361">
        <v>0</v>
      </c>
      <c r="H35" s="1361">
        <v>0</v>
      </c>
      <c r="I35" s="1361">
        <v>0</v>
      </c>
      <c r="J35" s="1361">
        <v>0</v>
      </c>
      <c r="K35" s="1361">
        <v>0</v>
      </c>
      <c r="L35" s="1422">
        <v>2</v>
      </c>
      <c r="M35" s="1423">
        <f>12496.18+16575.49</f>
        <v>29071.670000000002</v>
      </c>
      <c r="N35" s="1365">
        <f t="shared" si="0"/>
        <v>2</v>
      </c>
      <c r="O35" s="1373"/>
      <c r="P35" s="3383"/>
    </row>
    <row r="36" spans="1:16" ht="20.100000000000001" customHeight="1">
      <c r="A36" s="1356">
        <v>30</v>
      </c>
      <c r="B36" s="1418" t="s">
        <v>1872</v>
      </c>
      <c r="C36" s="1358" t="s">
        <v>1852</v>
      </c>
      <c r="D36" s="1419" t="s">
        <v>76</v>
      </c>
      <c r="E36" s="1429" t="s">
        <v>1891</v>
      </c>
      <c r="F36" s="1361">
        <v>0</v>
      </c>
      <c r="G36" s="1361">
        <v>0</v>
      </c>
      <c r="H36" s="1361">
        <v>0</v>
      </c>
      <c r="I36" s="1361">
        <v>0</v>
      </c>
      <c r="J36" s="1361">
        <v>0</v>
      </c>
      <c r="K36" s="1361">
        <v>0</v>
      </c>
      <c r="L36" s="1422">
        <v>1</v>
      </c>
      <c r="M36" s="1423">
        <v>4398.3100000000004</v>
      </c>
      <c r="N36" s="1365">
        <f t="shared" si="0"/>
        <v>0</v>
      </c>
      <c r="O36" s="92">
        <v>1</v>
      </c>
      <c r="P36" s="3383">
        <v>1</v>
      </c>
    </row>
    <row r="37" spans="1:16" ht="20.100000000000001" customHeight="1">
      <c r="A37" s="1356">
        <v>31</v>
      </c>
      <c r="B37" s="1386" t="s">
        <v>1892</v>
      </c>
      <c r="C37" s="1358" t="s">
        <v>1852</v>
      </c>
      <c r="D37" s="1430">
        <v>44206</v>
      </c>
      <c r="E37" s="1431" t="s">
        <v>31</v>
      </c>
      <c r="F37" s="1361">
        <v>0</v>
      </c>
      <c r="G37" s="1361">
        <v>0</v>
      </c>
      <c r="H37" s="1432">
        <v>1</v>
      </c>
      <c r="I37" s="1361">
        <v>0</v>
      </c>
      <c r="J37" s="1361">
        <v>0</v>
      </c>
      <c r="K37" s="1361">
        <v>0</v>
      </c>
      <c r="L37" s="1363">
        <v>0</v>
      </c>
      <c r="M37" s="1433">
        <v>21.6</v>
      </c>
      <c r="N37" s="1365">
        <f t="shared" si="0"/>
        <v>0</v>
      </c>
      <c r="O37" s="92">
        <v>1</v>
      </c>
      <c r="P37" s="3383">
        <v>1</v>
      </c>
    </row>
    <row r="38" spans="1:16" ht="20.100000000000001" customHeight="1">
      <c r="A38" s="1356">
        <v>32</v>
      </c>
      <c r="B38" s="1386" t="s">
        <v>1892</v>
      </c>
      <c r="C38" s="1358" t="s">
        <v>1852</v>
      </c>
      <c r="D38" s="1430">
        <v>44206</v>
      </c>
      <c r="E38" s="1431" t="s">
        <v>32</v>
      </c>
      <c r="F38" s="1361">
        <v>0</v>
      </c>
      <c r="G38" s="1361">
        <v>0</v>
      </c>
      <c r="H38" s="1432">
        <v>1</v>
      </c>
      <c r="I38" s="1361">
        <v>0</v>
      </c>
      <c r="J38" s="1361">
        <v>0</v>
      </c>
      <c r="K38" s="1361">
        <v>0</v>
      </c>
      <c r="L38" s="1363">
        <v>0</v>
      </c>
      <c r="M38" s="1434">
        <v>0.35</v>
      </c>
      <c r="N38" s="1365">
        <f t="shared" si="0"/>
        <v>1</v>
      </c>
      <c r="O38" s="92"/>
      <c r="P38" s="3383"/>
    </row>
    <row r="39" spans="1:16" ht="20.100000000000001" customHeight="1">
      <c r="A39" s="1356">
        <v>33</v>
      </c>
      <c r="B39" s="1386" t="s">
        <v>1892</v>
      </c>
      <c r="C39" s="1358" t="s">
        <v>1852</v>
      </c>
      <c r="D39" s="1430">
        <v>44206</v>
      </c>
      <c r="E39" s="1431" t="s">
        <v>50</v>
      </c>
      <c r="F39" s="1361">
        <v>0</v>
      </c>
      <c r="G39" s="1361">
        <v>0</v>
      </c>
      <c r="H39" s="1432">
        <v>1</v>
      </c>
      <c r="I39" s="1361">
        <v>0</v>
      </c>
      <c r="J39" s="1361">
        <v>0</v>
      </c>
      <c r="K39" s="1361">
        <v>0</v>
      </c>
      <c r="L39" s="1363">
        <v>0</v>
      </c>
      <c r="M39" s="1433">
        <v>154.4</v>
      </c>
      <c r="N39" s="1365">
        <f t="shared" si="0"/>
        <v>1</v>
      </c>
      <c r="O39" s="92"/>
      <c r="P39" s="3383"/>
    </row>
    <row r="40" spans="1:16" ht="20.100000000000001" customHeight="1">
      <c r="A40" s="1356">
        <v>34</v>
      </c>
      <c r="B40" s="1386" t="s">
        <v>1892</v>
      </c>
      <c r="C40" s="1358" t="s">
        <v>1852</v>
      </c>
      <c r="D40" s="1435" t="s">
        <v>1893</v>
      </c>
      <c r="E40" s="1431" t="s">
        <v>1894</v>
      </c>
      <c r="F40" s="1361">
        <v>0</v>
      </c>
      <c r="G40" s="1361">
        <v>0</v>
      </c>
      <c r="H40" s="1361">
        <v>0</v>
      </c>
      <c r="I40" s="1361">
        <v>0</v>
      </c>
      <c r="J40" s="1361">
        <v>0</v>
      </c>
      <c r="K40" s="1361">
        <v>0</v>
      </c>
      <c r="L40" s="1436">
        <v>2</v>
      </c>
      <c r="M40" s="1437">
        <v>8700</v>
      </c>
      <c r="N40" s="1365">
        <f t="shared" si="0"/>
        <v>0</v>
      </c>
      <c r="O40" s="92">
        <v>2</v>
      </c>
      <c r="P40" s="3383">
        <v>2</v>
      </c>
    </row>
    <row r="41" spans="1:16" ht="20.100000000000001" customHeight="1">
      <c r="A41" s="1356">
        <v>35</v>
      </c>
      <c r="B41" s="1386" t="s">
        <v>1892</v>
      </c>
      <c r="C41" s="1358" t="s">
        <v>1852</v>
      </c>
      <c r="D41" s="1438">
        <v>46129</v>
      </c>
      <c r="E41" s="1439" t="s">
        <v>1895</v>
      </c>
      <c r="F41" s="1361">
        <v>0</v>
      </c>
      <c r="G41" s="1361">
        <v>0</v>
      </c>
      <c r="H41" s="1361">
        <v>0</v>
      </c>
      <c r="I41" s="1361">
        <v>0</v>
      </c>
      <c r="J41" s="1361">
        <v>0</v>
      </c>
      <c r="K41" s="1361">
        <v>0</v>
      </c>
      <c r="L41" s="1436">
        <v>1</v>
      </c>
      <c r="M41" s="1437">
        <v>1350</v>
      </c>
      <c r="N41" s="1365">
        <f t="shared" si="0"/>
        <v>0</v>
      </c>
      <c r="O41" s="92">
        <v>1</v>
      </c>
      <c r="P41" s="3383">
        <v>1</v>
      </c>
    </row>
    <row r="42" spans="1:16" ht="20.100000000000001" customHeight="1">
      <c r="A42" s="1356">
        <v>36</v>
      </c>
      <c r="B42" s="1386" t="s">
        <v>1892</v>
      </c>
      <c r="C42" s="1358" t="s">
        <v>1852</v>
      </c>
      <c r="D42" s="1440" t="s">
        <v>1862</v>
      </c>
      <c r="E42" s="1441" t="s">
        <v>1896</v>
      </c>
      <c r="F42" s="1361">
        <v>0</v>
      </c>
      <c r="G42" s="1361">
        <v>0</v>
      </c>
      <c r="H42" s="1361">
        <v>0</v>
      </c>
      <c r="I42" s="1361">
        <v>0</v>
      </c>
      <c r="J42" s="1361">
        <v>0</v>
      </c>
      <c r="K42" s="1361">
        <v>0</v>
      </c>
      <c r="L42" s="1436">
        <v>1</v>
      </c>
      <c r="M42" s="1437" t="s">
        <v>1897</v>
      </c>
      <c r="N42" s="1365">
        <f t="shared" si="0"/>
        <v>1</v>
      </c>
      <c r="O42" s="92"/>
      <c r="P42" s="3383"/>
    </row>
    <row r="43" spans="1:16" ht="20.100000000000001" customHeight="1">
      <c r="A43" s="1356">
        <v>37</v>
      </c>
      <c r="B43" s="1386" t="s">
        <v>1892</v>
      </c>
      <c r="C43" s="1358" t="s">
        <v>1852</v>
      </c>
      <c r="D43" s="1440" t="s">
        <v>1862</v>
      </c>
      <c r="E43" s="1442" t="s">
        <v>1898</v>
      </c>
      <c r="F43" s="1361">
        <v>0</v>
      </c>
      <c r="G43" s="1361">
        <v>0</v>
      </c>
      <c r="H43" s="1361">
        <v>0</v>
      </c>
      <c r="I43" s="1361">
        <v>0</v>
      </c>
      <c r="J43" s="1361">
        <v>0</v>
      </c>
      <c r="K43" s="1361">
        <v>0</v>
      </c>
      <c r="L43" s="1436">
        <v>1</v>
      </c>
      <c r="M43" s="1437">
        <v>725.97</v>
      </c>
      <c r="N43" s="1365">
        <f t="shared" si="0"/>
        <v>1</v>
      </c>
      <c r="O43" s="92"/>
      <c r="P43" s="3383"/>
    </row>
    <row r="44" spans="1:16" ht="20.100000000000001" customHeight="1">
      <c r="A44" s="1356">
        <v>38</v>
      </c>
      <c r="B44" s="1386" t="s">
        <v>1892</v>
      </c>
      <c r="C44" s="1358" t="s">
        <v>1852</v>
      </c>
      <c r="D44" s="1430">
        <v>44206</v>
      </c>
      <c r="E44" s="1443" t="s">
        <v>943</v>
      </c>
      <c r="F44" s="1361">
        <v>0</v>
      </c>
      <c r="G44" s="1361">
        <v>0</v>
      </c>
      <c r="H44" s="1432">
        <v>1</v>
      </c>
      <c r="I44" s="1361">
        <v>0</v>
      </c>
      <c r="J44" s="1361">
        <v>0</v>
      </c>
      <c r="K44" s="1361">
        <v>0</v>
      </c>
      <c r="L44" s="1363">
        <v>0</v>
      </c>
      <c r="M44" s="1444">
        <v>1044655.48</v>
      </c>
      <c r="N44" s="1365">
        <f t="shared" si="0"/>
        <v>1</v>
      </c>
      <c r="O44" s="92"/>
      <c r="P44" s="3383"/>
    </row>
    <row r="45" spans="1:16" ht="20.100000000000001" customHeight="1">
      <c r="A45" s="1356">
        <v>39</v>
      </c>
      <c r="B45" s="1386" t="s">
        <v>1892</v>
      </c>
      <c r="C45" s="1358" t="s">
        <v>1852</v>
      </c>
      <c r="D45" s="1440" t="s">
        <v>1862</v>
      </c>
      <c r="E45" s="1445" t="s">
        <v>35</v>
      </c>
      <c r="F45" s="1361">
        <v>0</v>
      </c>
      <c r="G45" s="1361">
        <v>0</v>
      </c>
      <c r="H45" s="1361">
        <v>0</v>
      </c>
      <c r="I45" s="1361">
        <v>0</v>
      </c>
      <c r="J45" s="1446">
        <v>2091</v>
      </c>
      <c r="K45" s="1361">
        <v>0</v>
      </c>
      <c r="L45" s="1363">
        <v>0</v>
      </c>
      <c r="M45" s="1447">
        <v>268800</v>
      </c>
      <c r="N45" s="1365">
        <f t="shared" si="0"/>
        <v>2068</v>
      </c>
      <c r="O45" s="92">
        <v>23</v>
      </c>
      <c r="P45" s="3383">
        <v>23</v>
      </c>
    </row>
    <row r="46" spans="1:16" ht="20.100000000000001" customHeight="1">
      <c r="A46" s="1356">
        <v>40</v>
      </c>
      <c r="B46" s="1386" t="s">
        <v>1892</v>
      </c>
      <c r="C46" s="1358" t="s">
        <v>1852</v>
      </c>
      <c r="D46" s="1440" t="s">
        <v>1862</v>
      </c>
      <c r="E46" s="1448" t="s">
        <v>1899</v>
      </c>
      <c r="F46" s="1361">
        <v>0</v>
      </c>
      <c r="G46" s="1432">
        <v>190</v>
      </c>
      <c r="H46" s="1361">
        <v>0</v>
      </c>
      <c r="I46" s="1361">
        <v>0</v>
      </c>
      <c r="J46" s="1361">
        <v>0</v>
      </c>
      <c r="K46" s="1361">
        <v>0</v>
      </c>
      <c r="L46" s="1363">
        <v>0</v>
      </c>
      <c r="M46" s="1449">
        <v>0</v>
      </c>
      <c r="N46" s="1365">
        <f t="shared" si="0"/>
        <v>190</v>
      </c>
      <c r="O46" s="92"/>
      <c r="P46" s="3383"/>
    </row>
    <row r="47" spans="1:16" ht="20.100000000000001" customHeight="1">
      <c r="A47" s="1356">
        <v>41</v>
      </c>
      <c r="B47" s="1386" t="s">
        <v>1892</v>
      </c>
      <c r="C47" s="1358" t="s">
        <v>1852</v>
      </c>
      <c r="D47" s="1440" t="s">
        <v>1862</v>
      </c>
      <c r="E47" s="1445" t="s">
        <v>1863</v>
      </c>
      <c r="F47" s="1432">
        <v>71</v>
      </c>
      <c r="G47" s="1361">
        <v>0</v>
      </c>
      <c r="H47" s="1361">
        <v>0</v>
      </c>
      <c r="I47" s="1361">
        <v>0</v>
      </c>
      <c r="J47" s="1361">
        <v>0</v>
      </c>
      <c r="K47" s="1361">
        <v>0</v>
      </c>
      <c r="L47" s="1363">
        <v>0</v>
      </c>
      <c r="M47" s="1449">
        <v>0</v>
      </c>
      <c r="N47" s="1365">
        <f t="shared" si="0"/>
        <v>71</v>
      </c>
      <c r="O47" s="92"/>
      <c r="P47" s="3383"/>
    </row>
    <row r="48" spans="1:16" ht="20.100000000000001" customHeight="1">
      <c r="A48" s="1356">
        <v>42</v>
      </c>
      <c r="B48" s="1450" t="s">
        <v>1900</v>
      </c>
      <c r="C48" s="1358" t="s">
        <v>1852</v>
      </c>
      <c r="D48" s="1451"/>
      <c r="E48" s="1452" t="s">
        <v>1901</v>
      </c>
      <c r="F48" s="1361">
        <v>0</v>
      </c>
      <c r="G48" s="1361">
        <v>0</v>
      </c>
      <c r="H48" s="1361">
        <v>0</v>
      </c>
      <c r="I48" s="1361">
        <v>0</v>
      </c>
      <c r="J48" s="1361">
        <v>0</v>
      </c>
      <c r="K48" s="1361">
        <v>0</v>
      </c>
      <c r="L48" s="1453">
        <v>1</v>
      </c>
      <c r="M48" s="1454">
        <v>58068.5</v>
      </c>
      <c r="N48" s="1365">
        <f t="shared" si="0"/>
        <v>1</v>
      </c>
      <c r="O48" s="92"/>
      <c r="P48" s="3383"/>
    </row>
    <row r="49" spans="1:16" ht="20.100000000000001" customHeight="1">
      <c r="A49" s="1356">
        <v>43</v>
      </c>
      <c r="B49" s="1450" t="s">
        <v>1900</v>
      </c>
      <c r="C49" s="1358" t="s">
        <v>1852</v>
      </c>
      <c r="D49" s="1419">
        <v>44206</v>
      </c>
      <c r="E49" s="1455" t="s">
        <v>49</v>
      </c>
      <c r="F49" s="1361">
        <v>0</v>
      </c>
      <c r="G49" s="1361">
        <v>0</v>
      </c>
      <c r="H49" s="1456">
        <v>1</v>
      </c>
      <c r="I49" s="1361">
        <v>0</v>
      </c>
      <c r="J49" s="1361">
        <v>0</v>
      </c>
      <c r="K49" s="1361">
        <v>0</v>
      </c>
      <c r="L49" s="1363">
        <v>0</v>
      </c>
      <c r="M49" s="1457">
        <v>3812298.19</v>
      </c>
      <c r="N49" s="1365">
        <f t="shared" si="0"/>
        <v>1</v>
      </c>
      <c r="O49" s="92"/>
      <c r="P49" s="3383"/>
    </row>
    <row r="50" spans="1:16" ht="20.100000000000001" customHeight="1">
      <c r="A50" s="1356">
        <v>44</v>
      </c>
      <c r="B50" s="1450" t="s">
        <v>1900</v>
      </c>
      <c r="C50" s="1358" t="s">
        <v>1852</v>
      </c>
      <c r="D50" s="1451" t="s">
        <v>1902</v>
      </c>
      <c r="E50" s="1458" t="s">
        <v>1903</v>
      </c>
      <c r="F50" s="1361">
        <v>0</v>
      </c>
      <c r="G50" s="1361">
        <v>0</v>
      </c>
      <c r="H50" s="1456">
        <v>1</v>
      </c>
      <c r="I50" s="1361">
        <v>0</v>
      </c>
      <c r="J50" s="1361">
        <v>0</v>
      </c>
      <c r="K50" s="1361">
        <v>0</v>
      </c>
      <c r="L50" s="1363">
        <v>0</v>
      </c>
      <c r="M50" s="1457">
        <v>7500</v>
      </c>
      <c r="N50" s="1365">
        <f t="shared" si="0"/>
        <v>1</v>
      </c>
      <c r="O50" s="92"/>
      <c r="P50" s="3383"/>
    </row>
    <row r="51" spans="1:16" ht="20.100000000000001" customHeight="1">
      <c r="A51" s="1356">
        <v>45</v>
      </c>
      <c r="B51" s="1450" t="s">
        <v>1900</v>
      </c>
      <c r="C51" s="1358" t="s">
        <v>1852</v>
      </c>
      <c r="D51" s="1419">
        <v>44206</v>
      </c>
      <c r="E51" s="1455" t="s">
        <v>32</v>
      </c>
      <c r="F51" s="1361">
        <v>0</v>
      </c>
      <c r="G51" s="1361">
        <v>0</v>
      </c>
      <c r="H51" s="1456">
        <v>1</v>
      </c>
      <c r="I51" s="1361">
        <v>0</v>
      </c>
      <c r="J51" s="1361">
        <v>0</v>
      </c>
      <c r="K51" s="1361">
        <v>0</v>
      </c>
      <c r="L51" s="1363">
        <v>0</v>
      </c>
      <c r="M51" s="1459">
        <v>298.81</v>
      </c>
      <c r="N51" s="1365">
        <f t="shared" si="0"/>
        <v>1</v>
      </c>
      <c r="O51" s="92"/>
      <c r="P51" s="3383"/>
    </row>
    <row r="52" spans="1:16" ht="20.100000000000001" customHeight="1">
      <c r="A52" s="1356">
        <v>46</v>
      </c>
      <c r="B52" s="1450" t="s">
        <v>1900</v>
      </c>
      <c r="C52" s="1358" t="s">
        <v>1852</v>
      </c>
      <c r="D52" s="1451"/>
      <c r="E52" s="1452" t="s">
        <v>35</v>
      </c>
      <c r="F52" s="1361">
        <v>0</v>
      </c>
      <c r="G52" s="1361">
        <v>0</v>
      </c>
      <c r="H52" s="1361">
        <v>0</v>
      </c>
      <c r="I52" s="1361">
        <v>0</v>
      </c>
      <c r="J52" s="1456">
        <v>1821</v>
      </c>
      <c r="K52" s="1361">
        <v>0</v>
      </c>
      <c r="L52" s="1363">
        <v>0</v>
      </c>
      <c r="M52" s="1460">
        <v>1740573.26</v>
      </c>
      <c r="N52" s="1365">
        <f t="shared" si="0"/>
        <v>1821</v>
      </c>
      <c r="O52" s="92"/>
      <c r="P52" s="3383"/>
    </row>
    <row r="53" spans="1:16" ht="20.100000000000001" customHeight="1">
      <c r="A53" s="1356">
        <v>47</v>
      </c>
      <c r="B53" s="1450" t="s">
        <v>1900</v>
      </c>
      <c r="C53" s="1358" t="s">
        <v>1852</v>
      </c>
      <c r="D53" s="1451" t="s">
        <v>1904</v>
      </c>
      <c r="E53" s="1461" t="s">
        <v>1905</v>
      </c>
      <c r="F53" s="1361">
        <v>0</v>
      </c>
      <c r="G53" s="1361">
        <v>0</v>
      </c>
      <c r="H53" s="1361">
        <v>0</v>
      </c>
      <c r="I53" s="1462">
        <v>1</v>
      </c>
      <c r="J53" s="1361">
        <v>0</v>
      </c>
      <c r="K53" s="1361">
        <v>0</v>
      </c>
      <c r="L53" s="1363">
        <v>0</v>
      </c>
      <c r="M53" s="1463">
        <v>50</v>
      </c>
      <c r="N53" s="1365">
        <f t="shared" si="0"/>
        <v>0</v>
      </c>
      <c r="O53" s="92">
        <v>1</v>
      </c>
      <c r="P53" s="3383">
        <v>1</v>
      </c>
    </row>
    <row r="54" spans="1:16" ht="20.100000000000001" customHeight="1">
      <c r="A54" s="1356">
        <v>48</v>
      </c>
      <c r="B54" s="1450" t="s">
        <v>1900</v>
      </c>
      <c r="C54" s="1358" t="s">
        <v>1852</v>
      </c>
      <c r="D54" s="1451"/>
      <c r="E54" s="1452" t="s">
        <v>1906</v>
      </c>
      <c r="F54" s="1378">
        <v>0</v>
      </c>
      <c r="G54" s="1378">
        <v>0</v>
      </c>
      <c r="H54" s="1378">
        <v>0</v>
      </c>
      <c r="I54" s="1378">
        <v>0</v>
      </c>
      <c r="J54" s="1378">
        <v>0</v>
      </c>
      <c r="K54" s="1378">
        <v>0</v>
      </c>
      <c r="L54" s="1464">
        <v>5</v>
      </c>
      <c r="M54" s="1465">
        <v>297021.49</v>
      </c>
      <c r="N54" s="1365">
        <f t="shared" si="0"/>
        <v>5</v>
      </c>
      <c r="O54" s="92"/>
      <c r="P54" s="3383"/>
    </row>
    <row r="55" spans="1:16" ht="20.100000000000001" customHeight="1">
      <c r="A55" s="1356">
        <v>49</v>
      </c>
      <c r="B55" s="1450" t="s">
        <v>1900</v>
      </c>
      <c r="C55" s="1358" t="s">
        <v>1852</v>
      </c>
      <c r="D55" s="1451"/>
      <c r="E55" s="1466" t="s">
        <v>1907</v>
      </c>
      <c r="F55" s="1378">
        <v>0</v>
      </c>
      <c r="G55" s="1456">
        <v>330</v>
      </c>
      <c r="H55" s="1378">
        <v>0</v>
      </c>
      <c r="I55" s="1378">
        <v>0</v>
      </c>
      <c r="J55" s="1378">
        <v>0</v>
      </c>
      <c r="K55" s="1378">
        <v>0</v>
      </c>
      <c r="L55" s="1381">
        <v>0</v>
      </c>
      <c r="M55" s="1467">
        <v>33300</v>
      </c>
      <c r="N55" s="1365">
        <f t="shared" si="0"/>
        <v>330</v>
      </c>
      <c r="O55" s="92"/>
      <c r="P55" s="3383"/>
    </row>
    <row r="56" spans="1:16" ht="20.100000000000001" customHeight="1">
      <c r="A56" s="1356">
        <v>50</v>
      </c>
      <c r="B56" s="1450" t="s">
        <v>1900</v>
      </c>
      <c r="C56" s="1358" t="s">
        <v>1852</v>
      </c>
      <c r="D56" s="1314"/>
      <c r="E56" s="1452" t="s">
        <v>1863</v>
      </c>
      <c r="F56" s="1456">
        <v>80</v>
      </c>
      <c r="G56" s="1378">
        <v>0</v>
      </c>
      <c r="H56" s="1378">
        <v>0</v>
      </c>
      <c r="I56" s="1378">
        <v>0</v>
      </c>
      <c r="J56" s="1378">
        <v>0</v>
      </c>
      <c r="K56" s="1378">
        <v>0</v>
      </c>
      <c r="L56" s="1381">
        <v>0</v>
      </c>
      <c r="M56" s="1467"/>
      <c r="N56" s="1365">
        <f t="shared" si="0"/>
        <v>80</v>
      </c>
      <c r="O56" s="92"/>
      <c r="P56" s="3383"/>
    </row>
    <row r="57" spans="1:16" ht="20.100000000000001" customHeight="1">
      <c r="A57" s="1356">
        <v>51</v>
      </c>
      <c r="B57" s="1450" t="s">
        <v>1900</v>
      </c>
      <c r="C57" s="1358" t="s">
        <v>1852</v>
      </c>
      <c r="D57" s="1468">
        <v>46029</v>
      </c>
      <c r="E57" s="1469" t="s">
        <v>1908</v>
      </c>
      <c r="F57" s="1378">
        <v>0</v>
      </c>
      <c r="G57" s="1378">
        <v>0</v>
      </c>
      <c r="H57" s="1378">
        <v>0</v>
      </c>
      <c r="I57" s="1378">
        <v>0</v>
      </c>
      <c r="J57" s="1378">
        <v>0</v>
      </c>
      <c r="K57" s="1378">
        <v>0</v>
      </c>
      <c r="L57" s="1470">
        <v>1</v>
      </c>
      <c r="M57" s="1471">
        <v>350000</v>
      </c>
      <c r="N57" s="1365">
        <f t="shared" si="0"/>
        <v>0</v>
      </c>
      <c r="O57" s="92">
        <v>1</v>
      </c>
      <c r="P57" s="3383">
        <v>1</v>
      </c>
    </row>
    <row r="58" spans="1:16" ht="20.100000000000001" customHeight="1">
      <c r="A58" s="1356">
        <v>52</v>
      </c>
      <c r="B58" s="1450" t="s">
        <v>1900</v>
      </c>
      <c r="C58" s="1358" t="s">
        <v>1852</v>
      </c>
      <c r="D58" s="1472" t="s">
        <v>150</v>
      </c>
      <c r="E58" s="1469" t="s">
        <v>1908</v>
      </c>
      <c r="F58" s="1378">
        <v>0</v>
      </c>
      <c r="G58" s="1378">
        <v>0</v>
      </c>
      <c r="H58" s="1378">
        <v>0</v>
      </c>
      <c r="I58" s="1378">
        <v>0</v>
      </c>
      <c r="J58" s="1378">
        <v>0</v>
      </c>
      <c r="K58" s="1378">
        <v>0</v>
      </c>
      <c r="L58" s="1470">
        <v>1</v>
      </c>
      <c r="M58" s="1471">
        <v>350000</v>
      </c>
      <c r="N58" s="1365">
        <f t="shared" si="0"/>
        <v>0</v>
      </c>
      <c r="O58" s="92">
        <v>1</v>
      </c>
      <c r="P58" s="3383">
        <v>1</v>
      </c>
    </row>
    <row r="59" spans="1:16" ht="20.100000000000001" customHeight="1">
      <c r="A59" s="1356">
        <v>53</v>
      </c>
      <c r="B59" s="1450" t="s">
        <v>1900</v>
      </c>
      <c r="C59" s="1358" t="s">
        <v>1852</v>
      </c>
      <c r="D59" s="1468">
        <v>45940</v>
      </c>
      <c r="E59" s="1473" t="s">
        <v>1909</v>
      </c>
      <c r="F59" s="1378">
        <v>0</v>
      </c>
      <c r="G59" s="1378">
        <v>0</v>
      </c>
      <c r="H59" s="1378">
        <v>0</v>
      </c>
      <c r="I59" s="1378">
        <v>0</v>
      </c>
      <c r="J59" s="1378">
        <v>0</v>
      </c>
      <c r="K59" s="1378">
        <v>0</v>
      </c>
      <c r="L59" s="1470">
        <v>1</v>
      </c>
      <c r="M59" s="1463">
        <v>53.02</v>
      </c>
      <c r="N59" s="1365">
        <f t="shared" si="0"/>
        <v>1</v>
      </c>
      <c r="O59" s="92"/>
      <c r="P59" s="3383"/>
    </row>
    <row r="60" spans="1:16" ht="20.100000000000001" customHeight="1">
      <c r="A60" s="1356">
        <v>54</v>
      </c>
      <c r="B60" s="1474" t="s">
        <v>1900</v>
      </c>
      <c r="C60" s="1475" t="s">
        <v>1852</v>
      </c>
      <c r="D60" s="1476"/>
      <c r="E60" s="1452" t="s">
        <v>1910</v>
      </c>
      <c r="F60" s="1378">
        <v>0</v>
      </c>
      <c r="G60" s="1378">
        <v>0</v>
      </c>
      <c r="H60" s="1378">
        <v>0</v>
      </c>
      <c r="I60" s="1378">
        <v>0</v>
      </c>
      <c r="J60" s="1378">
        <v>0</v>
      </c>
      <c r="K60" s="1378">
        <v>0</v>
      </c>
      <c r="L60" s="1453">
        <v>1</v>
      </c>
      <c r="M60" s="1460">
        <v>100</v>
      </c>
      <c r="N60" s="1365">
        <f t="shared" si="0"/>
        <v>0</v>
      </c>
      <c r="O60" s="92">
        <v>1</v>
      </c>
      <c r="P60" s="3383">
        <v>1</v>
      </c>
    </row>
    <row r="61" spans="1:16" ht="20.100000000000001" customHeight="1">
      <c r="A61" s="1356">
        <v>55</v>
      </c>
      <c r="B61" s="1475" t="s">
        <v>1852</v>
      </c>
      <c r="C61" s="1475" t="s">
        <v>1852</v>
      </c>
      <c r="D61" s="1477" t="s">
        <v>1862</v>
      </c>
      <c r="E61" s="1478" t="s">
        <v>1911</v>
      </c>
      <c r="F61" s="1378">
        <v>0</v>
      </c>
      <c r="G61" s="1378">
        <v>0</v>
      </c>
      <c r="H61" s="1378">
        <v>0</v>
      </c>
      <c r="I61" s="1378">
        <v>0</v>
      </c>
      <c r="J61" s="1378">
        <v>0</v>
      </c>
      <c r="K61" s="1378">
        <v>0</v>
      </c>
      <c r="L61" s="1479">
        <v>1</v>
      </c>
      <c r="M61" s="1480">
        <v>78894</v>
      </c>
      <c r="N61" s="1365">
        <f t="shared" si="0"/>
        <v>1</v>
      </c>
      <c r="O61" s="92"/>
      <c r="P61" s="3383"/>
    </row>
    <row r="62" spans="1:16" ht="20.100000000000001" customHeight="1">
      <c r="A62" s="1356">
        <v>56</v>
      </c>
      <c r="B62" s="1475" t="s">
        <v>1852</v>
      </c>
      <c r="C62" s="1475" t="s">
        <v>1852</v>
      </c>
      <c r="D62" s="1477" t="s">
        <v>1862</v>
      </c>
      <c r="E62" s="1478" t="s">
        <v>1912</v>
      </c>
      <c r="F62" s="1378">
        <v>0</v>
      </c>
      <c r="G62" s="1378">
        <v>0</v>
      </c>
      <c r="H62" s="1378">
        <v>0</v>
      </c>
      <c r="I62" s="1378">
        <v>0</v>
      </c>
      <c r="J62" s="1378">
        <v>0</v>
      </c>
      <c r="K62" s="1481">
        <v>337</v>
      </c>
      <c r="L62" s="1381">
        <v>0</v>
      </c>
      <c r="M62" s="1480">
        <v>14741</v>
      </c>
      <c r="N62" s="1365">
        <f t="shared" si="0"/>
        <v>337</v>
      </c>
      <c r="O62" s="92"/>
      <c r="P62" s="3383"/>
    </row>
    <row r="63" spans="1:16" ht="20.100000000000001" customHeight="1">
      <c r="A63" s="1356">
        <v>57</v>
      </c>
      <c r="B63" s="1475" t="s">
        <v>1852</v>
      </c>
      <c r="C63" s="1475" t="s">
        <v>1852</v>
      </c>
      <c r="D63" s="1482">
        <v>44206</v>
      </c>
      <c r="E63" s="1478" t="s">
        <v>49</v>
      </c>
      <c r="F63" s="1378">
        <v>0</v>
      </c>
      <c r="G63" s="1378">
        <v>0</v>
      </c>
      <c r="H63" s="1483">
        <v>1</v>
      </c>
      <c r="I63" s="1378">
        <v>0</v>
      </c>
      <c r="J63" s="1378">
        <v>0</v>
      </c>
      <c r="K63" s="1378">
        <v>0</v>
      </c>
      <c r="L63" s="1381">
        <v>0</v>
      </c>
      <c r="M63" s="1480">
        <v>31714470</v>
      </c>
      <c r="N63" s="1365">
        <f t="shared" si="0"/>
        <v>1</v>
      </c>
      <c r="O63" s="92"/>
      <c r="P63" s="3383"/>
    </row>
    <row r="64" spans="1:16" ht="20.100000000000001" customHeight="1">
      <c r="A64" s="1356">
        <v>58</v>
      </c>
      <c r="B64" s="1475" t="s">
        <v>1852</v>
      </c>
      <c r="C64" s="1475" t="s">
        <v>1852</v>
      </c>
      <c r="D64" s="1482">
        <v>44206</v>
      </c>
      <c r="E64" s="1478" t="s">
        <v>1913</v>
      </c>
      <c r="F64" s="1378">
        <v>0</v>
      </c>
      <c r="G64" s="1378">
        <v>0</v>
      </c>
      <c r="H64" s="1483">
        <v>1</v>
      </c>
      <c r="I64" s="1378">
        <v>0</v>
      </c>
      <c r="J64" s="1378">
        <v>0</v>
      </c>
      <c r="K64" s="1378">
        <v>0</v>
      </c>
      <c r="L64" s="1381">
        <v>0</v>
      </c>
      <c r="M64" s="1480">
        <v>84314</v>
      </c>
      <c r="N64" s="1365">
        <f t="shared" si="0"/>
        <v>1</v>
      </c>
      <c r="O64" s="92"/>
      <c r="P64" s="3383"/>
    </row>
    <row r="65" spans="1:16" ht="20.100000000000001" customHeight="1">
      <c r="A65" s="1356">
        <v>59</v>
      </c>
      <c r="B65" s="1475" t="s">
        <v>1852</v>
      </c>
      <c r="C65" s="1475" t="s">
        <v>1852</v>
      </c>
      <c r="D65" s="1482">
        <v>44206</v>
      </c>
      <c r="E65" s="1478" t="s">
        <v>32</v>
      </c>
      <c r="F65" s="1378">
        <v>0</v>
      </c>
      <c r="G65" s="1378">
        <v>0</v>
      </c>
      <c r="H65" s="1483">
        <v>1</v>
      </c>
      <c r="I65" s="1378">
        <v>0</v>
      </c>
      <c r="J65" s="1378">
        <v>0</v>
      </c>
      <c r="K65" s="1378">
        <v>0</v>
      </c>
      <c r="L65" s="1381">
        <v>0</v>
      </c>
      <c r="M65" s="1480">
        <v>22970</v>
      </c>
      <c r="N65" s="1365">
        <f t="shared" si="0"/>
        <v>1</v>
      </c>
      <c r="O65" s="92"/>
      <c r="P65" s="3383"/>
    </row>
    <row r="66" spans="1:16" ht="20.100000000000001" customHeight="1">
      <c r="A66" s="1356">
        <v>60</v>
      </c>
      <c r="B66" s="1475" t="s">
        <v>1852</v>
      </c>
      <c r="C66" s="1475" t="s">
        <v>1852</v>
      </c>
      <c r="D66" s="1484"/>
      <c r="E66" s="1478" t="s">
        <v>1914</v>
      </c>
      <c r="F66" s="1378">
        <v>0</v>
      </c>
      <c r="G66" s="1378">
        <v>0</v>
      </c>
      <c r="H66" s="1483">
        <v>1</v>
      </c>
      <c r="I66" s="1378">
        <v>0</v>
      </c>
      <c r="J66" s="1378">
        <v>0</v>
      </c>
      <c r="K66" s="1378">
        <v>0</v>
      </c>
      <c r="L66" s="1381">
        <v>0</v>
      </c>
      <c r="M66" s="1480">
        <v>3106</v>
      </c>
      <c r="N66" s="1365">
        <f t="shared" si="0"/>
        <v>1</v>
      </c>
      <c r="O66" s="92"/>
      <c r="P66" s="3383"/>
    </row>
    <row r="67" spans="1:16" ht="20.100000000000001" customHeight="1">
      <c r="A67" s="1356">
        <v>62</v>
      </c>
      <c r="B67" s="1475" t="s">
        <v>1852</v>
      </c>
      <c r="C67" s="1475" t="s">
        <v>1852</v>
      </c>
      <c r="D67" s="1485" t="s">
        <v>1000</v>
      </c>
      <c r="E67" s="1486" t="s">
        <v>1915</v>
      </c>
      <c r="F67" s="1378">
        <v>0</v>
      </c>
      <c r="G67" s="1378">
        <v>0</v>
      </c>
      <c r="H67" s="1378">
        <v>0</v>
      </c>
      <c r="I67" s="1378">
        <v>0</v>
      </c>
      <c r="J67" s="1378">
        <v>0</v>
      </c>
      <c r="K67" s="1378">
        <v>0</v>
      </c>
      <c r="L67" s="1487">
        <f>2500/50</f>
        <v>50</v>
      </c>
      <c r="M67" s="1480">
        <v>2500</v>
      </c>
      <c r="N67" s="1365">
        <f t="shared" si="0"/>
        <v>50</v>
      </c>
      <c r="O67" s="92"/>
      <c r="P67" s="3383"/>
    </row>
    <row r="68" spans="1:16" ht="20.100000000000001" customHeight="1">
      <c r="A68" s="1356">
        <v>63</v>
      </c>
      <c r="B68" s="1475" t="s">
        <v>1852</v>
      </c>
      <c r="C68" s="1475" t="s">
        <v>1852</v>
      </c>
      <c r="D68" s="1488">
        <v>46178</v>
      </c>
      <c r="E68" s="1486" t="s">
        <v>1916</v>
      </c>
      <c r="F68" s="1378">
        <v>0</v>
      </c>
      <c r="G68" s="1378">
        <v>0</v>
      </c>
      <c r="H68" s="1378">
        <v>0</v>
      </c>
      <c r="I68" s="1378">
        <v>0</v>
      </c>
      <c r="J68" s="1378">
        <v>0</v>
      </c>
      <c r="K68" s="1378">
        <v>0</v>
      </c>
      <c r="L68" s="1487">
        <v>2</v>
      </c>
      <c r="M68" s="1480">
        <v>16799.25</v>
      </c>
      <c r="N68" s="1365">
        <f t="shared" si="0"/>
        <v>2</v>
      </c>
      <c r="O68" s="92"/>
      <c r="P68" s="3383"/>
    </row>
    <row r="69" spans="1:16" ht="20.100000000000001" customHeight="1">
      <c r="A69" s="1356">
        <v>64</v>
      </c>
      <c r="B69" s="1475" t="s">
        <v>1852</v>
      </c>
      <c r="C69" s="1475" t="s">
        <v>1852</v>
      </c>
      <c r="D69" s="1485" t="s">
        <v>1000</v>
      </c>
      <c r="E69" s="1486" t="s">
        <v>1917</v>
      </c>
      <c r="F69" s="1378">
        <v>0</v>
      </c>
      <c r="G69" s="1378">
        <v>0</v>
      </c>
      <c r="H69" s="1378">
        <v>0</v>
      </c>
      <c r="I69" s="1378">
        <v>0</v>
      </c>
      <c r="J69" s="1378">
        <v>0</v>
      </c>
      <c r="K69" s="1378">
        <v>0</v>
      </c>
      <c r="L69" s="1487">
        <v>1</v>
      </c>
      <c r="M69" s="1480">
        <v>359.6</v>
      </c>
      <c r="N69" s="1365">
        <f t="shared" si="0"/>
        <v>1</v>
      </c>
      <c r="O69" s="92"/>
      <c r="P69" s="3383"/>
    </row>
    <row r="70" spans="1:16" ht="20.100000000000001" customHeight="1">
      <c r="A70" s="1356">
        <v>65</v>
      </c>
      <c r="B70" s="1475" t="s">
        <v>1852</v>
      </c>
      <c r="C70" s="1475" t="s">
        <v>1852</v>
      </c>
      <c r="D70" s="1485" t="s">
        <v>1000</v>
      </c>
      <c r="E70" s="1486" t="s">
        <v>1918</v>
      </c>
      <c r="F70" s="1378">
        <v>0</v>
      </c>
      <c r="G70" s="1378">
        <v>0</v>
      </c>
      <c r="H70" s="1378">
        <v>0</v>
      </c>
      <c r="I70" s="1378">
        <v>0</v>
      </c>
      <c r="J70" s="1378">
        <v>0</v>
      </c>
      <c r="K70" s="1378">
        <v>0</v>
      </c>
      <c r="L70" s="1487">
        <v>1</v>
      </c>
      <c r="M70" s="1480">
        <v>359.6</v>
      </c>
      <c r="N70" s="1365">
        <f t="shared" si="0"/>
        <v>1</v>
      </c>
      <c r="O70" s="92"/>
      <c r="P70" s="3383"/>
    </row>
    <row r="71" spans="1:16" ht="20.100000000000001" customHeight="1">
      <c r="A71" s="1356">
        <v>66</v>
      </c>
      <c r="B71" s="1475" t="s">
        <v>1852</v>
      </c>
      <c r="C71" s="1475" t="s">
        <v>1852</v>
      </c>
      <c r="D71" s="1485" t="s">
        <v>1000</v>
      </c>
      <c r="E71" s="1486" t="s">
        <v>1919</v>
      </c>
      <c r="F71" s="1378">
        <v>0</v>
      </c>
      <c r="G71" s="1378">
        <v>0</v>
      </c>
      <c r="H71" s="1378">
        <v>0</v>
      </c>
      <c r="I71" s="1378">
        <v>0</v>
      </c>
      <c r="J71" s="1378">
        <v>0</v>
      </c>
      <c r="K71" s="1378">
        <v>0</v>
      </c>
      <c r="L71" s="1489">
        <v>1</v>
      </c>
      <c r="M71" s="1490">
        <v>359.6</v>
      </c>
      <c r="N71" s="1365">
        <f t="shared" si="0"/>
        <v>1</v>
      </c>
      <c r="O71" s="92"/>
      <c r="P71" s="3383"/>
    </row>
    <row r="72" spans="1:16" ht="20.100000000000001" customHeight="1">
      <c r="A72" s="1356">
        <v>68</v>
      </c>
      <c r="B72" s="1475" t="s">
        <v>1852</v>
      </c>
      <c r="C72" s="1475" t="s">
        <v>1852</v>
      </c>
      <c r="D72" s="1485" t="s">
        <v>1920</v>
      </c>
      <c r="E72" s="1491" t="s">
        <v>1921</v>
      </c>
      <c r="F72" s="1378">
        <v>0</v>
      </c>
      <c r="G72" s="1378">
        <v>0</v>
      </c>
      <c r="H72" s="1378">
        <v>0</v>
      </c>
      <c r="I72" s="1378">
        <v>0</v>
      </c>
      <c r="J72" s="1378">
        <v>0</v>
      </c>
      <c r="K72" s="1378">
        <v>0</v>
      </c>
      <c r="L72" s="1489">
        <v>1</v>
      </c>
      <c r="M72" s="1492">
        <v>447.92</v>
      </c>
      <c r="N72" s="1365">
        <f t="shared" ref="N72:N135" si="2">F72+G72+H72+I72+J72+K72+L72-O72</f>
        <v>1</v>
      </c>
      <c r="O72" s="92"/>
      <c r="P72" s="3383"/>
    </row>
    <row r="73" spans="1:16" ht="20.100000000000001" customHeight="1">
      <c r="A73" s="1356">
        <v>69</v>
      </c>
      <c r="B73" s="1475" t="s">
        <v>1852</v>
      </c>
      <c r="C73" s="1475" t="s">
        <v>1852</v>
      </c>
      <c r="D73" s="1485" t="s">
        <v>1922</v>
      </c>
      <c r="E73" s="1491" t="s">
        <v>1923</v>
      </c>
      <c r="F73" s="1378">
        <v>0</v>
      </c>
      <c r="G73" s="1378">
        <v>0</v>
      </c>
      <c r="H73" s="1378">
        <v>0</v>
      </c>
      <c r="I73" s="1378">
        <v>0</v>
      </c>
      <c r="J73" s="1378">
        <v>0</v>
      </c>
      <c r="K73" s="1378">
        <v>0</v>
      </c>
      <c r="L73" s="1493">
        <v>1</v>
      </c>
      <c r="M73" s="1492">
        <v>1587.54</v>
      </c>
      <c r="N73" s="1365">
        <f t="shared" si="2"/>
        <v>1</v>
      </c>
      <c r="O73" s="92"/>
      <c r="P73" s="3383"/>
    </row>
    <row r="74" spans="1:16" ht="20.100000000000001" customHeight="1">
      <c r="A74" s="1356">
        <v>70</v>
      </c>
      <c r="B74" s="1475" t="s">
        <v>1852</v>
      </c>
      <c r="C74" s="1475" t="s">
        <v>1852</v>
      </c>
      <c r="D74" s="1485" t="s">
        <v>1924</v>
      </c>
      <c r="E74" s="1491" t="s">
        <v>1925</v>
      </c>
      <c r="F74" s="1378">
        <v>0</v>
      </c>
      <c r="G74" s="1378">
        <v>0</v>
      </c>
      <c r="H74" s="1378">
        <v>0</v>
      </c>
      <c r="I74" s="1378">
        <v>0</v>
      </c>
      <c r="J74" s="1378">
        <v>0</v>
      </c>
      <c r="K74" s="1378">
        <v>0</v>
      </c>
      <c r="L74" s="1489">
        <v>1</v>
      </c>
      <c r="M74" s="1492">
        <v>298.77999999999997</v>
      </c>
      <c r="N74" s="1365">
        <f t="shared" si="2"/>
        <v>1</v>
      </c>
      <c r="O74" s="92"/>
      <c r="P74" s="3383"/>
    </row>
    <row r="75" spans="1:16" ht="20.100000000000001" customHeight="1">
      <c r="A75" s="1356">
        <v>71</v>
      </c>
      <c r="B75" s="1475" t="s">
        <v>1852</v>
      </c>
      <c r="C75" s="1475" t="s">
        <v>1852</v>
      </c>
      <c r="D75" s="1485" t="s">
        <v>1926</v>
      </c>
      <c r="E75" s="1491" t="s">
        <v>1927</v>
      </c>
      <c r="F75" s="1378">
        <v>0</v>
      </c>
      <c r="G75" s="1378">
        <v>0</v>
      </c>
      <c r="H75" s="1378">
        <v>0</v>
      </c>
      <c r="I75" s="1378">
        <v>0</v>
      </c>
      <c r="J75" s="1378">
        <v>0</v>
      </c>
      <c r="K75" s="1378">
        <v>0</v>
      </c>
      <c r="L75" s="1489">
        <v>1</v>
      </c>
      <c r="M75" s="1492">
        <v>153.80000000000001</v>
      </c>
      <c r="N75" s="1365">
        <f t="shared" si="2"/>
        <v>1</v>
      </c>
      <c r="O75" s="92"/>
      <c r="P75" s="3383"/>
    </row>
    <row r="76" spans="1:16" ht="20.100000000000001" customHeight="1">
      <c r="A76" s="1356">
        <v>72</v>
      </c>
      <c r="B76" s="1475" t="s">
        <v>1852</v>
      </c>
      <c r="C76" s="1475" t="s">
        <v>1852</v>
      </c>
      <c r="D76" s="1485" t="s">
        <v>1926</v>
      </c>
      <c r="E76" s="1491" t="s">
        <v>1928</v>
      </c>
      <c r="F76" s="1378">
        <v>0</v>
      </c>
      <c r="G76" s="1378">
        <v>0</v>
      </c>
      <c r="H76" s="1378">
        <v>0</v>
      </c>
      <c r="I76" s="1378">
        <v>0</v>
      </c>
      <c r="J76" s="1378">
        <v>0</v>
      </c>
      <c r="K76" s="1378">
        <v>0</v>
      </c>
      <c r="L76" s="1489">
        <v>1</v>
      </c>
      <c r="M76" s="1492">
        <v>136.46</v>
      </c>
      <c r="N76" s="1365">
        <f t="shared" si="2"/>
        <v>1</v>
      </c>
      <c r="O76" s="92"/>
      <c r="P76" s="3383"/>
    </row>
    <row r="77" spans="1:16" ht="20.100000000000001" customHeight="1">
      <c r="A77" s="1356">
        <v>73</v>
      </c>
      <c r="B77" s="1475" t="s">
        <v>1852</v>
      </c>
      <c r="C77" s="1475" t="s">
        <v>1852</v>
      </c>
      <c r="D77" s="1485" t="s">
        <v>1929</v>
      </c>
      <c r="E77" s="1491" t="s">
        <v>1930</v>
      </c>
      <c r="F77" s="1378">
        <v>0</v>
      </c>
      <c r="G77" s="1378">
        <v>0</v>
      </c>
      <c r="H77" s="1378">
        <v>0</v>
      </c>
      <c r="I77" s="1378">
        <v>0</v>
      </c>
      <c r="J77" s="1378">
        <v>0</v>
      </c>
      <c r="K77" s="1378">
        <v>0</v>
      </c>
      <c r="L77" s="1489">
        <v>1</v>
      </c>
      <c r="M77" s="1492">
        <v>7312.55</v>
      </c>
      <c r="N77" s="1365">
        <f t="shared" si="2"/>
        <v>1</v>
      </c>
      <c r="O77" s="92"/>
      <c r="P77" s="3383"/>
    </row>
    <row r="78" spans="1:16" ht="20.100000000000001" customHeight="1">
      <c r="A78" s="1356">
        <v>74</v>
      </c>
      <c r="B78" s="1475" t="s">
        <v>1852</v>
      </c>
      <c r="C78" s="1475" t="s">
        <v>1852</v>
      </c>
      <c r="D78" s="1488">
        <v>45388</v>
      </c>
      <c r="E78" s="1494" t="s">
        <v>1931</v>
      </c>
      <c r="F78" s="1378">
        <v>0</v>
      </c>
      <c r="G78" s="1378">
        <v>0</v>
      </c>
      <c r="H78" s="1378">
        <v>0</v>
      </c>
      <c r="I78" s="1378">
        <v>0</v>
      </c>
      <c r="J78" s="1378">
        <v>0</v>
      </c>
      <c r="K78" s="1378">
        <v>0</v>
      </c>
      <c r="L78" s="1489">
        <v>1</v>
      </c>
      <c r="M78" s="1492">
        <v>1099.6300000000001</v>
      </c>
      <c r="N78" s="1365">
        <f t="shared" si="2"/>
        <v>1</v>
      </c>
      <c r="O78" s="92"/>
      <c r="P78" s="3383"/>
    </row>
    <row r="79" spans="1:16" ht="20.100000000000001" customHeight="1">
      <c r="A79" s="1356">
        <v>75</v>
      </c>
      <c r="B79" s="1475" t="s">
        <v>1852</v>
      </c>
      <c r="C79" s="1475" t="s">
        <v>1852</v>
      </c>
      <c r="D79" s="1488">
        <v>43232</v>
      </c>
      <c r="E79" s="1495" t="s">
        <v>1932</v>
      </c>
      <c r="F79" s="1378">
        <v>0</v>
      </c>
      <c r="G79" s="1378">
        <v>0</v>
      </c>
      <c r="H79" s="1378">
        <v>0</v>
      </c>
      <c r="I79" s="1378">
        <v>0</v>
      </c>
      <c r="J79" s="1378">
        <v>0</v>
      </c>
      <c r="K79" s="1378">
        <v>0</v>
      </c>
      <c r="L79" s="1489">
        <v>1</v>
      </c>
      <c r="M79" s="1492">
        <v>16416.55</v>
      </c>
      <c r="N79" s="1365">
        <f t="shared" si="2"/>
        <v>1</v>
      </c>
      <c r="O79" s="92"/>
      <c r="P79" s="3383"/>
    </row>
    <row r="80" spans="1:16" ht="20.100000000000001" customHeight="1">
      <c r="A80" s="1356"/>
      <c r="B80" s="1475" t="s">
        <v>1852</v>
      </c>
      <c r="C80" s="1475" t="s">
        <v>1852</v>
      </c>
      <c r="D80" s="1488" t="s">
        <v>1933</v>
      </c>
      <c r="E80" s="1495" t="s">
        <v>1934</v>
      </c>
      <c r="F80" s="1378">
        <v>0</v>
      </c>
      <c r="G80" s="1378">
        <v>0</v>
      </c>
      <c r="H80" s="1378">
        <v>0</v>
      </c>
      <c r="I80" s="1378">
        <v>0</v>
      </c>
      <c r="J80" s="1378">
        <v>0</v>
      </c>
      <c r="K80" s="1378">
        <v>0</v>
      </c>
      <c r="L80" s="1496">
        <v>1</v>
      </c>
      <c r="M80" s="1492">
        <v>4860.2299999999996</v>
      </c>
      <c r="N80" s="1365">
        <f t="shared" si="2"/>
        <v>1</v>
      </c>
      <c r="O80" s="92"/>
      <c r="P80" s="3383"/>
    </row>
    <row r="81" spans="1:16" ht="20.100000000000001" customHeight="1">
      <c r="A81" s="1356">
        <v>76</v>
      </c>
      <c r="B81" s="1475" t="s">
        <v>1852</v>
      </c>
      <c r="C81" s="1475" t="s">
        <v>1852</v>
      </c>
      <c r="D81" s="1497"/>
      <c r="E81" s="1498" t="s">
        <v>1835</v>
      </c>
      <c r="F81" s="1378">
        <v>0</v>
      </c>
      <c r="G81" s="1378">
        <v>0</v>
      </c>
      <c r="H81" s="1378">
        <v>0</v>
      </c>
      <c r="I81" s="1378">
        <v>0</v>
      </c>
      <c r="J81" s="1483">
        <v>8475</v>
      </c>
      <c r="K81" s="1378">
        <v>0</v>
      </c>
      <c r="L81" s="1381">
        <v>0</v>
      </c>
      <c r="M81" s="1480">
        <v>6091210.54</v>
      </c>
      <c r="N81" s="1365">
        <f t="shared" si="2"/>
        <v>8412</v>
      </c>
      <c r="O81" s="92">
        <v>63</v>
      </c>
      <c r="P81" s="3383">
        <v>63</v>
      </c>
    </row>
    <row r="82" spans="1:16" ht="20.100000000000001" customHeight="1">
      <c r="A82" s="1356">
        <v>77</v>
      </c>
      <c r="B82" s="1475" t="s">
        <v>1852</v>
      </c>
      <c r="C82" s="1475" t="s">
        <v>1852</v>
      </c>
      <c r="D82" s="1477" t="s">
        <v>1862</v>
      </c>
      <c r="E82" s="1499" t="s">
        <v>1899</v>
      </c>
      <c r="F82" s="1378">
        <v>0</v>
      </c>
      <c r="G82" s="1483">
        <v>1003</v>
      </c>
      <c r="H82" s="1378">
        <v>0</v>
      </c>
      <c r="I82" s="1378">
        <v>0</v>
      </c>
      <c r="J82" s="1378">
        <v>0</v>
      </c>
      <c r="K82" s="1378">
        <v>0</v>
      </c>
      <c r="L82" s="1381">
        <v>0</v>
      </c>
      <c r="M82" s="1480">
        <v>10300</v>
      </c>
      <c r="N82" s="1365">
        <f t="shared" si="2"/>
        <v>1003</v>
      </c>
      <c r="O82" s="92"/>
      <c r="P82" s="3383"/>
    </row>
    <row r="83" spans="1:16" ht="20.100000000000001" customHeight="1">
      <c r="A83" s="1356">
        <v>78</v>
      </c>
      <c r="B83" s="1358" t="s">
        <v>1852</v>
      </c>
      <c r="C83" s="1358" t="s">
        <v>1852</v>
      </c>
      <c r="D83" s="1477" t="s">
        <v>1862</v>
      </c>
      <c r="E83" s="1500" t="s">
        <v>1863</v>
      </c>
      <c r="F83" s="1483">
        <v>110</v>
      </c>
      <c r="G83" s="1378">
        <v>0</v>
      </c>
      <c r="H83" s="1378">
        <v>0</v>
      </c>
      <c r="I83" s="1378">
        <v>0</v>
      </c>
      <c r="J83" s="1378">
        <v>0</v>
      </c>
      <c r="K83" s="1378">
        <v>0</v>
      </c>
      <c r="L83" s="1381">
        <v>0</v>
      </c>
      <c r="M83" s="1480"/>
      <c r="N83" s="1365">
        <f t="shared" si="2"/>
        <v>110</v>
      </c>
      <c r="O83" s="92"/>
      <c r="P83" s="3383"/>
    </row>
    <row r="84" spans="1:16" ht="20.100000000000001" customHeight="1">
      <c r="A84" s="1356">
        <v>79</v>
      </c>
      <c r="B84" s="92" t="s">
        <v>1935</v>
      </c>
      <c r="C84" s="1358" t="s">
        <v>1852</v>
      </c>
      <c r="D84" s="1501" t="s">
        <v>1936</v>
      </c>
      <c r="E84" s="1502" t="s">
        <v>1937</v>
      </c>
      <c r="F84" s="1378">
        <v>0</v>
      </c>
      <c r="G84" s="1378">
        <v>0</v>
      </c>
      <c r="H84" s="1378">
        <v>0</v>
      </c>
      <c r="I84" s="1378">
        <v>0</v>
      </c>
      <c r="J84" s="1378">
        <v>0</v>
      </c>
      <c r="K84" s="1378">
        <v>0</v>
      </c>
      <c r="L84" s="1503">
        <v>1</v>
      </c>
      <c r="M84" s="1504"/>
      <c r="N84" s="1365">
        <f t="shared" si="2"/>
        <v>0</v>
      </c>
      <c r="O84" s="92">
        <v>1</v>
      </c>
      <c r="P84" s="3383">
        <v>1</v>
      </c>
    </row>
    <row r="85" spans="1:16" ht="20.100000000000001" customHeight="1">
      <c r="A85" s="1356">
        <v>80</v>
      </c>
      <c r="B85" s="92" t="s">
        <v>1935</v>
      </c>
      <c r="C85" s="1358" t="s">
        <v>1852</v>
      </c>
      <c r="D85" s="1501" t="s">
        <v>1862</v>
      </c>
      <c r="E85" s="1502" t="s">
        <v>1938</v>
      </c>
      <c r="F85" s="1378">
        <v>0</v>
      </c>
      <c r="G85" s="1378">
        <v>0</v>
      </c>
      <c r="H85" s="1378">
        <v>0</v>
      </c>
      <c r="I85" s="1378">
        <v>0</v>
      </c>
      <c r="J85" s="1378">
        <v>0</v>
      </c>
      <c r="K85" s="1378">
        <v>0</v>
      </c>
      <c r="L85" s="1503">
        <v>1</v>
      </c>
      <c r="M85" s="1504"/>
      <c r="N85" s="1365">
        <f t="shared" si="2"/>
        <v>0</v>
      </c>
      <c r="O85" s="92">
        <v>1</v>
      </c>
      <c r="P85" s="3383">
        <v>1</v>
      </c>
    </row>
    <row r="86" spans="1:16" ht="20.100000000000001" customHeight="1">
      <c r="A86" s="1356">
        <v>81</v>
      </c>
      <c r="B86" s="92" t="s">
        <v>1935</v>
      </c>
      <c r="C86" s="1358" t="s">
        <v>1852</v>
      </c>
      <c r="D86" s="1501" t="s">
        <v>1862</v>
      </c>
      <c r="E86" s="1505" t="s">
        <v>1911</v>
      </c>
      <c r="F86" s="1378">
        <v>0</v>
      </c>
      <c r="G86" s="1378">
        <v>0</v>
      </c>
      <c r="H86" s="1378">
        <v>0</v>
      </c>
      <c r="I86" s="1378">
        <v>0</v>
      </c>
      <c r="J86" s="1378">
        <v>0</v>
      </c>
      <c r="K86" s="1378">
        <v>0</v>
      </c>
      <c r="L86" s="1503">
        <v>1</v>
      </c>
      <c r="M86" s="1504">
        <v>34454</v>
      </c>
      <c r="N86" s="1365">
        <f t="shared" si="2"/>
        <v>1</v>
      </c>
      <c r="O86" s="92"/>
      <c r="P86" s="3383"/>
    </row>
    <row r="87" spans="1:16" ht="20.100000000000001" customHeight="1">
      <c r="A87" s="1356">
        <v>82</v>
      </c>
      <c r="B87" s="92" t="s">
        <v>1935</v>
      </c>
      <c r="C87" s="1358" t="s">
        <v>1852</v>
      </c>
      <c r="D87" s="1501" t="s">
        <v>1862</v>
      </c>
      <c r="E87" s="1505" t="s">
        <v>1939</v>
      </c>
      <c r="F87" s="1378">
        <v>0</v>
      </c>
      <c r="G87" s="1378">
        <v>0</v>
      </c>
      <c r="H87" s="1378">
        <v>0</v>
      </c>
      <c r="I87" s="1378">
        <v>0</v>
      </c>
      <c r="J87" s="1378">
        <v>0</v>
      </c>
      <c r="K87" s="1378">
        <v>0</v>
      </c>
      <c r="L87" s="1503">
        <v>1</v>
      </c>
      <c r="M87" s="1504">
        <v>136800</v>
      </c>
      <c r="N87" s="1365">
        <f t="shared" si="2"/>
        <v>1</v>
      </c>
      <c r="O87" s="92"/>
      <c r="P87" s="3383"/>
    </row>
    <row r="88" spans="1:16" ht="20.100000000000001" customHeight="1">
      <c r="A88" s="1356">
        <v>83</v>
      </c>
      <c r="B88" s="92" t="s">
        <v>1935</v>
      </c>
      <c r="C88" s="1358" t="s">
        <v>1852</v>
      </c>
      <c r="D88" s="1501" t="s">
        <v>1862</v>
      </c>
      <c r="E88" s="1502" t="s">
        <v>32</v>
      </c>
      <c r="F88" s="1378">
        <v>0</v>
      </c>
      <c r="G88" s="1378">
        <v>0</v>
      </c>
      <c r="H88" s="1506">
        <v>1</v>
      </c>
      <c r="I88" s="1378">
        <v>0</v>
      </c>
      <c r="J88" s="1378">
        <v>0</v>
      </c>
      <c r="K88" s="1378">
        <v>0</v>
      </c>
      <c r="L88" s="1381">
        <v>0</v>
      </c>
      <c r="M88" s="1504">
        <v>0.55000000000000004</v>
      </c>
      <c r="N88" s="1365">
        <f t="shared" si="2"/>
        <v>1</v>
      </c>
      <c r="O88" s="92"/>
      <c r="P88" s="3383"/>
    </row>
    <row r="89" spans="1:16" ht="20.100000000000001" customHeight="1">
      <c r="A89" s="1356">
        <v>84</v>
      </c>
      <c r="B89" s="92" t="s">
        <v>1935</v>
      </c>
      <c r="C89" s="1358" t="s">
        <v>1852</v>
      </c>
      <c r="D89" s="1507" t="s">
        <v>1862</v>
      </c>
      <c r="E89" s="1508" t="s">
        <v>35</v>
      </c>
      <c r="F89" s="1378">
        <v>0</v>
      </c>
      <c r="G89" s="1378">
        <v>0</v>
      </c>
      <c r="H89" s="1378">
        <v>0</v>
      </c>
      <c r="I89" s="1378">
        <v>0</v>
      </c>
      <c r="J89" s="1509">
        <v>1273</v>
      </c>
      <c r="K89" s="1378">
        <v>0</v>
      </c>
      <c r="L89" s="1381">
        <v>0</v>
      </c>
      <c r="M89" s="1510">
        <v>281149.43</v>
      </c>
      <c r="N89" s="1365">
        <f t="shared" si="2"/>
        <v>1246</v>
      </c>
      <c r="O89" s="92">
        <v>27</v>
      </c>
      <c r="P89" s="3383">
        <v>27</v>
      </c>
    </row>
    <row r="90" spans="1:16" ht="20.100000000000001" customHeight="1">
      <c r="A90" s="1356">
        <v>85</v>
      </c>
      <c r="B90" s="92" t="s">
        <v>1935</v>
      </c>
      <c r="C90" s="1358" t="s">
        <v>1852</v>
      </c>
      <c r="D90" s="1507" t="s">
        <v>1862</v>
      </c>
      <c r="E90" s="1508" t="s">
        <v>52</v>
      </c>
      <c r="F90" s="1378">
        <v>0</v>
      </c>
      <c r="G90" s="1509">
        <v>643</v>
      </c>
      <c r="H90" s="1378">
        <v>0</v>
      </c>
      <c r="I90" s="1378">
        <v>0</v>
      </c>
      <c r="J90" s="1378">
        <v>0</v>
      </c>
      <c r="K90" s="1378">
        <v>0</v>
      </c>
      <c r="L90" s="1381">
        <v>0</v>
      </c>
      <c r="M90" s="1511">
        <v>64300</v>
      </c>
      <c r="N90" s="1365">
        <f t="shared" si="2"/>
        <v>641</v>
      </c>
      <c r="O90" s="92">
        <v>2</v>
      </c>
      <c r="P90" s="3383">
        <v>2</v>
      </c>
    </row>
    <row r="91" spans="1:16" ht="20.100000000000001" customHeight="1">
      <c r="A91" s="1356">
        <v>86</v>
      </c>
      <c r="B91" s="92" t="s">
        <v>1935</v>
      </c>
      <c r="C91" s="1358" t="s">
        <v>1852</v>
      </c>
      <c r="D91" s="1507" t="s">
        <v>1862</v>
      </c>
      <c r="E91" s="1512" t="s">
        <v>1863</v>
      </c>
      <c r="F91" s="1509">
        <v>427</v>
      </c>
      <c r="G91" s="1509">
        <v>0</v>
      </c>
      <c r="H91" s="1509">
        <v>0</v>
      </c>
      <c r="I91" s="1378">
        <v>0</v>
      </c>
      <c r="J91" s="1509">
        <v>0</v>
      </c>
      <c r="K91" s="1509">
        <v>0</v>
      </c>
      <c r="L91" s="1513">
        <v>0</v>
      </c>
      <c r="M91" s="1514"/>
      <c r="N91" s="1365">
        <f t="shared" si="2"/>
        <v>425</v>
      </c>
      <c r="O91" s="92">
        <v>2</v>
      </c>
      <c r="P91" s="3383">
        <v>2</v>
      </c>
    </row>
    <row r="92" spans="1:16" ht="20.100000000000001" customHeight="1">
      <c r="A92" s="1356">
        <v>87</v>
      </c>
      <c r="B92" s="92" t="s">
        <v>1935</v>
      </c>
      <c r="C92" s="1358" t="s">
        <v>1852</v>
      </c>
      <c r="D92" s="1507" t="s">
        <v>1862</v>
      </c>
      <c r="E92" s="1499" t="s">
        <v>1940</v>
      </c>
      <c r="F92" s="1509">
        <v>0</v>
      </c>
      <c r="G92" s="1509">
        <v>0</v>
      </c>
      <c r="H92" s="1509">
        <v>0</v>
      </c>
      <c r="I92" s="1378">
        <v>0</v>
      </c>
      <c r="J92" s="1509">
        <v>0</v>
      </c>
      <c r="K92" s="1509">
        <v>0</v>
      </c>
      <c r="L92" s="1513">
        <v>2</v>
      </c>
      <c r="M92" s="1514">
        <v>36729.980000000003</v>
      </c>
      <c r="N92" s="1365">
        <f t="shared" si="2"/>
        <v>0</v>
      </c>
      <c r="O92" s="92">
        <v>2</v>
      </c>
      <c r="P92" s="3383">
        <v>2</v>
      </c>
    </row>
    <row r="93" spans="1:16" ht="20.100000000000001" customHeight="1">
      <c r="A93" s="1356">
        <v>88</v>
      </c>
      <c r="B93" s="92" t="s">
        <v>1935</v>
      </c>
      <c r="C93" s="1358" t="s">
        <v>1852</v>
      </c>
      <c r="D93" s="1507" t="s">
        <v>1862</v>
      </c>
      <c r="E93" s="1515" t="s">
        <v>1941</v>
      </c>
      <c r="F93" s="1509">
        <v>0</v>
      </c>
      <c r="G93" s="1509">
        <v>0</v>
      </c>
      <c r="H93" s="1509">
        <v>0</v>
      </c>
      <c r="I93" s="1378">
        <v>0</v>
      </c>
      <c r="J93" s="1509">
        <v>0</v>
      </c>
      <c r="K93" s="1509">
        <v>0</v>
      </c>
      <c r="L93" s="1513">
        <v>1</v>
      </c>
      <c r="M93" s="1514"/>
      <c r="N93" s="1365">
        <f t="shared" si="2"/>
        <v>0</v>
      </c>
      <c r="O93" s="92">
        <v>1</v>
      </c>
      <c r="P93" s="3383">
        <v>1</v>
      </c>
    </row>
    <row r="94" spans="1:16" ht="20.100000000000001" customHeight="1">
      <c r="A94" s="1356">
        <v>89</v>
      </c>
      <c r="B94" s="1516" t="s">
        <v>1942</v>
      </c>
      <c r="C94" s="1517" t="s">
        <v>1852</v>
      </c>
      <c r="D94" s="1518" t="s">
        <v>1943</v>
      </c>
      <c r="E94" s="1519" t="s">
        <v>1944</v>
      </c>
      <c r="F94" s="1520">
        <v>0</v>
      </c>
      <c r="G94" s="1520">
        <v>0</v>
      </c>
      <c r="H94" s="1521">
        <v>0</v>
      </c>
      <c r="I94" s="1520">
        <v>0</v>
      </c>
      <c r="J94" s="1520">
        <v>0</v>
      </c>
      <c r="K94" s="1520">
        <v>0</v>
      </c>
      <c r="L94" s="1522">
        <v>1</v>
      </c>
      <c r="M94" s="1523">
        <v>22200</v>
      </c>
      <c r="N94" s="1365">
        <f t="shared" si="2"/>
        <v>1</v>
      </c>
      <c r="O94" s="92"/>
      <c r="P94" s="3383"/>
    </row>
    <row r="95" spans="1:16" ht="20.100000000000001" customHeight="1">
      <c r="A95" s="1356">
        <v>90</v>
      </c>
      <c r="B95" s="1516" t="s">
        <v>1942</v>
      </c>
      <c r="C95" s="1517" t="s">
        <v>1852</v>
      </c>
      <c r="D95" s="3533" t="s">
        <v>1945</v>
      </c>
      <c r="E95" s="1524" t="s">
        <v>49</v>
      </c>
      <c r="F95" s="1520">
        <v>0</v>
      </c>
      <c r="G95" s="1520">
        <v>0</v>
      </c>
      <c r="H95" s="1525">
        <v>1</v>
      </c>
      <c r="I95" s="1520">
        <v>0</v>
      </c>
      <c r="J95" s="1520">
        <v>0</v>
      </c>
      <c r="K95" s="1520">
        <v>0</v>
      </c>
      <c r="L95" s="1526">
        <v>0</v>
      </c>
      <c r="M95" s="1527">
        <v>6568859.04</v>
      </c>
      <c r="N95" s="1365">
        <f t="shared" si="2"/>
        <v>1</v>
      </c>
      <c r="O95" s="92"/>
      <c r="P95" s="3383"/>
    </row>
    <row r="96" spans="1:16" ht="20.100000000000001" customHeight="1">
      <c r="A96" s="1356">
        <v>91</v>
      </c>
      <c r="B96" s="1516" t="s">
        <v>1942</v>
      </c>
      <c r="C96" s="1517" t="s">
        <v>1852</v>
      </c>
      <c r="D96" s="3533"/>
      <c r="E96" s="1528" t="s">
        <v>32</v>
      </c>
      <c r="F96" s="1520">
        <v>0</v>
      </c>
      <c r="G96" s="1520">
        <v>0</v>
      </c>
      <c r="H96" s="1529">
        <v>1</v>
      </c>
      <c r="I96" s="1520">
        <v>0</v>
      </c>
      <c r="J96" s="1520">
        <v>0</v>
      </c>
      <c r="K96" s="1520">
        <v>0</v>
      </c>
      <c r="L96" s="1526">
        <v>0</v>
      </c>
      <c r="M96" s="1530">
        <v>0.27</v>
      </c>
      <c r="N96" s="1365">
        <f t="shared" si="2"/>
        <v>1</v>
      </c>
      <c r="O96" s="92"/>
      <c r="P96" s="3383"/>
    </row>
    <row r="97" spans="1:16" ht="20.100000000000001" customHeight="1">
      <c r="A97" s="1356">
        <v>92</v>
      </c>
      <c r="B97" s="1531" t="s">
        <v>1942</v>
      </c>
      <c r="C97" s="1532" t="s">
        <v>1852</v>
      </c>
      <c r="D97" s="1533" t="s">
        <v>1943</v>
      </c>
      <c r="E97" s="1534" t="s">
        <v>1946</v>
      </c>
      <c r="F97" s="1520">
        <v>0</v>
      </c>
      <c r="G97" s="1520">
        <v>0</v>
      </c>
      <c r="H97" s="1520">
        <v>0</v>
      </c>
      <c r="I97" s="1520">
        <v>0</v>
      </c>
      <c r="J97" s="1520">
        <v>0</v>
      </c>
      <c r="K97" s="1520">
        <v>0</v>
      </c>
      <c r="L97" s="1526">
        <v>3</v>
      </c>
      <c r="M97" s="1535"/>
      <c r="N97" s="1365">
        <f t="shared" si="2"/>
        <v>3</v>
      </c>
      <c r="O97" s="92"/>
      <c r="P97" s="3383"/>
    </row>
    <row r="98" spans="1:16" ht="20.100000000000001" customHeight="1">
      <c r="A98" s="1356">
        <v>93</v>
      </c>
      <c r="B98" s="1531" t="s">
        <v>1942</v>
      </c>
      <c r="C98" s="1532" t="s">
        <v>1852</v>
      </c>
      <c r="D98" s="1536" t="s">
        <v>1943</v>
      </c>
      <c r="E98" s="1534" t="s">
        <v>35</v>
      </c>
      <c r="F98" s="1537">
        <v>0</v>
      </c>
      <c r="G98" s="1537">
        <v>0</v>
      </c>
      <c r="H98" s="1537">
        <v>0</v>
      </c>
      <c r="I98" s="1537">
        <v>0</v>
      </c>
      <c r="J98" s="1538">
        <v>321</v>
      </c>
      <c r="K98" s="1537">
        <v>0</v>
      </c>
      <c r="L98" s="1526">
        <v>0</v>
      </c>
      <c r="M98" s="1539">
        <v>10394799</v>
      </c>
      <c r="N98" s="1365">
        <f t="shared" si="2"/>
        <v>254</v>
      </c>
      <c r="O98" s="92">
        <v>67</v>
      </c>
      <c r="P98" s="3383">
        <v>67</v>
      </c>
    </row>
    <row r="99" spans="1:16" ht="20.100000000000001" customHeight="1">
      <c r="A99" s="1356">
        <v>94</v>
      </c>
      <c r="B99" s="1516" t="s">
        <v>1942</v>
      </c>
      <c r="C99" s="1517" t="s">
        <v>1852</v>
      </c>
      <c r="D99" s="1536" t="s">
        <v>1943</v>
      </c>
      <c r="E99" s="1540" t="s">
        <v>1947</v>
      </c>
      <c r="F99" s="1520">
        <v>0</v>
      </c>
      <c r="G99" s="1520">
        <v>0</v>
      </c>
      <c r="H99" s="1520">
        <v>0</v>
      </c>
      <c r="I99" s="1520">
        <v>0</v>
      </c>
      <c r="J99" s="1541">
        <v>0</v>
      </c>
      <c r="K99" s="1520">
        <v>0</v>
      </c>
      <c r="L99" s="1526">
        <v>380</v>
      </c>
      <c r="M99" s="1530">
        <v>63295</v>
      </c>
      <c r="N99" s="1365">
        <f t="shared" si="2"/>
        <v>380</v>
      </c>
      <c r="O99" s="92"/>
      <c r="P99" s="3383"/>
    </row>
    <row r="100" spans="1:16" ht="20.100000000000001" customHeight="1">
      <c r="A100" s="1356">
        <v>95</v>
      </c>
      <c r="B100" s="1516" t="s">
        <v>1942</v>
      </c>
      <c r="C100" s="1517" t="s">
        <v>1852</v>
      </c>
      <c r="D100" s="1536" t="s">
        <v>98</v>
      </c>
      <c r="E100" s="1542" t="s">
        <v>1948</v>
      </c>
      <c r="F100" s="1520">
        <v>0</v>
      </c>
      <c r="G100" s="1520">
        <v>0</v>
      </c>
      <c r="H100" s="1520">
        <v>0</v>
      </c>
      <c r="I100" s="1520">
        <v>0</v>
      </c>
      <c r="J100" s="1541">
        <v>0</v>
      </c>
      <c r="K100" s="1520">
        <v>0</v>
      </c>
      <c r="L100" s="1526">
        <v>1</v>
      </c>
      <c r="M100" s="1530">
        <v>2064696</v>
      </c>
      <c r="N100" s="1365">
        <f t="shared" si="2"/>
        <v>1</v>
      </c>
      <c r="O100" s="92"/>
      <c r="P100" s="3383"/>
    </row>
    <row r="101" spans="1:16" ht="20.100000000000001" customHeight="1">
      <c r="A101" s="1356">
        <v>96</v>
      </c>
      <c r="B101" s="1516" t="s">
        <v>1942</v>
      </c>
      <c r="C101" s="1517" t="s">
        <v>1852</v>
      </c>
      <c r="D101" s="1543" t="s">
        <v>1949</v>
      </c>
      <c r="E101" s="1540" t="s">
        <v>1950</v>
      </c>
      <c r="F101" s="1520">
        <v>0</v>
      </c>
      <c r="G101" s="1520">
        <v>0</v>
      </c>
      <c r="H101" s="1520">
        <v>0</v>
      </c>
      <c r="I101" s="1520">
        <v>0</v>
      </c>
      <c r="J101" s="1541">
        <v>0</v>
      </c>
      <c r="K101" s="1520">
        <v>0</v>
      </c>
      <c r="L101" s="1526">
        <v>2</v>
      </c>
      <c r="M101" s="1530"/>
      <c r="N101" s="1365">
        <f t="shared" si="2"/>
        <v>2</v>
      </c>
      <c r="O101" s="92"/>
      <c r="P101" s="3383"/>
    </row>
    <row r="102" spans="1:16" ht="20.100000000000001" customHeight="1">
      <c r="A102" s="1356">
        <v>97</v>
      </c>
      <c r="B102" s="1516" t="s">
        <v>1942</v>
      </c>
      <c r="C102" s="1517" t="s">
        <v>1852</v>
      </c>
      <c r="D102" s="1518" t="s">
        <v>1943</v>
      </c>
      <c r="E102" s="1544" t="s">
        <v>1951</v>
      </c>
      <c r="F102" s="1520">
        <v>0</v>
      </c>
      <c r="G102" s="1545">
        <v>400</v>
      </c>
      <c r="H102" s="1520">
        <v>0</v>
      </c>
      <c r="I102" s="1520">
        <v>0</v>
      </c>
      <c r="J102" s="1520">
        <v>0</v>
      </c>
      <c r="K102" s="1520">
        <v>0</v>
      </c>
      <c r="L102" s="1526">
        <v>0</v>
      </c>
      <c r="M102" s="1546">
        <v>400</v>
      </c>
      <c r="N102" s="1365">
        <f t="shared" si="2"/>
        <v>400</v>
      </c>
      <c r="O102" s="92"/>
      <c r="P102" s="3383"/>
    </row>
    <row r="103" spans="1:16" ht="20.100000000000001" customHeight="1">
      <c r="A103" s="1356">
        <v>98</v>
      </c>
      <c r="B103" s="1516" t="s">
        <v>1942</v>
      </c>
      <c r="C103" s="1517" t="s">
        <v>1852</v>
      </c>
      <c r="D103" s="1518" t="s">
        <v>1943</v>
      </c>
      <c r="E103" s="1540" t="s">
        <v>1952</v>
      </c>
      <c r="F103" s="1520">
        <v>9</v>
      </c>
      <c r="G103" s="1536">
        <v>0</v>
      </c>
      <c r="H103" s="1520">
        <v>0</v>
      </c>
      <c r="I103" s="1520">
        <v>0</v>
      </c>
      <c r="J103" s="1520">
        <v>0</v>
      </c>
      <c r="K103" s="1520">
        <v>0</v>
      </c>
      <c r="L103" s="1526">
        <v>0</v>
      </c>
      <c r="M103" s="1546">
        <v>9</v>
      </c>
      <c r="N103" s="1365">
        <f t="shared" si="2"/>
        <v>9</v>
      </c>
      <c r="O103" s="92"/>
      <c r="P103" s="3383"/>
    </row>
    <row r="104" spans="1:16" ht="20.100000000000001" customHeight="1">
      <c r="A104" s="1356">
        <v>99</v>
      </c>
      <c r="B104" s="1547" t="s">
        <v>1942</v>
      </c>
      <c r="C104" s="1548" t="s">
        <v>1852</v>
      </c>
      <c r="D104" s="1451" t="s">
        <v>1953</v>
      </c>
      <c r="E104" s="1549" t="s">
        <v>1954</v>
      </c>
      <c r="F104" s="1550">
        <v>0</v>
      </c>
      <c r="G104" s="1550">
        <v>0</v>
      </c>
      <c r="H104" s="1537">
        <v>0</v>
      </c>
      <c r="I104" s="1537">
        <v>0</v>
      </c>
      <c r="J104" s="1537">
        <v>0</v>
      </c>
      <c r="K104" s="1537">
        <v>0</v>
      </c>
      <c r="L104" s="1551">
        <v>2</v>
      </c>
      <c r="M104" s="1552">
        <v>200</v>
      </c>
      <c r="N104" s="1365">
        <f t="shared" si="2"/>
        <v>0</v>
      </c>
      <c r="O104" s="92">
        <v>2</v>
      </c>
      <c r="P104" s="3383">
        <v>2</v>
      </c>
    </row>
    <row r="105" spans="1:16" ht="20.100000000000001" customHeight="1">
      <c r="A105" s="1356">
        <v>100</v>
      </c>
      <c r="B105" s="1547" t="s">
        <v>1942</v>
      </c>
      <c r="C105" s="1548" t="s">
        <v>1852</v>
      </c>
      <c r="D105" s="1553" t="s">
        <v>150</v>
      </c>
      <c r="E105" s="1554" t="s">
        <v>1955</v>
      </c>
      <c r="F105" s="1550">
        <v>0</v>
      </c>
      <c r="G105" s="1550">
        <v>0</v>
      </c>
      <c r="H105" s="1555">
        <v>1</v>
      </c>
      <c r="I105" s="1555">
        <v>0</v>
      </c>
      <c r="J105" s="1555">
        <v>0</v>
      </c>
      <c r="K105" s="1555">
        <v>0</v>
      </c>
      <c r="L105" s="1555">
        <v>0</v>
      </c>
      <c r="M105" s="1556">
        <v>1</v>
      </c>
      <c r="N105" s="1365">
        <f t="shared" si="2"/>
        <v>1</v>
      </c>
      <c r="O105" s="92"/>
      <c r="P105" s="3383"/>
    </row>
    <row r="106" spans="1:16" ht="20.100000000000001" customHeight="1">
      <c r="A106" s="1356">
        <v>101</v>
      </c>
      <c r="B106" s="1547" t="s">
        <v>1942</v>
      </c>
      <c r="C106" s="1548" t="s">
        <v>1852</v>
      </c>
      <c r="D106" s="1451" t="s">
        <v>1953</v>
      </c>
      <c r="E106" s="1557" t="s">
        <v>1956</v>
      </c>
      <c r="F106" s="1550">
        <v>0</v>
      </c>
      <c r="G106" s="1550">
        <v>0</v>
      </c>
      <c r="H106" s="1520">
        <v>0</v>
      </c>
      <c r="I106" s="1520">
        <v>0</v>
      </c>
      <c r="J106" s="1520">
        <v>0</v>
      </c>
      <c r="K106" s="1520">
        <v>0</v>
      </c>
      <c r="L106" s="1551">
        <v>3</v>
      </c>
      <c r="M106" s="1556"/>
      <c r="N106" s="1365">
        <f t="shared" si="2"/>
        <v>3</v>
      </c>
      <c r="O106" s="92"/>
      <c r="P106" s="3383"/>
    </row>
    <row r="107" spans="1:16" ht="20.100000000000001" customHeight="1">
      <c r="A107" s="1356">
        <v>102</v>
      </c>
      <c r="B107" s="1516" t="s">
        <v>1942</v>
      </c>
      <c r="C107" s="1548" t="s">
        <v>1852</v>
      </c>
      <c r="D107" s="1558" t="s">
        <v>76</v>
      </c>
      <c r="E107" s="1559" t="s">
        <v>1957</v>
      </c>
      <c r="F107" s="1560">
        <v>0</v>
      </c>
      <c r="G107" s="1561">
        <v>0</v>
      </c>
      <c r="H107" s="1561">
        <v>0</v>
      </c>
      <c r="I107" s="1561">
        <v>0</v>
      </c>
      <c r="J107" s="1561">
        <v>0</v>
      </c>
      <c r="K107" s="1520">
        <v>0</v>
      </c>
      <c r="L107" s="1562">
        <v>1</v>
      </c>
      <c r="M107" s="1423">
        <v>100</v>
      </c>
      <c r="N107" s="1365">
        <f t="shared" si="2"/>
        <v>1</v>
      </c>
      <c r="O107" s="92"/>
      <c r="P107" s="3383"/>
    </row>
    <row r="108" spans="1:16" ht="20.100000000000001" customHeight="1">
      <c r="A108" s="1356">
        <v>103</v>
      </c>
      <c r="B108" s="1516" t="s">
        <v>1942</v>
      </c>
      <c r="C108" s="1563" t="s">
        <v>1852</v>
      </c>
      <c r="D108" s="1533" t="s">
        <v>1958</v>
      </c>
      <c r="E108" s="1564" t="s">
        <v>1860</v>
      </c>
      <c r="F108" s="1560">
        <v>0</v>
      </c>
      <c r="G108" s="1560">
        <v>0</v>
      </c>
      <c r="H108" s="1561">
        <v>0</v>
      </c>
      <c r="I108" s="1561">
        <v>0</v>
      </c>
      <c r="J108" s="1561">
        <v>0</v>
      </c>
      <c r="K108" s="1561">
        <v>0</v>
      </c>
      <c r="L108" s="1565">
        <v>1</v>
      </c>
      <c r="M108" s="1566">
        <v>0</v>
      </c>
      <c r="N108" s="1365">
        <f t="shared" si="2"/>
        <v>1</v>
      </c>
      <c r="O108" s="92"/>
      <c r="P108" s="3383"/>
    </row>
    <row r="109" spans="1:16" ht="20.100000000000001" customHeight="1">
      <c r="A109" s="1356">
        <v>104</v>
      </c>
      <c r="B109" s="1567" t="s">
        <v>1959</v>
      </c>
      <c r="C109" s="1563" t="s">
        <v>1852</v>
      </c>
      <c r="D109" s="1568" t="s">
        <v>1960</v>
      </c>
      <c r="E109" s="1569" t="s">
        <v>1911</v>
      </c>
      <c r="F109" s="1560">
        <v>0</v>
      </c>
      <c r="G109" s="1560">
        <v>0</v>
      </c>
      <c r="H109" s="1560">
        <v>0</v>
      </c>
      <c r="I109" s="1560">
        <v>0</v>
      </c>
      <c r="J109" s="1560">
        <v>0</v>
      </c>
      <c r="K109" s="1560">
        <v>0</v>
      </c>
      <c r="L109" s="1570">
        <v>1</v>
      </c>
      <c r="M109" s="1571">
        <v>26200</v>
      </c>
      <c r="N109" s="1365">
        <f t="shared" si="2"/>
        <v>1</v>
      </c>
      <c r="O109" s="92"/>
      <c r="P109" s="3383"/>
    </row>
    <row r="110" spans="1:16" ht="20.100000000000001" customHeight="1">
      <c r="A110" s="1356">
        <v>105</v>
      </c>
      <c r="B110" s="1567" t="s">
        <v>1959</v>
      </c>
      <c r="C110" s="1563" t="s">
        <v>1852</v>
      </c>
      <c r="D110" s="1572" t="s">
        <v>1961</v>
      </c>
      <c r="E110" s="1573" t="s">
        <v>49</v>
      </c>
      <c r="F110" s="1560">
        <v>0</v>
      </c>
      <c r="G110" s="1560">
        <v>0</v>
      </c>
      <c r="H110" s="1574">
        <v>1</v>
      </c>
      <c r="I110" s="1560">
        <v>0</v>
      </c>
      <c r="J110" s="1560">
        <v>0</v>
      </c>
      <c r="K110" s="1560">
        <v>0</v>
      </c>
      <c r="L110" s="1575">
        <v>0</v>
      </c>
      <c r="M110" s="1576">
        <v>2297586.2999999998</v>
      </c>
      <c r="N110" s="1365">
        <f t="shared" si="2"/>
        <v>1</v>
      </c>
      <c r="O110" s="92"/>
      <c r="P110" s="3383"/>
    </row>
    <row r="111" spans="1:16" ht="20.100000000000001" customHeight="1">
      <c r="A111" s="1356">
        <v>106</v>
      </c>
      <c r="B111" s="1567" t="s">
        <v>1959</v>
      </c>
      <c r="C111" s="1563" t="s">
        <v>1852</v>
      </c>
      <c r="D111" s="1572" t="s">
        <v>1961</v>
      </c>
      <c r="E111" s="1573" t="s">
        <v>32</v>
      </c>
      <c r="F111" s="1560">
        <v>0</v>
      </c>
      <c r="G111" s="1560">
        <v>0</v>
      </c>
      <c r="H111" s="1574">
        <v>1</v>
      </c>
      <c r="I111" s="1560">
        <v>0</v>
      </c>
      <c r="J111" s="1560">
        <v>0</v>
      </c>
      <c r="K111" s="1560">
        <v>0</v>
      </c>
      <c r="L111" s="1575">
        <v>0</v>
      </c>
      <c r="M111" s="1576">
        <v>0.17</v>
      </c>
      <c r="N111" s="1365">
        <f t="shared" si="2"/>
        <v>1</v>
      </c>
      <c r="O111" s="92"/>
      <c r="P111" s="3383"/>
    </row>
    <row r="112" spans="1:16" ht="20.100000000000001" customHeight="1">
      <c r="A112" s="1356">
        <v>107</v>
      </c>
      <c r="B112" s="1567" t="s">
        <v>1959</v>
      </c>
      <c r="C112" s="1563" t="s">
        <v>1852</v>
      </c>
      <c r="D112" s="1572" t="s">
        <v>1961</v>
      </c>
      <c r="E112" s="1573" t="s">
        <v>50</v>
      </c>
      <c r="F112" s="1560">
        <v>0</v>
      </c>
      <c r="G112" s="1560">
        <v>0</v>
      </c>
      <c r="H112" s="1577">
        <v>1</v>
      </c>
      <c r="I112" s="1560">
        <v>0</v>
      </c>
      <c r="J112" s="1560">
        <v>0</v>
      </c>
      <c r="K112" s="1560">
        <v>0</v>
      </c>
      <c r="L112" s="1575">
        <v>0</v>
      </c>
      <c r="M112" s="1578">
        <v>663.44</v>
      </c>
      <c r="N112" s="1365">
        <f t="shared" si="2"/>
        <v>1</v>
      </c>
      <c r="O112" s="92"/>
      <c r="P112" s="3383"/>
    </row>
    <row r="113" spans="1:16" ht="20.100000000000001" customHeight="1">
      <c r="A113" s="1356">
        <v>108</v>
      </c>
      <c r="B113" s="1567" t="s">
        <v>1959</v>
      </c>
      <c r="C113" s="1563" t="s">
        <v>1852</v>
      </c>
      <c r="D113" s="1579" t="s">
        <v>1960</v>
      </c>
      <c r="E113" s="1580" t="s">
        <v>1962</v>
      </c>
      <c r="F113" s="1560">
        <v>0</v>
      </c>
      <c r="G113" s="1581">
        <f>791-37</f>
        <v>754</v>
      </c>
      <c r="H113" s="1560">
        <v>0</v>
      </c>
      <c r="I113" s="1560">
        <v>0</v>
      </c>
      <c r="J113" s="1560">
        <v>0</v>
      </c>
      <c r="K113" s="1560">
        <v>0</v>
      </c>
      <c r="L113" s="1575">
        <v>0</v>
      </c>
      <c r="M113" s="1582">
        <f>G113*100</f>
        <v>75400</v>
      </c>
      <c r="N113" s="1365">
        <f t="shared" si="2"/>
        <v>754</v>
      </c>
      <c r="O113" s="92"/>
      <c r="P113" s="3383"/>
    </row>
    <row r="114" spans="1:16" ht="20.100000000000001" customHeight="1">
      <c r="A114" s="1356">
        <v>109</v>
      </c>
      <c r="B114" s="1567" t="s">
        <v>1959</v>
      </c>
      <c r="C114" s="1563" t="s">
        <v>1852</v>
      </c>
      <c r="D114" s="1579"/>
      <c r="E114" s="1583" t="s">
        <v>1963</v>
      </c>
      <c r="F114" s="1581">
        <v>159</v>
      </c>
      <c r="G114" s="1560">
        <v>0</v>
      </c>
      <c r="H114" s="1560">
        <v>0</v>
      </c>
      <c r="I114" s="1560">
        <v>0</v>
      </c>
      <c r="J114" s="1560">
        <v>0</v>
      </c>
      <c r="K114" s="1560">
        <v>0</v>
      </c>
      <c r="L114" s="1575">
        <v>0</v>
      </c>
      <c r="M114" s="1582"/>
      <c r="N114" s="1365">
        <f t="shared" si="2"/>
        <v>159</v>
      </c>
      <c r="O114" s="92"/>
      <c r="P114" s="3383"/>
    </row>
    <row r="115" spans="1:16" ht="20.100000000000001" customHeight="1">
      <c r="A115" s="1356">
        <v>110</v>
      </c>
      <c r="B115" s="1567" t="s">
        <v>1959</v>
      </c>
      <c r="C115" s="1563" t="s">
        <v>1852</v>
      </c>
      <c r="D115" s="1584" t="s">
        <v>1960</v>
      </c>
      <c r="E115" s="1585" t="s">
        <v>1964</v>
      </c>
      <c r="F115" s="1560">
        <v>0</v>
      </c>
      <c r="G115" s="1560">
        <v>0</v>
      </c>
      <c r="H115" s="1560">
        <v>0</v>
      </c>
      <c r="I115" s="1560">
        <v>0</v>
      </c>
      <c r="J115" s="1560">
        <v>0</v>
      </c>
      <c r="K115" s="1560">
        <v>0</v>
      </c>
      <c r="L115" s="1586">
        <v>1</v>
      </c>
      <c r="M115" s="1576">
        <f>100</f>
        <v>100</v>
      </c>
      <c r="N115" s="1365">
        <f t="shared" si="2"/>
        <v>1</v>
      </c>
      <c r="O115" s="92"/>
      <c r="P115" s="3383"/>
    </row>
    <row r="116" spans="1:16" ht="20.100000000000001" customHeight="1">
      <c r="A116" s="1356">
        <v>111</v>
      </c>
      <c r="B116" s="1567" t="s">
        <v>1959</v>
      </c>
      <c r="C116" s="1563" t="s">
        <v>1852</v>
      </c>
      <c r="D116" s="1584" t="s">
        <v>1960</v>
      </c>
      <c r="E116" s="1573" t="s">
        <v>1965</v>
      </c>
      <c r="F116" s="1560">
        <v>0</v>
      </c>
      <c r="G116" s="1560">
        <v>0</v>
      </c>
      <c r="H116" s="1560">
        <v>0</v>
      </c>
      <c r="I116" s="1560">
        <v>0</v>
      </c>
      <c r="J116" s="1560">
        <v>0</v>
      </c>
      <c r="K116" s="1560">
        <v>0</v>
      </c>
      <c r="L116" s="1570">
        <f>4+24</f>
        <v>28</v>
      </c>
      <c r="M116" s="1571">
        <f>28*100</f>
        <v>2800</v>
      </c>
      <c r="N116" s="1365">
        <f t="shared" si="2"/>
        <v>28</v>
      </c>
      <c r="O116" s="92"/>
      <c r="P116" s="3383"/>
    </row>
    <row r="117" spans="1:16" ht="20.100000000000001" customHeight="1">
      <c r="A117" s="1356">
        <v>112</v>
      </c>
      <c r="B117" s="1567" t="s">
        <v>1959</v>
      </c>
      <c r="C117" s="1563" t="s">
        <v>1852</v>
      </c>
      <c r="D117" s="1587" t="s">
        <v>1966</v>
      </c>
      <c r="E117" s="1588" t="s">
        <v>1967</v>
      </c>
      <c r="F117" s="1560">
        <v>0</v>
      </c>
      <c r="G117" s="1560">
        <v>0</v>
      </c>
      <c r="H117" s="1560">
        <v>0</v>
      </c>
      <c r="I117" s="1560">
        <v>0</v>
      </c>
      <c r="J117" s="1560">
        <v>0</v>
      </c>
      <c r="K117" s="1560">
        <v>0</v>
      </c>
      <c r="L117" s="1589">
        <v>1</v>
      </c>
      <c r="M117" s="1576">
        <v>33052.269999999997</v>
      </c>
      <c r="N117" s="1365">
        <f t="shared" si="2"/>
        <v>1</v>
      </c>
      <c r="O117" s="92"/>
      <c r="P117" s="3383"/>
    </row>
    <row r="118" spans="1:16" ht="20.100000000000001" customHeight="1">
      <c r="A118" s="1356">
        <v>113</v>
      </c>
      <c r="B118" s="1567" t="s">
        <v>1959</v>
      </c>
      <c r="C118" s="1563" t="s">
        <v>1852</v>
      </c>
      <c r="D118" s="1482" t="s">
        <v>1960</v>
      </c>
      <c r="E118" s="1590" t="s">
        <v>1968</v>
      </c>
      <c r="F118" s="1560">
        <v>0</v>
      </c>
      <c r="G118" s="1560">
        <v>0</v>
      </c>
      <c r="H118" s="1560">
        <v>0</v>
      </c>
      <c r="I118" s="1560">
        <v>0</v>
      </c>
      <c r="J118" s="1560">
        <v>0</v>
      </c>
      <c r="K118" s="1560">
        <v>0</v>
      </c>
      <c r="L118" s="1591">
        <f>59+3</f>
        <v>62</v>
      </c>
      <c r="M118" s="1592">
        <f>800000+75000+100000+140000+140000+140000+1500000+400000+1160000+100000+500000+400000+450000+150000+400000+50000+140000+50000+50000+222000+200000+200000+600000+1500000+500000+1500000+62000+1800000+340000+1000000+100000+47500+500000+100000+500000+384500+410000+190000+50000+40000+250000+100000+145000+288350+100000+420000+1100000+1500000+500000+500000+250000+2500000+500000+150000+500000+370000+3000000+75000+1000000+2448+100000+200</f>
        <v>30341998</v>
      </c>
      <c r="N118" s="1365">
        <f t="shared" si="2"/>
        <v>0</v>
      </c>
      <c r="O118" s="92">
        <v>62</v>
      </c>
      <c r="P118" s="3383">
        <v>62</v>
      </c>
    </row>
    <row r="119" spans="1:16" ht="20.100000000000001" customHeight="1">
      <c r="A119" s="1356">
        <v>114</v>
      </c>
      <c r="B119" s="1567" t="s">
        <v>1959</v>
      </c>
      <c r="C119" s="1563" t="s">
        <v>1852</v>
      </c>
      <c r="D119" s="1482" t="s">
        <v>1960</v>
      </c>
      <c r="E119" s="1590" t="s">
        <v>1969</v>
      </c>
      <c r="F119" s="1560">
        <v>0</v>
      </c>
      <c r="G119" s="1560">
        <v>0</v>
      </c>
      <c r="H119" s="1560">
        <v>0</v>
      </c>
      <c r="I119" s="1560">
        <v>0</v>
      </c>
      <c r="J119" s="1560">
        <v>0</v>
      </c>
      <c r="K119" s="1560">
        <v>0</v>
      </c>
      <c r="L119" s="1591">
        <f>5</f>
        <v>5</v>
      </c>
      <c r="M119" s="1592">
        <f>50000+5030+50000+24000+50000</f>
        <v>179030</v>
      </c>
      <c r="N119" s="1365">
        <f t="shared" si="2"/>
        <v>0</v>
      </c>
      <c r="O119" s="92">
        <v>5</v>
      </c>
      <c r="P119" s="3383">
        <v>5</v>
      </c>
    </row>
    <row r="120" spans="1:16" ht="20.100000000000001" customHeight="1">
      <c r="A120" s="1356">
        <v>115</v>
      </c>
      <c r="B120" s="1567" t="s">
        <v>1959</v>
      </c>
      <c r="C120" s="1563" t="s">
        <v>1852</v>
      </c>
      <c r="D120" s="1482" t="s">
        <v>1960</v>
      </c>
      <c r="E120" s="1590" t="s">
        <v>1970</v>
      </c>
      <c r="F120" s="1560">
        <v>0</v>
      </c>
      <c r="G120" s="1560">
        <v>0</v>
      </c>
      <c r="H120" s="1560">
        <v>0</v>
      </c>
      <c r="I120" s="1560">
        <v>0</v>
      </c>
      <c r="J120" s="1560">
        <v>0</v>
      </c>
      <c r="K120" s="1560">
        <v>0</v>
      </c>
      <c r="L120" s="1591">
        <f>1+3</f>
        <v>4</v>
      </c>
      <c r="M120" s="1592">
        <f>4100000+700000+60000+45000</f>
        <v>4905000</v>
      </c>
      <c r="N120" s="1365">
        <f t="shared" si="2"/>
        <v>1</v>
      </c>
      <c r="O120" s="92">
        <v>3</v>
      </c>
      <c r="P120" s="3383">
        <v>3</v>
      </c>
    </row>
    <row r="121" spans="1:16" ht="20.100000000000001" customHeight="1">
      <c r="A121" s="1356">
        <v>116</v>
      </c>
      <c r="B121" s="1567" t="s">
        <v>1959</v>
      </c>
      <c r="C121" s="1563" t="s">
        <v>1852</v>
      </c>
      <c r="D121" s="1593" t="s">
        <v>1960</v>
      </c>
      <c r="E121" s="1594" t="s">
        <v>1971</v>
      </c>
      <c r="F121" s="1560">
        <v>0</v>
      </c>
      <c r="G121" s="1560">
        <v>0</v>
      </c>
      <c r="H121" s="1560">
        <v>0</v>
      </c>
      <c r="I121" s="1560">
        <v>0</v>
      </c>
      <c r="J121" s="1595">
        <v>898</v>
      </c>
      <c r="K121" s="1560">
        <v>0</v>
      </c>
      <c r="L121" s="1575">
        <v>0</v>
      </c>
      <c r="M121" s="1596">
        <f>236409.23</f>
        <v>236409.23</v>
      </c>
      <c r="N121" s="1365">
        <f t="shared" si="2"/>
        <v>865</v>
      </c>
      <c r="O121" s="92">
        <v>33</v>
      </c>
      <c r="P121" s="3383">
        <v>33</v>
      </c>
    </row>
    <row r="122" spans="1:16" ht="20.100000000000001" customHeight="1">
      <c r="A122" s="1356">
        <v>117</v>
      </c>
      <c r="B122" s="1567" t="s">
        <v>1959</v>
      </c>
      <c r="C122" s="1563" t="s">
        <v>1852</v>
      </c>
      <c r="D122" s="1597">
        <v>46133</v>
      </c>
      <c r="E122" s="1573" t="s">
        <v>1972</v>
      </c>
      <c r="F122" s="1560">
        <v>0</v>
      </c>
      <c r="G122" s="1560">
        <v>0</v>
      </c>
      <c r="H122" s="1560">
        <v>0</v>
      </c>
      <c r="I122" s="1560">
        <v>0</v>
      </c>
      <c r="J122" s="1560">
        <v>0</v>
      </c>
      <c r="K122" s="1560">
        <v>0</v>
      </c>
      <c r="L122" s="1570">
        <v>1</v>
      </c>
      <c r="M122" s="1571" t="s">
        <v>67</v>
      </c>
      <c r="N122" s="1365">
        <f t="shared" si="2"/>
        <v>1</v>
      </c>
      <c r="O122" s="92"/>
      <c r="P122" s="3383"/>
    </row>
    <row r="123" spans="1:16" ht="20.100000000000001" customHeight="1">
      <c r="A123" s="1356">
        <v>118</v>
      </c>
      <c r="B123" s="1567" t="s">
        <v>1959</v>
      </c>
      <c r="C123" s="1563" t="s">
        <v>1852</v>
      </c>
      <c r="D123" s="1584" t="s">
        <v>1973</v>
      </c>
      <c r="E123" s="1573" t="s">
        <v>1974</v>
      </c>
      <c r="F123" s="1560">
        <v>0</v>
      </c>
      <c r="G123" s="1560">
        <v>0</v>
      </c>
      <c r="H123" s="1560">
        <v>0</v>
      </c>
      <c r="I123" s="1560">
        <v>0</v>
      </c>
      <c r="J123" s="1560">
        <v>0</v>
      </c>
      <c r="K123" s="1560">
        <v>0</v>
      </c>
      <c r="L123" s="1570">
        <f>1+1</f>
        <v>2</v>
      </c>
      <c r="M123" s="1598">
        <f>1400000+4000000</f>
        <v>5400000</v>
      </c>
      <c r="N123" s="1365">
        <f t="shared" si="2"/>
        <v>0</v>
      </c>
      <c r="O123" s="92">
        <v>2</v>
      </c>
      <c r="P123" s="3383">
        <v>2</v>
      </c>
    </row>
    <row r="124" spans="1:16" ht="20.100000000000001" customHeight="1">
      <c r="A124" s="1356">
        <v>119</v>
      </c>
      <c r="B124" s="1567" t="s">
        <v>1959</v>
      </c>
      <c r="C124" s="1563" t="s">
        <v>1852</v>
      </c>
      <c r="D124" s="1597" t="s">
        <v>1975</v>
      </c>
      <c r="E124" s="1599" t="s">
        <v>1976</v>
      </c>
      <c r="F124" s="1560">
        <v>0</v>
      </c>
      <c r="G124" s="1560">
        <v>0</v>
      </c>
      <c r="H124" s="1560">
        <v>0</v>
      </c>
      <c r="I124" s="1560">
        <v>0</v>
      </c>
      <c r="J124" s="1560">
        <v>0</v>
      </c>
      <c r="K124" s="1560">
        <v>0</v>
      </c>
      <c r="L124" s="1600">
        <v>1</v>
      </c>
      <c r="M124" s="1601">
        <v>2000</v>
      </c>
      <c r="N124" s="1365">
        <f t="shared" si="2"/>
        <v>1</v>
      </c>
      <c r="O124" s="92"/>
      <c r="P124" s="3383"/>
    </row>
    <row r="125" spans="1:16" ht="20.100000000000001" customHeight="1">
      <c r="A125" s="1356">
        <v>120</v>
      </c>
      <c r="B125" s="1567" t="s">
        <v>1959</v>
      </c>
      <c r="C125" s="1563" t="s">
        <v>1852</v>
      </c>
      <c r="D125" s="1597">
        <v>46233</v>
      </c>
      <c r="E125" s="1573" t="s">
        <v>1977</v>
      </c>
      <c r="F125" s="1560">
        <v>0</v>
      </c>
      <c r="G125" s="1560">
        <v>0</v>
      </c>
      <c r="H125" s="1560">
        <v>0</v>
      </c>
      <c r="I125" s="1602">
        <v>1</v>
      </c>
      <c r="J125" s="1560">
        <v>0</v>
      </c>
      <c r="K125" s="1560">
        <v>0</v>
      </c>
      <c r="L125" s="1575">
        <v>0</v>
      </c>
      <c r="M125" s="1598">
        <f>50</f>
        <v>50</v>
      </c>
      <c r="N125" s="1365">
        <f t="shared" si="2"/>
        <v>0</v>
      </c>
      <c r="O125" s="92">
        <v>1</v>
      </c>
      <c r="P125" s="3383">
        <v>1</v>
      </c>
    </row>
    <row r="126" spans="1:16" ht="20.100000000000001" customHeight="1">
      <c r="A126" s="1356">
        <v>121</v>
      </c>
      <c r="B126" s="1567" t="s">
        <v>1959</v>
      </c>
      <c r="C126" s="1563" t="s">
        <v>1852</v>
      </c>
      <c r="D126" s="1597" t="s">
        <v>1960</v>
      </c>
      <c r="E126" s="1573" t="s">
        <v>1978</v>
      </c>
      <c r="F126" s="1560">
        <v>0</v>
      </c>
      <c r="G126" s="1560">
        <v>0</v>
      </c>
      <c r="H126" s="1560">
        <v>0</v>
      </c>
      <c r="I126" s="1560">
        <v>0</v>
      </c>
      <c r="J126" s="1560">
        <v>0</v>
      </c>
      <c r="K126" s="1560">
        <v>0</v>
      </c>
      <c r="L126" s="1570">
        <v>1</v>
      </c>
      <c r="M126" s="1598">
        <v>100</v>
      </c>
      <c r="N126" s="1365">
        <f t="shared" si="2"/>
        <v>0</v>
      </c>
      <c r="O126" s="92">
        <v>1</v>
      </c>
      <c r="P126" s="3383">
        <v>1</v>
      </c>
    </row>
    <row r="127" spans="1:16" ht="20.100000000000001" customHeight="1">
      <c r="A127" s="1356">
        <v>122</v>
      </c>
      <c r="B127" s="1450" t="s">
        <v>1979</v>
      </c>
      <c r="C127" s="1563" t="s">
        <v>1852</v>
      </c>
      <c r="D127" s="1603" t="s">
        <v>1980</v>
      </c>
      <c r="E127" s="1604" t="s">
        <v>1981</v>
      </c>
      <c r="F127" s="1560">
        <v>0</v>
      </c>
      <c r="G127" s="1560">
        <v>0</v>
      </c>
      <c r="H127" s="1560">
        <v>0</v>
      </c>
      <c r="I127" s="1560">
        <v>0</v>
      </c>
      <c r="J127" s="1560">
        <v>0</v>
      </c>
      <c r="K127" s="1560">
        <v>0</v>
      </c>
      <c r="L127" s="1575">
        <v>0</v>
      </c>
      <c r="M127" s="1605">
        <v>2967.2</v>
      </c>
      <c r="N127" s="1365">
        <f t="shared" si="2"/>
        <v>0</v>
      </c>
      <c r="O127" s="92"/>
      <c r="P127" s="3383"/>
    </row>
    <row r="128" spans="1:16" ht="20.100000000000001" customHeight="1">
      <c r="A128" s="3385">
        <v>123</v>
      </c>
      <c r="B128" s="3386" t="s">
        <v>1979</v>
      </c>
      <c r="C128" s="3387" t="s">
        <v>1852</v>
      </c>
      <c r="D128" s="3388" t="s">
        <v>1982</v>
      </c>
      <c r="E128" s="3389" t="s">
        <v>1983</v>
      </c>
      <c r="F128" s="3390">
        <v>0</v>
      </c>
      <c r="G128" s="3390">
        <v>0</v>
      </c>
      <c r="H128" s="3390">
        <v>0</v>
      </c>
      <c r="I128" s="3390">
        <v>0</v>
      </c>
      <c r="J128" s="3390">
        <v>0</v>
      </c>
      <c r="K128" s="3390">
        <v>0</v>
      </c>
      <c r="L128" s="3391">
        <v>1</v>
      </c>
      <c r="M128" s="3392">
        <v>700</v>
      </c>
      <c r="N128" s="3393">
        <f t="shared" si="2"/>
        <v>0</v>
      </c>
      <c r="O128" s="2049">
        <v>1</v>
      </c>
      <c r="P128" s="3394">
        <v>1</v>
      </c>
    </row>
    <row r="129" spans="1:16" ht="20.100000000000001" customHeight="1">
      <c r="A129" s="1356">
        <v>124</v>
      </c>
      <c r="B129" s="1450" t="s">
        <v>1979</v>
      </c>
      <c r="C129" s="1563" t="s">
        <v>1852</v>
      </c>
      <c r="D129" s="1603" t="s">
        <v>1984</v>
      </c>
      <c r="E129" s="1604" t="s">
        <v>1985</v>
      </c>
      <c r="F129" s="1560">
        <v>0</v>
      </c>
      <c r="G129" s="1560">
        <v>0</v>
      </c>
      <c r="H129" s="1560">
        <v>0</v>
      </c>
      <c r="I129" s="1560">
        <v>0</v>
      </c>
      <c r="J129" s="1560">
        <v>0</v>
      </c>
      <c r="K129" s="1560">
        <v>0</v>
      </c>
      <c r="L129" s="1575">
        <v>0</v>
      </c>
      <c r="M129" s="1605">
        <v>500</v>
      </c>
      <c r="N129" s="1365">
        <f t="shared" si="2"/>
        <v>0</v>
      </c>
      <c r="O129" s="92"/>
      <c r="P129" s="3383"/>
    </row>
    <row r="130" spans="1:16" ht="20.100000000000001" customHeight="1">
      <c r="A130" s="1356">
        <v>125</v>
      </c>
      <c r="B130" s="1450" t="s">
        <v>1979</v>
      </c>
      <c r="C130" s="1563" t="s">
        <v>1852</v>
      </c>
      <c r="D130" s="1606">
        <v>44470</v>
      </c>
      <c r="E130" s="1607" t="s">
        <v>49</v>
      </c>
      <c r="F130" s="1560">
        <v>0</v>
      </c>
      <c r="G130" s="1560">
        <v>0</v>
      </c>
      <c r="H130" s="1483">
        <v>1</v>
      </c>
      <c r="I130" s="1560">
        <v>0</v>
      </c>
      <c r="J130" s="1560">
        <v>0</v>
      </c>
      <c r="K130" s="1560">
        <v>0</v>
      </c>
      <c r="L130" s="1575">
        <v>0</v>
      </c>
      <c r="M130" s="1605">
        <v>-7078558.4500000002</v>
      </c>
      <c r="N130" s="1365">
        <f t="shared" si="2"/>
        <v>1</v>
      </c>
      <c r="O130" s="92"/>
      <c r="P130" s="3383"/>
    </row>
    <row r="131" spans="1:16" ht="20.100000000000001" customHeight="1">
      <c r="A131" s="1356">
        <v>126</v>
      </c>
      <c r="B131" s="1450" t="s">
        <v>1979</v>
      </c>
      <c r="C131" s="1563" t="s">
        <v>1852</v>
      </c>
      <c r="D131" s="1606">
        <v>44470</v>
      </c>
      <c r="E131" s="1607" t="s">
        <v>32</v>
      </c>
      <c r="F131" s="1560">
        <v>0</v>
      </c>
      <c r="G131" s="1560">
        <v>0</v>
      </c>
      <c r="H131" s="1483">
        <v>1</v>
      </c>
      <c r="I131" s="1560">
        <v>0</v>
      </c>
      <c r="J131" s="1560">
        <v>0</v>
      </c>
      <c r="K131" s="1560">
        <v>0</v>
      </c>
      <c r="L131" s="1575">
        <v>0</v>
      </c>
      <c r="M131" s="1608">
        <v>0.62</v>
      </c>
      <c r="N131" s="1365">
        <f t="shared" si="2"/>
        <v>1</v>
      </c>
      <c r="O131" s="92"/>
      <c r="P131" s="3383"/>
    </row>
    <row r="132" spans="1:16" ht="20.100000000000001" customHeight="1">
      <c r="A132" s="1356">
        <v>127</v>
      </c>
      <c r="B132" s="1450" t="s">
        <v>1979</v>
      </c>
      <c r="C132" s="1563" t="s">
        <v>1852</v>
      </c>
      <c r="D132" s="1314" t="s">
        <v>1986</v>
      </c>
      <c r="E132" s="1609" t="s">
        <v>1987</v>
      </c>
      <c r="F132" s="1560">
        <v>0</v>
      </c>
      <c r="G132" s="1560">
        <v>0</v>
      </c>
      <c r="H132" s="1560">
        <v>0</v>
      </c>
      <c r="I132" s="1560">
        <v>0</v>
      </c>
      <c r="J132" s="1560">
        <v>0</v>
      </c>
      <c r="K132" s="1610">
        <v>8</v>
      </c>
      <c r="L132" s="1575">
        <v>0</v>
      </c>
      <c r="M132" s="1611">
        <v>500</v>
      </c>
      <c r="N132" s="1365">
        <f t="shared" si="2"/>
        <v>8</v>
      </c>
      <c r="O132" s="92"/>
      <c r="P132" s="3383"/>
    </row>
    <row r="133" spans="1:16" ht="20.100000000000001" customHeight="1">
      <c r="A133" s="1356">
        <v>128</v>
      </c>
      <c r="B133" s="1450" t="s">
        <v>1979</v>
      </c>
      <c r="C133" s="1563" t="s">
        <v>1852</v>
      </c>
      <c r="D133" s="1314" t="s">
        <v>1988</v>
      </c>
      <c r="E133" s="1609" t="s">
        <v>1989</v>
      </c>
      <c r="F133" s="1560">
        <v>0</v>
      </c>
      <c r="G133" s="1560">
        <v>0</v>
      </c>
      <c r="H133" s="1560">
        <v>0</v>
      </c>
      <c r="I133" s="1560">
        <v>0</v>
      </c>
      <c r="J133" s="1483">
        <v>805</v>
      </c>
      <c r="K133" s="1560">
        <v>0</v>
      </c>
      <c r="L133" s="1575">
        <v>0</v>
      </c>
      <c r="M133" s="1605">
        <v>324708.27</v>
      </c>
      <c r="N133" s="1365">
        <f t="shared" si="2"/>
        <v>804</v>
      </c>
      <c r="O133" s="92">
        <v>1</v>
      </c>
      <c r="P133" s="3383">
        <v>1</v>
      </c>
    </row>
    <row r="134" spans="1:16" ht="20.100000000000001" customHeight="1">
      <c r="A134" s="1356">
        <v>129</v>
      </c>
      <c r="B134" s="1450" t="s">
        <v>1979</v>
      </c>
      <c r="C134" s="1563" t="s">
        <v>1852</v>
      </c>
      <c r="D134" s="1314" t="s">
        <v>1988</v>
      </c>
      <c r="E134" s="1612" t="s">
        <v>1990</v>
      </c>
      <c r="F134" s="1560">
        <v>0</v>
      </c>
      <c r="G134" s="1560">
        <v>0</v>
      </c>
      <c r="H134" s="1560">
        <v>0</v>
      </c>
      <c r="I134" s="1560">
        <v>0</v>
      </c>
      <c r="J134" s="1560">
        <v>0</v>
      </c>
      <c r="K134" s="1560">
        <v>0</v>
      </c>
      <c r="L134" s="1575">
        <v>3394</v>
      </c>
      <c r="M134" s="1605">
        <v>3394</v>
      </c>
      <c r="N134" s="1365">
        <f t="shared" si="2"/>
        <v>3394</v>
      </c>
      <c r="O134" s="92"/>
      <c r="P134" s="3383"/>
    </row>
    <row r="135" spans="1:16" ht="20.100000000000001" customHeight="1">
      <c r="A135" s="1356">
        <v>130</v>
      </c>
      <c r="B135" s="1450" t="s">
        <v>1979</v>
      </c>
      <c r="C135" s="1563" t="s">
        <v>1852</v>
      </c>
      <c r="D135" s="1613" t="s">
        <v>1991</v>
      </c>
      <c r="E135" s="1614" t="s">
        <v>1992</v>
      </c>
      <c r="F135" s="1560">
        <v>0</v>
      </c>
      <c r="G135" s="1560">
        <v>0</v>
      </c>
      <c r="H135" s="1560">
        <v>0</v>
      </c>
      <c r="I135" s="1560">
        <v>0</v>
      </c>
      <c r="J135" s="1560">
        <v>0</v>
      </c>
      <c r="K135" s="1560">
        <v>0</v>
      </c>
      <c r="L135" s="1615">
        <v>1</v>
      </c>
      <c r="M135" s="1616">
        <v>6989.99</v>
      </c>
      <c r="N135" s="1365">
        <f t="shared" si="2"/>
        <v>1</v>
      </c>
      <c r="O135" s="92"/>
      <c r="P135" s="3383"/>
    </row>
    <row r="136" spans="1:16" ht="20.100000000000001" customHeight="1">
      <c r="A136" s="1356">
        <v>131</v>
      </c>
      <c r="B136" s="1450" t="s">
        <v>1979</v>
      </c>
      <c r="C136" s="1563" t="s">
        <v>1852</v>
      </c>
      <c r="D136" s="1613" t="s">
        <v>1991</v>
      </c>
      <c r="E136" s="1614" t="s">
        <v>1993</v>
      </c>
      <c r="F136" s="1560">
        <v>0</v>
      </c>
      <c r="G136" s="1560">
        <v>0</v>
      </c>
      <c r="H136" s="1560">
        <v>0</v>
      </c>
      <c r="I136" s="1560">
        <v>0</v>
      </c>
      <c r="J136" s="1560">
        <v>0</v>
      </c>
      <c r="K136" s="1560">
        <v>0</v>
      </c>
      <c r="L136" s="1615">
        <v>1</v>
      </c>
      <c r="M136" s="1616">
        <v>18846</v>
      </c>
      <c r="N136" s="1365">
        <f t="shared" ref="N136:N199" si="3">F136+G136+H136+I136+J136+K136+L136-O136</f>
        <v>1</v>
      </c>
      <c r="O136" s="92"/>
      <c r="P136" s="3383"/>
    </row>
    <row r="137" spans="1:16" ht="20.100000000000001" customHeight="1">
      <c r="A137" s="1356">
        <v>132</v>
      </c>
      <c r="B137" s="1450" t="s">
        <v>1979</v>
      </c>
      <c r="C137" s="1563" t="s">
        <v>1852</v>
      </c>
      <c r="D137" s="1613" t="s">
        <v>1991</v>
      </c>
      <c r="E137" s="1614" t="s">
        <v>1994</v>
      </c>
      <c r="F137" s="1560">
        <v>0</v>
      </c>
      <c r="G137" s="1560">
        <v>0</v>
      </c>
      <c r="H137" s="1560">
        <v>0</v>
      </c>
      <c r="I137" s="1560">
        <v>0</v>
      </c>
      <c r="J137" s="1560">
        <v>0</v>
      </c>
      <c r="K137" s="1560">
        <v>0</v>
      </c>
      <c r="L137" s="1615">
        <v>1</v>
      </c>
      <c r="M137" s="1616">
        <v>11826.49</v>
      </c>
      <c r="N137" s="1365">
        <f t="shared" si="3"/>
        <v>1</v>
      </c>
      <c r="O137" s="92"/>
      <c r="P137" s="3383"/>
    </row>
    <row r="138" spans="1:16" ht="20.100000000000001" customHeight="1">
      <c r="A138" s="1356">
        <v>133</v>
      </c>
      <c r="B138" s="1450" t="s">
        <v>1979</v>
      </c>
      <c r="C138" s="1563" t="s">
        <v>1852</v>
      </c>
      <c r="D138" s="1613" t="s">
        <v>1991</v>
      </c>
      <c r="E138" s="1614" t="s">
        <v>1995</v>
      </c>
      <c r="F138" s="1560">
        <v>0</v>
      </c>
      <c r="G138" s="1560">
        <v>0</v>
      </c>
      <c r="H138" s="1560">
        <v>0</v>
      </c>
      <c r="I138" s="1560">
        <v>0</v>
      </c>
      <c r="J138" s="1560">
        <v>0</v>
      </c>
      <c r="K138" s="1560">
        <v>0</v>
      </c>
      <c r="L138" s="1615">
        <v>1</v>
      </c>
      <c r="M138" s="1616">
        <v>139000</v>
      </c>
      <c r="N138" s="1365">
        <f t="shared" si="3"/>
        <v>1</v>
      </c>
      <c r="O138" s="92"/>
      <c r="P138" s="3383"/>
    </row>
    <row r="139" spans="1:16" ht="20.100000000000001" customHeight="1">
      <c r="A139" s="1356">
        <v>134</v>
      </c>
      <c r="B139" s="1450" t="s">
        <v>1979</v>
      </c>
      <c r="C139" s="1563" t="s">
        <v>1852</v>
      </c>
      <c r="D139" s="1613" t="s">
        <v>1991</v>
      </c>
      <c r="E139" s="1614" t="s">
        <v>1996</v>
      </c>
      <c r="F139" s="1560">
        <v>0</v>
      </c>
      <c r="G139" s="1560">
        <v>0</v>
      </c>
      <c r="H139" s="1560">
        <v>0</v>
      </c>
      <c r="I139" s="1560">
        <v>0</v>
      </c>
      <c r="J139" s="1560">
        <v>0</v>
      </c>
      <c r="K139" s="1560">
        <v>0</v>
      </c>
      <c r="L139" s="1615">
        <v>2</v>
      </c>
      <c r="M139" s="1616">
        <v>5681</v>
      </c>
      <c r="N139" s="1365">
        <f t="shared" si="3"/>
        <v>2</v>
      </c>
      <c r="O139" s="92"/>
      <c r="P139" s="3383"/>
    </row>
    <row r="140" spans="1:16" ht="20.100000000000001" customHeight="1">
      <c r="A140" s="1356">
        <v>135</v>
      </c>
      <c r="B140" s="1450" t="s">
        <v>1979</v>
      </c>
      <c r="C140" s="1563" t="s">
        <v>1852</v>
      </c>
      <c r="D140" s="1613" t="s">
        <v>1991</v>
      </c>
      <c r="E140" s="1614" t="s">
        <v>1997</v>
      </c>
      <c r="F140" s="1560">
        <v>0</v>
      </c>
      <c r="G140" s="1560">
        <v>0</v>
      </c>
      <c r="H140" s="1560">
        <v>0</v>
      </c>
      <c r="I140" s="1560">
        <v>0</v>
      </c>
      <c r="J140" s="1560">
        <v>0</v>
      </c>
      <c r="K140" s="1560">
        <v>0</v>
      </c>
      <c r="L140" s="1615">
        <v>2</v>
      </c>
      <c r="M140" s="1616">
        <v>1177.98</v>
      </c>
      <c r="N140" s="1365">
        <f t="shared" si="3"/>
        <v>2</v>
      </c>
      <c r="O140" s="92"/>
      <c r="P140" s="3383"/>
    </row>
    <row r="141" spans="1:16" ht="20.100000000000001" customHeight="1">
      <c r="A141" s="1356">
        <v>136</v>
      </c>
      <c r="B141" s="1450" t="s">
        <v>1979</v>
      </c>
      <c r="C141" s="1563" t="s">
        <v>1852</v>
      </c>
      <c r="D141" s="1613" t="s">
        <v>1991</v>
      </c>
      <c r="E141" s="1614" t="s">
        <v>1998</v>
      </c>
      <c r="F141" s="1560">
        <v>0</v>
      </c>
      <c r="G141" s="1560">
        <v>0</v>
      </c>
      <c r="H141" s="1560">
        <v>0</v>
      </c>
      <c r="I141" s="1560">
        <v>0</v>
      </c>
      <c r="J141" s="1560">
        <v>0</v>
      </c>
      <c r="K141" s="1560">
        <v>0</v>
      </c>
      <c r="L141" s="1615">
        <v>1</v>
      </c>
      <c r="M141" s="1616">
        <v>22000</v>
      </c>
      <c r="N141" s="1365">
        <f t="shared" si="3"/>
        <v>1</v>
      </c>
      <c r="O141" s="92"/>
      <c r="P141" s="3383"/>
    </row>
    <row r="142" spans="1:16" ht="20.100000000000001" customHeight="1">
      <c r="A142" s="1356">
        <v>137</v>
      </c>
      <c r="B142" s="1450" t="s">
        <v>1979</v>
      </c>
      <c r="C142" s="1563" t="s">
        <v>1852</v>
      </c>
      <c r="D142" s="1617" t="s">
        <v>1999</v>
      </c>
      <c r="E142" s="1614" t="s">
        <v>1899</v>
      </c>
      <c r="F142" s="1560">
        <v>0</v>
      </c>
      <c r="G142" s="1456">
        <v>891</v>
      </c>
      <c r="H142" s="1560">
        <v>0</v>
      </c>
      <c r="I142" s="1560">
        <v>0</v>
      </c>
      <c r="J142" s="1560">
        <v>0</v>
      </c>
      <c r="K142" s="1560">
        <v>0</v>
      </c>
      <c r="L142" s="1575">
        <v>0</v>
      </c>
      <c r="M142" s="1618">
        <f>G142*50</f>
        <v>44550</v>
      </c>
      <c r="N142" s="1365">
        <f t="shared" si="3"/>
        <v>891</v>
      </c>
      <c r="O142" s="92"/>
      <c r="P142" s="3383"/>
    </row>
    <row r="143" spans="1:16" ht="20.100000000000001" customHeight="1">
      <c r="A143" s="1356">
        <v>138</v>
      </c>
      <c r="B143" s="1450"/>
      <c r="C143" s="1563" t="s">
        <v>1852</v>
      </c>
      <c r="D143" s="1314" t="s">
        <v>2000</v>
      </c>
      <c r="E143" s="1619" t="s">
        <v>2001</v>
      </c>
      <c r="F143" s="1560">
        <v>0</v>
      </c>
      <c r="G143" s="1560">
        <v>0</v>
      </c>
      <c r="H143" s="1560">
        <v>0</v>
      </c>
      <c r="I143" s="1560">
        <v>0</v>
      </c>
      <c r="J143" s="1560">
        <v>0</v>
      </c>
      <c r="K143" s="1560">
        <v>0</v>
      </c>
      <c r="L143" s="1615">
        <v>1</v>
      </c>
      <c r="M143" s="1618">
        <v>900000</v>
      </c>
      <c r="N143" s="1365">
        <f t="shared" si="3"/>
        <v>0</v>
      </c>
      <c r="O143" s="92">
        <v>1</v>
      </c>
      <c r="P143" s="3383">
        <v>1</v>
      </c>
    </row>
    <row r="144" spans="1:16" ht="20.100000000000001" customHeight="1">
      <c r="A144" s="1356">
        <v>139</v>
      </c>
      <c r="B144" s="1450" t="s">
        <v>1979</v>
      </c>
      <c r="C144" s="1563" t="s">
        <v>1852</v>
      </c>
      <c r="D144" s="1620">
        <v>46178</v>
      </c>
      <c r="E144" s="1621" t="s">
        <v>2002</v>
      </c>
      <c r="F144" s="1560">
        <v>0</v>
      </c>
      <c r="G144" s="1560">
        <v>0</v>
      </c>
      <c r="H144" s="1560">
        <v>0</v>
      </c>
      <c r="I144" s="1560">
        <v>0</v>
      </c>
      <c r="J144" s="1560">
        <v>0</v>
      </c>
      <c r="K144" s="1560">
        <v>0</v>
      </c>
      <c r="L144" s="1615">
        <v>1</v>
      </c>
      <c r="M144" s="1618">
        <v>23000</v>
      </c>
      <c r="N144" s="1365">
        <f t="shared" si="3"/>
        <v>1</v>
      </c>
      <c r="O144" s="92"/>
      <c r="P144" s="3383"/>
    </row>
    <row r="145" spans="1:16" ht="20.100000000000001" customHeight="1">
      <c r="A145" s="1356">
        <v>140</v>
      </c>
      <c r="B145" s="1622" t="s">
        <v>2003</v>
      </c>
      <c r="C145" s="1563" t="s">
        <v>1852</v>
      </c>
      <c r="D145" s="1623">
        <v>44206</v>
      </c>
      <c r="E145" s="1624" t="s">
        <v>49</v>
      </c>
      <c r="F145" s="1560">
        <v>0</v>
      </c>
      <c r="G145" s="1560">
        <v>0</v>
      </c>
      <c r="H145" s="1625">
        <v>1</v>
      </c>
      <c r="I145" s="1560">
        <v>0</v>
      </c>
      <c r="J145" s="1560">
        <v>0</v>
      </c>
      <c r="K145" s="1560">
        <v>0</v>
      </c>
      <c r="L145" s="1575">
        <v>0</v>
      </c>
      <c r="M145" s="1527">
        <v>3295138.61</v>
      </c>
      <c r="N145" s="1365">
        <f t="shared" si="3"/>
        <v>1</v>
      </c>
      <c r="O145" s="92"/>
      <c r="P145" s="3383"/>
    </row>
    <row r="146" spans="1:16" ht="20.100000000000001" customHeight="1">
      <c r="A146" s="1356">
        <v>141</v>
      </c>
      <c r="B146" s="1622" t="s">
        <v>2003</v>
      </c>
      <c r="C146" s="1563" t="s">
        <v>1852</v>
      </c>
      <c r="D146" s="1623">
        <v>44206</v>
      </c>
      <c r="E146" s="1624" t="s">
        <v>32</v>
      </c>
      <c r="F146" s="1560">
        <v>0</v>
      </c>
      <c r="G146" s="1560">
        <v>0</v>
      </c>
      <c r="H146" s="1625">
        <v>1</v>
      </c>
      <c r="I146" s="1560">
        <v>0</v>
      </c>
      <c r="J146" s="1560">
        <v>0</v>
      </c>
      <c r="K146" s="1560">
        <v>0</v>
      </c>
      <c r="L146" s="1575">
        <v>0</v>
      </c>
      <c r="M146" s="1527">
        <v>97.76</v>
      </c>
      <c r="N146" s="1365">
        <f t="shared" si="3"/>
        <v>1</v>
      </c>
      <c r="O146" s="92"/>
      <c r="P146" s="3383"/>
    </row>
    <row r="147" spans="1:16" ht="20.100000000000001" customHeight="1">
      <c r="A147" s="1356">
        <v>142</v>
      </c>
      <c r="B147" s="1622" t="s">
        <v>2003</v>
      </c>
      <c r="C147" s="1563" t="s">
        <v>1852</v>
      </c>
      <c r="D147" s="1623">
        <v>46302</v>
      </c>
      <c r="E147" s="1626" t="s">
        <v>2004</v>
      </c>
      <c r="F147" s="1560">
        <v>0</v>
      </c>
      <c r="G147" s="1560">
        <v>0</v>
      </c>
      <c r="H147" s="1560">
        <v>0</v>
      </c>
      <c r="I147" s="1560">
        <v>0</v>
      </c>
      <c r="J147" s="1560">
        <v>0</v>
      </c>
      <c r="K147" s="1560">
        <v>0</v>
      </c>
      <c r="L147" s="1551">
        <v>1</v>
      </c>
      <c r="M147" s="1527">
        <v>2000</v>
      </c>
      <c r="N147" s="1365">
        <f t="shared" si="3"/>
        <v>1</v>
      </c>
      <c r="O147" s="92"/>
      <c r="P147" s="3383"/>
    </row>
    <row r="148" spans="1:16" ht="20.100000000000001" customHeight="1">
      <c r="A148" s="1356">
        <v>143</v>
      </c>
      <c r="B148" s="1627" t="s">
        <v>2005</v>
      </c>
      <c r="C148" s="1563" t="s">
        <v>1852</v>
      </c>
      <c r="D148" s="1628">
        <v>46271</v>
      </c>
      <c r="E148" s="1629" t="s">
        <v>34</v>
      </c>
      <c r="F148" s="1560">
        <v>0</v>
      </c>
      <c r="G148" s="1560">
        <v>0</v>
      </c>
      <c r="H148" s="1560">
        <v>0</v>
      </c>
      <c r="I148" s="1630">
        <v>1</v>
      </c>
      <c r="J148" s="1560">
        <v>0</v>
      </c>
      <c r="K148" s="1560">
        <v>0</v>
      </c>
      <c r="L148" s="1575">
        <v>0</v>
      </c>
      <c r="M148" s="1631">
        <v>50</v>
      </c>
      <c r="N148" s="1365">
        <f t="shared" si="3"/>
        <v>1</v>
      </c>
      <c r="O148" s="92"/>
      <c r="P148" s="3383"/>
    </row>
    <row r="149" spans="1:16" ht="20.100000000000001" customHeight="1">
      <c r="A149" s="1356">
        <v>144</v>
      </c>
      <c r="B149" s="1622" t="s">
        <v>2003</v>
      </c>
      <c r="C149" s="1563" t="s">
        <v>1852</v>
      </c>
      <c r="D149" s="1623">
        <v>44206</v>
      </c>
      <c r="E149" s="1632" t="s">
        <v>35</v>
      </c>
      <c r="F149" s="1560">
        <v>0</v>
      </c>
      <c r="G149" s="1560">
        <v>0</v>
      </c>
      <c r="H149" s="1560">
        <v>0</v>
      </c>
      <c r="I149" s="1560">
        <v>0</v>
      </c>
      <c r="J149" s="1625">
        <v>168</v>
      </c>
      <c r="K149" s="1560">
        <v>0</v>
      </c>
      <c r="L149" s="1575">
        <v>0</v>
      </c>
      <c r="M149" s="1633">
        <v>215214.41</v>
      </c>
      <c r="N149" s="1365">
        <f t="shared" si="3"/>
        <v>168</v>
      </c>
      <c r="O149" s="92"/>
      <c r="P149" s="3383"/>
    </row>
    <row r="150" spans="1:16" ht="20.100000000000001" customHeight="1">
      <c r="A150" s="1356">
        <v>145</v>
      </c>
      <c r="B150" s="1622" t="s">
        <v>2003</v>
      </c>
      <c r="C150" s="1563" t="s">
        <v>1852</v>
      </c>
      <c r="D150" s="1623">
        <v>44206</v>
      </c>
      <c r="E150" s="1634" t="s">
        <v>2006</v>
      </c>
      <c r="F150" s="1560">
        <v>0</v>
      </c>
      <c r="G150" s="1560">
        <v>0</v>
      </c>
      <c r="H150" s="1560">
        <v>0</v>
      </c>
      <c r="I150" s="1560">
        <v>0</v>
      </c>
      <c r="J150" s="1560">
        <v>0</v>
      </c>
      <c r="K150" s="1560">
        <v>0</v>
      </c>
      <c r="L150" s="1551">
        <v>2</v>
      </c>
      <c r="M150" s="1527">
        <v>52701</v>
      </c>
      <c r="N150" s="1365">
        <f t="shared" si="3"/>
        <v>2</v>
      </c>
      <c r="O150" s="92"/>
      <c r="P150" s="3383"/>
    </row>
    <row r="151" spans="1:16" ht="20.100000000000001" customHeight="1">
      <c r="A151" s="1356">
        <v>146</v>
      </c>
      <c r="B151" s="1622" t="s">
        <v>2003</v>
      </c>
      <c r="C151" s="1563" t="s">
        <v>1852</v>
      </c>
      <c r="D151" s="1623">
        <v>44206</v>
      </c>
      <c r="E151" s="1635" t="s">
        <v>2007</v>
      </c>
      <c r="F151" s="1560">
        <v>0</v>
      </c>
      <c r="G151" s="1625">
        <v>7</v>
      </c>
      <c r="H151" s="1560">
        <v>0</v>
      </c>
      <c r="I151" s="1560">
        <v>0</v>
      </c>
      <c r="J151" s="1560">
        <v>0</v>
      </c>
      <c r="K151" s="1560">
        <v>0</v>
      </c>
      <c r="L151" s="1575">
        <v>0</v>
      </c>
      <c r="M151" s="1527">
        <v>700</v>
      </c>
      <c r="N151" s="1365">
        <f t="shared" si="3"/>
        <v>6</v>
      </c>
      <c r="O151" s="92">
        <v>1</v>
      </c>
      <c r="P151" s="3383">
        <v>1</v>
      </c>
    </row>
    <row r="152" spans="1:16" ht="20.100000000000001" customHeight="1">
      <c r="A152" s="1356">
        <v>147</v>
      </c>
      <c r="B152" s="1636" t="s">
        <v>2008</v>
      </c>
      <c r="C152" s="1563" t="s">
        <v>1852</v>
      </c>
      <c r="D152" s="1637">
        <v>46204</v>
      </c>
      <c r="E152" s="1638" t="s">
        <v>2009</v>
      </c>
      <c r="F152" s="1560">
        <v>0</v>
      </c>
      <c r="G152" s="1560">
        <v>0</v>
      </c>
      <c r="H152" s="1560">
        <v>0</v>
      </c>
      <c r="I152" s="1560">
        <v>0</v>
      </c>
      <c r="J152" s="1560">
        <v>0</v>
      </c>
      <c r="K152" s="1560">
        <v>0</v>
      </c>
      <c r="L152" s="1639">
        <v>1</v>
      </c>
      <c r="M152" s="1640">
        <v>2100000</v>
      </c>
      <c r="N152" s="1365">
        <f t="shared" si="3"/>
        <v>1</v>
      </c>
      <c r="O152" s="92"/>
      <c r="P152" s="3383"/>
    </row>
    <row r="153" spans="1:16" ht="20.100000000000001" customHeight="1">
      <c r="A153" s="1356">
        <v>148</v>
      </c>
      <c r="B153" s="1641" t="s">
        <v>2008</v>
      </c>
      <c r="C153" s="1563" t="s">
        <v>1852</v>
      </c>
      <c r="D153" s="1642" t="s">
        <v>1862</v>
      </c>
      <c r="E153" s="1643" t="s">
        <v>2010</v>
      </c>
      <c r="F153" s="1520">
        <v>0</v>
      </c>
      <c r="G153" s="1520">
        <v>0</v>
      </c>
      <c r="H153" s="1520">
        <v>0</v>
      </c>
      <c r="I153" s="1520">
        <v>0</v>
      </c>
      <c r="J153" s="1520">
        <v>0</v>
      </c>
      <c r="K153" s="1520">
        <v>0</v>
      </c>
      <c r="L153" s="1644">
        <v>1</v>
      </c>
      <c r="M153" s="1645">
        <v>20400</v>
      </c>
      <c r="N153" s="1365">
        <f t="shared" si="3"/>
        <v>1</v>
      </c>
      <c r="O153" s="92"/>
      <c r="P153" s="3383"/>
    </row>
    <row r="154" spans="1:16" ht="20.100000000000001" customHeight="1">
      <c r="A154" s="1356">
        <v>149</v>
      </c>
      <c r="B154" s="1641" t="s">
        <v>2008</v>
      </c>
      <c r="C154" s="1563" t="s">
        <v>1852</v>
      </c>
      <c r="D154" s="1646" t="s">
        <v>2011</v>
      </c>
      <c r="E154" s="1647" t="s">
        <v>49</v>
      </c>
      <c r="F154" s="1520">
        <v>0</v>
      </c>
      <c r="G154" s="1520">
        <v>0</v>
      </c>
      <c r="H154" s="1648">
        <v>1</v>
      </c>
      <c r="I154" s="1520">
        <v>0</v>
      </c>
      <c r="J154" s="1520">
        <v>0</v>
      </c>
      <c r="K154" s="1520">
        <v>0</v>
      </c>
      <c r="L154" s="1526">
        <v>0</v>
      </c>
      <c r="M154" s="1649">
        <v>8423457.8699999992</v>
      </c>
      <c r="N154" s="1365">
        <f t="shared" si="3"/>
        <v>1</v>
      </c>
      <c r="O154" s="92"/>
      <c r="P154" s="3383"/>
    </row>
    <row r="155" spans="1:16" ht="20.100000000000001" customHeight="1">
      <c r="A155" s="1356">
        <v>150</v>
      </c>
      <c r="B155" s="1641" t="s">
        <v>2008</v>
      </c>
      <c r="C155" s="1563" t="s">
        <v>1852</v>
      </c>
      <c r="D155" s="1646"/>
      <c r="E155" s="1647" t="s">
        <v>2012</v>
      </c>
      <c r="F155" s="1520">
        <v>0</v>
      </c>
      <c r="G155" s="1520">
        <v>0</v>
      </c>
      <c r="H155" s="1520">
        <v>0</v>
      </c>
      <c r="I155" s="1520">
        <v>0</v>
      </c>
      <c r="J155" s="1520">
        <v>0</v>
      </c>
      <c r="K155" s="1520">
        <v>0</v>
      </c>
      <c r="L155" s="1526">
        <v>1</v>
      </c>
      <c r="M155" s="1649">
        <v>52</v>
      </c>
      <c r="N155" s="1365">
        <f t="shared" si="3"/>
        <v>1</v>
      </c>
      <c r="O155" s="92"/>
      <c r="P155" s="3383"/>
    </row>
    <row r="156" spans="1:16" ht="20.100000000000001" customHeight="1">
      <c r="A156" s="1356">
        <v>151</v>
      </c>
      <c r="B156" s="1641" t="s">
        <v>2008</v>
      </c>
      <c r="C156" s="1563" t="s">
        <v>1852</v>
      </c>
      <c r="D156" s="1650" t="s">
        <v>2013</v>
      </c>
      <c r="E156" s="1651" t="s">
        <v>50</v>
      </c>
      <c r="F156" s="1520">
        <v>0</v>
      </c>
      <c r="G156" s="1520">
        <v>0</v>
      </c>
      <c r="H156" s="1652">
        <v>1</v>
      </c>
      <c r="I156" s="1520">
        <v>0</v>
      </c>
      <c r="J156" s="1520">
        <v>0</v>
      </c>
      <c r="K156" s="1520">
        <v>0</v>
      </c>
      <c r="L156" s="1526">
        <v>0</v>
      </c>
      <c r="M156" s="1649">
        <f>P156</f>
        <v>0</v>
      </c>
      <c r="N156" s="1365">
        <f t="shared" si="3"/>
        <v>1</v>
      </c>
      <c r="O156" s="92"/>
      <c r="P156" s="3383"/>
    </row>
    <row r="157" spans="1:16" ht="20.100000000000001" customHeight="1">
      <c r="A157" s="1356">
        <v>152</v>
      </c>
      <c r="B157" s="1641" t="s">
        <v>2008</v>
      </c>
      <c r="C157" s="1563" t="s">
        <v>1852</v>
      </c>
      <c r="D157" s="1650" t="s">
        <v>2014</v>
      </c>
      <c r="E157" s="1651" t="s">
        <v>35</v>
      </c>
      <c r="F157" s="1520">
        <v>0</v>
      </c>
      <c r="G157" s="1520">
        <v>0</v>
      </c>
      <c r="H157" s="1520">
        <v>0</v>
      </c>
      <c r="I157" s="1520">
        <v>0</v>
      </c>
      <c r="J157" s="1652">
        <v>394</v>
      </c>
      <c r="K157" s="1520">
        <v>0</v>
      </c>
      <c r="L157" s="1526">
        <v>0</v>
      </c>
      <c r="M157" s="1649">
        <v>374237.11</v>
      </c>
      <c r="N157" s="1365">
        <f t="shared" si="3"/>
        <v>366</v>
      </c>
      <c r="O157" s="92">
        <v>28</v>
      </c>
      <c r="P157" s="3383">
        <v>28</v>
      </c>
    </row>
    <row r="158" spans="1:16" ht="20.100000000000001" customHeight="1">
      <c r="A158" s="1356">
        <v>153</v>
      </c>
      <c r="B158" s="1641" t="s">
        <v>2008</v>
      </c>
      <c r="C158" s="1563" t="s">
        <v>1852</v>
      </c>
      <c r="D158" s="1650" t="s">
        <v>2013</v>
      </c>
      <c r="E158" s="1653" t="s">
        <v>52</v>
      </c>
      <c r="F158" s="1520">
        <v>0</v>
      </c>
      <c r="G158" s="1654">
        <v>737</v>
      </c>
      <c r="H158" s="1520">
        <v>0</v>
      </c>
      <c r="I158" s="1520">
        <v>0</v>
      </c>
      <c r="J158" s="1520">
        <v>0</v>
      </c>
      <c r="K158" s="1520">
        <v>0</v>
      </c>
      <c r="L158" s="1526">
        <v>0</v>
      </c>
      <c r="M158" s="1655">
        <v>37500</v>
      </c>
      <c r="N158" s="1365">
        <f t="shared" si="3"/>
        <v>724</v>
      </c>
      <c r="O158" s="92">
        <v>13</v>
      </c>
      <c r="P158" s="3383">
        <v>13</v>
      </c>
    </row>
    <row r="159" spans="1:16" ht="20.100000000000001" customHeight="1">
      <c r="A159" s="1356">
        <v>154</v>
      </c>
      <c r="B159" s="1656" t="s">
        <v>2008</v>
      </c>
      <c r="C159" s="1563" t="s">
        <v>1852</v>
      </c>
      <c r="D159" s="1650"/>
      <c r="E159" s="1657" t="s">
        <v>2015</v>
      </c>
      <c r="F159" s="1652">
        <v>72</v>
      </c>
      <c r="G159" s="1520">
        <v>0</v>
      </c>
      <c r="H159" s="1520">
        <v>0</v>
      </c>
      <c r="I159" s="1520">
        <v>0</v>
      </c>
      <c r="J159" s="1520">
        <v>0</v>
      </c>
      <c r="K159" s="1520">
        <v>0</v>
      </c>
      <c r="L159" s="1526">
        <v>0</v>
      </c>
      <c r="M159" s="1658">
        <v>0</v>
      </c>
      <c r="N159" s="1365">
        <f t="shared" si="3"/>
        <v>62</v>
      </c>
      <c r="O159" s="92">
        <v>10</v>
      </c>
      <c r="P159" s="3383">
        <v>10</v>
      </c>
    </row>
    <row r="160" spans="1:16" ht="20.100000000000001" customHeight="1">
      <c r="A160" s="1356">
        <v>155</v>
      </c>
      <c r="B160" s="1641" t="s">
        <v>2016</v>
      </c>
      <c r="C160" s="1563" t="s">
        <v>1852</v>
      </c>
      <c r="D160" s="1659" t="s">
        <v>816</v>
      </c>
      <c r="E160" s="838" t="s">
        <v>2017</v>
      </c>
      <c r="F160" s="1520">
        <v>0</v>
      </c>
      <c r="G160" s="1520">
        <v>0</v>
      </c>
      <c r="H160" s="1520">
        <v>0</v>
      </c>
      <c r="I160" s="1520">
        <v>0</v>
      </c>
      <c r="J160" s="1520">
        <v>0</v>
      </c>
      <c r="K160" s="1520">
        <v>0</v>
      </c>
      <c r="L160" s="1660">
        <v>1</v>
      </c>
      <c r="M160" s="1661">
        <v>94098.74</v>
      </c>
      <c r="N160" s="1365">
        <f t="shared" si="3"/>
        <v>1</v>
      </c>
      <c r="O160" s="92"/>
      <c r="P160" s="3383"/>
    </row>
    <row r="161" spans="1:16" ht="20.100000000000001" customHeight="1">
      <c r="A161" s="1356">
        <v>156</v>
      </c>
      <c r="B161" s="1641" t="s">
        <v>2016</v>
      </c>
      <c r="C161" s="1563" t="s">
        <v>1852</v>
      </c>
      <c r="D161" s="1662" t="s">
        <v>1953</v>
      </c>
      <c r="E161" s="838" t="s">
        <v>49</v>
      </c>
      <c r="F161" s="1520">
        <v>0</v>
      </c>
      <c r="G161" s="1520">
        <v>0</v>
      </c>
      <c r="H161" s="909">
        <v>1</v>
      </c>
      <c r="I161" s="1520">
        <v>0</v>
      </c>
      <c r="J161" s="1520">
        <v>0</v>
      </c>
      <c r="K161" s="1520">
        <v>0</v>
      </c>
      <c r="L161" s="1526">
        <v>0</v>
      </c>
      <c r="M161" s="1663">
        <v>2021699.86</v>
      </c>
      <c r="N161" s="1365">
        <f t="shared" si="3"/>
        <v>1</v>
      </c>
      <c r="O161" s="92"/>
      <c r="P161" s="3383"/>
    </row>
    <row r="162" spans="1:16" ht="20.100000000000001" customHeight="1">
      <c r="A162" s="1356">
        <v>157</v>
      </c>
      <c r="B162" s="1641" t="s">
        <v>2016</v>
      </c>
      <c r="C162" s="1563" t="s">
        <v>1852</v>
      </c>
      <c r="D162" s="1662" t="s">
        <v>2018</v>
      </c>
      <c r="E162" s="1664" t="s">
        <v>32</v>
      </c>
      <c r="F162" s="1520">
        <v>0</v>
      </c>
      <c r="G162" s="1520">
        <v>0</v>
      </c>
      <c r="H162" s="909">
        <v>1</v>
      </c>
      <c r="I162" s="1520">
        <v>0</v>
      </c>
      <c r="J162" s="1520">
        <v>0</v>
      </c>
      <c r="K162" s="1520">
        <v>0</v>
      </c>
      <c r="L162" s="1526">
        <v>0</v>
      </c>
      <c r="M162" s="1663">
        <v>0.15</v>
      </c>
      <c r="N162" s="1365">
        <f t="shared" si="3"/>
        <v>1</v>
      </c>
      <c r="O162" s="92"/>
      <c r="P162" s="3383"/>
    </row>
    <row r="163" spans="1:16" ht="20.100000000000001" customHeight="1">
      <c r="A163" s="1356">
        <v>158</v>
      </c>
      <c r="B163" s="1641" t="s">
        <v>2016</v>
      </c>
      <c r="C163" s="1563" t="s">
        <v>1852</v>
      </c>
      <c r="D163" s="1662" t="s">
        <v>1953</v>
      </c>
      <c r="E163" s="838" t="s">
        <v>35</v>
      </c>
      <c r="F163" s="1520">
        <v>0</v>
      </c>
      <c r="G163" s="1520">
        <v>0</v>
      </c>
      <c r="H163" s="1520">
        <v>0</v>
      </c>
      <c r="I163" s="1520">
        <v>0</v>
      </c>
      <c r="J163" s="1665">
        <v>1925</v>
      </c>
      <c r="K163" s="1520">
        <v>0</v>
      </c>
      <c r="L163" s="1526">
        <v>0</v>
      </c>
      <c r="M163" s="1663">
        <v>9776600.6300000008</v>
      </c>
      <c r="N163" s="1365">
        <f t="shared" si="3"/>
        <v>1910</v>
      </c>
      <c r="O163" s="92">
        <v>15</v>
      </c>
      <c r="P163" s="3383">
        <v>15</v>
      </c>
    </row>
    <row r="164" spans="1:16" ht="20.100000000000001" customHeight="1">
      <c r="A164" s="1356">
        <v>159</v>
      </c>
      <c r="B164" s="1641" t="s">
        <v>2016</v>
      </c>
      <c r="C164" s="1563" t="s">
        <v>1852</v>
      </c>
      <c r="D164" s="1662"/>
      <c r="E164" s="838" t="s">
        <v>2019</v>
      </c>
      <c r="F164" s="1665">
        <v>202</v>
      </c>
      <c r="G164" s="1520">
        <v>0</v>
      </c>
      <c r="H164" s="1520">
        <v>0</v>
      </c>
      <c r="I164" s="1520">
        <v>0</v>
      </c>
      <c r="J164" s="1520">
        <v>0</v>
      </c>
      <c r="K164" s="1520">
        <v>0</v>
      </c>
      <c r="L164" s="1526">
        <v>0</v>
      </c>
      <c r="M164" s="1663">
        <v>17424.52</v>
      </c>
      <c r="N164" s="1365">
        <f t="shared" si="3"/>
        <v>202</v>
      </c>
      <c r="O164" s="92"/>
      <c r="P164" s="3383"/>
    </row>
    <row r="165" spans="1:16" ht="20.100000000000001" customHeight="1">
      <c r="A165" s="1356">
        <v>160</v>
      </c>
      <c r="B165" s="1641" t="s">
        <v>2016</v>
      </c>
      <c r="C165" s="1563" t="s">
        <v>1852</v>
      </c>
      <c r="D165" s="1662" t="s">
        <v>1953</v>
      </c>
      <c r="E165" s="838" t="s">
        <v>52</v>
      </c>
      <c r="F165" s="1520">
        <v>0</v>
      </c>
      <c r="G165" s="1666">
        <v>686</v>
      </c>
      <c r="H165" s="1520">
        <v>0</v>
      </c>
      <c r="I165" s="1520">
        <v>0</v>
      </c>
      <c r="J165" s="1520">
        <v>0</v>
      </c>
      <c r="K165" s="1520">
        <v>0</v>
      </c>
      <c r="L165" s="1526">
        <v>0</v>
      </c>
      <c r="M165" s="1667">
        <v>76598.880000000005</v>
      </c>
      <c r="N165" s="1365">
        <f t="shared" si="3"/>
        <v>686</v>
      </c>
      <c r="O165" s="92"/>
      <c r="P165" s="3383"/>
    </row>
    <row r="166" spans="1:16" ht="20.100000000000001" customHeight="1">
      <c r="A166" s="1356">
        <v>161</v>
      </c>
      <c r="B166" s="1641" t="s">
        <v>2016</v>
      </c>
      <c r="C166" s="1563" t="s">
        <v>1852</v>
      </c>
      <c r="D166" s="1662" t="s">
        <v>1953</v>
      </c>
      <c r="E166" s="1668" t="s">
        <v>196</v>
      </c>
      <c r="F166" s="1520">
        <v>0</v>
      </c>
      <c r="G166" s="1520">
        <v>0</v>
      </c>
      <c r="H166" s="1520">
        <v>0</v>
      </c>
      <c r="I166" s="1520">
        <v>0</v>
      </c>
      <c r="J166" s="1520">
        <v>0</v>
      </c>
      <c r="K166" s="1520">
        <v>0</v>
      </c>
      <c r="L166" s="1669">
        <v>3</v>
      </c>
      <c r="M166" s="1670">
        <v>2976</v>
      </c>
      <c r="N166" s="1365">
        <f t="shared" si="3"/>
        <v>1</v>
      </c>
      <c r="O166" s="92">
        <v>2</v>
      </c>
      <c r="P166" s="3383">
        <v>2</v>
      </c>
    </row>
    <row r="167" spans="1:16" ht="20.100000000000001" customHeight="1">
      <c r="A167" s="1356">
        <v>162</v>
      </c>
      <c r="B167" s="1641" t="s">
        <v>2016</v>
      </c>
      <c r="C167" s="1563" t="s">
        <v>1852</v>
      </c>
      <c r="D167" s="1662" t="s">
        <v>1953</v>
      </c>
      <c r="E167" s="1671" t="s">
        <v>2020</v>
      </c>
      <c r="F167" s="1520">
        <v>0</v>
      </c>
      <c r="G167" s="1520">
        <v>0</v>
      </c>
      <c r="H167" s="1520">
        <v>0</v>
      </c>
      <c r="I167" s="1520">
        <v>0</v>
      </c>
      <c r="J167" s="1520">
        <v>0</v>
      </c>
      <c r="K167" s="1520">
        <v>0</v>
      </c>
      <c r="L167" s="1672">
        <v>22</v>
      </c>
      <c r="M167" s="1673">
        <v>1100</v>
      </c>
      <c r="N167" s="1365">
        <f t="shared" si="3"/>
        <v>22</v>
      </c>
      <c r="O167" s="92"/>
      <c r="P167" s="3383"/>
    </row>
    <row r="168" spans="1:16" ht="20.100000000000001" customHeight="1">
      <c r="A168" s="1356">
        <v>163</v>
      </c>
      <c r="B168" s="1641" t="s">
        <v>2016</v>
      </c>
      <c r="C168" s="1563" t="s">
        <v>1852</v>
      </c>
      <c r="D168" s="1662" t="s">
        <v>1953</v>
      </c>
      <c r="E168" s="1668" t="s">
        <v>2021</v>
      </c>
      <c r="F168" s="1520">
        <v>0</v>
      </c>
      <c r="G168" s="1520">
        <v>0</v>
      </c>
      <c r="H168" s="1520">
        <v>0</v>
      </c>
      <c r="I168" s="1520">
        <v>0</v>
      </c>
      <c r="J168" s="1520">
        <v>0</v>
      </c>
      <c r="K168" s="1520">
        <v>0</v>
      </c>
      <c r="L168" s="1674">
        <v>2</v>
      </c>
      <c r="M168" s="1670">
        <v>35654.199999999997</v>
      </c>
      <c r="N168" s="1365">
        <f t="shared" si="3"/>
        <v>0</v>
      </c>
      <c r="O168" s="92">
        <v>2</v>
      </c>
      <c r="P168" s="3383">
        <v>2</v>
      </c>
    </row>
    <row r="169" spans="1:16" ht="20.100000000000001" customHeight="1">
      <c r="A169" s="1356">
        <v>164</v>
      </c>
      <c r="B169" s="1641" t="s">
        <v>2016</v>
      </c>
      <c r="C169" s="1563" t="s">
        <v>1852</v>
      </c>
      <c r="D169" s="1662" t="s">
        <v>1953</v>
      </c>
      <c r="E169" s="838" t="s">
        <v>207</v>
      </c>
      <c r="F169" s="1520">
        <v>0</v>
      </c>
      <c r="G169" s="1520">
        <v>0</v>
      </c>
      <c r="H169" s="1520">
        <v>0</v>
      </c>
      <c r="I169" s="1520">
        <v>0</v>
      </c>
      <c r="J169" s="1520">
        <v>0</v>
      </c>
      <c r="K169" s="1520">
        <v>0</v>
      </c>
      <c r="L169" s="1675">
        <v>1</v>
      </c>
      <c r="M169" s="1676">
        <v>1207108.6100000001</v>
      </c>
      <c r="N169" s="1365">
        <f t="shared" si="3"/>
        <v>1</v>
      </c>
      <c r="O169" s="92"/>
      <c r="P169" s="3383"/>
    </row>
    <row r="170" spans="1:16" ht="20.100000000000001" customHeight="1">
      <c r="A170" s="1356">
        <v>165</v>
      </c>
      <c r="B170" s="1641" t="s">
        <v>2022</v>
      </c>
      <c r="C170" s="1563" t="s">
        <v>1852</v>
      </c>
      <c r="D170" s="1677">
        <v>46030</v>
      </c>
      <c r="E170" s="1678" t="s">
        <v>1911</v>
      </c>
      <c r="F170" s="1679">
        <v>0</v>
      </c>
      <c r="G170" s="1679">
        <v>0</v>
      </c>
      <c r="H170" s="1679">
        <v>0</v>
      </c>
      <c r="I170" s="1679">
        <v>0</v>
      </c>
      <c r="J170" s="1679">
        <v>0</v>
      </c>
      <c r="K170" s="1679">
        <v>0</v>
      </c>
      <c r="L170" s="1680">
        <v>2</v>
      </c>
      <c r="M170" s="1681">
        <v>49465</v>
      </c>
      <c r="N170" s="1365">
        <f t="shared" si="3"/>
        <v>2</v>
      </c>
      <c r="O170" s="92"/>
      <c r="P170" s="3383"/>
    </row>
    <row r="171" spans="1:16" ht="20.100000000000001" customHeight="1">
      <c r="A171" s="1356">
        <v>166</v>
      </c>
      <c r="B171" s="1641" t="s">
        <v>2022</v>
      </c>
      <c r="C171" s="1563" t="s">
        <v>1852</v>
      </c>
      <c r="D171" s="1682">
        <v>44560</v>
      </c>
      <c r="E171" s="1678" t="s">
        <v>49</v>
      </c>
      <c r="F171" s="1679">
        <v>0</v>
      </c>
      <c r="G171" s="1679">
        <v>0</v>
      </c>
      <c r="H171" s="1683">
        <v>1</v>
      </c>
      <c r="I171" s="1679">
        <v>0</v>
      </c>
      <c r="J171" s="1679">
        <v>0</v>
      </c>
      <c r="K171" s="1679">
        <v>0</v>
      </c>
      <c r="L171" s="1684">
        <v>0</v>
      </c>
      <c r="M171" s="1681">
        <v>39590641</v>
      </c>
      <c r="N171" s="1365">
        <f t="shared" si="3"/>
        <v>1</v>
      </c>
      <c r="O171" s="92"/>
      <c r="P171" s="3383"/>
    </row>
    <row r="172" spans="1:16" ht="20.100000000000001" customHeight="1">
      <c r="A172" s="1356">
        <v>167</v>
      </c>
      <c r="B172" s="1641" t="s">
        <v>2022</v>
      </c>
      <c r="C172" s="1563" t="s">
        <v>1852</v>
      </c>
      <c r="D172" s="1682">
        <v>45803</v>
      </c>
      <c r="E172" s="1685" t="s">
        <v>32</v>
      </c>
      <c r="F172" s="1679">
        <v>0</v>
      </c>
      <c r="G172" s="1679">
        <v>0</v>
      </c>
      <c r="H172" s="1683">
        <v>1</v>
      </c>
      <c r="I172" s="1679">
        <v>0</v>
      </c>
      <c r="J172" s="1679">
        <v>0</v>
      </c>
      <c r="K172" s="1679">
        <v>0</v>
      </c>
      <c r="L172" s="1684">
        <v>0</v>
      </c>
      <c r="M172" s="1686">
        <v>-381646</v>
      </c>
      <c r="N172" s="1365">
        <f t="shared" si="3"/>
        <v>1</v>
      </c>
      <c r="O172" s="92"/>
      <c r="P172" s="3383"/>
    </row>
    <row r="173" spans="1:16" ht="20.100000000000001" customHeight="1">
      <c r="A173" s="1356">
        <v>168</v>
      </c>
      <c r="B173" s="1641" t="s">
        <v>2022</v>
      </c>
      <c r="C173" s="1563" t="s">
        <v>1852</v>
      </c>
      <c r="D173" s="1687" t="s">
        <v>2023</v>
      </c>
      <c r="E173" s="1685" t="s">
        <v>2024</v>
      </c>
      <c r="F173" s="1679">
        <v>0</v>
      </c>
      <c r="G173" s="1679">
        <v>0</v>
      </c>
      <c r="H173" s="1683">
        <v>2</v>
      </c>
      <c r="I173" s="1679">
        <v>0</v>
      </c>
      <c r="J173" s="1679">
        <v>0</v>
      </c>
      <c r="K173" s="1679">
        <v>0</v>
      </c>
      <c r="L173" s="1684">
        <v>0</v>
      </c>
      <c r="M173" s="1681">
        <v>-28100</v>
      </c>
      <c r="N173" s="1365">
        <f t="shared" si="3"/>
        <v>2</v>
      </c>
      <c r="O173" s="92"/>
      <c r="P173" s="3383"/>
    </row>
    <row r="174" spans="1:16" ht="20.100000000000001" customHeight="1">
      <c r="A174" s="1356">
        <v>169</v>
      </c>
      <c r="B174" s="1641" t="s">
        <v>2022</v>
      </c>
      <c r="C174" s="1563" t="s">
        <v>1852</v>
      </c>
      <c r="D174" s="1677">
        <v>44237</v>
      </c>
      <c r="E174" s="1685" t="s">
        <v>2025</v>
      </c>
      <c r="F174" s="1679">
        <v>0</v>
      </c>
      <c r="G174" s="1679">
        <v>0</v>
      </c>
      <c r="H174" s="1679">
        <v>0</v>
      </c>
      <c r="I174" s="1679">
        <v>0</v>
      </c>
      <c r="J174" s="1679">
        <v>0</v>
      </c>
      <c r="K174" s="1679">
        <v>0</v>
      </c>
      <c r="L174" s="1680">
        <v>4</v>
      </c>
      <c r="M174" s="1688">
        <f>607356.02+124488.2+83767.89+103813.38</f>
        <v>919425.49</v>
      </c>
      <c r="N174" s="1365">
        <f t="shared" si="3"/>
        <v>4</v>
      </c>
      <c r="O174" s="92"/>
      <c r="P174" s="3383"/>
    </row>
    <row r="175" spans="1:16" ht="20.100000000000001" customHeight="1">
      <c r="A175" s="1356">
        <v>170</v>
      </c>
      <c r="B175" s="1641" t="s">
        <v>2022</v>
      </c>
      <c r="C175" s="1563" t="s">
        <v>1852</v>
      </c>
      <c r="D175" s="1677">
        <v>46089</v>
      </c>
      <c r="E175" s="1678" t="s">
        <v>35</v>
      </c>
      <c r="F175" s="1679">
        <v>0</v>
      </c>
      <c r="G175" s="1679">
        <v>0</v>
      </c>
      <c r="H175" s="1679">
        <v>0</v>
      </c>
      <c r="I175" s="1679">
        <v>0</v>
      </c>
      <c r="J175" s="1683">
        <v>20</v>
      </c>
      <c r="K175" s="1679">
        <v>0</v>
      </c>
      <c r="L175" s="1684">
        <v>0</v>
      </c>
      <c r="M175" s="1689">
        <v>621233.62</v>
      </c>
      <c r="N175" s="1365">
        <f t="shared" si="3"/>
        <v>0</v>
      </c>
      <c r="O175" s="92">
        <v>20</v>
      </c>
      <c r="P175" s="3383">
        <v>20</v>
      </c>
    </row>
    <row r="176" spans="1:16" ht="20.100000000000001" customHeight="1">
      <c r="A176" s="1356">
        <v>171</v>
      </c>
      <c r="B176" s="1641" t="s">
        <v>2022</v>
      </c>
      <c r="C176" s="1563" t="s">
        <v>1852</v>
      </c>
      <c r="D176" s="1690">
        <v>46057</v>
      </c>
      <c r="E176" s="1614" t="s">
        <v>2026</v>
      </c>
      <c r="F176" s="1679">
        <v>0</v>
      </c>
      <c r="G176" s="1683">
        <v>105</v>
      </c>
      <c r="H176" s="1679">
        <v>0</v>
      </c>
      <c r="I176" s="1679">
        <v>0</v>
      </c>
      <c r="J176" s="1679">
        <v>0</v>
      </c>
      <c r="K176" s="1679">
        <v>0</v>
      </c>
      <c r="L176" s="1684">
        <v>0</v>
      </c>
      <c r="M176" s="1688"/>
      <c r="N176" s="1365">
        <f t="shared" si="3"/>
        <v>105</v>
      </c>
      <c r="O176" s="92"/>
      <c r="P176" s="3383"/>
    </row>
    <row r="177" spans="1:17" ht="20.100000000000001" customHeight="1">
      <c r="A177" s="1356">
        <v>172</v>
      </c>
      <c r="B177" s="1641" t="s">
        <v>2022</v>
      </c>
      <c r="C177" s="1563" t="s">
        <v>1852</v>
      </c>
      <c r="D177" s="1677">
        <v>46057</v>
      </c>
      <c r="E177" s="1685" t="s">
        <v>1863</v>
      </c>
      <c r="F177" s="1683">
        <v>43</v>
      </c>
      <c r="G177" s="1679">
        <v>0</v>
      </c>
      <c r="H177" s="1679">
        <v>0</v>
      </c>
      <c r="I177" s="1679">
        <v>0</v>
      </c>
      <c r="J177" s="1679">
        <v>0</v>
      </c>
      <c r="K177" s="1679">
        <v>0</v>
      </c>
      <c r="L177" s="1684">
        <v>0</v>
      </c>
      <c r="M177" s="1688"/>
      <c r="N177" s="1365">
        <f t="shared" si="3"/>
        <v>43</v>
      </c>
      <c r="O177" s="92"/>
      <c r="P177" s="3383"/>
    </row>
    <row r="178" spans="1:17" ht="20.100000000000001" customHeight="1">
      <c r="A178" s="1356">
        <v>173</v>
      </c>
      <c r="B178" s="1691" t="s">
        <v>2027</v>
      </c>
      <c r="C178" s="1563" t="s">
        <v>1852</v>
      </c>
      <c r="D178" s="1548" t="s">
        <v>2028</v>
      </c>
      <c r="E178" s="1692" t="s">
        <v>35</v>
      </c>
      <c r="F178" s="1679">
        <v>0</v>
      </c>
      <c r="G178" s="1679">
        <v>0</v>
      </c>
      <c r="H178" s="1679">
        <v>0</v>
      </c>
      <c r="I178" s="1679">
        <v>0</v>
      </c>
      <c r="J178" s="1625">
        <v>771</v>
      </c>
      <c r="K178" s="1679">
        <v>0</v>
      </c>
      <c r="L178" s="1684">
        <v>0</v>
      </c>
      <c r="M178" s="1552">
        <v>60138</v>
      </c>
      <c r="N178" s="1365">
        <f t="shared" si="3"/>
        <v>763</v>
      </c>
      <c r="O178" s="92">
        <v>8</v>
      </c>
      <c r="P178" s="3383">
        <v>8</v>
      </c>
    </row>
    <row r="179" spans="1:17" ht="20.100000000000001" customHeight="1">
      <c r="A179" s="1356">
        <v>174</v>
      </c>
      <c r="B179" s="1691" t="s">
        <v>2027</v>
      </c>
      <c r="C179" s="1563" t="s">
        <v>1852</v>
      </c>
      <c r="D179" s="1548" t="s">
        <v>2028</v>
      </c>
      <c r="E179" s="1692" t="s">
        <v>2029</v>
      </c>
      <c r="F179" s="1679">
        <v>0</v>
      </c>
      <c r="G179" s="1679">
        <v>0</v>
      </c>
      <c r="H179" s="1679">
        <v>0</v>
      </c>
      <c r="I179" s="1625">
        <v>3</v>
      </c>
      <c r="J179" s="1679">
        <v>0</v>
      </c>
      <c r="K179" s="1679">
        <v>0</v>
      </c>
      <c r="L179" s="1684">
        <v>0</v>
      </c>
      <c r="M179" s="1552">
        <v>150</v>
      </c>
      <c r="N179" s="1365">
        <f t="shared" si="3"/>
        <v>0</v>
      </c>
      <c r="O179" s="92">
        <v>3</v>
      </c>
      <c r="P179" s="3383">
        <v>3</v>
      </c>
    </row>
    <row r="180" spans="1:17" ht="20.100000000000001" customHeight="1">
      <c r="A180" s="1356">
        <v>175</v>
      </c>
      <c r="B180" s="1691"/>
      <c r="C180" s="1563" t="s">
        <v>1852</v>
      </c>
      <c r="D180" s="1693">
        <v>46149</v>
      </c>
      <c r="E180" s="1692" t="s">
        <v>2030</v>
      </c>
      <c r="F180" s="1679">
        <v>0</v>
      </c>
      <c r="G180" s="1679">
        <v>0</v>
      </c>
      <c r="H180" s="1679">
        <v>0</v>
      </c>
      <c r="I180" s="1679">
        <v>0</v>
      </c>
      <c r="J180" s="1679">
        <v>0</v>
      </c>
      <c r="K180" s="1679">
        <v>0</v>
      </c>
      <c r="L180" s="1551">
        <v>1</v>
      </c>
      <c r="M180" s="1552">
        <v>10</v>
      </c>
      <c r="N180" s="1365">
        <f t="shared" si="3"/>
        <v>0</v>
      </c>
      <c r="O180" s="92">
        <v>1</v>
      </c>
      <c r="P180" s="3383">
        <v>1</v>
      </c>
    </row>
    <row r="181" spans="1:17" ht="20.100000000000001" customHeight="1">
      <c r="A181" s="1356">
        <v>176</v>
      </c>
      <c r="B181" s="1691" t="s">
        <v>2027</v>
      </c>
      <c r="C181" s="1563" t="s">
        <v>1852</v>
      </c>
      <c r="D181" s="1548" t="s">
        <v>2028</v>
      </c>
      <c r="E181" s="1694" t="s">
        <v>2031</v>
      </c>
      <c r="F181" s="1679">
        <v>0</v>
      </c>
      <c r="G181" s="1679">
        <v>0</v>
      </c>
      <c r="H181" s="1679">
        <v>0</v>
      </c>
      <c r="I181" s="1679">
        <v>0</v>
      </c>
      <c r="J181" s="1679">
        <v>0</v>
      </c>
      <c r="K181" s="1679">
        <v>0</v>
      </c>
      <c r="L181" s="1551">
        <v>1</v>
      </c>
      <c r="M181" s="1552">
        <v>100</v>
      </c>
      <c r="N181" s="1365">
        <f t="shared" si="3"/>
        <v>0</v>
      </c>
      <c r="O181" s="92">
        <v>1</v>
      </c>
      <c r="P181" s="3383">
        <v>1</v>
      </c>
    </row>
    <row r="182" spans="1:17" ht="20.100000000000001" customHeight="1">
      <c r="A182" s="1356">
        <v>177</v>
      </c>
      <c r="B182" s="1691" t="s">
        <v>2027</v>
      </c>
      <c r="C182" s="1563" t="s">
        <v>1852</v>
      </c>
      <c r="D182" s="1548" t="s">
        <v>2028</v>
      </c>
      <c r="E182" s="1635" t="s">
        <v>1899</v>
      </c>
      <c r="F182" s="1679">
        <v>0</v>
      </c>
      <c r="G182" s="1625">
        <v>207</v>
      </c>
      <c r="H182" s="1679">
        <v>0</v>
      </c>
      <c r="I182" s="1679">
        <v>0</v>
      </c>
      <c r="J182" s="1679">
        <v>0</v>
      </c>
      <c r="K182" s="1679">
        <v>0</v>
      </c>
      <c r="L182" s="1684">
        <v>0</v>
      </c>
      <c r="M182" s="1556">
        <v>10350</v>
      </c>
      <c r="N182" s="1365">
        <f t="shared" si="3"/>
        <v>207</v>
      </c>
      <c r="O182" s="92"/>
      <c r="P182" s="3383"/>
    </row>
    <row r="183" spans="1:17" ht="20.100000000000001" customHeight="1">
      <c r="A183" s="1356">
        <v>178</v>
      </c>
      <c r="B183" s="1691" t="s">
        <v>2027</v>
      </c>
      <c r="C183" s="1563" t="s">
        <v>1852</v>
      </c>
      <c r="D183" s="1548" t="s">
        <v>2028</v>
      </c>
      <c r="E183" s="1557" t="s">
        <v>2032</v>
      </c>
      <c r="F183" s="1679">
        <v>0</v>
      </c>
      <c r="G183" s="1679">
        <v>0</v>
      </c>
      <c r="H183" s="1679">
        <v>0</v>
      </c>
      <c r="I183" s="1679">
        <v>0</v>
      </c>
      <c r="J183" s="1679">
        <v>0</v>
      </c>
      <c r="K183" s="1679">
        <v>0</v>
      </c>
      <c r="L183" s="1551">
        <v>2</v>
      </c>
      <c r="M183" s="1556">
        <v>49300</v>
      </c>
      <c r="N183" s="1365">
        <f t="shared" si="3"/>
        <v>2</v>
      </c>
      <c r="O183" s="92"/>
      <c r="P183" s="3383"/>
    </row>
    <row r="184" spans="1:17" ht="20.100000000000001" customHeight="1">
      <c r="A184" s="1356">
        <v>179</v>
      </c>
      <c r="B184" s="1695" t="s">
        <v>2027</v>
      </c>
      <c r="C184" s="1563" t="s">
        <v>1852</v>
      </c>
      <c r="D184" s="1696">
        <v>46210</v>
      </c>
      <c r="E184" s="1697" t="s">
        <v>2033</v>
      </c>
      <c r="F184" s="1679">
        <v>0</v>
      </c>
      <c r="G184" s="1679">
        <v>0</v>
      </c>
      <c r="H184" s="1679">
        <v>0</v>
      </c>
      <c r="I184" s="1679">
        <v>0</v>
      </c>
      <c r="J184" s="1679">
        <v>0</v>
      </c>
      <c r="K184" s="1679">
        <v>0</v>
      </c>
      <c r="L184" s="1698">
        <v>1</v>
      </c>
      <c r="M184" s="1699">
        <v>690</v>
      </c>
      <c r="N184" s="1365">
        <f t="shared" si="3"/>
        <v>1</v>
      </c>
      <c r="O184" s="92"/>
      <c r="P184" s="3383"/>
    </row>
    <row r="185" spans="1:17" ht="20.100000000000001" customHeight="1">
      <c r="A185" s="1356">
        <v>180</v>
      </c>
      <c r="B185" s="3534" t="s">
        <v>2027</v>
      </c>
      <c r="C185" s="3537" t="s">
        <v>1852</v>
      </c>
      <c r="D185" s="1700"/>
      <c r="E185" s="1701" t="s">
        <v>1223</v>
      </c>
      <c r="F185" s="1679">
        <v>0</v>
      </c>
      <c r="G185" s="1679">
        <v>0</v>
      </c>
      <c r="H185" s="1679">
        <v>0</v>
      </c>
      <c r="I185" s="1679">
        <v>0</v>
      </c>
      <c r="J185" s="1679">
        <v>0</v>
      </c>
      <c r="K185" s="1679">
        <v>0</v>
      </c>
      <c r="L185" s="1679">
        <v>0</v>
      </c>
      <c r="M185" s="1699"/>
      <c r="N185" s="1365">
        <f t="shared" si="3"/>
        <v>0</v>
      </c>
      <c r="O185" s="92"/>
      <c r="P185" s="3383"/>
      <c r="Q185" s="1702"/>
    </row>
    <row r="186" spans="1:17" ht="20.100000000000001" customHeight="1">
      <c r="A186" s="1356">
        <v>181</v>
      </c>
      <c r="B186" s="3535"/>
      <c r="C186" s="3537"/>
      <c r="D186" s="1693">
        <v>45931</v>
      </c>
      <c r="E186" s="1703" t="s">
        <v>2034</v>
      </c>
      <c r="F186" s="1679">
        <v>0</v>
      </c>
      <c r="G186" s="1679">
        <v>0</v>
      </c>
      <c r="H186" s="1679">
        <v>0</v>
      </c>
      <c r="I186" s="1679">
        <v>0</v>
      </c>
      <c r="J186" s="1679">
        <v>0</v>
      </c>
      <c r="K186" s="1679">
        <v>0</v>
      </c>
      <c r="L186" s="1551">
        <v>1</v>
      </c>
      <c r="M186" s="1556">
        <v>1642</v>
      </c>
      <c r="N186" s="1365">
        <f t="shared" si="3"/>
        <v>0</v>
      </c>
      <c r="O186" s="92">
        <v>1</v>
      </c>
      <c r="P186" s="3383">
        <v>1</v>
      </c>
      <c r="Q186" s="1704"/>
    </row>
    <row r="187" spans="1:17" ht="20.100000000000001" customHeight="1">
      <c r="A187" s="1356">
        <v>182</v>
      </c>
      <c r="B187" s="3536"/>
      <c r="C187" s="3537"/>
      <c r="D187" s="1705" t="s">
        <v>2035</v>
      </c>
      <c r="E187" s="1706" t="s">
        <v>2036</v>
      </c>
      <c r="F187" s="1679">
        <v>0</v>
      </c>
      <c r="G187" s="1679">
        <v>0</v>
      </c>
      <c r="H187" s="1679">
        <v>0</v>
      </c>
      <c r="I187" s="1679">
        <v>0</v>
      </c>
      <c r="J187" s="1679">
        <v>0</v>
      </c>
      <c r="K187" s="1679">
        <v>0</v>
      </c>
      <c r="L187" s="1707">
        <v>1</v>
      </c>
      <c r="M187" s="1708">
        <v>1000</v>
      </c>
      <c r="N187" s="1365">
        <f t="shared" si="3"/>
        <v>0</v>
      </c>
      <c r="O187" s="92">
        <v>1</v>
      </c>
      <c r="P187" s="3383">
        <v>1</v>
      </c>
    </row>
    <row r="188" spans="1:17" ht="20.100000000000001" customHeight="1">
      <c r="A188" s="1356">
        <v>183</v>
      </c>
      <c r="B188" s="1691" t="s">
        <v>2027</v>
      </c>
      <c r="C188" s="1563" t="s">
        <v>1852</v>
      </c>
      <c r="D188" s="1548" t="s">
        <v>486</v>
      </c>
      <c r="E188" s="1709" t="s">
        <v>2037</v>
      </c>
      <c r="F188" s="1679">
        <v>0</v>
      </c>
      <c r="G188" s="1679">
        <v>0</v>
      </c>
      <c r="H188" s="1679">
        <v>0</v>
      </c>
      <c r="I188" s="1679">
        <v>0</v>
      </c>
      <c r="J188" s="1679">
        <v>0</v>
      </c>
      <c r="K188" s="1679">
        <v>0</v>
      </c>
      <c r="L188" s="1710">
        <v>1</v>
      </c>
      <c r="M188" s="1711">
        <v>387000</v>
      </c>
      <c r="N188" s="1365">
        <f t="shared" si="3"/>
        <v>0</v>
      </c>
      <c r="O188" s="92">
        <v>1</v>
      </c>
      <c r="P188" s="3383">
        <v>1</v>
      </c>
    </row>
    <row r="189" spans="1:17" ht="20.100000000000001" customHeight="1">
      <c r="A189" s="1356">
        <v>184</v>
      </c>
      <c r="B189" s="1691" t="s">
        <v>2027</v>
      </c>
      <c r="C189" s="1563" t="s">
        <v>1852</v>
      </c>
      <c r="D189" s="1548" t="s">
        <v>2028</v>
      </c>
      <c r="E189" s="1712" t="s">
        <v>2038</v>
      </c>
      <c r="F189" s="1679">
        <v>0</v>
      </c>
      <c r="G189" s="1679">
        <v>0</v>
      </c>
      <c r="H189" s="1679">
        <v>0</v>
      </c>
      <c r="I189" s="1679">
        <v>0</v>
      </c>
      <c r="J189" s="1679">
        <v>0</v>
      </c>
      <c r="K189" s="1679">
        <v>0</v>
      </c>
      <c r="L189" s="1710">
        <v>7</v>
      </c>
      <c r="M189" s="1711">
        <v>2446000</v>
      </c>
      <c r="N189" s="1365">
        <f t="shared" si="3"/>
        <v>3</v>
      </c>
      <c r="O189" s="92">
        <v>4</v>
      </c>
      <c r="P189" s="3383">
        <v>4</v>
      </c>
    </row>
    <row r="190" spans="1:17" ht="20.100000000000001" customHeight="1">
      <c r="A190" s="1356">
        <v>185</v>
      </c>
      <c r="B190" s="1691" t="s">
        <v>2027</v>
      </c>
      <c r="C190" s="1563" t="s">
        <v>1852</v>
      </c>
      <c r="D190" s="1548" t="s">
        <v>2028</v>
      </c>
      <c r="E190" s="1712" t="s">
        <v>2039</v>
      </c>
      <c r="F190" s="1679">
        <v>0</v>
      </c>
      <c r="G190" s="1679">
        <v>0</v>
      </c>
      <c r="H190" s="1679">
        <v>0</v>
      </c>
      <c r="I190" s="1679">
        <v>0</v>
      </c>
      <c r="J190" s="1679">
        <v>0</v>
      </c>
      <c r="K190" s="1679">
        <v>0</v>
      </c>
      <c r="L190" s="1710">
        <v>3</v>
      </c>
      <c r="M190" s="1711">
        <v>70800</v>
      </c>
      <c r="N190" s="1365">
        <f t="shared" si="3"/>
        <v>0</v>
      </c>
      <c r="O190" s="92">
        <v>3</v>
      </c>
      <c r="P190" s="3383">
        <v>3</v>
      </c>
    </row>
    <row r="191" spans="1:17" ht="20.100000000000001" customHeight="1">
      <c r="A191" s="1356">
        <v>186</v>
      </c>
      <c r="B191" s="1691" t="s">
        <v>2027</v>
      </c>
      <c r="C191" s="1563" t="s">
        <v>1852</v>
      </c>
      <c r="D191" s="1548" t="s">
        <v>2028</v>
      </c>
      <c r="E191" s="1713" t="s">
        <v>2040</v>
      </c>
      <c r="F191" s="1679">
        <v>0</v>
      </c>
      <c r="G191" s="1679">
        <v>0</v>
      </c>
      <c r="H191" s="1679">
        <v>0</v>
      </c>
      <c r="I191" s="1679">
        <v>0</v>
      </c>
      <c r="J191" s="1679">
        <v>0</v>
      </c>
      <c r="K191" s="1679">
        <v>0</v>
      </c>
      <c r="L191" s="1710">
        <v>3</v>
      </c>
      <c r="M191" s="1711">
        <v>92012.74</v>
      </c>
      <c r="N191" s="1365">
        <f t="shared" si="3"/>
        <v>0</v>
      </c>
      <c r="O191" s="92">
        <v>3</v>
      </c>
      <c r="P191" s="3383">
        <v>3</v>
      </c>
    </row>
    <row r="192" spans="1:17" ht="20.100000000000001" customHeight="1">
      <c r="A192" s="1356">
        <v>187</v>
      </c>
      <c r="B192" s="1567" t="s">
        <v>2041</v>
      </c>
      <c r="C192" s="1563" t="s">
        <v>1852</v>
      </c>
      <c r="D192" s="1714">
        <v>44206</v>
      </c>
      <c r="E192" s="1715" t="s">
        <v>32</v>
      </c>
      <c r="F192" s="1679">
        <v>0</v>
      </c>
      <c r="G192" s="1679">
        <v>0</v>
      </c>
      <c r="H192" s="1716">
        <v>1</v>
      </c>
      <c r="I192" s="1679">
        <v>0</v>
      </c>
      <c r="J192" s="1679">
        <v>0</v>
      </c>
      <c r="K192" s="1679">
        <v>0</v>
      </c>
      <c r="L192" s="1684">
        <v>0</v>
      </c>
      <c r="M192" s="1717">
        <v>73.84</v>
      </c>
      <c r="N192" s="1365">
        <f t="shared" si="3"/>
        <v>1</v>
      </c>
      <c r="O192" s="92"/>
      <c r="P192" s="3383"/>
    </row>
    <row r="193" spans="1:16" ht="20.100000000000001" customHeight="1">
      <c r="A193" s="1356">
        <v>188</v>
      </c>
      <c r="B193" s="1567" t="s">
        <v>2041</v>
      </c>
      <c r="C193" s="1563" t="s">
        <v>1852</v>
      </c>
      <c r="D193" s="1718" t="s">
        <v>2013</v>
      </c>
      <c r="E193" s="1719" t="s">
        <v>35</v>
      </c>
      <c r="F193" s="1679">
        <v>0</v>
      </c>
      <c r="G193" s="1679">
        <v>0</v>
      </c>
      <c r="H193" s="1679">
        <v>0</v>
      </c>
      <c r="I193" s="1679">
        <v>0</v>
      </c>
      <c r="J193" s="1483">
        <v>75</v>
      </c>
      <c r="K193" s="1679">
        <v>0</v>
      </c>
      <c r="L193" s="1684">
        <v>0</v>
      </c>
      <c r="M193" s="1720">
        <v>89270.36</v>
      </c>
      <c r="N193" s="1365">
        <f t="shared" si="3"/>
        <v>0</v>
      </c>
      <c r="O193" s="92">
        <v>75</v>
      </c>
      <c r="P193" s="3383">
        <v>75</v>
      </c>
    </row>
    <row r="194" spans="1:16" ht="20.100000000000001" customHeight="1">
      <c r="A194" s="1356">
        <v>189</v>
      </c>
      <c r="B194" s="1567" t="s">
        <v>2041</v>
      </c>
      <c r="C194" s="1563" t="s">
        <v>1852</v>
      </c>
      <c r="D194" s="1718" t="s">
        <v>2013</v>
      </c>
      <c r="E194" s="1721" t="s">
        <v>2042</v>
      </c>
      <c r="F194" s="1679">
        <v>0</v>
      </c>
      <c r="G194" s="1483">
        <v>710</v>
      </c>
      <c r="H194" s="1679">
        <v>0</v>
      </c>
      <c r="I194" s="1679">
        <v>0</v>
      </c>
      <c r="J194" s="1679">
        <v>0</v>
      </c>
      <c r="K194" s="1679">
        <v>0</v>
      </c>
      <c r="L194" s="1684">
        <v>0</v>
      </c>
      <c r="M194" s="1722">
        <v>17701.45</v>
      </c>
      <c r="N194" s="1365">
        <f t="shared" si="3"/>
        <v>710</v>
      </c>
      <c r="O194" s="92"/>
      <c r="P194" s="3383"/>
    </row>
    <row r="195" spans="1:16" ht="20.100000000000001" customHeight="1">
      <c r="A195" s="1356">
        <v>190</v>
      </c>
      <c r="B195" s="1567" t="s">
        <v>2041</v>
      </c>
      <c r="C195" s="1563" t="s">
        <v>1852</v>
      </c>
      <c r="D195" s="1718" t="s">
        <v>2013</v>
      </c>
      <c r="E195" s="1721" t="s">
        <v>2043</v>
      </c>
      <c r="F195" s="1483">
        <v>19</v>
      </c>
      <c r="G195" s="1679">
        <v>0</v>
      </c>
      <c r="H195" s="1679">
        <v>0</v>
      </c>
      <c r="I195" s="1679">
        <v>0</v>
      </c>
      <c r="J195" s="1679">
        <v>0</v>
      </c>
      <c r="K195" s="1679">
        <v>0</v>
      </c>
      <c r="L195" s="1684">
        <v>0</v>
      </c>
      <c r="M195" s="1723"/>
      <c r="N195" s="1365">
        <f t="shared" si="3"/>
        <v>19</v>
      </c>
      <c r="O195" s="92"/>
      <c r="P195" s="3383"/>
    </row>
    <row r="196" spans="1:16" ht="20.100000000000001" customHeight="1">
      <c r="A196" s="1356">
        <v>191</v>
      </c>
      <c r="B196" s="1724" t="s">
        <v>2044</v>
      </c>
      <c r="C196" s="1563" t="s">
        <v>1852</v>
      </c>
      <c r="D196" s="1248"/>
      <c r="E196" s="1498" t="s">
        <v>1911</v>
      </c>
      <c r="F196" s="1679">
        <v>0</v>
      </c>
      <c r="G196" s="1679">
        <v>0</v>
      </c>
      <c r="H196" s="1679">
        <v>0</v>
      </c>
      <c r="I196" s="1679">
        <v>0</v>
      </c>
      <c r="J196" s="1679">
        <v>0</v>
      </c>
      <c r="K196" s="1679">
        <v>0</v>
      </c>
      <c r="L196" s="1615">
        <v>1</v>
      </c>
      <c r="M196" s="1725">
        <v>5090</v>
      </c>
      <c r="N196" s="1365">
        <f t="shared" si="3"/>
        <v>1</v>
      </c>
      <c r="O196" s="92"/>
      <c r="P196" s="3383"/>
    </row>
    <row r="197" spans="1:16" ht="20.100000000000001" customHeight="1">
      <c r="A197" s="1356">
        <v>192</v>
      </c>
      <c r="B197" s="1724" t="s">
        <v>2044</v>
      </c>
      <c r="C197" s="1563" t="s">
        <v>1852</v>
      </c>
      <c r="D197" s="1248"/>
      <c r="E197" s="1499" t="s">
        <v>49</v>
      </c>
      <c r="F197" s="1679">
        <v>0</v>
      </c>
      <c r="G197" s="1679">
        <v>0</v>
      </c>
      <c r="H197" s="1483">
        <v>1</v>
      </c>
      <c r="I197" s="1679">
        <v>0</v>
      </c>
      <c r="J197" s="1679">
        <v>0</v>
      </c>
      <c r="K197" s="1679">
        <v>0</v>
      </c>
      <c r="L197" s="1684">
        <v>0</v>
      </c>
      <c r="M197" s="1726">
        <v>542143.32999999996</v>
      </c>
      <c r="N197" s="1365">
        <f t="shared" si="3"/>
        <v>1</v>
      </c>
      <c r="O197" s="92"/>
      <c r="P197" s="3383"/>
    </row>
    <row r="198" spans="1:16" ht="20.100000000000001" customHeight="1">
      <c r="A198" s="1356">
        <v>193</v>
      </c>
      <c r="B198" s="1724" t="s">
        <v>2044</v>
      </c>
      <c r="C198" s="1563" t="s">
        <v>1852</v>
      </c>
      <c r="D198" s="1248"/>
      <c r="E198" s="1499" t="s">
        <v>32</v>
      </c>
      <c r="F198" s="1679">
        <v>0</v>
      </c>
      <c r="G198" s="1679">
        <v>0</v>
      </c>
      <c r="H198" s="1483">
        <v>1</v>
      </c>
      <c r="I198" s="1679">
        <v>0</v>
      </c>
      <c r="J198" s="1679">
        <v>0</v>
      </c>
      <c r="K198" s="1679">
        <v>0</v>
      </c>
      <c r="L198" s="1684">
        <v>0</v>
      </c>
      <c r="M198" s="1725">
        <v>-25071.68</v>
      </c>
      <c r="N198" s="1365">
        <f t="shared" si="3"/>
        <v>1</v>
      </c>
      <c r="O198" s="92"/>
      <c r="P198" s="3383"/>
    </row>
    <row r="199" spans="1:16" ht="20.100000000000001" customHeight="1">
      <c r="A199" s="1356">
        <v>194</v>
      </c>
      <c r="B199" s="1724" t="s">
        <v>2044</v>
      </c>
      <c r="C199" s="1563" t="s">
        <v>1852</v>
      </c>
      <c r="D199" s="1248"/>
      <c r="E199" s="1498" t="s">
        <v>35</v>
      </c>
      <c r="F199" s="1679">
        <v>0</v>
      </c>
      <c r="G199" s="1679">
        <v>0</v>
      </c>
      <c r="H199" s="1679">
        <v>0</v>
      </c>
      <c r="I199" s="1679">
        <v>0</v>
      </c>
      <c r="J199" s="1483">
        <v>302</v>
      </c>
      <c r="K199" s="1679">
        <v>0</v>
      </c>
      <c r="L199" s="1684">
        <v>0</v>
      </c>
      <c r="M199" s="1725">
        <v>694625</v>
      </c>
      <c r="N199" s="1365">
        <f t="shared" si="3"/>
        <v>221</v>
      </c>
      <c r="O199" s="92">
        <v>81</v>
      </c>
      <c r="P199" s="3383">
        <v>81</v>
      </c>
    </row>
    <row r="200" spans="1:16" ht="20.100000000000001" customHeight="1">
      <c r="A200" s="1356">
        <v>195</v>
      </c>
      <c r="B200" s="1724" t="s">
        <v>2044</v>
      </c>
      <c r="C200" s="1563" t="s">
        <v>1852</v>
      </c>
      <c r="D200" s="1248"/>
      <c r="E200" s="1727" t="s">
        <v>1899</v>
      </c>
      <c r="F200" s="1679">
        <v>0</v>
      </c>
      <c r="G200" s="1483">
        <v>159</v>
      </c>
      <c r="H200" s="1679">
        <v>0</v>
      </c>
      <c r="I200" s="1679">
        <v>0</v>
      </c>
      <c r="J200" s="1679">
        <v>0</v>
      </c>
      <c r="K200" s="1679">
        <v>0</v>
      </c>
      <c r="L200" s="1684">
        <v>0</v>
      </c>
      <c r="M200" s="1728">
        <v>13833</v>
      </c>
      <c r="N200" s="1365">
        <f t="shared" ref="N200:N234" si="4">F200+G200+H200+I200+J200+K200+L200-O200</f>
        <v>159</v>
      </c>
      <c r="O200" s="92"/>
      <c r="P200" s="3395"/>
    </row>
    <row r="201" spans="1:16" ht="20.100000000000001" customHeight="1">
      <c r="A201" s="1356">
        <v>196</v>
      </c>
      <c r="B201" s="1724" t="s">
        <v>2044</v>
      </c>
      <c r="C201" s="1563" t="s">
        <v>1852</v>
      </c>
      <c r="D201" s="1248"/>
      <c r="E201" s="1500" t="s">
        <v>1863</v>
      </c>
      <c r="F201" s="1483">
        <v>44</v>
      </c>
      <c r="G201" s="1679">
        <v>0</v>
      </c>
      <c r="H201" s="1679">
        <v>0</v>
      </c>
      <c r="I201" s="1679">
        <v>0</v>
      </c>
      <c r="J201" s="1679">
        <v>0</v>
      </c>
      <c r="K201" s="1679">
        <v>0</v>
      </c>
      <c r="L201" s="1684">
        <v>0</v>
      </c>
      <c r="M201" s="1728"/>
      <c r="N201" s="1365">
        <f t="shared" si="4"/>
        <v>44</v>
      </c>
      <c r="O201" s="92"/>
      <c r="P201" s="3383"/>
    </row>
    <row r="202" spans="1:16" ht="20.100000000000001" customHeight="1">
      <c r="A202" s="1356">
        <v>197</v>
      </c>
      <c r="B202" s="1729" t="s">
        <v>2045</v>
      </c>
      <c r="C202" s="1730" t="s">
        <v>1852</v>
      </c>
      <c r="D202" s="1731" t="s">
        <v>1943</v>
      </c>
      <c r="E202" s="1732" t="s">
        <v>1911</v>
      </c>
      <c r="F202" s="1733">
        <v>0</v>
      </c>
      <c r="G202" s="1733">
        <v>0</v>
      </c>
      <c r="H202" s="1733">
        <v>0</v>
      </c>
      <c r="I202" s="1733">
        <v>0</v>
      </c>
      <c r="J202" s="1733">
        <v>0</v>
      </c>
      <c r="K202" s="1733">
        <v>0</v>
      </c>
      <c r="L202" s="1734">
        <v>1</v>
      </c>
      <c r="M202" s="1735">
        <f>'[1]Detailed report for branches'!$F$8</f>
        <v>32445.58</v>
      </c>
      <c r="N202" s="1365">
        <f t="shared" si="4"/>
        <v>1</v>
      </c>
      <c r="O202" s="92"/>
      <c r="P202" s="3383"/>
    </row>
    <row r="203" spans="1:16" ht="20.100000000000001" customHeight="1">
      <c r="A203" s="1356">
        <v>198</v>
      </c>
      <c r="B203" s="1729" t="s">
        <v>2045</v>
      </c>
      <c r="C203" s="1730" t="s">
        <v>1852</v>
      </c>
      <c r="D203" s="1731">
        <v>44470</v>
      </c>
      <c r="E203" s="1732" t="s">
        <v>49</v>
      </c>
      <c r="F203" s="1733">
        <v>0</v>
      </c>
      <c r="G203" s="1733">
        <v>0</v>
      </c>
      <c r="H203" s="1736">
        <v>1</v>
      </c>
      <c r="I203" s="1733">
        <v>0</v>
      </c>
      <c r="J203" s="1733">
        <v>0</v>
      </c>
      <c r="K203" s="1733">
        <v>0</v>
      </c>
      <c r="L203" s="1737">
        <v>0</v>
      </c>
      <c r="M203" s="1735">
        <f>'[1]Detailed report for branches'!$F$10</f>
        <v>2802276.04</v>
      </c>
      <c r="N203" s="1365">
        <f t="shared" si="4"/>
        <v>1</v>
      </c>
      <c r="O203" s="92"/>
      <c r="P203" s="3383"/>
    </row>
    <row r="204" spans="1:16" ht="20.100000000000001" customHeight="1">
      <c r="A204" s="1356">
        <v>199</v>
      </c>
      <c r="B204" s="1729" t="s">
        <v>2045</v>
      </c>
      <c r="C204" s="1730" t="s">
        <v>1852</v>
      </c>
      <c r="D204" s="1731">
        <v>44470</v>
      </c>
      <c r="E204" s="1738" t="s">
        <v>32</v>
      </c>
      <c r="F204" s="1733">
        <v>0</v>
      </c>
      <c r="G204" s="1733">
        <v>0</v>
      </c>
      <c r="H204" s="1736">
        <v>1</v>
      </c>
      <c r="I204" s="1733">
        <v>0</v>
      </c>
      <c r="J204" s="1733">
        <v>0</v>
      </c>
      <c r="K204" s="1733">
        <v>0</v>
      </c>
      <c r="L204" s="1737">
        <v>0</v>
      </c>
      <c r="M204" s="1739">
        <f>'[1]Detailed report for branches'!$F$11</f>
        <v>-11155.07</v>
      </c>
      <c r="N204" s="1365">
        <f t="shared" si="4"/>
        <v>1</v>
      </c>
      <c r="O204" s="92"/>
      <c r="P204" s="3383"/>
    </row>
    <row r="205" spans="1:16" ht="20.100000000000001" customHeight="1">
      <c r="A205" s="1356">
        <v>200</v>
      </c>
      <c r="B205" s="1729" t="s">
        <v>2045</v>
      </c>
      <c r="C205" s="1730" t="s">
        <v>1852</v>
      </c>
      <c r="D205" s="1731" t="s">
        <v>2046</v>
      </c>
      <c r="E205" s="1732" t="s">
        <v>35</v>
      </c>
      <c r="F205" s="1733">
        <v>0</v>
      </c>
      <c r="G205" s="1733">
        <v>0</v>
      </c>
      <c r="H205" s="1733">
        <v>0</v>
      </c>
      <c r="I205" s="1733">
        <v>0</v>
      </c>
      <c r="J205" s="1736">
        <v>872</v>
      </c>
      <c r="K205" s="1733">
        <v>0</v>
      </c>
      <c r="L205" s="1737">
        <v>1</v>
      </c>
      <c r="M205" s="1740">
        <f>'[1]Detailed report for branches'!$F$12</f>
        <v>14353395.060000001</v>
      </c>
      <c r="N205" s="1365">
        <f t="shared" si="4"/>
        <v>873</v>
      </c>
      <c r="O205" s="92"/>
      <c r="P205" s="3383"/>
    </row>
    <row r="206" spans="1:16" ht="20.100000000000001" customHeight="1">
      <c r="A206" s="1356">
        <v>201</v>
      </c>
      <c r="B206" s="1741" t="s">
        <v>2047</v>
      </c>
      <c r="C206" s="1730" t="s">
        <v>1852</v>
      </c>
      <c r="D206" s="1742" t="s">
        <v>888</v>
      </c>
      <c r="E206" s="1557" t="s">
        <v>1911</v>
      </c>
      <c r="F206" s="1733">
        <v>0</v>
      </c>
      <c r="G206" s="1733">
        <v>0</v>
      </c>
      <c r="H206" s="1733">
        <v>0</v>
      </c>
      <c r="I206" s="1733">
        <v>0</v>
      </c>
      <c r="J206" s="1733">
        <v>0</v>
      </c>
      <c r="K206" s="1733">
        <v>0</v>
      </c>
      <c r="L206" s="1743">
        <v>1</v>
      </c>
      <c r="M206" s="1744">
        <v>2400</v>
      </c>
      <c r="N206" s="1365">
        <f t="shared" si="4"/>
        <v>1</v>
      </c>
      <c r="O206" s="92"/>
      <c r="P206" s="3383"/>
    </row>
    <row r="207" spans="1:16" ht="20.100000000000001" customHeight="1">
      <c r="A207" s="1356">
        <v>202</v>
      </c>
      <c r="B207" s="1741" t="s">
        <v>2047</v>
      </c>
      <c r="C207" s="1730" t="s">
        <v>1852</v>
      </c>
      <c r="D207" s="1745" t="s">
        <v>2013</v>
      </c>
      <c r="E207" s="1746" t="s">
        <v>1899</v>
      </c>
      <c r="F207" s="1733">
        <v>0</v>
      </c>
      <c r="G207" s="1747">
        <v>282</v>
      </c>
      <c r="H207" s="1733">
        <v>0</v>
      </c>
      <c r="I207" s="1733">
        <v>0</v>
      </c>
      <c r="J207" s="1733">
        <v>0</v>
      </c>
      <c r="K207" s="1733">
        <v>0</v>
      </c>
      <c r="L207" s="1737">
        <v>0</v>
      </c>
      <c r="M207" s="1748">
        <v>28200</v>
      </c>
      <c r="N207" s="1365">
        <f t="shared" si="4"/>
        <v>282</v>
      </c>
      <c r="O207" s="92"/>
      <c r="P207" s="3383"/>
    </row>
    <row r="208" spans="1:16" ht="20.100000000000001" customHeight="1">
      <c r="A208" s="1356">
        <v>203</v>
      </c>
      <c r="B208" s="1741" t="s">
        <v>2047</v>
      </c>
      <c r="C208" s="1730" t="s">
        <v>1852</v>
      </c>
      <c r="D208" s="1745" t="s">
        <v>2013</v>
      </c>
      <c r="E208" s="1749" t="s">
        <v>2048</v>
      </c>
      <c r="F208" s="1733">
        <v>0</v>
      </c>
      <c r="G208" s="1733">
        <v>0</v>
      </c>
      <c r="H208" s="1733">
        <v>0</v>
      </c>
      <c r="I208" s="1733">
        <v>0</v>
      </c>
      <c r="J208" s="1747">
        <v>33</v>
      </c>
      <c r="K208" s="1733">
        <v>0</v>
      </c>
      <c r="L208" s="1737">
        <v>0</v>
      </c>
      <c r="M208" s="1748">
        <v>1650</v>
      </c>
      <c r="N208" s="1365">
        <f t="shared" si="4"/>
        <v>0</v>
      </c>
      <c r="O208" s="92">
        <v>33</v>
      </c>
      <c r="P208" s="3383">
        <v>33</v>
      </c>
    </row>
    <row r="209" spans="1:16" ht="20.100000000000001" customHeight="1">
      <c r="A209" s="1356">
        <v>204</v>
      </c>
      <c r="B209" s="1741" t="s">
        <v>2047</v>
      </c>
      <c r="C209" s="1730" t="s">
        <v>1852</v>
      </c>
      <c r="D209" s="1745" t="s">
        <v>2013</v>
      </c>
      <c r="E209" s="1750" t="s">
        <v>2049</v>
      </c>
      <c r="F209" s="1733">
        <v>0</v>
      </c>
      <c r="G209" s="1733">
        <v>0</v>
      </c>
      <c r="H209" s="1733">
        <v>0</v>
      </c>
      <c r="I209" s="1733">
        <v>0</v>
      </c>
      <c r="J209" s="1733">
        <v>0</v>
      </c>
      <c r="K209" s="1733">
        <v>0</v>
      </c>
      <c r="L209" s="1751">
        <v>1</v>
      </c>
      <c r="M209" s="1748">
        <v>0</v>
      </c>
      <c r="N209" s="1365">
        <f t="shared" si="4"/>
        <v>1</v>
      </c>
      <c r="O209" s="92"/>
      <c r="P209" s="3383"/>
    </row>
    <row r="210" spans="1:16" ht="20.100000000000001" customHeight="1">
      <c r="A210" s="1356">
        <v>205</v>
      </c>
      <c r="B210" s="1729" t="s">
        <v>2050</v>
      </c>
      <c r="C210" s="1730" t="s">
        <v>1852</v>
      </c>
      <c r="D210" s="1745" t="s">
        <v>2013</v>
      </c>
      <c r="E210" s="1609" t="s">
        <v>35</v>
      </c>
      <c r="F210" s="1733">
        <v>0</v>
      </c>
      <c r="G210" s="1733">
        <v>0</v>
      </c>
      <c r="H210" s="1733">
        <v>0</v>
      </c>
      <c r="I210" s="1733">
        <v>0</v>
      </c>
      <c r="J210" s="1625">
        <v>513</v>
      </c>
      <c r="K210" s="1733">
        <v>0</v>
      </c>
      <c r="L210" s="1737">
        <v>0</v>
      </c>
      <c r="M210" s="1752">
        <f>64149.9-816.18</f>
        <v>63333.72</v>
      </c>
      <c r="N210" s="1365">
        <f t="shared" si="4"/>
        <v>502</v>
      </c>
      <c r="O210" s="92">
        <v>11</v>
      </c>
      <c r="P210" s="3383">
        <v>11</v>
      </c>
    </row>
    <row r="211" spans="1:16" ht="20.100000000000001" customHeight="1">
      <c r="A211" s="1356">
        <v>206</v>
      </c>
      <c r="B211" s="1729" t="s">
        <v>2050</v>
      </c>
      <c r="C211" s="1730" t="s">
        <v>1852</v>
      </c>
      <c r="D211" s="1745" t="s">
        <v>2013</v>
      </c>
      <c r="E211" s="1753" t="s">
        <v>1856</v>
      </c>
      <c r="F211" s="1733">
        <v>0</v>
      </c>
      <c r="G211" s="1625">
        <v>172</v>
      </c>
      <c r="H211" s="1733">
        <v>0</v>
      </c>
      <c r="I211" s="1733">
        <v>0</v>
      </c>
      <c r="J211" s="1733">
        <v>0</v>
      </c>
      <c r="K211" s="1733">
        <v>0</v>
      </c>
      <c r="L211" s="1737">
        <v>0</v>
      </c>
      <c r="M211" s="1752">
        <v>8600</v>
      </c>
      <c r="N211" s="1365">
        <f t="shared" si="4"/>
        <v>172</v>
      </c>
      <c r="O211" s="92"/>
      <c r="P211" s="3383"/>
    </row>
    <row r="212" spans="1:16" ht="20.100000000000001" customHeight="1">
      <c r="A212" s="1356">
        <v>207</v>
      </c>
      <c r="B212" s="1729" t="s">
        <v>2050</v>
      </c>
      <c r="C212" s="1730" t="s">
        <v>1852</v>
      </c>
      <c r="D212" s="1754" t="s">
        <v>2051</v>
      </c>
      <c r="E212" s="1755" t="s">
        <v>2052</v>
      </c>
      <c r="F212" s="1733">
        <v>0</v>
      </c>
      <c r="G212" s="1733">
        <v>0</v>
      </c>
      <c r="H212" s="1733">
        <v>0</v>
      </c>
      <c r="I212" s="1733">
        <v>0</v>
      </c>
      <c r="J212" s="1733">
        <v>0</v>
      </c>
      <c r="K212" s="1733">
        <v>0</v>
      </c>
      <c r="L212" s="1710">
        <v>1</v>
      </c>
      <c r="M212" s="1756"/>
      <c r="N212" s="1365">
        <f t="shared" si="4"/>
        <v>1</v>
      </c>
      <c r="O212" s="92"/>
      <c r="P212" s="3383"/>
    </row>
    <row r="213" spans="1:16" ht="20.100000000000001" customHeight="1">
      <c r="A213" s="1356">
        <v>208</v>
      </c>
      <c r="B213" s="1729" t="s">
        <v>2050</v>
      </c>
      <c r="C213" s="1730" t="s">
        <v>1852</v>
      </c>
      <c r="D213" s="1754" t="s">
        <v>2051</v>
      </c>
      <c r="E213" s="1755" t="s">
        <v>2053</v>
      </c>
      <c r="F213" s="1733">
        <v>0</v>
      </c>
      <c r="G213" s="1733">
        <v>0</v>
      </c>
      <c r="H213" s="1733">
        <v>0</v>
      </c>
      <c r="I213" s="1733">
        <v>0</v>
      </c>
      <c r="J213" s="1733">
        <v>0</v>
      </c>
      <c r="K213" s="1733">
        <v>0</v>
      </c>
      <c r="L213" s="1710">
        <v>1</v>
      </c>
      <c r="M213" s="1756">
        <v>21765012.420000002</v>
      </c>
      <c r="N213" s="1365">
        <f t="shared" si="4"/>
        <v>1</v>
      </c>
      <c r="O213" s="92"/>
      <c r="P213" s="3383"/>
    </row>
    <row r="214" spans="1:16" ht="20.100000000000001" customHeight="1">
      <c r="A214" s="1356">
        <v>209</v>
      </c>
      <c r="B214" s="1729" t="s">
        <v>2050</v>
      </c>
      <c r="C214" s="1730" t="s">
        <v>1852</v>
      </c>
      <c r="D214" s="1757">
        <v>46176</v>
      </c>
      <c r="E214" s="1753" t="s">
        <v>2054</v>
      </c>
      <c r="F214" s="1373">
        <v>168</v>
      </c>
      <c r="G214" s="1733">
        <v>0</v>
      </c>
      <c r="H214" s="1733">
        <v>0</v>
      </c>
      <c r="I214" s="1733">
        <v>0</v>
      </c>
      <c r="J214" s="1733">
        <v>0</v>
      </c>
      <c r="K214" s="1733">
        <v>0</v>
      </c>
      <c r="L214" s="1737">
        <v>0</v>
      </c>
      <c r="M214" s="1758">
        <v>8400</v>
      </c>
      <c r="N214" s="1365">
        <f t="shared" si="4"/>
        <v>168</v>
      </c>
      <c r="O214" s="92"/>
      <c r="P214" s="3383"/>
    </row>
    <row r="215" spans="1:16" ht="20.100000000000001" customHeight="1">
      <c r="A215" s="1356">
        <v>210</v>
      </c>
      <c r="B215" s="1759" t="s">
        <v>2055</v>
      </c>
      <c r="C215" s="1730" t="s">
        <v>1852</v>
      </c>
      <c r="D215" s="1760" t="s">
        <v>1862</v>
      </c>
      <c r="E215" s="1609" t="s">
        <v>35</v>
      </c>
      <c r="F215" s="1520">
        <v>0</v>
      </c>
      <c r="G215" s="1520">
        <v>0</v>
      </c>
      <c r="H215" s="1761">
        <v>0</v>
      </c>
      <c r="I215" s="1520">
        <v>0</v>
      </c>
      <c r="J215" s="1625">
        <v>641</v>
      </c>
      <c r="K215" s="1520">
        <v>0</v>
      </c>
      <c r="L215" s="1526">
        <v>0</v>
      </c>
      <c r="M215" s="1762">
        <v>221599.53</v>
      </c>
      <c r="N215" s="1365">
        <f t="shared" si="4"/>
        <v>630</v>
      </c>
      <c r="O215" s="92">
        <v>11</v>
      </c>
      <c r="P215" s="3383">
        <v>11</v>
      </c>
    </row>
    <row r="216" spans="1:16" ht="20.100000000000001" customHeight="1">
      <c r="A216" s="1356">
        <v>211</v>
      </c>
      <c r="B216" s="1759" t="s">
        <v>2055</v>
      </c>
      <c r="C216" s="1730" t="s">
        <v>1852</v>
      </c>
      <c r="D216" s="1760" t="s">
        <v>1862</v>
      </c>
      <c r="E216" s="1763" t="s">
        <v>1856</v>
      </c>
      <c r="F216" s="1520">
        <v>0</v>
      </c>
      <c r="G216" s="1764">
        <v>169</v>
      </c>
      <c r="H216" s="1761">
        <v>0</v>
      </c>
      <c r="I216" s="1520">
        <v>0</v>
      </c>
      <c r="J216" s="1520">
        <v>0</v>
      </c>
      <c r="K216" s="1520">
        <v>0</v>
      </c>
      <c r="L216" s="1526">
        <v>0</v>
      </c>
      <c r="M216" s="1762">
        <f>G216*86.96</f>
        <v>14696.24</v>
      </c>
      <c r="N216" s="1365">
        <f t="shared" si="4"/>
        <v>169</v>
      </c>
      <c r="O216" s="92"/>
      <c r="P216" s="3383"/>
    </row>
    <row r="217" spans="1:16" ht="20.100000000000001" customHeight="1">
      <c r="A217" s="1356">
        <v>212</v>
      </c>
      <c r="B217" s="1759" t="s">
        <v>2055</v>
      </c>
      <c r="C217" s="1730" t="s">
        <v>1852</v>
      </c>
      <c r="D217" s="1760" t="s">
        <v>1862</v>
      </c>
      <c r="E217" s="1765" t="s">
        <v>2056</v>
      </c>
      <c r="F217" s="1625">
        <v>101</v>
      </c>
      <c r="G217" s="1520">
        <v>0</v>
      </c>
      <c r="H217" s="1761">
        <v>0</v>
      </c>
      <c r="I217" s="1520">
        <v>0</v>
      </c>
      <c r="J217" s="1520">
        <v>0</v>
      </c>
      <c r="K217" s="1520">
        <v>0</v>
      </c>
      <c r="L217" s="1526">
        <v>0</v>
      </c>
      <c r="M217" s="1535">
        <v>0</v>
      </c>
      <c r="N217" s="1365">
        <f t="shared" si="4"/>
        <v>101</v>
      </c>
      <c r="O217" s="92"/>
      <c r="P217" s="3383"/>
    </row>
    <row r="218" spans="1:16" ht="20.100000000000001" customHeight="1">
      <c r="A218" s="1356">
        <v>213</v>
      </c>
      <c r="B218" s="1759" t="s">
        <v>2055</v>
      </c>
      <c r="C218" s="1730" t="s">
        <v>1852</v>
      </c>
      <c r="D218" s="1760" t="s">
        <v>1862</v>
      </c>
      <c r="E218" s="1609" t="s">
        <v>1860</v>
      </c>
      <c r="F218" s="1520">
        <v>0</v>
      </c>
      <c r="G218" s="1520">
        <v>0</v>
      </c>
      <c r="H218" s="1761">
        <v>0</v>
      </c>
      <c r="I218" s="1520">
        <v>0</v>
      </c>
      <c r="J218" s="1520">
        <v>0</v>
      </c>
      <c r="K218" s="1520">
        <v>0</v>
      </c>
      <c r="L218" s="1551">
        <v>1</v>
      </c>
      <c r="M218" s="1766"/>
      <c r="N218" s="1365">
        <f t="shared" si="4"/>
        <v>1</v>
      </c>
      <c r="O218" s="92"/>
      <c r="P218" s="3383"/>
    </row>
    <row r="219" spans="1:16" ht="20.100000000000001" customHeight="1">
      <c r="A219" s="1356">
        <v>214</v>
      </c>
      <c r="B219" s="1767" t="s">
        <v>2057</v>
      </c>
      <c r="C219" s="1730" t="s">
        <v>1852</v>
      </c>
      <c r="D219" s="1330" t="s">
        <v>2058</v>
      </c>
      <c r="E219" s="1678" t="s">
        <v>1911</v>
      </c>
      <c r="F219" s="1520">
        <v>0</v>
      </c>
      <c r="G219" s="1520">
        <v>0</v>
      </c>
      <c r="H219" s="1520">
        <v>0</v>
      </c>
      <c r="I219" s="1520">
        <v>0</v>
      </c>
      <c r="J219" s="1520">
        <v>0</v>
      </c>
      <c r="K219" s="1520">
        <v>0</v>
      </c>
      <c r="L219" s="1680">
        <v>1</v>
      </c>
      <c r="M219" s="1768">
        <v>6615</v>
      </c>
      <c r="N219" s="1365">
        <f t="shared" si="4"/>
        <v>1</v>
      </c>
      <c r="O219" s="92"/>
      <c r="P219" s="3383"/>
    </row>
    <row r="220" spans="1:16" ht="20.100000000000001" customHeight="1">
      <c r="A220" s="1356">
        <v>215</v>
      </c>
      <c r="B220" s="1767" t="s">
        <v>2057</v>
      </c>
      <c r="C220" s="1730" t="s">
        <v>1852</v>
      </c>
      <c r="D220" s="1769">
        <v>44206</v>
      </c>
      <c r="E220" s="1678" t="s">
        <v>49</v>
      </c>
      <c r="F220" s="1520">
        <v>0</v>
      </c>
      <c r="G220" s="1520">
        <v>0</v>
      </c>
      <c r="H220" s="1770">
        <v>1</v>
      </c>
      <c r="I220" s="1520">
        <v>0</v>
      </c>
      <c r="J220" s="1520">
        <v>0</v>
      </c>
      <c r="K220" s="1520">
        <v>0</v>
      </c>
      <c r="L220" s="1520">
        <v>0</v>
      </c>
      <c r="M220" s="1688">
        <v>8656521</v>
      </c>
      <c r="N220" s="1365">
        <f t="shared" si="4"/>
        <v>1</v>
      </c>
      <c r="O220" s="92"/>
      <c r="P220" s="3383"/>
    </row>
    <row r="221" spans="1:16" ht="20.100000000000001" customHeight="1">
      <c r="A221" s="1356">
        <v>216</v>
      </c>
      <c r="B221" s="1767" t="s">
        <v>2057</v>
      </c>
      <c r="C221" s="1730" t="s">
        <v>1852</v>
      </c>
      <c r="D221" s="1330" t="s">
        <v>2058</v>
      </c>
      <c r="E221" s="1771" t="s">
        <v>2059</v>
      </c>
      <c r="F221" s="1520">
        <v>0</v>
      </c>
      <c r="G221" s="1520">
        <v>0</v>
      </c>
      <c r="H221" s="1520">
        <v>0</v>
      </c>
      <c r="I221" s="1520">
        <v>0</v>
      </c>
      <c r="J221" s="1520">
        <v>0</v>
      </c>
      <c r="K221" s="1520">
        <v>0</v>
      </c>
      <c r="L221" s="1772">
        <v>125</v>
      </c>
      <c r="M221" s="1773">
        <v>7665</v>
      </c>
      <c r="N221" s="1365">
        <f t="shared" si="4"/>
        <v>0</v>
      </c>
      <c r="O221" s="92">
        <v>125</v>
      </c>
      <c r="P221" s="3383">
        <v>125</v>
      </c>
    </row>
    <row r="222" spans="1:16" ht="20.100000000000001" customHeight="1">
      <c r="A222" s="1356">
        <v>217</v>
      </c>
      <c r="B222" s="1767" t="s">
        <v>2057</v>
      </c>
      <c r="C222" s="1730" t="s">
        <v>1852</v>
      </c>
      <c r="D222" s="1330" t="s">
        <v>2058</v>
      </c>
      <c r="E222" s="1678" t="s">
        <v>2060</v>
      </c>
      <c r="F222" s="1520">
        <v>0</v>
      </c>
      <c r="G222" s="1520">
        <v>0</v>
      </c>
      <c r="H222" s="1520">
        <v>0</v>
      </c>
      <c r="I222" s="1520">
        <v>0</v>
      </c>
      <c r="J222" s="1520">
        <v>0</v>
      </c>
      <c r="K222" s="1520">
        <v>0</v>
      </c>
      <c r="L222" s="1680">
        <v>1</v>
      </c>
      <c r="M222" s="1774">
        <v>564639.48</v>
      </c>
      <c r="N222" s="1365">
        <f t="shared" si="4"/>
        <v>0</v>
      </c>
      <c r="O222" s="92">
        <v>1</v>
      </c>
      <c r="P222" s="3383">
        <v>1</v>
      </c>
    </row>
    <row r="223" spans="1:16" ht="20.100000000000001" customHeight="1">
      <c r="A223" s="1356">
        <v>218</v>
      </c>
      <c r="B223" s="1767" t="s">
        <v>2057</v>
      </c>
      <c r="C223" s="1730" t="s">
        <v>1852</v>
      </c>
      <c r="D223" s="1330" t="s">
        <v>2058</v>
      </c>
      <c r="E223" s="1678" t="s">
        <v>32</v>
      </c>
      <c r="F223" s="1520">
        <v>0</v>
      </c>
      <c r="G223" s="1520">
        <v>0</v>
      </c>
      <c r="H223" s="1770">
        <v>1</v>
      </c>
      <c r="I223" s="1520">
        <v>0</v>
      </c>
      <c r="J223" s="1520">
        <v>0</v>
      </c>
      <c r="K223" s="1520">
        <v>0</v>
      </c>
      <c r="L223" s="1526">
        <v>0</v>
      </c>
      <c r="M223" s="1775">
        <v>1501</v>
      </c>
      <c r="N223" s="1365">
        <f t="shared" si="4"/>
        <v>1</v>
      </c>
      <c r="O223" s="92"/>
      <c r="P223" s="3383"/>
    </row>
    <row r="224" spans="1:16" ht="20.100000000000001" customHeight="1">
      <c r="A224" s="1356">
        <v>219</v>
      </c>
      <c r="B224" s="1767" t="s">
        <v>2057</v>
      </c>
      <c r="C224" s="1730" t="s">
        <v>1852</v>
      </c>
      <c r="D224" s="1330" t="s">
        <v>2058</v>
      </c>
      <c r="E224" s="1678" t="s">
        <v>2061</v>
      </c>
      <c r="F224" s="1520">
        <v>0</v>
      </c>
      <c r="G224" s="1520">
        <v>0</v>
      </c>
      <c r="H224" s="1770">
        <v>1</v>
      </c>
      <c r="I224" s="1520">
        <v>0</v>
      </c>
      <c r="J224" s="1520">
        <v>0</v>
      </c>
      <c r="K224" s="1520">
        <v>0</v>
      </c>
      <c r="L224" s="1526">
        <v>0</v>
      </c>
      <c r="M224" s="1775">
        <v>10</v>
      </c>
      <c r="N224" s="1365">
        <f t="shared" si="4"/>
        <v>1</v>
      </c>
      <c r="O224" s="92"/>
      <c r="P224" s="3383"/>
    </row>
    <row r="225" spans="1:17" ht="20.100000000000001" customHeight="1">
      <c r="A225" s="1356">
        <v>220</v>
      </c>
      <c r="B225" s="1767" t="s">
        <v>2057</v>
      </c>
      <c r="C225" s="1730" t="s">
        <v>1852</v>
      </c>
      <c r="D225" s="1330" t="s">
        <v>2058</v>
      </c>
      <c r="E225" s="1678" t="s">
        <v>2062</v>
      </c>
      <c r="F225" s="1520">
        <v>0</v>
      </c>
      <c r="G225" s="1520">
        <v>0</v>
      </c>
      <c r="H225" s="1520">
        <v>0</v>
      </c>
      <c r="I225" s="1679">
        <v>6</v>
      </c>
      <c r="J225" s="1520">
        <v>0</v>
      </c>
      <c r="K225" s="1520">
        <v>0</v>
      </c>
      <c r="L225" s="1526">
        <v>0</v>
      </c>
      <c r="M225" s="1775">
        <v>950</v>
      </c>
      <c r="N225" s="1365">
        <f t="shared" si="4"/>
        <v>0</v>
      </c>
      <c r="O225" s="92">
        <v>6</v>
      </c>
      <c r="P225" s="3383">
        <v>6</v>
      </c>
    </row>
    <row r="226" spans="1:17" ht="20.100000000000001" customHeight="1">
      <c r="A226" s="1356">
        <v>221</v>
      </c>
      <c r="B226" s="1767" t="s">
        <v>2057</v>
      </c>
      <c r="C226" s="1730" t="s">
        <v>1852</v>
      </c>
      <c r="D226" s="1330" t="s">
        <v>2058</v>
      </c>
      <c r="E226" s="1678" t="s">
        <v>35</v>
      </c>
      <c r="F226" s="1520">
        <v>0</v>
      </c>
      <c r="G226" s="1520">
        <v>0</v>
      </c>
      <c r="H226" s="1520">
        <v>0</v>
      </c>
      <c r="I226" s="1520">
        <v>0</v>
      </c>
      <c r="J226" s="1770">
        <v>1573</v>
      </c>
      <c r="K226" s="1520">
        <v>0</v>
      </c>
      <c r="L226" s="1526">
        <v>0</v>
      </c>
      <c r="M226" s="1776">
        <v>1597726.47</v>
      </c>
      <c r="N226" s="1365">
        <f t="shared" si="4"/>
        <v>1377</v>
      </c>
      <c r="O226" s="92">
        <v>196</v>
      </c>
      <c r="P226" s="3383">
        <v>196</v>
      </c>
    </row>
    <row r="227" spans="1:17" ht="20.100000000000001" customHeight="1">
      <c r="A227" s="1356">
        <v>222</v>
      </c>
      <c r="B227" s="1767" t="s">
        <v>2057</v>
      </c>
      <c r="C227" s="1730" t="s">
        <v>1852</v>
      </c>
      <c r="D227" s="1330" t="s">
        <v>2058</v>
      </c>
      <c r="E227" s="1777" t="s">
        <v>2026</v>
      </c>
      <c r="F227" s="1520">
        <v>0</v>
      </c>
      <c r="G227" s="1778">
        <v>530</v>
      </c>
      <c r="H227" s="1520">
        <v>0</v>
      </c>
      <c r="I227" s="1520">
        <v>0</v>
      </c>
      <c r="J227" s="1520">
        <v>0</v>
      </c>
      <c r="K227" s="1520">
        <v>0</v>
      </c>
      <c r="L227" s="1526">
        <v>0</v>
      </c>
      <c r="M227" s="1779">
        <v>29000</v>
      </c>
      <c r="N227" s="1365">
        <f t="shared" si="4"/>
        <v>530</v>
      </c>
      <c r="O227" s="92"/>
      <c r="P227" s="3383"/>
    </row>
    <row r="228" spans="1:17" ht="20.100000000000001" customHeight="1">
      <c r="A228" s="1356">
        <v>223</v>
      </c>
      <c r="B228" s="1780" t="s">
        <v>2063</v>
      </c>
      <c r="C228" s="1730" t="s">
        <v>1852</v>
      </c>
      <c r="D228" s="1781" t="s">
        <v>2064</v>
      </c>
      <c r="E228" s="1782" t="s">
        <v>1911</v>
      </c>
      <c r="F228" s="1783">
        <v>0</v>
      </c>
      <c r="G228" s="1783">
        <v>0</v>
      </c>
      <c r="H228" s="1784">
        <v>0</v>
      </c>
      <c r="I228" s="1783">
        <v>0</v>
      </c>
      <c r="J228" s="1783">
        <v>0</v>
      </c>
      <c r="K228" s="1783">
        <v>0</v>
      </c>
      <c r="L228" s="1785">
        <v>1</v>
      </c>
      <c r="M228" s="1786">
        <v>700</v>
      </c>
      <c r="N228" s="1365">
        <f t="shared" si="4"/>
        <v>1</v>
      </c>
      <c r="O228" s="92"/>
      <c r="P228" s="3383"/>
    </row>
    <row r="229" spans="1:17" ht="20.100000000000001" customHeight="1">
      <c r="A229" s="1356">
        <v>224</v>
      </c>
      <c r="B229" s="1787" t="s">
        <v>2063</v>
      </c>
      <c r="C229" s="1788" t="s">
        <v>1852</v>
      </c>
      <c r="D229" s="1789" t="s">
        <v>519</v>
      </c>
      <c r="E229" s="1790" t="s">
        <v>2065</v>
      </c>
      <c r="F229" s="1791">
        <v>0</v>
      </c>
      <c r="G229" s="1791">
        <v>0</v>
      </c>
      <c r="H229" s="1792">
        <v>0</v>
      </c>
      <c r="I229" s="1791">
        <v>0</v>
      </c>
      <c r="J229" s="1791">
        <v>0</v>
      </c>
      <c r="K229" s="1791">
        <v>0</v>
      </c>
      <c r="L229" s="1793">
        <v>1</v>
      </c>
      <c r="M229" s="1794">
        <v>2713500</v>
      </c>
      <c r="N229" s="1365">
        <f t="shared" si="4"/>
        <v>1</v>
      </c>
      <c r="O229" s="1795"/>
      <c r="P229" s="3396"/>
      <c r="Q229" s="37"/>
    </row>
    <row r="230" spans="1:17" ht="20.100000000000001" customHeight="1">
      <c r="A230" s="1356">
        <v>225</v>
      </c>
      <c r="B230" s="1796" t="s">
        <v>2063</v>
      </c>
      <c r="C230" s="1730" t="s">
        <v>1852</v>
      </c>
      <c r="D230" s="1797" t="s">
        <v>2066</v>
      </c>
      <c r="E230" s="1798" t="s">
        <v>2067</v>
      </c>
      <c r="F230" s="1733">
        <v>0</v>
      </c>
      <c r="G230" s="1733">
        <v>0</v>
      </c>
      <c r="H230" s="1799">
        <v>1</v>
      </c>
      <c r="I230" s="1733">
        <v>0</v>
      </c>
      <c r="J230" s="1733">
        <v>0</v>
      </c>
      <c r="K230" s="1733">
        <v>0</v>
      </c>
      <c r="L230" s="1737">
        <v>0</v>
      </c>
      <c r="M230" s="1800">
        <v>0</v>
      </c>
      <c r="N230" s="1365">
        <f t="shared" si="4"/>
        <v>1</v>
      </c>
      <c r="O230" s="92"/>
      <c r="P230" s="3383"/>
    </row>
    <row r="231" spans="1:17" ht="20.100000000000001" customHeight="1">
      <c r="A231" s="1356">
        <v>226</v>
      </c>
      <c r="B231" s="1796" t="s">
        <v>2063</v>
      </c>
      <c r="C231" s="1730" t="s">
        <v>1852</v>
      </c>
      <c r="D231" s="1797" t="s">
        <v>2064</v>
      </c>
      <c r="E231" s="1801" t="s">
        <v>35</v>
      </c>
      <c r="F231" s="1733">
        <v>0</v>
      </c>
      <c r="G231" s="1733">
        <v>0</v>
      </c>
      <c r="H231" s="1361">
        <v>0</v>
      </c>
      <c r="I231" s="1733">
        <v>0</v>
      </c>
      <c r="J231" s="1802">
        <v>1</v>
      </c>
      <c r="K231" s="1733">
        <v>0</v>
      </c>
      <c r="L231" s="1737">
        <v>0</v>
      </c>
      <c r="M231" s="1803">
        <v>19454.740000000002</v>
      </c>
      <c r="N231" s="1365">
        <f t="shared" si="4"/>
        <v>0</v>
      </c>
      <c r="O231" s="92">
        <v>1</v>
      </c>
      <c r="P231" s="3383">
        <v>1</v>
      </c>
    </row>
    <row r="232" spans="1:17" ht="20.100000000000001" customHeight="1">
      <c r="A232" s="1356">
        <v>227</v>
      </c>
      <c r="B232" s="1796" t="s">
        <v>2063</v>
      </c>
      <c r="C232" s="1730" t="s">
        <v>1852</v>
      </c>
      <c r="D232" s="1797" t="s">
        <v>2064</v>
      </c>
      <c r="E232" s="1804" t="s">
        <v>50</v>
      </c>
      <c r="F232" s="1733">
        <v>0</v>
      </c>
      <c r="G232" s="1733">
        <v>0</v>
      </c>
      <c r="H232" s="1805">
        <v>1</v>
      </c>
      <c r="I232" s="1733">
        <v>0</v>
      </c>
      <c r="J232" s="1733">
        <v>0</v>
      </c>
      <c r="K232" s="1733">
        <v>0</v>
      </c>
      <c r="L232" s="1737">
        <v>0</v>
      </c>
      <c r="M232" s="1806">
        <v>50</v>
      </c>
      <c r="N232" s="1365">
        <f t="shared" si="4"/>
        <v>1</v>
      </c>
      <c r="O232" s="92"/>
      <c r="P232" s="3383"/>
    </row>
    <row r="233" spans="1:17" ht="20.100000000000001" customHeight="1">
      <c r="A233" s="1356">
        <v>228</v>
      </c>
      <c r="B233" s="1796" t="s">
        <v>2063</v>
      </c>
      <c r="C233" s="1730" t="s">
        <v>1852</v>
      </c>
      <c r="D233" s="1797" t="s">
        <v>2064</v>
      </c>
      <c r="E233" s="1807" t="s">
        <v>2068</v>
      </c>
      <c r="F233" s="1799">
        <v>2</v>
      </c>
      <c r="G233" s="1733">
        <v>0</v>
      </c>
      <c r="H233" s="1361">
        <v>0</v>
      </c>
      <c r="I233" s="1733">
        <v>0</v>
      </c>
      <c r="J233" s="1733">
        <v>0</v>
      </c>
      <c r="K233" s="1733">
        <v>0</v>
      </c>
      <c r="L233" s="1737">
        <v>0</v>
      </c>
      <c r="M233" s="1800">
        <v>12880</v>
      </c>
      <c r="N233" s="1365">
        <f t="shared" si="4"/>
        <v>2</v>
      </c>
      <c r="O233" s="92"/>
      <c r="P233" s="3383"/>
    </row>
    <row r="234" spans="1:17" ht="20.100000000000001" customHeight="1">
      <c r="A234" s="1356">
        <v>229</v>
      </c>
      <c r="B234" s="1796" t="s">
        <v>2063</v>
      </c>
      <c r="C234" s="1730" t="s">
        <v>1852</v>
      </c>
      <c r="D234" s="1797" t="s">
        <v>2064</v>
      </c>
      <c r="E234" s="1808" t="s">
        <v>52</v>
      </c>
      <c r="F234" s="1733">
        <v>0</v>
      </c>
      <c r="G234" s="1809">
        <v>446</v>
      </c>
      <c r="H234" s="1361">
        <v>0</v>
      </c>
      <c r="I234" s="1733">
        <v>0</v>
      </c>
      <c r="J234" s="1733">
        <v>0</v>
      </c>
      <c r="K234" s="1733">
        <v>0</v>
      </c>
      <c r="L234" s="1737">
        <v>0</v>
      </c>
      <c r="M234" s="1810">
        <v>12822</v>
      </c>
      <c r="N234" s="1365">
        <f t="shared" si="4"/>
        <v>446</v>
      </c>
      <c r="O234" s="92"/>
      <c r="P234" s="3383"/>
    </row>
    <row r="235" spans="1:17" ht="20.100000000000001" customHeight="1">
      <c r="A235" s="1811"/>
      <c r="B235" s="1812"/>
      <c r="C235" s="1812"/>
      <c r="D235" s="92"/>
      <c r="E235" s="92" t="s">
        <v>2069</v>
      </c>
      <c r="F235" s="1813">
        <f t="shared" ref="F235:O235" si="5">SUM(F7:F234)</f>
        <v>1565</v>
      </c>
      <c r="G235" s="1813">
        <f t="shared" si="5"/>
        <v>8851</v>
      </c>
      <c r="H235" s="1813">
        <f t="shared" si="5"/>
        <v>44</v>
      </c>
      <c r="I235" s="1813">
        <f t="shared" si="5"/>
        <v>12</v>
      </c>
      <c r="J235" s="1813">
        <f t="shared" si="5"/>
        <v>25540</v>
      </c>
      <c r="K235" s="1813">
        <f t="shared" si="5"/>
        <v>345</v>
      </c>
      <c r="L235" s="1813">
        <f t="shared" si="5"/>
        <v>4342</v>
      </c>
      <c r="M235" s="1813">
        <f t="shared" si="5"/>
        <v>501405887.10000038</v>
      </c>
      <c r="N235" s="1813">
        <f t="shared" si="5"/>
        <v>39280</v>
      </c>
      <c r="O235" s="1813">
        <f t="shared" si="5"/>
        <v>1419</v>
      </c>
      <c r="P235" s="92"/>
    </row>
    <row r="236" spans="1:17" ht="20.100000000000001" customHeight="1">
      <c r="A236" s="1811"/>
      <c r="B236" s="1812"/>
      <c r="C236" s="1812"/>
      <c r="D236" s="92"/>
      <c r="E236" s="92"/>
      <c r="F236" s="92" t="s">
        <v>779</v>
      </c>
      <c r="G236" s="92" t="s">
        <v>780</v>
      </c>
      <c r="H236" s="92" t="s">
        <v>781</v>
      </c>
      <c r="I236" s="92" t="s">
        <v>782</v>
      </c>
      <c r="J236" s="92" t="s">
        <v>10</v>
      </c>
      <c r="K236" s="92" t="s">
        <v>1850</v>
      </c>
      <c r="L236" s="1815" t="s">
        <v>776</v>
      </c>
      <c r="M236" s="1814"/>
      <c r="N236" s="92"/>
      <c r="O236" s="92"/>
      <c r="P236" s="92"/>
    </row>
    <row r="237" spans="1:17" ht="20.100000000000001" customHeight="1">
      <c r="A237" s="1811"/>
      <c r="B237" s="1816"/>
      <c r="C237" s="1816"/>
      <c r="L237" s="1817"/>
      <c r="M237" s="129"/>
    </row>
    <row r="238" spans="1:17" ht="20.100000000000001" customHeight="1">
      <c r="A238" s="1811"/>
      <c r="B238" s="1816"/>
      <c r="C238" s="1816"/>
      <c r="L238" s="1817"/>
      <c r="M238" s="129"/>
    </row>
    <row r="239" spans="1:17" ht="20.100000000000001" customHeight="1">
      <c r="A239" s="1811"/>
      <c r="B239" s="1816"/>
      <c r="C239" s="1816"/>
      <c r="E239" s="1818" t="s">
        <v>2070</v>
      </c>
      <c r="F239" s="1818" t="s">
        <v>2071</v>
      </c>
      <c r="G239" s="1818" t="s">
        <v>2072</v>
      </c>
      <c r="H239" s="1818" t="s">
        <v>1013</v>
      </c>
      <c r="L239" s="1817"/>
      <c r="M239" s="129"/>
    </row>
    <row r="240" spans="1:17" ht="20.100000000000001" customHeight="1">
      <c r="A240" s="1811"/>
      <c r="E240" s="1819" t="str">
        <f>F236</f>
        <v>Mismatch</v>
      </c>
      <c r="F240" s="1820">
        <f>F235</f>
        <v>1565</v>
      </c>
      <c r="G240" s="1819">
        <f>O11+O47+O56+O83+O91+O103+O114+O159+O164+O177+O195+O201+O214+O217+O233</f>
        <v>12</v>
      </c>
      <c r="H240" s="1820">
        <f>F240-G240</f>
        <v>1553</v>
      </c>
      <c r="L240" s="1817"/>
    </row>
    <row r="241" spans="1:12" ht="20.100000000000001" customHeight="1">
      <c r="A241" s="1811"/>
      <c r="E241" s="1819" t="str">
        <f>G236</f>
        <v>Long O/S</v>
      </c>
      <c r="F241" s="1820">
        <f>G235</f>
        <v>8851</v>
      </c>
      <c r="G241" s="1819">
        <f>O10+O30+O46+O55+O82+O90+O102+O113+O142+O151+O158+O165+O176+O182+O194+O200+O207+O211+O216+O227+O234</f>
        <v>16</v>
      </c>
      <c r="H241" s="1820">
        <f t="shared" ref="H241:H247" si="6">F241-G241</f>
        <v>8835</v>
      </c>
      <c r="L241" s="1817"/>
    </row>
    <row r="242" spans="1:12" ht="20.100000000000001" customHeight="1">
      <c r="A242" s="1811"/>
      <c r="E242" s="1819" t="str">
        <f>H236</f>
        <v>IT Cases</v>
      </c>
      <c r="F242" s="1820">
        <f>H235</f>
        <v>44</v>
      </c>
      <c r="G242" s="1819">
        <f>O17+O18+O19+O27+O37+O38+O39+O44+O49+O50+O51+O63+O64+O65+O88+O95+O96+O105+O110+O111+O112+O130+O131+O145+O146+O154+O156+O161+O162+O171+O172+O173+O192+O197+O198+O203+O204+O220+O223+O224+O232</f>
        <v>2</v>
      </c>
      <c r="H242" s="1820">
        <f t="shared" si="6"/>
        <v>42</v>
      </c>
      <c r="L242" s="1817"/>
    </row>
    <row r="243" spans="1:12" ht="20.100000000000001" customHeight="1">
      <c r="A243" s="1811"/>
      <c r="E243" s="1819" t="str">
        <f>I236</f>
        <v>Zero Bal.</v>
      </c>
      <c r="F243" s="1820">
        <f>I235</f>
        <v>12</v>
      </c>
      <c r="G243" s="1819">
        <f>O53+O125+O148+O179+O225</f>
        <v>11</v>
      </c>
      <c r="H243" s="1820">
        <f t="shared" si="6"/>
        <v>1</v>
      </c>
      <c r="L243" s="1817"/>
    </row>
    <row r="244" spans="1:12" ht="20.100000000000001" customHeight="1">
      <c r="A244" s="1811"/>
      <c r="E244" s="1819" t="str">
        <f>J236</f>
        <v>Dormant A/C</v>
      </c>
      <c r="F244" s="1821">
        <f>J235</f>
        <v>25540</v>
      </c>
      <c r="G244" s="1819">
        <f>O7+O13+O20+O33+O45+O52+O81+O89+O98+O121+O133+O149+O157+O163+O175+O178+O193+O199+O205+O208+O210+O215+O226+O231</f>
        <v>1126</v>
      </c>
      <c r="H244" s="1820">
        <f t="shared" si="6"/>
        <v>24414</v>
      </c>
      <c r="L244" s="1817"/>
    </row>
    <row r="245" spans="1:12" ht="20.100000000000001" customHeight="1">
      <c r="A245" s="1811"/>
      <c r="E245" s="1819" t="str">
        <f>K236</f>
        <v>CK Book stock</v>
      </c>
      <c r="F245" s="1820">
        <f>K235</f>
        <v>345</v>
      </c>
      <c r="G245" s="1819">
        <f>O62+O132</f>
        <v>0</v>
      </c>
      <c r="H245" s="1820">
        <f t="shared" si="6"/>
        <v>345</v>
      </c>
      <c r="L245" s="1817"/>
    </row>
    <row r="246" spans="1:12" ht="20.100000000000001" customHeight="1">
      <c r="A246" s="1811"/>
      <c r="E246" s="1819" t="str">
        <f>L236</f>
        <v xml:space="preserve">Other Case No. </v>
      </c>
      <c r="F246" s="1822">
        <f>L235</f>
        <v>4342</v>
      </c>
      <c r="G246" s="1819">
        <f>O8+O9+O12+O16+O21+O22+O23+O24+O25+O26+O28+O29+O31+O32+O34+O35+O36+O40+O41+O42+O43+O48+O54+O57+O58+O59+O60+O61+O67+O68+O69+O70+O71+O72+O73+O74+O75+O76+O77+O78+O79+O80+O84+O85+O86+O87+O92+O93+O94+O97+O99+O100+O101+O104+O106+O107+O108+O109+O115+O116+O117+O118+O119+O120+O122+O123+O124+O128+O126+O134+O135+O136+O137+O138+O139+O140+O141+O143+O144+O147+O150+O152+O153+O155+O160+O166+O167+O168+O169+O170+O174+O180+O181+O183+O184+O186+O187+O188+O189+O190+O191+O196+O202+O205+O206+O209+O212+O213+O218+O219+O221+O222+O228+O229</f>
        <v>252</v>
      </c>
      <c r="H246" s="1820">
        <f t="shared" si="6"/>
        <v>4090</v>
      </c>
      <c r="L246" s="1817"/>
    </row>
    <row r="247" spans="1:12" ht="20.100000000000001" customHeight="1">
      <c r="A247" s="1811"/>
      <c r="E247" s="1819" t="s">
        <v>2069</v>
      </c>
      <c r="F247" s="1820">
        <f>SUM(F240:F246)</f>
        <v>40699</v>
      </c>
      <c r="G247" s="1819">
        <f>SUM(G240:G246)</f>
        <v>1419</v>
      </c>
      <c r="H247" s="1820">
        <f t="shared" si="6"/>
        <v>39280</v>
      </c>
      <c r="L247" s="1817"/>
    </row>
    <row r="248" spans="1:12" ht="20.100000000000001" customHeight="1">
      <c r="A248" s="1811"/>
      <c r="L248" s="1817"/>
    </row>
    <row r="249" spans="1:12" ht="20.100000000000001" customHeight="1">
      <c r="A249" s="1811"/>
      <c r="L249" s="1817"/>
    </row>
    <row r="250" spans="1:12" ht="20.100000000000001" customHeight="1">
      <c r="A250" s="1811"/>
      <c r="L250" s="1817"/>
    </row>
  </sheetData>
  <mergeCells count="15">
    <mergeCell ref="D95:D96"/>
    <mergeCell ref="B185:B187"/>
    <mergeCell ref="C185:C187"/>
    <mergeCell ref="A1:Q1"/>
    <mergeCell ref="A2:Q2"/>
    <mergeCell ref="A3:Q3"/>
    <mergeCell ref="A4:Q4"/>
    <mergeCell ref="A5:A6"/>
    <mergeCell ref="B5:B6"/>
    <mergeCell ref="C5:C6"/>
    <mergeCell ref="E5:E6"/>
    <mergeCell ref="F5:G5"/>
    <mergeCell ref="L5:L6"/>
    <mergeCell ref="M5:M6"/>
    <mergeCell ref="N5:P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0"/>
  <sheetViews>
    <sheetView topLeftCell="F280" workbookViewId="0">
      <selection activeCell="O8" sqref="O8:O281"/>
    </sheetView>
  </sheetViews>
  <sheetFormatPr defaultRowHeight="15"/>
  <cols>
    <col min="4" max="4" width="13.85546875" customWidth="1"/>
    <col min="5" max="5" width="12.140625" customWidth="1"/>
    <col min="6" max="6" width="14.7109375" customWidth="1"/>
    <col min="7" max="8" width="14.5703125" customWidth="1"/>
    <col min="9" max="9" width="14.28515625" customWidth="1"/>
    <col min="11" max="11" width="13.7109375" customWidth="1"/>
    <col min="13" max="13" width="33.140625" customWidth="1"/>
    <col min="14" max="14" width="20" customWidth="1"/>
    <col min="15" max="15" width="12.42578125" customWidth="1"/>
  </cols>
  <sheetData>
    <row r="1" spans="1:17" ht="20.100000000000001" customHeight="1">
      <c r="A1" s="3512" t="s">
        <v>0</v>
      </c>
      <c r="B1" s="3512"/>
      <c r="C1" s="3512"/>
      <c r="D1" s="3512"/>
      <c r="E1" s="3512"/>
      <c r="F1" s="3512"/>
      <c r="G1" s="3512"/>
      <c r="H1" s="3512"/>
      <c r="I1" s="3512"/>
      <c r="J1" s="3512"/>
      <c r="K1" s="3512"/>
      <c r="L1" s="3512"/>
      <c r="M1" s="3512"/>
      <c r="N1" s="3512"/>
      <c r="O1" s="3512"/>
      <c r="P1" s="3512"/>
      <c r="Q1" s="3512"/>
    </row>
    <row r="2" spans="1:17" ht="20.100000000000001" customHeight="1">
      <c r="A2" s="3512" t="s">
        <v>2398</v>
      </c>
      <c r="B2" s="3512"/>
      <c r="C2" s="3512"/>
      <c r="D2" s="3512"/>
      <c r="E2" s="3512"/>
      <c r="F2" s="3512"/>
      <c r="G2" s="3512"/>
      <c r="H2" s="3512"/>
      <c r="I2" s="3512"/>
      <c r="J2" s="3512"/>
      <c r="K2" s="3512"/>
      <c r="L2" s="3512"/>
      <c r="M2" s="3512"/>
      <c r="N2" s="3512"/>
      <c r="O2" s="3512"/>
      <c r="P2" s="3512"/>
      <c r="Q2" s="3512"/>
    </row>
    <row r="3" spans="1:17" ht="20.100000000000001" customHeight="1">
      <c r="A3" s="3512" t="s">
        <v>770</v>
      </c>
      <c r="B3" s="3512"/>
      <c r="C3" s="3512"/>
      <c r="D3" s="3512"/>
      <c r="E3" s="3512"/>
      <c r="F3" s="3512"/>
      <c r="G3" s="3512"/>
      <c r="H3" s="3512"/>
      <c r="I3" s="3512"/>
      <c r="J3" s="3512"/>
      <c r="K3" s="3512"/>
      <c r="L3" s="3512"/>
      <c r="M3" s="3512"/>
      <c r="N3" s="3512"/>
      <c r="O3" s="3512"/>
      <c r="P3" s="3512"/>
      <c r="Q3" s="3512"/>
    </row>
    <row r="4" spans="1:17" ht="20.100000000000001" customHeight="1">
      <c r="A4" s="3513" t="s">
        <v>1578</v>
      </c>
      <c r="B4" s="3513"/>
      <c r="C4" s="3513"/>
      <c r="D4" s="3513"/>
      <c r="E4" s="3513"/>
      <c r="F4" s="3513"/>
      <c r="G4" s="3513"/>
      <c r="H4" s="3513"/>
      <c r="I4" s="3513"/>
      <c r="J4" s="3513"/>
      <c r="K4" s="3513"/>
      <c r="L4" s="3513"/>
      <c r="M4" s="3513"/>
      <c r="N4" s="3513"/>
      <c r="O4" s="3513"/>
      <c r="P4" s="3513"/>
      <c r="Q4" s="3513"/>
    </row>
    <row r="5" spans="1:17" ht="20.100000000000001" customHeight="1">
      <c r="A5" s="3506" t="s">
        <v>1579</v>
      </c>
      <c r="B5" s="1016"/>
      <c r="C5" s="1016"/>
      <c r="D5" s="3505" t="s">
        <v>6</v>
      </c>
      <c r="E5" s="3501" t="s">
        <v>1580</v>
      </c>
      <c r="F5" s="3501"/>
      <c r="G5" s="3506" t="s">
        <v>1581</v>
      </c>
      <c r="H5" s="3506" t="s">
        <v>9</v>
      </c>
      <c r="I5" s="3506" t="s">
        <v>1582</v>
      </c>
      <c r="J5" s="3506" t="s">
        <v>1583</v>
      </c>
      <c r="K5" s="3515" t="s">
        <v>1584</v>
      </c>
      <c r="L5" s="3506" t="s">
        <v>1585</v>
      </c>
      <c r="M5" s="3505" t="s">
        <v>14</v>
      </c>
      <c r="N5" s="3507" t="s">
        <v>1022</v>
      </c>
      <c r="O5" s="3509" t="s">
        <v>16</v>
      </c>
      <c r="P5" s="3510"/>
      <c r="Q5" s="3511"/>
    </row>
    <row r="6" spans="1:17" ht="20.100000000000001" customHeight="1">
      <c r="A6" s="3514"/>
      <c r="B6" s="1017"/>
      <c r="C6" s="1017"/>
      <c r="D6" s="3505"/>
      <c r="E6" s="1019" t="s">
        <v>779</v>
      </c>
      <c r="F6" s="1019" t="s">
        <v>1586</v>
      </c>
      <c r="G6" s="3514"/>
      <c r="H6" s="3514"/>
      <c r="I6" s="3514"/>
      <c r="J6" s="3514"/>
      <c r="K6" s="3516"/>
      <c r="L6" s="3514"/>
      <c r="M6" s="3505"/>
      <c r="N6" s="3508" t="s">
        <v>15</v>
      </c>
      <c r="O6" s="1340" t="s">
        <v>21</v>
      </c>
      <c r="P6" s="1340" t="s">
        <v>22</v>
      </c>
      <c r="Q6" s="1021" t="s">
        <v>23</v>
      </c>
    </row>
    <row r="7" spans="1:17" ht="20.100000000000001" customHeight="1">
      <c r="A7" s="3514"/>
      <c r="B7" s="1017" t="s">
        <v>4</v>
      </c>
      <c r="C7" s="1017" t="s">
        <v>5</v>
      </c>
      <c r="D7" s="3506" t="s">
        <v>6</v>
      </c>
      <c r="E7" s="1022"/>
      <c r="F7" s="1022"/>
      <c r="G7" s="1022"/>
      <c r="H7" s="1022"/>
      <c r="I7" s="1022"/>
      <c r="J7" s="1022"/>
      <c r="K7" s="3516" t="s">
        <v>19</v>
      </c>
      <c r="L7" s="3514"/>
      <c r="M7" s="3506" t="s">
        <v>20</v>
      </c>
      <c r="N7" s="3508"/>
      <c r="O7" s="1023"/>
      <c r="P7" s="1024"/>
      <c r="Q7" s="1025"/>
    </row>
    <row r="8" spans="1:17" ht="20.100000000000001" customHeight="1">
      <c r="A8" s="92">
        <v>1</v>
      </c>
      <c r="B8" s="1049" t="s">
        <v>2399</v>
      </c>
      <c r="C8" s="1049" t="s">
        <v>2399</v>
      </c>
      <c r="D8" s="1049" t="s">
        <v>26</v>
      </c>
      <c r="E8" s="92"/>
      <c r="F8" s="92"/>
      <c r="G8" s="92"/>
      <c r="H8" s="92"/>
      <c r="I8" s="92"/>
      <c r="J8" s="92"/>
      <c r="K8" s="1155">
        <v>1</v>
      </c>
      <c r="L8" s="1155">
        <v>20260731</v>
      </c>
      <c r="M8" s="1104" t="s">
        <v>118</v>
      </c>
      <c r="N8" s="2637">
        <v>101296.54</v>
      </c>
      <c r="O8" s="1029">
        <f>E8+F8+G8+H8+I8+J8+K8-P8</f>
        <v>1</v>
      </c>
      <c r="P8" s="1903"/>
      <c r="Q8" s="92"/>
    </row>
    <row r="9" spans="1:17" ht="20.100000000000001" customHeight="1">
      <c r="A9" s="92">
        <v>2</v>
      </c>
      <c r="B9" s="1049" t="s">
        <v>2399</v>
      </c>
      <c r="C9" s="1049" t="s">
        <v>2399</v>
      </c>
      <c r="D9" s="1049"/>
      <c r="E9" s="92"/>
      <c r="F9" s="92"/>
      <c r="G9" s="92">
        <v>1</v>
      </c>
      <c r="H9" s="92"/>
      <c r="I9" s="92"/>
      <c r="J9" s="92"/>
      <c r="K9" s="1155"/>
      <c r="L9" s="1155"/>
      <c r="M9" s="1197" t="s">
        <v>119</v>
      </c>
      <c r="N9" s="2637">
        <v>-4836149.22</v>
      </c>
      <c r="O9" s="1029">
        <f t="shared" ref="O9:O76" si="0">E9+F9+G9+H9+I9+J9+K9-P9</f>
        <v>1</v>
      </c>
      <c r="P9" s="1903"/>
      <c r="Q9" s="92"/>
    </row>
    <row r="10" spans="1:17" ht="20.100000000000001" customHeight="1">
      <c r="A10" s="92">
        <v>3</v>
      </c>
      <c r="B10" s="1049" t="s">
        <v>2399</v>
      </c>
      <c r="C10" s="1049" t="s">
        <v>2399</v>
      </c>
      <c r="D10" s="1049" t="s">
        <v>29</v>
      </c>
      <c r="E10" s="92"/>
      <c r="F10" s="92"/>
      <c r="G10" s="92">
        <v>1</v>
      </c>
      <c r="H10" s="92"/>
      <c r="I10" s="92"/>
      <c r="J10" s="92"/>
      <c r="K10" s="1155"/>
      <c r="L10" s="1155"/>
      <c r="M10" s="1197" t="s">
        <v>49</v>
      </c>
      <c r="N10" s="2637">
        <v>303062299.60000002</v>
      </c>
      <c r="O10" s="1029">
        <f t="shared" si="0"/>
        <v>1</v>
      </c>
      <c r="P10" s="1903"/>
      <c r="Q10" s="92"/>
    </row>
    <row r="11" spans="1:17" ht="20.100000000000001" customHeight="1">
      <c r="A11" s="92">
        <v>4</v>
      </c>
      <c r="B11" s="1049" t="s">
        <v>2399</v>
      </c>
      <c r="C11" s="1049" t="s">
        <v>2399</v>
      </c>
      <c r="D11" s="1049"/>
      <c r="E11" s="92"/>
      <c r="F11" s="92"/>
      <c r="G11" s="92">
        <v>1</v>
      </c>
      <c r="H11" s="92"/>
      <c r="I11" s="92"/>
      <c r="J11" s="92"/>
      <c r="K11" s="1155"/>
      <c r="L11" s="1155"/>
      <c r="M11" s="1197" t="s">
        <v>2400</v>
      </c>
      <c r="N11" s="2637">
        <v>4.2699999999999996</v>
      </c>
      <c r="O11" s="1029">
        <f t="shared" si="0"/>
        <v>1</v>
      </c>
      <c r="P11" s="1903"/>
      <c r="Q11" s="92"/>
    </row>
    <row r="12" spans="1:17" ht="20.100000000000001" customHeight="1">
      <c r="A12" s="92">
        <v>5</v>
      </c>
      <c r="B12" s="1049" t="s">
        <v>2399</v>
      </c>
      <c r="C12" s="1049" t="s">
        <v>2399</v>
      </c>
      <c r="D12" s="1049"/>
      <c r="E12" s="92"/>
      <c r="F12" s="92"/>
      <c r="G12" s="92">
        <v>1</v>
      </c>
      <c r="H12" s="92"/>
      <c r="I12" s="92"/>
      <c r="J12" s="92"/>
      <c r="K12" s="1155"/>
      <c r="L12" s="1155"/>
      <c r="M12" s="1197" t="s">
        <v>32</v>
      </c>
      <c r="N12" s="2637">
        <v>-1318972.02</v>
      </c>
      <c r="O12" s="1029">
        <f t="shared" si="0"/>
        <v>1</v>
      </c>
      <c r="P12" s="1903"/>
      <c r="Q12" s="92"/>
    </row>
    <row r="13" spans="1:17" ht="20.100000000000001" customHeight="1">
      <c r="A13" s="92">
        <v>6</v>
      </c>
      <c r="B13" s="1049" t="s">
        <v>2399</v>
      </c>
      <c r="C13" s="1049" t="s">
        <v>2399</v>
      </c>
      <c r="D13" s="1049"/>
      <c r="E13" s="92"/>
      <c r="F13" s="92"/>
      <c r="G13" s="92">
        <v>1</v>
      </c>
      <c r="H13" s="92"/>
      <c r="I13" s="92"/>
      <c r="J13" s="92"/>
      <c r="K13" s="1159"/>
      <c r="L13" s="1159"/>
      <c r="M13" s="1197" t="s">
        <v>50</v>
      </c>
      <c r="N13" s="2638">
        <v>192.81</v>
      </c>
      <c r="O13" s="1029">
        <f t="shared" si="0"/>
        <v>1</v>
      </c>
      <c r="P13" s="1903"/>
      <c r="Q13" s="92"/>
    </row>
    <row r="14" spans="1:17" ht="20.100000000000001" customHeight="1">
      <c r="A14" s="92">
        <v>7</v>
      </c>
      <c r="B14" s="1049" t="s">
        <v>2399</v>
      </c>
      <c r="C14" s="1049" t="s">
        <v>2399</v>
      </c>
      <c r="D14" s="1049"/>
      <c r="E14" s="92"/>
      <c r="F14" s="92"/>
      <c r="G14" s="92"/>
      <c r="H14" s="92"/>
      <c r="I14" s="92"/>
      <c r="J14" s="92"/>
      <c r="K14" s="1159">
        <v>1</v>
      </c>
      <c r="L14" s="1159"/>
      <c r="M14" s="1202" t="s">
        <v>2970</v>
      </c>
      <c r="N14" s="2180" t="s">
        <v>2973</v>
      </c>
      <c r="O14" s="1029">
        <f t="shared" si="0"/>
        <v>1</v>
      </c>
      <c r="P14" s="1903"/>
      <c r="Q14" s="92"/>
    </row>
    <row r="15" spans="1:17" ht="20.100000000000001" customHeight="1">
      <c r="A15" s="92">
        <v>8</v>
      </c>
      <c r="B15" s="1049" t="s">
        <v>2399</v>
      </c>
      <c r="C15" s="1049" t="s">
        <v>2399</v>
      </c>
      <c r="D15" s="1049"/>
      <c r="E15" s="92"/>
      <c r="F15" s="92"/>
      <c r="G15" s="92"/>
      <c r="H15" s="92"/>
      <c r="I15" s="92"/>
      <c r="J15" s="92"/>
      <c r="K15" s="1159">
        <v>1</v>
      </c>
      <c r="L15" s="1159"/>
      <c r="M15" s="1202" t="s">
        <v>2971</v>
      </c>
      <c r="N15" s="2180">
        <v>105532.34</v>
      </c>
      <c r="O15" s="1029">
        <f t="shared" si="0"/>
        <v>1</v>
      </c>
      <c r="P15" s="1903"/>
      <c r="Q15" s="92"/>
    </row>
    <row r="16" spans="1:17" ht="20.100000000000001" customHeight="1">
      <c r="A16" s="92">
        <v>9</v>
      </c>
      <c r="B16" s="1049" t="s">
        <v>2399</v>
      </c>
      <c r="C16" s="1049" t="s">
        <v>2399</v>
      </c>
      <c r="D16" s="1049"/>
      <c r="E16" s="92"/>
      <c r="F16" s="92"/>
      <c r="G16" s="92"/>
      <c r="H16" s="92"/>
      <c r="I16" s="92"/>
      <c r="J16" s="92"/>
      <c r="K16" s="1159">
        <v>1</v>
      </c>
      <c r="L16" s="1159"/>
      <c r="M16" s="1202" t="s">
        <v>2972</v>
      </c>
      <c r="N16" s="2180">
        <v>18223.54</v>
      </c>
      <c r="O16" s="1029">
        <f t="shared" si="0"/>
        <v>1</v>
      </c>
      <c r="P16" s="1903"/>
      <c r="Q16" s="92"/>
    </row>
    <row r="17" spans="1:17" ht="20.100000000000001" customHeight="1">
      <c r="A17" s="92">
        <v>10</v>
      </c>
      <c r="B17" s="1049" t="s">
        <v>2399</v>
      </c>
      <c r="C17" s="1049" t="s">
        <v>2399</v>
      </c>
      <c r="D17" s="1049"/>
      <c r="E17" s="92"/>
      <c r="F17" s="92"/>
      <c r="G17" s="92"/>
      <c r="H17" s="92"/>
      <c r="I17" s="92"/>
      <c r="J17" s="92"/>
      <c r="K17" s="1159">
        <v>1</v>
      </c>
      <c r="L17" s="1159"/>
      <c r="M17" s="1202" t="s">
        <v>2974</v>
      </c>
      <c r="N17" s="2632">
        <v>190.86</v>
      </c>
      <c r="O17" s="1029">
        <f t="shared" si="0"/>
        <v>0</v>
      </c>
      <c r="P17" s="1903">
        <v>1</v>
      </c>
      <c r="Q17" s="92"/>
    </row>
    <row r="18" spans="1:17" ht="20.100000000000001" customHeight="1">
      <c r="A18" s="92">
        <v>11</v>
      </c>
      <c r="B18" s="1049" t="s">
        <v>2399</v>
      </c>
      <c r="C18" s="1049" t="s">
        <v>2399</v>
      </c>
      <c r="D18" s="1049"/>
      <c r="E18" s="92"/>
      <c r="F18" s="92"/>
      <c r="G18" s="92"/>
      <c r="H18" s="92"/>
      <c r="I18" s="92"/>
      <c r="J18" s="92"/>
      <c r="K18" s="1159">
        <v>1</v>
      </c>
      <c r="L18" s="1159"/>
      <c r="M18" s="1202" t="s">
        <v>2975</v>
      </c>
      <c r="N18" s="2632">
        <v>13701.9</v>
      </c>
      <c r="O18" s="1029">
        <f t="shared" si="0"/>
        <v>1</v>
      </c>
      <c r="P18" s="1903"/>
      <c r="Q18" s="92"/>
    </row>
    <row r="19" spans="1:17" ht="20.100000000000001" customHeight="1">
      <c r="A19" s="92">
        <v>12</v>
      </c>
      <c r="B19" s="1049" t="s">
        <v>2399</v>
      </c>
      <c r="C19" s="1049" t="s">
        <v>2399</v>
      </c>
      <c r="D19" s="1049"/>
      <c r="E19" s="92"/>
      <c r="F19" s="92"/>
      <c r="G19" s="92"/>
      <c r="H19" s="92"/>
      <c r="I19" s="92"/>
      <c r="J19" s="92"/>
      <c r="K19" s="1159">
        <v>1</v>
      </c>
      <c r="L19" s="1159"/>
      <c r="M19" s="1202" t="s">
        <v>2976</v>
      </c>
      <c r="N19" s="2632">
        <v>3529.26</v>
      </c>
      <c r="O19" s="1029">
        <f t="shared" si="0"/>
        <v>1</v>
      </c>
      <c r="P19" s="1903"/>
      <c r="Q19" s="92"/>
    </row>
    <row r="20" spans="1:17" ht="20.100000000000001" customHeight="1">
      <c r="A20" s="92">
        <v>13</v>
      </c>
      <c r="B20" s="1049" t="s">
        <v>2399</v>
      </c>
      <c r="C20" s="1049" t="s">
        <v>2399</v>
      </c>
      <c r="D20" s="1049"/>
      <c r="E20" s="92"/>
      <c r="F20" s="92"/>
      <c r="G20" s="92"/>
      <c r="H20" s="92"/>
      <c r="I20" s="92"/>
      <c r="J20" s="92"/>
      <c r="K20" s="1159">
        <v>1</v>
      </c>
      <c r="L20" s="1159"/>
      <c r="M20" s="1202" t="s">
        <v>2977</v>
      </c>
      <c r="N20" s="2632">
        <v>700</v>
      </c>
      <c r="O20" s="1029">
        <f t="shared" si="0"/>
        <v>0</v>
      </c>
      <c r="P20" s="1903">
        <v>1</v>
      </c>
      <c r="Q20" s="92"/>
    </row>
    <row r="21" spans="1:17" ht="20.100000000000001" customHeight="1">
      <c r="A21" s="92">
        <v>14</v>
      </c>
      <c r="B21" s="1049" t="s">
        <v>2399</v>
      </c>
      <c r="C21" s="1049" t="s">
        <v>2399</v>
      </c>
      <c r="D21" s="1049"/>
      <c r="E21" s="92"/>
      <c r="F21" s="92"/>
      <c r="G21" s="92"/>
      <c r="H21" s="92"/>
      <c r="I21" s="92">
        <v>10631</v>
      </c>
      <c r="J21" s="92"/>
      <c r="K21" s="1155"/>
      <c r="L21" s="1155"/>
      <c r="M21" s="1200" t="s">
        <v>35</v>
      </c>
      <c r="N21" s="2637">
        <v>0</v>
      </c>
      <c r="O21" s="1029">
        <f t="shared" si="0"/>
        <v>10631</v>
      </c>
      <c r="P21" s="1903"/>
      <c r="Q21" s="92"/>
    </row>
    <row r="22" spans="1:17" ht="20.100000000000001" customHeight="1">
      <c r="A22" s="92">
        <v>15</v>
      </c>
      <c r="B22" s="1049" t="s">
        <v>2399</v>
      </c>
      <c r="C22" s="1049" t="s">
        <v>2399</v>
      </c>
      <c r="D22" s="1049"/>
      <c r="E22" s="92"/>
      <c r="F22" s="92"/>
      <c r="G22" s="92"/>
      <c r="H22" s="92"/>
      <c r="I22" s="92"/>
      <c r="J22" s="92"/>
      <c r="K22" s="1155">
        <v>15</v>
      </c>
      <c r="L22" s="1155"/>
      <c r="M22" s="1200" t="s">
        <v>196</v>
      </c>
      <c r="N22" s="2639">
        <v>0</v>
      </c>
      <c r="O22" s="1029">
        <f t="shared" si="0"/>
        <v>15</v>
      </c>
      <c r="P22" s="1903"/>
      <c r="Q22" s="92"/>
    </row>
    <row r="23" spans="1:17" ht="20.100000000000001" customHeight="1">
      <c r="A23" s="92">
        <v>16</v>
      </c>
      <c r="B23" s="1049" t="s">
        <v>2399</v>
      </c>
      <c r="C23" s="1049" t="s">
        <v>2399</v>
      </c>
      <c r="D23" s="1049" t="s">
        <v>36</v>
      </c>
      <c r="E23" s="92"/>
      <c r="F23" s="92">
        <v>834</v>
      </c>
      <c r="G23" s="92"/>
      <c r="H23" s="92"/>
      <c r="I23" s="92"/>
      <c r="J23" s="92"/>
      <c r="K23" s="1155"/>
      <c r="L23" s="1155"/>
      <c r="M23" s="1200" t="s">
        <v>2401</v>
      </c>
      <c r="N23" s="2637">
        <v>0</v>
      </c>
      <c r="O23" s="1029">
        <f t="shared" si="0"/>
        <v>834</v>
      </c>
      <c r="P23" s="1903"/>
      <c r="Q23" s="92"/>
    </row>
    <row r="24" spans="1:17" ht="20.100000000000001" customHeight="1">
      <c r="A24" s="92">
        <v>17</v>
      </c>
      <c r="B24" s="1049" t="s">
        <v>2399</v>
      </c>
      <c r="C24" s="1049" t="s">
        <v>2399</v>
      </c>
      <c r="D24" s="1049"/>
      <c r="E24" s="92">
        <v>65</v>
      </c>
      <c r="F24" s="92"/>
      <c r="G24" s="92"/>
      <c r="H24" s="92"/>
      <c r="I24" s="92"/>
      <c r="J24" s="92"/>
      <c r="K24" s="1155"/>
      <c r="L24" s="1155"/>
      <c r="M24" s="1200" t="s">
        <v>1591</v>
      </c>
      <c r="N24" s="2637"/>
      <c r="O24" s="1029">
        <f t="shared" si="0"/>
        <v>65</v>
      </c>
      <c r="P24" s="1903"/>
      <c r="Q24" s="92"/>
    </row>
    <row r="25" spans="1:17" ht="20.100000000000001" customHeight="1">
      <c r="A25" s="92">
        <v>18</v>
      </c>
      <c r="B25" s="1049" t="s">
        <v>2399</v>
      </c>
      <c r="C25" s="1049" t="s">
        <v>2399</v>
      </c>
      <c r="D25" s="1049" t="s">
        <v>38</v>
      </c>
      <c r="E25" s="92"/>
      <c r="F25" s="92"/>
      <c r="G25" s="92"/>
      <c r="H25" s="92"/>
      <c r="I25" s="92"/>
      <c r="J25" s="92"/>
      <c r="K25" s="1155">
        <v>1</v>
      </c>
      <c r="L25" s="1155"/>
      <c r="M25" s="2016" t="s">
        <v>2402</v>
      </c>
      <c r="N25" s="2637">
        <v>100000</v>
      </c>
      <c r="O25" s="1029">
        <f t="shared" si="0"/>
        <v>0</v>
      </c>
      <c r="P25" s="1903">
        <v>1</v>
      </c>
      <c r="Q25" s="92"/>
    </row>
    <row r="26" spans="1:17" ht="20.100000000000001" customHeight="1">
      <c r="A26" s="92">
        <v>19</v>
      </c>
      <c r="B26" s="1049" t="s">
        <v>2403</v>
      </c>
      <c r="C26" s="1049" t="s">
        <v>2399</v>
      </c>
      <c r="D26" s="1049" t="s">
        <v>26</v>
      </c>
      <c r="E26" s="92"/>
      <c r="F26" s="92"/>
      <c r="G26" s="92"/>
      <c r="H26" s="92"/>
      <c r="I26" s="92"/>
      <c r="J26" s="92"/>
      <c r="K26" s="1155">
        <v>1</v>
      </c>
      <c r="L26" s="1155"/>
      <c r="M26" s="1201" t="s">
        <v>48</v>
      </c>
      <c r="N26" s="2637">
        <v>-14950</v>
      </c>
      <c r="O26" s="1029">
        <f t="shared" si="0"/>
        <v>1</v>
      </c>
      <c r="P26" s="1903"/>
      <c r="Q26" s="92"/>
    </row>
    <row r="27" spans="1:17" ht="20.100000000000001" customHeight="1">
      <c r="A27" s="92">
        <v>20</v>
      </c>
      <c r="B27" s="1049" t="s">
        <v>2403</v>
      </c>
      <c r="C27" s="1049" t="s">
        <v>2399</v>
      </c>
      <c r="D27" s="1049"/>
      <c r="E27" s="92"/>
      <c r="F27" s="92"/>
      <c r="G27" s="92"/>
      <c r="H27" s="92"/>
      <c r="I27" s="92"/>
      <c r="J27" s="92"/>
      <c r="K27" s="1155">
        <v>1</v>
      </c>
      <c r="L27" s="1155"/>
      <c r="M27" s="1104" t="s">
        <v>2404</v>
      </c>
      <c r="N27" s="2637"/>
      <c r="O27" s="1029">
        <f t="shared" si="0"/>
        <v>1</v>
      </c>
      <c r="P27" s="1903"/>
      <c r="Q27" s="92"/>
    </row>
    <row r="28" spans="1:17" ht="20.100000000000001" customHeight="1">
      <c r="A28" s="92">
        <v>21</v>
      </c>
      <c r="B28" s="1049" t="s">
        <v>2403</v>
      </c>
      <c r="C28" s="1049" t="s">
        <v>2399</v>
      </c>
      <c r="D28" s="1049"/>
      <c r="E28" s="92"/>
      <c r="F28" s="92"/>
      <c r="G28" s="92">
        <v>1</v>
      </c>
      <c r="H28" s="92"/>
      <c r="I28" s="92"/>
      <c r="J28" s="92"/>
      <c r="K28" s="1155"/>
      <c r="L28" s="1155"/>
      <c r="M28" s="2017" t="s">
        <v>49</v>
      </c>
      <c r="N28" s="2640" t="s">
        <v>2405</v>
      </c>
      <c r="O28" s="1029">
        <f t="shared" si="0"/>
        <v>1</v>
      </c>
      <c r="P28" s="1903"/>
      <c r="Q28" s="92"/>
    </row>
    <row r="29" spans="1:17" ht="20.100000000000001" customHeight="1">
      <c r="A29" s="92">
        <v>22</v>
      </c>
      <c r="B29" s="1049" t="s">
        <v>2403</v>
      </c>
      <c r="C29" s="1049" t="s">
        <v>2399</v>
      </c>
      <c r="D29" s="1049"/>
      <c r="E29" s="92"/>
      <c r="F29" s="92"/>
      <c r="G29" s="92">
        <v>1</v>
      </c>
      <c r="H29" s="92"/>
      <c r="I29" s="92"/>
      <c r="J29" s="92"/>
      <c r="K29" s="1155"/>
      <c r="L29" s="1155"/>
      <c r="M29" s="2017" t="s">
        <v>32</v>
      </c>
      <c r="N29" s="2637">
        <v>1</v>
      </c>
      <c r="O29" s="1029">
        <f t="shared" si="0"/>
        <v>1</v>
      </c>
      <c r="P29" s="1903"/>
      <c r="Q29" s="92"/>
    </row>
    <row r="30" spans="1:17" ht="20.100000000000001" customHeight="1">
      <c r="A30" s="92">
        <v>23</v>
      </c>
      <c r="B30" s="1049" t="s">
        <v>2403</v>
      </c>
      <c r="C30" s="1049" t="s">
        <v>2399</v>
      </c>
      <c r="D30" s="1049"/>
      <c r="E30" s="92"/>
      <c r="F30" s="92"/>
      <c r="G30" s="92">
        <v>1</v>
      </c>
      <c r="H30" s="92"/>
      <c r="I30" s="92"/>
      <c r="J30" s="92"/>
      <c r="K30" s="1159"/>
      <c r="L30" s="1159"/>
      <c r="M30" s="2017" t="s">
        <v>50</v>
      </c>
      <c r="N30" s="2641">
        <v>153.85</v>
      </c>
      <c r="O30" s="1029">
        <f t="shared" si="0"/>
        <v>1</v>
      </c>
      <c r="P30" s="1903"/>
      <c r="Q30" s="92"/>
    </row>
    <row r="31" spans="1:17" ht="20.100000000000001" customHeight="1">
      <c r="A31" s="92">
        <v>24</v>
      </c>
      <c r="B31" s="1049" t="s">
        <v>2403</v>
      </c>
      <c r="C31" s="1049" t="s">
        <v>2399</v>
      </c>
      <c r="D31" s="1049"/>
      <c r="E31" s="92"/>
      <c r="F31" s="92"/>
      <c r="G31" s="92"/>
      <c r="H31" s="92"/>
      <c r="I31" s="92"/>
      <c r="J31" s="92"/>
      <c r="K31" s="1159">
        <v>1</v>
      </c>
      <c r="L31" s="1159"/>
      <c r="M31" s="2784" t="s">
        <v>167</v>
      </c>
      <c r="N31" s="2641">
        <v>5654.51</v>
      </c>
      <c r="O31" s="1029">
        <f t="shared" si="0"/>
        <v>1</v>
      </c>
      <c r="P31" s="1903"/>
      <c r="Q31" s="92"/>
    </row>
    <row r="32" spans="1:17" ht="20.100000000000001" customHeight="1">
      <c r="A32" s="92">
        <v>25</v>
      </c>
      <c r="B32" s="1049" t="s">
        <v>2403</v>
      </c>
      <c r="C32" s="1049" t="s">
        <v>2399</v>
      </c>
      <c r="D32" s="1049"/>
      <c r="E32" s="92"/>
      <c r="F32" s="92"/>
      <c r="G32" s="92"/>
      <c r="H32" s="92"/>
      <c r="I32" s="92"/>
      <c r="J32" s="92"/>
      <c r="K32" s="1159">
        <v>1</v>
      </c>
      <c r="L32" s="1159"/>
      <c r="M32" s="2784" t="s">
        <v>51</v>
      </c>
      <c r="N32" s="2642">
        <v>2648.23</v>
      </c>
      <c r="O32" s="1029">
        <f t="shared" si="0"/>
        <v>1</v>
      </c>
      <c r="P32" s="1903"/>
      <c r="Q32" s="92"/>
    </row>
    <row r="33" spans="1:17" ht="20.100000000000001" customHeight="1">
      <c r="A33" s="92">
        <v>26</v>
      </c>
      <c r="B33" s="1049" t="s">
        <v>2403</v>
      </c>
      <c r="C33" s="1049" t="s">
        <v>2399</v>
      </c>
      <c r="D33" s="1049" t="s">
        <v>68</v>
      </c>
      <c r="E33" s="92"/>
      <c r="F33" s="92"/>
      <c r="G33" s="92"/>
      <c r="H33" s="92"/>
      <c r="I33" s="92"/>
      <c r="J33" s="92"/>
      <c r="K33" s="1159">
        <v>1</v>
      </c>
      <c r="L33" s="1159"/>
      <c r="M33" s="2785" t="s">
        <v>1052</v>
      </c>
      <c r="N33" s="2640" t="s">
        <v>2406</v>
      </c>
      <c r="O33" s="1029">
        <f t="shared" si="0"/>
        <v>1</v>
      </c>
      <c r="P33" s="1903"/>
      <c r="Q33" s="92"/>
    </row>
    <row r="34" spans="1:17" ht="20.100000000000001" customHeight="1">
      <c r="A34" s="92">
        <v>27</v>
      </c>
      <c r="B34" s="1049" t="s">
        <v>2403</v>
      </c>
      <c r="C34" s="1049" t="s">
        <v>2399</v>
      </c>
      <c r="D34" s="1049"/>
      <c r="E34" s="92"/>
      <c r="F34" s="92"/>
      <c r="G34" s="92"/>
      <c r="H34" s="92"/>
      <c r="I34" s="92">
        <v>4030</v>
      </c>
      <c r="J34" s="92"/>
      <c r="K34" s="1155"/>
      <c r="L34" s="1155"/>
      <c r="M34" s="1200" t="s">
        <v>35</v>
      </c>
      <c r="N34" s="2637"/>
      <c r="O34" s="1029">
        <f t="shared" si="0"/>
        <v>4030</v>
      </c>
      <c r="P34" s="1903"/>
      <c r="Q34" s="92"/>
    </row>
    <row r="35" spans="1:17" ht="20.100000000000001" customHeight="1">
      <c r="A35" s="92">
        <v>28</v>
      </c>
      <c r="B35" s="1049" t="s">
        <v>2403</v>
      </c>
      <c r="C35" s="1049" t="s">
        <v>2399</v>
      </c>
      <c r="D35" s="1049" t="s">
        <v>36</v>
      </c>
      <c r="E35" s="92"/>
      <c r="F35" s="92"/>
      <c r="G35" s="92"/>
      <c r="H35" s="92"/>
      <c r="I35" s="92"/>
      <c r="J35" s="92"/>
      <c r="K35" s="1155">
        <v>1</v>
      </c>
      <c r="L35" s="1155"/>
      <c r="M35" s="1200" t="s">
        <v>2407</v>
      </c>
      <c r="N35" s="2637"/>
      <c r="O35" s="1029">
        <f t="shared" si="0"/>
        <v>1</v>
      </c>
      <c r="P35" s="1903"/>
      <c r="Q35" s="92"/>
    </row>
    <row r="36" spans="1:17" ht="20.100000000000001" customHeight="1">
      <c r="A36" s="92">
        <v>29</v>
      </c>
      <c r="B36" s="1049" t="s">
        <v>2408</v>
      </c>
      <c r="C36" s="1049" t="s">
        <v>2399</v>
      </c>
      <c r="D36" s="1049" t="s">
        <v>26</v>
      </c>
      <c r="E36" s="92"/>
      <c r="F36" s="92"/>
      <c r="G36" s="92"/>
      <c r="H36" s="92"/>
      <c r="I36" s="92"/>
      <c r="J36" s="92"/>
      <c r="K36" s="1155">
        <v>1</v>
      </c>
      <c r="L36" s="1155" t="s">
        <v>100</v>
      </c>
      <c r="M36" s="1200" t="s">
        <v>48</v>
      </c>
      <c r="N36" s="2637">
        <v>101984.44</v>
      </c>
      <c r="O36" s="1029">
        <f t="shared" si="0"/>
        <v>1</v>
      </c>
      <c r="P36" s="1903"/>
      <c r="Q36" s="92"/>
    </row>
    <row r="37" spans="1:17" ht="20.100000000000001" customHeight="1">
      <c r="A37" s="92">
        <v>30</v>
      </c>
      <c r="B37" s="1049" t="s">
        <v>2408</v>
      </c>
      <c r="C37" s="1049" t="s">
        <v>2399</v>
      </c>
      <c r="D37" s="1049"/>
      <c r="E37" s="92"/>
      <c r="F37" s="92"/>
      <c r="G37" s="92"/>
      <c r="H37" s="92"/>
      <c r="I37" s="92"/>
      <c r="J37" s="92"/>
      <c r="K37" s="1155">
        <v>1</v>
      </c>
      <c r="L37" s="1155" t="s">
        <v>100</v>
      </c>
      <c r="M37" s="1104" t="s">
        <v>2409</v>
      </c>
      <c r="N37" s="2637"/>
      <c r="O37" s="1029">
        <f t="shared" si="0"/>
        <v>1</v>
      </c>
      <c r="P37" s="1903"/>
      <c r="Q37" s="92"/>
    </row>
    <row r="38" spans="1:17" ht="20.100000000000001" customHeight="1">
      <c r="A38" s="92">
        <v>31</v>
      </c>
      <c r="B38" s="1049" t="s">
        <v>2408</v>
      </c>
      <c r="C38" s="1049" t="s">
        <v>2399</v>
      </c>
      <c r="D38" s="1049"/>
      <c r="E38" s="92"/>
      <c r="F38" s="92"/>
      <c r="G38" s="92">
        <v>1</v>
      </c>
      <c r="H38" s="92"/>
      <c r="I38" s="92"/>
      <c r="J38" s="92"/>
      <c r="K38" s="1155"/>
      <c r="L38" s="2018" t="s">
        <v>2410</v>
      </c>
      <c r="M38" s="1287" t="s">
        <v>49</v>
      </c>
      <c r="N38" s="2637">
        <v>20575944.170000002</v>
      </c>
      <c r="O38" s="1029">
        <f t="shared" si="0"/>
        <v>1</v>
      </c>
      <c r="P38" s="1903"/>
      <c r="Q38" s="92"/>
    </row>
    <row r="39" spans="1:17" ht="20.100000000000001" customHeight="1">
      <c r="A39" s="92">
        <v>32</v>
      </c>
      <c r="B39" s="1049" t="s">
        <v>2408</v>
      </c>
      <c r="C39" s="1049" t="s">
        <v>2399</v>
      </c>
      <c r="D39" s="1049"/>
      <c r="E39" s="92"/>
      <c r="F39" s="92"/>
      <c r="G39" s="92">
        <v>1</v>
      </c>
      <c r="H39" s="92"/>
      <c r="I39" s="92"/>
      <c r="J39" s="92"/>
      <c r="K39" s="1155"/>
      <c r="L39" s="2018" t="s">
        <v>2411</v>
      </c>
      <c r="M39" s="1287" t="s">
        <v>32</v>
      </c>
      <c r="N39" s="2637">
        <v>0.26</v>
      </c>
      <c r="O39" s="1029">
        <f t="shared" si="0"/>
        <v>1</v>
      </c>
      <c r="P39" s="1903"/>
      <c r="Q39" s="92"/>
    </row>
    <row r="40" spans="1:17" ht="20.100000000000001" customHeight="1">
      <c r="A40" s="92">
        <v>33</v>
      </c>
      <c r="B40" s="1049" t="s">
        <v>2408</v>
      </c>
      <c r="C40" s="1049" t="s">
        <v>2399</v>
      </c>
      <c r="D40" s="1049"/>
      <c r="E40" s="92"/>
      <c r="F40" s="92"/>
      <c r="G40" s="92"/>
      <c r="H40" s="92"/>
      <c r="I40" s="92">
        <v>3141</v>
      </c>
      <c r="J40" s="92"/>
      <c r="K40" s="1155"/>
      <c r="L40" s="1155" t="s">
        <v>100</v>
      </c>
      <c r="M40" s="1200" t="s">
        <v>35</v>
      </c>
      <c r="N40" s="2643"/>
      <c r="O40" s="1029">
        <f t="shared" si="0"/>
        <v>3141</v>
      </c>
      <c r="P40" s="1903"/>
      <c r="Q40" s="92"/>
    </row>
    <row r="41" spans="1:17" ht="20.100000000000001" customHeight="1">
      <c r="A41" s="92">
        <v>34</v>
      </c>
      <c r="B41" s="1049" t="s">
        <v>2408</v>
      </c>
      <c r="C41" s="1049" t="s">
        <v>2399</v>
      </c>
      <c r="D41" s="1049"/>
      <c r="E41" s="92"/>
      <c r="F41" s="92"/>
      <c r="G41" s="92"/>
      <c r="H41" s="92"/>
      <c r="I41" s="92"/>
      <c r="J41" s="92"/>
      <c r="K41" s="1155">
        <v>1</v>
      </c>
      <c r="L41" s="1155" t="s">
        <v>100</v>
      </c>
      <c r="M41" s="1200" t="s">
        <v>196</v>
      </c>
      <c r="N41" s="2639" t="s">
        <v>2412</v>
      </c>
      <c r="O41" s="1029">
        <f t="shared" si="0"/>
        <v>1</v>
      </c>
      <c r="P41" s="1903"/>
      <c r="Q41" s="92"/>
    </row>
    <row r="42" spans="1:17" ht="20.100000000000001" customHeight="1">
      <c r="A42" s="92">
        <v>35</v>
      </c>
      <c r="B42" s="1049" t="s">
        <v>2408</v>
      </c>
      <c r="C42" s="1049" t="s">
        <v>2399</v>
      </c>
      <c r="D42" s="1049" t="s">
        <v>36</v>
      </c>
      <c r="E42" s="92"/>
      <c r="F42" s="92">
        <v>68</v>
      </c>
      <c r="G42" s="92"/>
      <c r="H42" s="92"/>
      <c r="I42" s="92"/>
      <c r="J42" s="92"/>
      <c r="K42" s="2019"/>
      <c r="L42" s="2020" t="s">
        <v>100</v>
      </c>
      <c r="M42" s="1200" t="s">
        <v>2413</v>
      </c>
      <c r="N42" s="2637"/>
      <c r="O42" s="1029">
        <f t="shared" si="0"/>
        <v>68</v>
      </c>
      <c r="P42" s="1903"/>
      <c r="Q42" s="92"/>
    </row>
    <row r="43" spans="1:17" ht="20.100000000000001" customHeight="1">
      <c r="A43" s="92">
        <v>36</v>
      </c>
      <c r="B43" s="1049" t="s">
        <v>2414</v>
      </c>
      <c r="C43" s="1049" t="s">
        <v>2399</v>
      </c>
      <c r="D43" s="2021"/>
      <c r="E43" s="92"/>
      <c r="F43" s="92"/>
      <c r="G43" s="92"/>
      <c r="H43" s="92"/>
      <c r="I43" s="92"/>
      <c r="J43" s="92"/>
      <c r="K43" s="1047">
        <v>1</v>
      </c>
      <c r="L43" s="1047"/>
      <c r="M43" s="1104" t="s">
        <v>2415</v>
      </c>
      <c r="N43" s="2637">
        <v>-10000</v>
      </c>
      <c r="O43" s="1029">
        <f t="shared" si="0"/>
        <v>1</v>
      </c>
      <c r="P43" s="1903"/>
      <c r="Q43" s="92"/>
    </row>
    <row r="44" spans="1:17" ht="20.100000000000001" customHeight="1">
      <c r="A44" s="92">
        <v>37</v>
      </c>
      <c r="B44" s="1049" t="s">
        <v>2414</v>
      </c>
      <c r="C44" s="1049" t="s">
        <v>2399</v>
      </c>
      <c r="D44" s="3544"/>
      <c r="E44" s="92"/>
      <c r="F44" s="92"/>
      <c r="G44" s="92">
        <v>1</v>
      </c>
      <c r="H44" s="92"/>
      <c r="I44" s="92"/>
      <c r="J44" s="92"/>
      <c r="K44" s="1047"/>
      <c r="L44" s="1047"/>
      <c r="M44" s="1287" t="s">
        <v>49</v>
      </c>
      <c r="N44" s="2637">
        <v>-10600949.51</v>
      </c>
      <c r="O44" s="1029">
        <f t="shared" si="0"/>
        <v>1</v>
      </c>
      <c r="P44" s="1903"/>
      <c r="Q44" s="92"/>
    </row>
    <row r="45" spans="1:17" ht="20.100000000000001" customHeight="1">
      <c r="A45" s="92">
        <v>38</v>
      </c>
      <c r="B45" s="1049" t="s">
        <v>2414</v>
      </c>
      <c r="C45" s="1049" t="s">
        <v>2399</v>
      </c>
      <c r="D45" s="3544"/>
      <c r="E45" s="92"/>
      <c r="F45" s="92"/>
      <c r="G45" s="92">
        <v>1</v>
      </c>
      <c r="H45" s="92"/>
      <c r="I45" s="92"/>
      <c r="J45" s="92"/>
      <c r="K45" s="1047"/>
      <c r="L45" s="1047"/>
      <c r="M45" s="1287" t="s">
        <v>32</v>
      </c>
      <c r="N45" s="2637">
        <v>4896.3599999999997</v>
      </c>
      <c r="O45" s="1029">
        <f t="shared" si="0"/>
        <v>1</v>
      </c>
      <c r="P45" s="1903"/>
      <c r="Q45" s="92"/>
    </row>
    <row r="46" spans="1:17" ht="20.100000000000001" customHeight="1">
      <c r="A46" s="92">
        <v>39</v>
      </c>
      <c r="B46" s="1049" t="s">
        <v>2414</v>
      </c>
      <c r="C46" s="1049" t="s">
        <v>2399</v>
      </c>
      <c r="D46" s="2021"/>
      <c r="E46" s="92"/>
      <c r="F46" s="92"/>
      <c r="G46" s="92"/>
      <c r="H46" s="92"/>
      <c r="I46" s="92">
        <v>464</v>
      </c>
      <c r="J46" s="92"/>
      <c r="K46" s="1047"/>
      <c r="L46" s="1047"/>
      <c r="M46" s="1200" t="s">
        <v>35</v>
      </c>
      <c r="N46" s="2637"/>
      <c r="O46" s="1029">
        <f t="shared" si="0"/>
        <v>464</v>
      </c>
      <c r="P46" s="1903"/>
      <c r="Q46" s="92"/>
    </row>
    <row r="47" spans="1:17" ht="20.100000000000001" customHeight="1">
      <c r="A47" s="92">
        <v>40</v>
      </c>
      <c r="B47" s="1049" t="s">
        <v>2414</v>
      </c>
      <c r="C47" s="1049" t="s">
        <v>2399</v>
      </c>
      <c r="D47" s="2024"/>
      <c r="E47" s="92"/>
      <c r="F47" s="92"/>
      <c r="G47" s="92"/>
      <c r="H47" s="92"/>
      <c r="I47" s="92"/>
      <c r="J47" s="92"/>
      <c r="K47" s="100">
        <v>1</v>
      </c>
      <c r="L47" s="100"/>
      <c r="M47" s="109" t="s">
        <v>196</v>
      </c>
      <c r="N47" s="105"/>
      <c r="O47" s="1029">
        <f t="shared" si="0"/>
        <v>1</v>
      </c>
      <c r="P47" s="1903"/>
      <c r="Q47" s="92"/>
    </row>
    <row r="48" spans="1:17" ht="20.100000000000001" customHeight="1">
      <c r="A48" s="92">
        <v>41</v>
      </c>
      <c r="B48" s="1049" t="s">
        <v>2414</v>
      </c>
      <c r="C48" s="1049" t="s">
        <v>2399</v>
      </c>
      <c r="D48" s="1049" t="s">
        <v>36</v>
      </c>
      <c r="E48" s="92"/>
      <c r="F48" s="92">
        <v>53</v>
      </c>
      <c r="G48" s="92"/>
      <c r="H48" s="92"/>
      <c r="I48" s="92"/>
      <c r="J48" s="92"/>
      <c r="K48" s="1047"/>
      <c r="L48" s="1047"/>
      <c r="M48" s="1200" t="s">
        <v>2416</v>
      </c>
      <c r="N48" s="2180">
        <v>0</v>
      </c>
      <c r="O48" s="1029">
        <f t="shared" si="0"/>
        <v>53</v>
      </c>
      <c r="P48" s="1903"/>
      <c r="Q48" s="92"/>
    </row>
    <row r="49" spans="1:17" ht="20.100000000000001" customHeight="1">
      <c r="A49" s="92">
        <v>42</v>
      </c>
      <c r="B49" s="1049" t="s">
        <v>2414</v>
      </c>
      <c r="C49" s="1049" t="s">
        <v>2399</v>
      </c>
      <c r="D49" s="1049"/>
      <c r="E49" s="92">
        <v>53</v>
      </c>
      <c r="F49" s="92"/>
      <c r="G49" s="92"/>
      <c r="H49" s="92"/>
      <c r="I49" s="92"/>
      <c r="J49" s="92"/>
      <c r="K49" s="1047"/>
      <c r="L49" s="1047"/>
      <c r="M49" s="1200" t="s">
        <v>1591</v>
      </c>
      <c r="N49" s="2180"/>
      <c r="O49" s="1029">
        <f t="shared" si="0"/>
        <v>53</v>
      </c>
      <c r="P49" s="1903"/>
      <c r="Q49" s="92"/>
    </row>
    <row r="50" spans="1:17" ht="20.100000000000001" customHeight="1">
      <c r="A50" s="92">
        <v>43</v>
      </c>
      <c r="B50" s="1049" t="s">
        <v>2414</v>
      </c>
      <c r="C50" s="1049" t="s">
        <v>2399</v>
      </c>
      <c r="D50" s="2021"/>
      <c r="E50" s="92"/>
      <c r="F50" s="92"/>
      <c r="G50" s="92"/>
      <c r="H50" s="92"/>
      <c r="I50" s="92"/>
      <c r="J50" s="92"/>
      <c r="K50" s="1047">
        <v>2</v>
      </c>
      <c r="L50" s="1047"/>
      <c r="M50" s="1038" t="s">
        <v>2417</v>
      </c>
      <c r="N50" s="2644"/>
      <c r="O50" s="1029">
        <f t="shared" si="0"/>
        <v>2</v>
      </c>
      <c r="P50" s="1903"/>
      <c r="Q50" s="92"/>
    </row>
    <row r="51" spans="1:17" ht="20.100000000000001" customHeight="1">
      <c r="A51" s="92">
        <v>44</v>
      </c>
      <c r="B51" s="1049" t="s">
        <v>2418</v>
      </c>
      <c r="C51" s="1049" t="s">
        <v>2399</v>
      </c>
      <c r="D51" s="1049" t="s">
        <v>26</v>
      </c>
      <c r="E51" s="92"/>
      <c r="F51" s="92"/>
      <c r="G51" s="92"/>
      <c r="H51" s="92"/>
      <c r="I51" s="92"/>
      <c r="J51" s="92"/>
      <c r="K51" s="2025">
        <v>1</v>
      </c>
      <c r="L51" s="2025"/>
      <c r="M51" s="1200" t="s">
        <v>48</v>
      </c>
      <c r="N51" s="2633">
        <v>199913</v>
      </c>
      <c r="O51" s="1029">
        <f t="shared" si="0"/>
        <v>1</v>
      </c>
      <c r="P51" s="1903"/>
      <c r="Q51" s="92"/>
    </row>
    <row r="52" spans="1:17" ht="20.100000000000001" customHeight="1">
      <c r="A52" s="92">
        <v>45</v>
      </c>
      <c r="B52" s="1049" t="s">
        <v>2418</v>
      </c>
      <c r="C52" s="1049" t="s">
        <v>2399</v>
      </c>
      <c r="D52" s="1049"/>
      <c r="E52" s="92"/>
      <c r="F52" s="92"/>
      <c r="G52" s="92"/>
      <c r="H52" s="92"/>
      <c r="I52" s="92"/>
      <c r="J52" s="92"/>
      <c r="K52" s="2025">
        <v>1</v>
      </c>
      <c r="L52" s="2025"/>
      <c r="M52" s="1200" t="s">
        <v>2968</v>
      </c>
      <c r="N52" s="2180">
        <v>-97</v>
      </c>
      <c r="O52" s="1029">
        <f t="shared" si="0"/>
        <v>1</v>
      </c>
      <c r="P52" s="1903"/>
      <c r="Q52" s="92"/>
    </row>
    <row r="53" spans="1:17" ht="20.100000000000001" customHeight="1">
      <c r="A53" s="92">
        <v>46</v>
      </c>
      <c r="B53" s="1049" t="s">
        <v>2418</v>
      </c>
      <c r="C53" s="1049" t="s">
        <v>2399</v>
      </c>
      <c r="D53" s="1049"/>
      <c r="E53" s="92"/>
      <c r="F53" s="92"/>
      <c r="G53" s="92"/>
      <c r="H53" s="92"/>
      <c r="I53" s="92"/>
      <c r="J53" s="92"/>
      <c r="K53" s="2025">
        <v>1</v>
      </c>
      <c r="L53" s="2025"/>
      <c r="M53" s="1104" t="s">
        <v>118</v>
      </c>
      <c r="N53" s="2633">
        <v>199913</v>
      </c>
      <c r="O53" s="1029">
        <f t="shared" si="0"/>
        <v>1</v>
      </c>
      <c r="P53" s="1903"/>
      <c r="Q53" s="92"/>
    </row>
    <row r="54" spans="1:17" ht="20.100000000000001" customHeight="1">
      <c r="A54" s="92">
        <v>47</v>
      </c>
      <c r="B54" s="1049" t="s">
        <v>2418</v>
      </c>
      <c r="C54" s="1049" t="s">
        <v>2399</v>
      </c>
      <c r="D54" s="1049"/>
      <c r="E54" s="92"/>
      <c r="F54" s="92"/>
      <c r="G54" s="92">
        <v>1</v>
      </c>
      <c r="H54" s="92"/>
      <c r="I54" s="92"/>
      <c r="J54" s="92"/>
      <c r="K54" s="2025"/>
      <c r="L54" s="2025"/>
      <c r="M54" s="1287" t="s">
        <v>49</v>
      </c>
      <c r="N54" s="2641">
        <v>83247373.400000006</v>
      </c>
      <c r="O54" s="1029">
        <f t="shared" si="0"/>
        <v>1</v>
      </c>
      <c r="P54" s="1903"/>
      <c r="Q54" s="92"/>
    </row>
    <row r="55" spans="1:17" ht="20.100000000000001" customHeight="1">
      <c r="A55" s="92">
        <v>48</v>
      </c>
      <c r="B55" s="1049" t="s">
        <v>2418</v>
      </c>
      <c r="C55" s="1049" t="s">
        <v>2399</v>
      </c>
      <c r="D55" s="1049"/>
      <c r="E55" s="92"/>
      <c r="F55" s="92"/>
      <c r="G55" s="92">
        <v>1</v>
      </c>
      <c r="H55" s="92"/>
      <c r="I55" s="92"/>
      <c r="J55" s="92"/>
      <c r="K55" s="2025"/>
      <c r="L55" s="2025"/>
      <c r="M55" s="1287" t="s">
        <v>32</v>
      </c>
      <c r="N55" s="2180">
        <v>-1171.55</v>
      </c>
      <c r="O55" s="1029">
        <f t="shared" si="0"/>
        <v>1</v>
      </c>
      <c r="P55" s="1903"/>
      <c r="Q55" s="92"/>
    </row>
    <row r="56" spans="1:17" ht="20.100000000000001" customHeight="1">
      <c r="A56" s="92">
        <v>49</v>
      </c>
      <c r="B56" s="1049" t="s">
        <v>2418</v>
      </c>
      <c r="C56" s="1049" t="s">
        <v>2399</v>
      </c>
      <c r="D56" s="1049"/>
      <c r="E56" s="92"/>
      <c r="F56" s="92"/>
      <c r="G56" s="92"/>
      <c r="H56" s="92"/>
      <c r="I56" s="92"/>
      <c r="J56" s="92"/>
      <c r="K56" s="1059">
        <v>1</v>
      </c>
      <c r="L56" s="3545"/>
      <c r="M56" s="2627" t="s">
        <v>2963</v>
      </c>
      <c r="N56" s="2641">
        <v>463656.23</v>
      </c>
      <c r="O56" s="1029">
        <f t="shared" si="0"/>
        <v>1</v>
      </c>
      <c r="P56" s="1903"/>
      <c r="Q56" s="92"/>
    </row>
    <row r="57" spans="1:17" ht="20.100000000000001" customHeight="1">
      <c r="A57" s="92">
        <v>50</v>
      </c>
      <c r="B57" s="1049" t="s">
        <v>2418</v>
      </c>
      <c r="C57" s="1049" t="s">
        <v>2399</v>
      </c>
      <c r="D57" s="1049"/>
      <c r="E57" s="92"/>
      <c r="F57" s="92"/>
      <c r="G57" s="92"/>
      <c r="H57" s="92"/>
      <c r="I57" s="92"/>
      <c r="J57" s="92"/>
      <c r="K57" s="1059">
        <v>3</v>
      </c>
      <c r="L57" s="3545"/>
      <c r="M57" s="2627" t="s">
        <v>2964</v>
      </c>
      <c r="N57" s="2641">
        <v>16517.009999999998</v>
      </c>
      <c r="O57" s="1029">
        <f t="shared" si="0"/>
        <v>3</v>
      </c>
      <c r="P57" s="1903"/>
      <c r="Q57" s="92"/>
    </row>
    <row r="58" spans="1:17" ht="20.100000000000001" customHeight="1">
      <c r="A58" s="92">
        <v>51</v>
      </c>
      <c r="B58" s="1049" t="s">
        <v>2418</v>
      </c>
      <c r="C58" s="1049" t="s">
        <v>2399</v>
      </c>
      <c r="D58" s="1049"/>
      <c r="E58" s="92"/>
      <c r="F58" s="92"/>
      <c r="G58" s="92"/>
      <c r="H58" s="92"/>
      <c r="I58" s="92"/>
      <c r="J58" s="92"/>
      <c r="K58" s="1059">
        <v>1</v>
      </c>
      <c r="L58" s="1059"/>
      <c r="M58" s="1202" t="s">
        <v>2960</v>
      </c>
      <c r="N58" s="2645">
        <v>4608.41</v>
      </c>
      <c r="O58" s="1029">
        <f t="shared" si="0"/>
        <v>1</v>
      </c>
      <c r="P58" s="1903"/>
      <c r="Q58" s="92"/>
    </row>
    <row r="59" spans="1:17" ht="20.100000000000001" customHeight="1">
      <c r="A59" s="92">
        <v>52</v>
      </c>
      <c r="B59" s="1049" t="s">
        <v>2418</v>
      </c>
      <c r="C59" s="1049" t="s">
        <v>2399</v>
      </c>
      <c r="D59" s="1049"/>
      <c r="E59" s="92"/>
      <c r="F59" s="92"/>
      <c r="G59" s="92"/>
      <c r="H59" s="92"/>
      <c r="I59" s="92"/>
      <c r="J59" s="92"/>
      <c r="K59" s="1059">
        <v>1</v>
      </c>
      <c r="L59" s="1059"/>
      <c r="M59" s="1202" t="s">
        <v>2961</v>
      </c>
      <c r="N59" s="2645">
        <v>1739.2</v>
      </c>
      <c r="O59" s="1029">
        <f t="shared" si="0"/>
        <v>1</v>
      </c>
      <c r="P59" s="1903"/>
      <c r="Q59" s="92"/>
    </row>
    <row r="60" spans="1:17" ht="20.100000000000001" customHeight="1">
      <c r="A60" s="92">
        <v>53</v>
      </c>
      <c r="B60" s="1049" t="s">
        <v>2418</v>
      </c>
      <c r="C60" s="1049" t="s">
        <v>2399</v>
      </c>
      <c r="D60" s="1049"/>
      <c r="E60" s="92"/>
      <c r="F60" s="92"/>
      <c r="G60" s="92"/>
      <c r="H60" s="92"/>
      <c r="I60" s="92"/>
      <c r="J60" s="92"/>
      <c r="K60" s="1059">
        <v>1</v>
      </c>
      <c r="L60" s="1059"/>
      <c r="M60" s="1202" t="s">
        <v>2962</v>
      </c>
      <c r="N60" s="2645">
        <v>105000</v>
      </c>
      <c r="O60" s="1029">
        <f t="shared" si="0"/>
        <v>1</v>
      </c>
      <c r="P60" s="1903"/>
      <c r="Q60" s="92"/>
    </row>
    <row r="61" spans="1:17" ht="20.100000000000001" customHeight="1">
      <c r="A61" s="92">
        <v>54</v>
      </c>
      <c r="B61" s="1049" t="s">
        <v>2418</v>
      </c>
      <c r="C61" s="1049" t="s">
        <v>2399</v>
      </c>
      <c r="D61" s="1049"/>
      <c r="E61" s="92"/>
      <c r="F61" s="92"/>
      <c r="G61" s="92"/>
      <c r="H61" s="92">
        <v>205</v>
      </c>
      <c r="I61" s="92"/>
      <c r="J61" s="92"/>
      <c r="K61" s="2026"/>
      <c r="L61" s="2025"/>
      <c r="M61" s="1200" t="s">
        <v>35</v>
      </c>
      <c r="N61" s="2180"/>
      <c r="O61" s="1029">
        <f t="shared" si="0"/>
        <v>205</v>
      </c>
      <c r="P61" s="1903"/>
      <c r="Q61" s="92"/>
    </row>
    <row r="62" spans="1:17" ht="20.100000000000001" customHeight="1">
      <c r="A62" s="92">
        <v>55</v>
      </c>
      <c r="B62" s="1049" t="s">
        <v>2418</v>
      </c>
      <c r="C62" s="1049" t="s">
        <v>2399</v>
      </c>
      <c r="D62" s="1049" t="s">
        <v>36</v>
      </c>
      <c r="E62" s="92"/>
      <c r="F62" s="92">
        <v>294</v>
      </c>
      <c r="G62" s="92"/>
      <c r="H62" s="92"/>
      <c r="I62" s="92"/>
      <c r="J62" s="92"/>
      <c r="K62" s="2025"/>
      <c r="L62" s="2025"/>
      <c r="M62" s="1202" t="s">
        <v>2419</v>
      </c>
      <c r="N62" s="2180"/>
      <c r="O62" s="1029">
        <f t="shared" si="0"/>
        <v>294</v>
      </c>
      <c r="P62" s="1903"/>
      <c r="Q62" s="92"/>
    </row>
    <row r="63" spans="1:17" ht="20.100000000000001" customHeight="1">
      <c r="A63" s="92">
        <v>56</v>
      </c>
      <c r="B63" s="1049" t="s">
        <v>2418</v>
      </c>
      <c r="C63" s="1049" t="s">
        <v>2399</v>
      </c>
      <c r="D63" s="1049"/>
      <c r="E63" s="92">
        <v>24</v>
      </c>
      <c r="F63" s="92"/>
      <c r="G63" s="92"/>
      <c r="H63" s="92"/>
      <c r="I63" s="92"/>
      <c r="J63" s="92"/>
      <c r="K63" s="2025"/>
      <c r="L63" s="2025"/>
      <c r="M63" s="1200" t="s">
        <v>1591</v>
      </c>
      <c r="N63" s="2180"/>
      <c r="O63" s="1029">
        <f t="shared" si="0"/>
        <v>24</v>
      </c>
      <c r="P63" s="1903"/>
      <c r="Q63" s="92"/>
    </row>
    <row r="64" spans="1:17" ht="20.100000000000001" customHeight="1">
      <c r="A64" s="92">
        <v>57</v>
      </c>
      <c r="B64" s="112" t="s">
        <v>2420</v>
      </c>
      <c r="C64" s="1049" t="s">
        <v>2399</v>
      </c>
      <c r="D64" s="2027"/>
      <c r="E64" s="92"/>
      <c r="F64" s="92"/>
      <c r="G64" s="92"/>
      <c r="H64" s="92"/>
      <c r="I64" s="92"/>
      <c r="J64" s="92"/>
      <c r="K64" s="2028">
        <v>1</v>
      </c>
      <c r="L64" s="2029" t="s">
        <v>2421</v>
      </c>
      <c r="M64" s="1104" t="s">
        <v>2422</v>
      </c>
      <c r="N64" s="2646">
        <v>10800</v>
      </c>
      <c r="O64" s="1029">
        <f t="shared" si="0"/>
        <v>1</v>
      </c>
      <c r="P64" s="1903"/>
      <c r="Q64" s="92"/>
    </row>
    <row r="65" spans="1:17" ht="20.100000000000001" customHeight="1">
      <c r="A65" s="92">
        <v>58</v>
      </c>
      <c r="B65" s="112" t="s">
        <v>2420</v>
      </c>
      <c r="C65" s="1049" t="s">
        <v>2399</v>
      </c>
      <c r="D65" s="2027"/>
      <c r="E65" s="92"/>
      <c r="F65" s="92"/>
      <c r="G65" s="92">
        <v>1</v>
      </c>
      <c r="H65" s="92"/>
      <c r="I65" s="92"/>
      <c r="J65" s="92"/>
      <c r="K65" s="2030"/>
      <c r="L65" s="2031" t="s">
        <v>2423</v>
      </c>
      <c r="M65" s="1287" t="s">
        <v>49</v>
      </c>
      <c r="N65" s="2641">
        <v>5526750.7199999997</v>
      </c>
      <c r="O65" s="1029">
        <f t="shared" si="0"/>
        <v>1</v>
      </c>
      <c r="P65" s="1903"/>
      <c r="Q65" s="92"/>
    </row>
    <row r="66" spans="1:17" ht="20.100000000000001" customHeight="1">
      <c r="A66" s="92">
        <v>59</v>
      </c>
      <c r="B66" s="112" t="s">
        <v>2420</v>
      </c>
      <c r="C66" s="1049" t="s">
        <v>2399</v>
      </c>
      <c r="D66" s="2027"/>
      <c r="E66" s="92"/>
      <c r="F66" s="92"/>
      <c r="G66" s="92">
        <v>1</v>
      </c>
      <c r="H66" s="92"/>
      <c r="I66" s="92"/>
      <c r="J66" s="92"/>
      <c r="K66" s="2032"/>
      <c r="L66" s="2033">
        <v>45272</v>
      </c>
      <c r="M66" s="1287" t="s">
        <v>50</v>
      </c>
      <c r="N66" s="2634">
        <v>10</v>
      </c>
      <c r="O66" s="1029">
        <f t="shared" si="0"/>
        <v>1</v>
      </c>
      <c r="P66" s="1903"/>
      <c r="Q66" s="92"/>
    </row>
    <row r="67" spans="1:17" ht="20.100000000000001" customHeight="1">
      <c r="A67" s="92">
        <v>60</v>
      </c>
      <c r="B67" s="112" t="s">
        <v>2420</v>
      </c>
      <c r="C67" s="1049" t="s">
        <v>2399</v>
      </c>
      <c r="D67" s="2027"/>
      <c r="E67" s="92"/>
      <c r="F67" s="92"/>
      <c r="G67" s="92"/>
      <c r="H67" s="92"/>
      <c r="I67" s="92"/>
      <c r="J67" s="92"/>
      <c r="K67" s="2034">
        <v>1</v>
      </c>
      <c r="L67" s="2033" t="s">
        <v>1000</v>
      </c>
      <c r="M67" s="1202" t="s">
        <v>2424</v>
      </c>
      <c r="N67" s="2634">
        <v>750</v>
      </c>
      <c r="O67" s="1029">
        <f t="shared" si="0"/>
        <v>1</v>
      </c>
      <c r="P67" s="1903"/>
      <c r="Q67" s="92"/>
    </row>
    <row r="68" spans="1:17" ht="20.100000000000001" customHeight="1">
      <c r="A68" s="92">
        <v>61</v>
      </c>
      <c r="B68" s="112" t="s">
        <v>2420</v>
      </c>
      <c r="C68" s="1049" t="s">
        <v>2399</v>
      </c>
      <c r="D68" s="2027"/>
      <c r="E68" s="92"/>
      <c r="F68" s="92"/>
      <c r="G68" s="92"/>
      <c r="H68" s="92"/>
      <c r="I68" s="92"/>
      <c r="J68" s="92"/>
      <c r="K68" s="2034">
        <v>1</v>
      </c>
      <c r="L68" s="2033"/>
      <c r="M68" s="1202" t="s">
        <v>2425</v>
      </c>
      <c r="N68" s="2635">
        <v>7963.22</v>
      </c>
      <c r="O68" s="1029">
        <f t="shared" si="0"/>
        <v>1</v>
      </c>
      <c r="P68" s="1903"/>
      <c r="Q68" s="92"/>
    </row>
    <row r="69" spans="1:17" ht="20.100000000000001" customHeight="1">
      <c r="A69" s="92">
        <v>62</v>
      </c>
      <c r="B69" s="112" t="s">
        <v>2420</v>
      </c>
      <c r="C69" s="1049" t="s">
        <v>2399</v>
      </c>
      <c r="D69" s="2027"/>
      <c r="E69" s="92"/>
      <c r="F69" s="92"/>
      <c r="G69" s="92"/>
      <c r="H69" s="92"/>
      <c r="I69" s="92">
        <v>5180</v>
      </c>
      <c r="J69" s="92"/>
      <c r="K69" s="2030"/>
      <c r="L69" s="2029"/>
      <c r="M69" s="1200" t="s">
        <v>35</v>
      </c>
      <c r="N69" s="2646">
        <v>0</v>
      </c>
      <c r="O69" s="1029">
        <f t="shared" si="0"/>
        <v>5180</v>
      </c>
      <c r="P69" s="1903"/>
      <c r="Q69" s="92"/>
    </row>
    <row r="70" spans="1:17" ht="20.100000000000001" customHeight="1">
      <c r="A70" s="92">
        <v>63</v>
      </c>
      <c r="B70" s="112" t="s">
        <v>2420</v>
      </c>
      <c r="C70" s="1049" t="s">
        <v>2399</v>
      </c>
      <c r="D70" s="2027"/>
      <c r="E70" s="92"/>
      <c r="F70" s="92"/>
      <c r="G70" s="92"/>
      <c r="H70" s="92"/>
      <c r="I70" s="92"/>
      <c r="J70" s="92"/>
      <c r="K70" s="2028">
        <v>1</v>
      </c>
      <c r="L70" s="2029"/>
      <c r="M70" s="1200" t="s">
        <v>2426</v>
      </c>
      <c r="N70" s="2646"/>
      <c r="O70" s="1029">
        <f t="shared" si="0"/>
        <v>0</v>
      </c>
      <c r="P70" s="1903">
        <v>1</v>
      </c>
      <c r="Q70" s="92"/>
    </row>
    <row r="71" spans="1:17" ht="20.100000000000001" customHeight="1">
      <c r="A71" s="92">
        <v>64</v>
      </c>
      <c r="B71" s="112" t="s">
        <v>2420</v>
      </c>
      <c r="C71" s="1049" t="s">
        <v>2399</v>
      </c>
      <c r="D71" s="2027"/>
      <c r="E71" s="92"/>
      <c r="F71" s="92"/>
      <c r="G71" s="92"/>
      <c r="H71" s="92"/>
      <c r="I71" s="92"/>
      <c r="J71" s="92"/>
      <c r="K71" s="2030">
        <v>2</v>
      </c>
      <c r="L71" s="2029"/>
      <c r="M71" s="1200" t="s">
        <v>196</v>
      </c>
      <c r="N71" s="2647"/>
      <c r="O71" s="1029">
        <f t="shared" si="0"/>
        <v>2</v>
      </c>
      <c r="P71" s="1903"/>
      <c r="Q71" s="92"/>
    </row>
    <row r="72" spans="1:17" ht="20.100000000000001" customHeight="1">
      <c r="A72" s="92">
        <v>65</v>
      </c>
      <c r="B72" s="112" t="s">
        <v>2420</v>
      </c>
      <c r="C72" s="1049" t="s">
        <v>2399</v>
      </c>
      <c r="D72" s="2027" t="s">
        <v>36</v>
      </c>
      <c r="E72" s="92"/>
      <c r="F72" s="92">
        <v>988</v>
      </c>
      <c r="G72" s="92"/>
      <c r="H72" s="92"/>
      <c r="I72" s="92"/>
      <c r="J72" s="92"/>
      <c r="K72" s="2030"/>
      <c r="L72" s="2029"/>
      <c r="M72" s="1200" t="s">
        <v>2427</v>
      </c>
      <c r="N72" s="2636">
        <v>0</v>
      </c>
      <c r="O72" s="1029">
        <f t="shared" si="0"/>
        <v>988</v>
      </c>
      <c r="P72" s="1903"/>
      <c r="Q72" s="92"/>
    </row>
    <row r="73" spans="1:17" ht="20.100000000000001" customHeight="1">
      <c r="A73" s="92">
        <v>66</v>
      </c>
      <c r="B73" s="112" t="s">
        <v>2420</v>
      </c>
      <c r="C73" s="1049" t="s">
        <v>2399</v>
      </c>
      <c r="D73" s="2027"/>
      <c r="E73" s="92">
        <v>179</v>
      </c>
      <c r="F73" s="92"/>
      <c r="G73" s="92"/>
      <c r="H73" s="92"/>
      <c r="I73" s="92"/>
      <c r="J73" s="92"/>
      <c r="K73" s="2030"/>
      <c r="L73" s="2029"/>
      <c r="M73" s="1200" t="s">
        <v>1591</v>
      </c>
      <c r="N73" s="2636"/>
      <c r="O73" s="1029">
        <f t="shared" si="0"/>
        <v>179</v>
      </c>
      <c r="P73" s="1903"/>
      <c r="Q73" s="92"/>
    </row>
    <row r="74" spans="1:17" ht="20.100000000000001" customHeight="1">
      <c r="A74" s="92">
        <v>67</v>
      </c>
      <c r="B74" s="112" t="s">
        <v>2420</v>
      </c>
      <c r="C74" s="1049" t="s">
        <v>2399</v>
      </c>
      <c r="D74" s="2027" t="s">
        <v>38</v>
      </c>
      <c r="E74" s="92"/>
      <c r="F74" s="92"/>
      <c r="G74" s="92"/>
      <c r="H74" s="92"/>
      <c r="I74" s="92"/>
      <c r="J74" s="92"/>
      <c r="K74" s="2028">
        <v>1</v>
      </c>
      <c r="L74" s="2029" t="s">
        <v>2428</v>
      </c>
      <c r="M74" s="1200" t="s">
        <v>2429</v>
      </c>
      <c r="N74" s="2636">
        <v>50000</v>
      </c>
      <c r="O74" s="1029">
        <f t="shared" si="0"/>
        <v>1</v>
      </c>
      <c r="P74" s="1903"/>
      <c r="Q74" s="92"/>
    </row>
    <row r="75" spans="1:17" ht="20.100000000000001" customHeight="1">
      <c r="A75" s="92">
        <v>68</v>
      </c>
      <c r="B75" s="112" t="s">
        <v>2420</v>
      </c>
      <c r="C75" s="1049" t="s">
        <v>2399</v>
      </c>
      <c r="D75" s="2027"/>
      <c r="E75" s="92"/>
      <c r="F75" s="92"/>
      <c r="G75" s="92"/>
      <c r="H75" s="92"/>
      <c r="I75" s="92"/>
      <c r="J75" s="92"/>
      <c r="K75" s="2028">
        <v>1</v>
      </c>
      <c r="L75" s="2035" t="s">
        <v>2430</v>
      </c>
      <c r="M75" s="870" t="s">
        <v>2431</v>
      </c>
      <c r="N75" s="2648">
        <v>250000</v>
      </c>
      <c r="O75" s="1029">
        <f t="shared" si="0"/>
        <v>1</v>
      </c>
      <c r="P75" s="1903"/>
      <c r="Q75" s="92"/>
    </row>
    <row r="76" spans="1:17" ht="20.100000000000001" customHeight="1">
      <c r="A76" s="92">
        <v>69</v>
      </c>
      <c r="B76" s="112" t="s">
        <v>2420</v>
      </c>
      <c r="C76" s="1049" t="s">
        <v>2399</v>
      </c>
      <c r="D76" s="2027" t="s">
        <v>105</v>
      </c>
      <c r="E76" s="92"/>
      <c r="F76" s="92"/>
      <c r="G76" s="92"/>
      <c r="H76" s="92"/>
      <c r="I76" s="92"/>
      <c r="J76" s="92"/>
      <c r="K76" s="2030">
        <v>1</v>
      </c>
      <c r="L76" s="2029"/>
      <c r="M76" s="2093" t="s">
        <v>2432</v>
      </c>
      <c r="N76" s="2646"/>
      <c r="O76" s="1029">
        <f t="shared" si="0"/>
        <v>1</v>
      </c>
      <c r="P76" s="1903"/>
      <c r="Q76" s="92"/>
    </row>
    <row r="77" spans="1:17" ht="20.100000000000001" customHeight="1">
      <c r="A77" s="92">
        <v>70</v>
      </c>
      <c r="B77" s="112" t="s">
        <v>2420</v>
      </c>
      <c r="C77" s="1049" t="s">
        <v>2399</v>
      </c>
      <c r="D77" s="2027"/>
      <c r="E77" s="92"/>
      <c r="F77" s="92"/>
      <c r="G77" s="92"/>
      <c r="H77" s="92"/>
      <c r="I77" s="92"/>
      <c r="J77" s="92"/>
      <c r="K77" s="2036">
        <v>1</v>
      </c>
      <c r="L77" s="2037"/>
      <c r="M77" s="2093" t="s">
        <v>2433</v>
      </c>
      <c r="N77" s="2649"/>
      <c r="O77" s="1029">
        <f t="shared" ref="O77:O140" si="1">E77+F77+G77+H77+I77+J77+K77-P77</f>
        <v>1</v>
      </c>
      <c r="P77" s="1903"/>
      <c r="Q77" s="92"/>
    </row>
    <row r="78" spans="1:17" ht="20.100000000000001" customHeight="1">
      <c r="A78" s="92">
        <v>71</v>
      </c>
      <c r="B78" s="112" t="s">
        <v>2420</v>
      </c>
      <c r="C78" s="1049" t="s">
        <v>2399</v>
      </c>
      <c r="D78" s="2027"/>
      <c r="E78" s="92"/>
      <c r="F78" s="92"/>
      <c r="G78" s="92"/>
      <c r="H78" s="92"/>
      <c r="I78" s="92"/>
      <c r="J78" s="92"/>
      <c r="K78" s="2030">
        <v>1</v>
      </c>
      <c r="L78" s="2029"/>
      <c r="M78" s="1195" t="s">
        <v>2434</v>
      </c>
      <c r="N78" s="2646"/>
      <c r="O78" s="1029">
        <f t="shared" si="1"/>
        <v>1</v>
      </c>
      <c r="P78" s="1903"/>
      <c r="Q78" s="92"/>
    </row>
    <row r="79" spans="1:17" ht="20.100000000000001" customHeight="1">
      <c r="A79" s="92">
        <v>72</v>
      </c>
      <c r="B79" s="112" t="s">
        <v>2435</v>
      </c>
      <c r="C79" s="1049" t="s">
        <v>2399</v>
      </c>
      <c r="D79" s="1049" t="s">
        <v>26</v>
      </c>
      <c r="E79" s="92"/>
      <c r="F79" s="92"/>
      <c r="G79" s="92"/>
      <c r="H79" s="92"/>
      <c r="I79" s="92"/>
      <c r="J79" s="92"/>
      <c r="K79" s="1155">
        <v>1</v>
      </c>
      <c r="L79" s="1155"/>
      <c r="M79" s="1287" t="s">
        <v>48</v>
      </c>
      <c r="N79" s="2650">
        <v>207360.49</v>
      </c>
      <c r="O79" s="1029">
        <f t="shared" si="1"/>
        <v>1</v>
      </c>
      <c r="P79" s="1903"/>
      <c r="Q79" s="92"/>
    </row>
    <row r="80" spans="1:17" ht="20.100000000000001" customHeight="1">
      <c r="A80" s="92">
        <v>73</v>
      </c>
      <c r="B80" s="112" t="s">
        <v>2435</v>
      </c>
      <c r="C80" s="1049" t="s">
        <v>2399</v>
      </c>
      <c r="D80" s="1049"/>
      <c r="E80" s="92"/>
      <c r="F80" s="92"/>
      <c r="G80" s="92"/>
      <c r="H80" s="92"/>
      <c r="I80" s="92"/>
      <c r="J80" s="92"/>
      <c r="K80" s="1155">
        <v>1</v>
      </c>
      <c r="L80" s="1155"/>
      <c r="M80" s="1104" t="s">
        <v>2436</v>
      </c>
      <c r="N80" s="2650">
        <v>207360.49</v>
      </c>
      <c r="O80" s="1029">
        <f t="shared" si="1"/>
        <v>1</v>
      </c>
      <c r="P80" s="1903"/>
      <c r="Q80" s="92"/>
    </row>
    <row r="81" spans="1:17" ht="20.100000000000001" customHeight="1">
      <c r="A81" s="92">
        <v>74</v>
      </c>
      <c r="B81" s="112" t="s">
        <v>2435</v>
      </c>
      <c r="C81" s="1049" t="s">
        <v>2399</v>
      </c>
      <c r="D81" s="1049"/>
      <c r="E81" s="92"/>
      <c r="F81" s="92"/>
      <c r="G81" s="92">
        <v>1</v>
      </c>
      <c r="H81" s="92"/>
      <c r="I81" s="92"/>
      <c r="J81" s="92"/>
      <c r="K81" s="1155"/>
      <c r="L81" s="1155"/>
      <c r="M81" s="1287" t="s">
        <v>49</v>
      </c>
      <c r="N81" s="2651">
        <v>8578220.6199999992</v>
      </c>
      <c r="O81" s="1029">
        <f t="shared" si="1"/>
        <v>1</v>
      </c>
      <c r="P81" s="1903"/>
      <c r="Q81" s="92"/>
    </row>
    <row r="82" spans="1:17" ht="20.100000000000001" customHeight="1">
      <c r="A82" s="92">
        <v>75</v>
      </c>
      <c r="B82" s="112" t="s">
        <v>2435</v>
      </c>
      <c r="C82" s="1049" t="s">
        <v>2399</v>
      </c>
      <c r="D82" s="1049"/>
      <c r="E82" s="92"/>
      <c r="F82" s="92"/>
      <c r="G82" s="92">
        <v>1</v>
      </c>
      <c r="H82" s="92"/>
      <c r="I82" s="92"/>
      <c r="J82" s="92"/>
      <c r="K82" s="1155"/>
      <c r="L82" s="1155"/>
      <c r="M82" s="1287" t="s">
        <v>32</v>
      </c>
      <c r="N82" s="2652">
        <v>25.65</v>
      </c>
      <c r="O82" s="1029">
        <f t="shared" si="1"/>
        <v>1</v>
      </c>
      <c r="P82" s="1903"/>
      <c r="Q82" s="92"/>
    </row>
    <row r="83" spans="1:17" ht="20.100000000000001" customHeight="1">
      <c r="A83" s="92">
        <v>76</v>
      </c>
      <c r="B83" s="112" t="s">
        <v>2435</v>
      </c>
      <c r="C83" s="1049" t="s">
        <v>2399</v>
      </c>
      <c r="D83" s="1049"/>
      <c r="E83" s="92"/>
      <c r="F83" s="92"/>
      <c r="G83" s="92">
        <v>1</v>
      </c>
      <c r="H83" s="92"/>
      <c r="I83" s="92"/>
      <c r="J83" s="92"/>
      <c r="K83" s="1159"/>
      <c r="L83" s="1159"/>
      <c r="M83" s="1287" t="s">
        <v>50</v>
      </c>
      <c r="N83" s="2653">
        <v>0.02</v>
      </c>
      <c r="O83" s="1029">
        <f t="shared" si="1"/>
        <v>1</v>
      </c>
      <c r="P83" s="1903"/>
      <c r="Q83" s="92"/>
    </row>
    <row r="84" spans="1:17" ht="20.100000000000001" customHeight="1">
      <c r="A84" s="92">
        <v>77</v>
      </c>
      <c r="B84" s="112" t="s">
        <v>2435</v>
      </c>
      <c r="C84" s="1049" t="s">
        <v>2399</v>
      </c>
      <c r="D84" s="1049" t="s">
        <v>68</v>
      </c>
      <c r="E84" s="92"/>
      <c r="F84" s="92"/>
      <c r="G84" s="92"/>
      <c r="H84" s="92"/>
      <c r="I84" s="92"/>
      <c r="J84" s="92"/>
      <c r="K84" s="1159">
        <v>1</v>
      </c>
      <c r="L84" s="1159"/>
      <c r="M84" s="1197" t="s">
        <v>2437</v>
      </c>
      <c r="N84" s="2653">
        <v>3000</v>
      </c>
      <c r="O84" s="1029">
        <f t="shared" si="1"/>
        <v>1</v>
      </c>
      <c r="P84" s="1903"/>
      <c r="Q84" s="92"/>
    </row>
    <row r="85" spans="1:17" ht="20.100000000000001" customHeight="1">
      <c r="A85" s="92">
        <v>78</v>
      </c>
      <c r="B85" s="112" t="s">
        <v>2435</v>
      </c>
      <c r="C85" s="1049" t="s">
        <v>2399</v>
      </c>
      <c r="D85" s="1049"/>
      <c r="E85" s="92"/>
      <c r="F85" s="92"/>
      <c r="G85" s="92"/>
      <c r="H85" s="92"/>
      <c r="I85" s="92"/>
      <c r="J85" s="92"/>
      <c r="K85" s="1159">
        <v>1</v>
      </c>
      <c r="L85" s="1159"/>
      <c r="M85" s="1159" t="s">
        <v>2438</v>
      </c>
      <c r="N85" s="2653">
        <v>7992</v>
      </c>
      <c r="O85" s="1029">
        <f t="shared" si="1"/>
        <v>1</v>
      </c>
      <c r="P85" s="1903"/>
      <c r="Q85" s="92"/>
    </row>
    <row r="86" spans="1:17" ht="20.100000000000001" customHeight="1">
      <c r="A86" s="92">
        <v>79</v>
      </c>
      <c r="B86" s="112" t="s">
        <v>2435</v>
      </c>
      <c r="C86" s="1049" t="s">
        <v>2399</v>
      </c>
      <c r="D86" s="1066"/>
      <c r="E86" s="92"/>
      <c r="F86" s="92"/>
      <c r="G86" s="92"/>
      <c r="H86" s="92"/>
      <c r="I86" s="92">
        <v>3721</v>
      </c>
      <c r="J86" s="92"/>
      <c r="K86" s="1155"/>
      <c r="L86" s="1155"/>
      <c r="M86" s="1287" t="s">
        <v>35</v>
      </c>
      <c r="N86" s="2652"/>
      <c r="O86" s="1029">
        <f t="shared" si="1"/>
        <v>3721</v>
      </c>
      <c r="P86" s="1903"/>
      <c r="Q86" s="92"/>
    </row>
    <row r="87" spans="1:17" ht="20.100000000000001" customHeight="1">
      <c r="A87" s="92">
        <v>80</v>
      </c>
      <c r="B87" s="112" t="s">
        <v>2435</v>
      </c>
      <c r="C87" s="1049" t="s">
        <v>2399</v>
      </c>
      <c r="D87" s="1049" t="s">
        <v>36</v>
      </c>
      <c r="E87" s="92"/>
      <c r="F87" s="92">
        <v>792</v>
      </c>
      <c r="G87" s="92"/>
      <c r="H87" s="92"/>
      <c r="I87" s="92"/>
      <c r="J87" s="92"/>
      <c r="K87" s="1155"/>
      <c r="L87" s="1155"/>
      <c r="M87" s="1287" t="s">
        <v>2439</v>
      </c>
      <c r="N87" s="2652"/>
      <c r="O87" s="1029">
        <f t="shared" si="1"/>
        <v>792</v>
      </c>
      <c r="P87" s="1903"/>
      <c r="Q87" s="92"/>
    </row>
    <row r="88" spans="1:17" ht="20.100000000000001" customHeight="1">
      <c r="A88" s="92">
        <v>81</v>
      </c>
      <c r="B88" s="112" t="s">
        <v>2435</v>
      </c>
      <c r="C88" s="1049" t="s">
        <v>2399</v>
      </c>
      <c r="D88" s="1049"/>
      <c r="E88" s="92">
        <v>88</v>
      </c>
      <c r="F88" s="92"/>
      <c r="G88" s="92"/>
      <c r="H88" s="92"/>
      <c r="I88" s="92"/>
      <c r="J88" s="92"/>
      <c r="K88" s="1155"/>
      <c r="L88" s="1155"/>
      <c r="M88" s="1200" t="s">
        <v>1591</v>
      </c>
      <c r="N88" s="2652"/>
      <c r="O88" s="1029">
        <f t="shared" si="1"/>
        <v>88</v>
      </c>
      <c r="P88" s="1903"/>
      <c r="Q88" s="92"/>
    </row>
    <row r="89" spans="1:17" ht="20.100000000000001" customHeight="1">
      <c r="A89" s="92">
        <v>82</v>
      </c>
      <c r="B89" s="112" t="s">
        <v>2435</v>
      </c>
      <c r="C89" s="1049" t="s">
        <v>2399</v>
      </c>
      <c r="D89" s="1066"/>
      <c r="E89" s="92"/>
      <c r="F89" s="92"/>
      <c r="G89" s="92"/>
      <c r="H89" s="92"/>
      <c r="I89" s="92"/>
      <c r="J89" s="92"/>
      <c r="K89" s="1155">
        <v>1</v>
      </c>
      <c r="L89" s="2018" t="s">
        <v>2440</v>
      </c>
      <c r="M89" s="1309" t="s">
        <v>2417</v>
      </c>
      <c r="N89" s="2653">
        <v>65000</v>
      </c>
      <c r="O89" s="1029">
        <f t="shared" si="1"/>
        <v>1</v>
      </c>
      <c r="P89" s="1903"/>
      <c r="Q89" s="92"/>
    </row>
    <row r="90" spans="1:17" ht="20.100000000000001" customHeight="1">
      <c r="A90" s="92">
        <v>83</v>
      </c>
      <c r="B90" s="112" t="s">
        <v>2441</v>
      </c>
      <c r="C90" s="1049" t="s">
        <v>2399</v>
      </c>
      <c r="D90" s="1049" t="s">
        <v>26</v>
      </c>
      <c r="E90" s="92"/>
      <c r="F90" s="92"/>
      <c r="G90" s="92"/>
      <c r="H90" s="92"/>
      <c r="I90" s="92"/>
      <c r="J90" s="92"/>
      <c r="K90" s="1155">
        <v>1</v>
      </c>
      <c r="L90" s="1155" t="s">
        <v>100</v>
      </c>
      <c r="M90" s="1200" t="s">
        <v>48</v>
      </c>
      <c r="N90" s="2637">
        <v>1450.79</v>
      </c>
      <c r="O90" s="1029">
        <f t="shared" si="1"/>
        <v>1</v>
      </c>
      <c r="P90" s="1903"/>
      <c r="Q90" s="92"/>
    </row>
    <row r="91" spans="1:17" ht="20.100000000000001" customHeight="1">
      <c r="A91" s="92">
        <v>84</v>
      </c>
      <c r="B91" s="112" t="s">
        <v>2441</v>
      </c>
      <c r="C91" s="1049" t="s">
        <v>2399</v>
      </c>
      <c r="D91" s="1049"/>
      <c r="E91" s="92"/>
      <c r="F91" s="92"/>
      <c r="G91" s="92"/>
      <c r="H91" s="92"/>
      <c r="I91" s="92"/>
      <c r="J91" s="92"/>
      <c r="K91" s="1198">
        <v>1</v>
      </c>
      <c r="L91" s="1198" t="s">
        <v>100</v>
      </c>
      <c r="M91" s="2038" t="s">
        <v>118</v>
      </c>
      <c r="N91" s="2654">
        <v>1450.79</v>
      </c>
      <c r="O91" s="1029">
        <f t="shared" si="1"/>
        <v>1</v>
      </c>
      <c r="P91" s="1903"/>
      <c r="Q91" s="92"/>
    </row>
    <row r="92" spans="1:17" ht="20.100000000000001" customHeight="1">
      <c r="A92" s="92">
        <v>85</v>
      </c>
      <c r="B92" s="112" t="s">
        <v>2441</v>
      </c>
      <c r="C92" s="1049" t="s">
        <v>2399</v>
      </c>
      <c r="D92" s="1049"/>
      <c r="E92" s="92"/>
      <c r="F92" s="92"/>
      <c r="G92" s="92">
        <v>1</v>
      </c>
      <c r="H92" s="92"/>
      <c r="I92" s="92"/>
      <c r="J92" s="92"/>
      <c r="K92" s="1155"/>
      <c r="L92" s="1155"/>
      <c r="M92" s="1287" t="s">
        <v>49</v>
      </c>
      <c r="N92" s="2637">
        <v>57169872.369999997</v>
      </c>
      <c r="O92" s="1029">
        <f t="shared" si="1"/>
        <v>1</v>
      </c>
      <c r="P92" s="1903"/>
      <c r="Q92" s="92"/>
    </row>
    <row r="93" spans="1:17" ht="20.100000000000001" customHeight="1">
      <c r="A93" s="92">
        <v>86</v>
      </c>
      <c r="B93" s="112" t="s">
        <v>2441</v>
      </c>
      <c r="C93" s="1049" t="s">
        <v>2399</v>
      </c>
      <c r="D93" s="1049"/>
      <c r="E93" s="92"/>
      <c r="F93" s="92"/>
      <c r="G93" s="92">
        <v>2</v>
      </c>
      <c r="H93" s="92"/>
      <c r="I93" s="92"/>
      <c r="J93" s="92"/>
      <c r="K93" s="1198"/>
      <c r="L93" s="1198"/>
      <c r="M93" s="1103" t="s">
        <v>32</v>
      </c>
      <c r="N93" s="2655">
        <v>1365.12</v>
      </c>
      <c r="O93" s="1029">
        <f t="shared" si="1"/>
        <v>2</v>
      </c>
      <c r="P93" s="1903"/>
      <c r="Q93" s="92"/>
    </row>
    <row r="94" spans="1:17" ht="20.100000000000001" customHeight="1">
      <c r="A94" s="92">
        <v>87</v>
      </c>
      <c r="B94" s="112" t="s">
        <v>2441</v>
      </c>
      <c r="C94" s="1049" t="s">
        <v>2399</v>
      </c>
      <c r="D94" s="1049"/>
      <c r="E94" s="92"/>
      <c r="F94" s="92"/>
      <c r="G94" s="92">
        <v>2</v>
      </c>
      <c r="H94" s="92"/>
      <c r="I94" s="92"/>
      <c r="J94" s="92"/>
      <c r="K94" s="1159"/>
      <c r="L94" s="1159"/>
      <c r="M94" s="1287" t="s">
        <v>50</v>
      </c>
      <c r="N94" s="2653">
        <v>0.75</v>
      </c>
      <c r="O94" s="1029">
        <f t="shared" si="1"/>
        <v>2</v>
      </c>
      <c r="P94" s="1903"/>
      <c r="Q94" s="92"/>
    </row>
    <row r="95" spans="1:17" ht="20.100000000000001" customHeight="1">
      <c r="A95" s="92">
        <v>88</v>
      </c>
      <c r="B95" s="112" t="s">
        <v>2441</v>
      </c>
      <c r="C95" s="1049" t="s">
        <v>2399</v>
      </c>
      <c r="D95" s="1049"/>
      <c r="E95" s="92"/>
      <c r="F95" s="92"/>
      <c r="G95" s="92"/>
      <c r="H95" s="92"/>
      <c r="I95" s="92">
        <v>7294</v>
      </c>
      <c r="J95" s="92"/>
      <c r="K95" s="1155"/>
      <c r="L95" s="1155" t="s">
        <v>741</v>
      </c>
      <c r="M95" s="1200" t="s">
        <v>2442</v>
      </c>
      <c r="N95" s="2656"/>
      <c r="O95" s="1029">
        <f t="shared" si="1"/>
        <v>7294</v>
      </c>
      <c r="P95" s="1903"/>
      <c r="Q95" s="92"/>
    </row>
    <row r="96" spans="1:17" ht="20.100000000000001" customHeight="1">
      <c r="A96" s="92">
        <v>89</v>
      </c>
      <c r="B96" s="112" t="s">
        <v>2441</v>
      </c>
      <c r="C96" s="1049" t="s">
        <v>2399</v>
      </c>
      <c r="D96" s="1049" t="s">
        <v>36</v>
      </c>
      <c r="E96" s="92"/>
      <c r="F96" s="92">
        <v>1008</v>
      </c>
      <c r="G96" s="92"/>
      <c r="H96" s="92"/>
      <c r="I96" s="92"/>
      <c r="J96" s="92"/>
      <c r="K96" s="2039"/>
      <c r="L96" s="1155"/>
      <c r="M96" s="1200" t="s">
        <v>2443</v>
      </c>
      <c r="N96" s="2656"/>
      <c r="O96" s="1029">
        <f t="shared" si="1"/>
        <v>1008</v>
      </c>
      <c r="P96" s="1903"/>
      <c r="Q96" s="92"/>
    </row>
    <row r="97" spans="1:17" ht="20.100000000000001" customHeight="1">
      <c r="A97" s="92">
        <v>90</v>
      </c>
      <c r="B97" s="112" t="s">
        <v>2441</v>
      </c>
      <c r="C97" s="1049" t="s">
        <v>2399</v>
      </c>
      <c r="D97" s="1049"/>
      <c r="E97" s="92">
        <v>15</v>
      </c>
      <c r="F97" s="92"/>
      <c r="G97" s="92"/>
      <c r="H97" s="92"/>
      <c r="I97" s="92"/>
      <c r="J97" s="92"/>
      <c r="K97" s="2039"/>
      <c r="L97" s="1155"/>
      <c r="M97" s="1200" t="s">
        <v>1591</v>
      </c>
      <c r="N97" s="2656"/>
      <c r="O97" s="1029">
        <f t="shared" si="1"/>
        <v>15</v>
      </c>
      <c r="P97" s="1903"/>
      <c r="Q97" s="92"/>
    </row>
    <row r="98" spans="1:17" ht="20.100000000000001" customHeight="1">
      <c r="A98" s="92">
        <v>91</v>
      </c>
      <c r="B98" s="112" t="s">
        <v>2441</v>
      </c>
      <c r="C98" s="1049" t="s">
        <v>2399</v>
      </c>
      <c r="D98" s="1049"/>
      <c r="E98" s="92"/>
      <c r="F98" s="92"/>
      <c r="G98" s="92"/>
      <c r="H98" s="92"/>
      <c r="I98" s="92"/>
      <c r="J98" s="92"/>
      <c r="K98" s="1198">
        <v>1</v>
      </c>
      <c r="L98" s="2040" t="s">
        <v>2444</v>
      </c>
      <c r="M98" s="2041" t="s">
        <v>2417</v>
      </c>
      <c r="N98" s="2657">
        <v>173000</v>
      </c>
      <c r="O98" s="1029">
        <f t="shared" si="1"/>
        <v>1</v>
      </c>
      <c r="P98" s="1903"/>
      <c r="Q98" s="92"/>
    </row>
    <row r="99" spans="1:17" ht="20.100000000000001" customHeight="1">
      <c r="A99" s="92">
        <v>92</v>
      </c>
      <c r="B99" s="112" t="s">
        <v>2445</v>
      </c>
      <c r="C99" s="1049" t="s">
        <v>2399</v>
      </c>
      <c r="D99" s="2042" t="s">
        <v>26</v>
      </c>
      <c r="E99" s="92"/>
      <c r="F99" s="92"/>
      <c r="G99" s="92"/>
      <c r="H99" s="92"/>
      <c r="I99" s="92"/>
      <c r="J99" s="92"/>
      <c r="K99" s="1155">
        <v>1</v>
      </c>
      <c r="L99" s="1155"/>
      <c r="M99" s="1201" t="s">
        <v>48</v>
      </c>
      <c r="N99" s="2637">
        <v>12200</v>
      </c>
      <c r="O99" s="1029">
        <f t="shared" si="1"/>
        <v>1</v>
      </c>
      <c r="P99" s="1903"/>
      <c r="Q99" s="92"/>
    </row>
    <row r="100" spans="1:17" ht="20.100000000000001" customHeight="1">
      <c r="A100" s="92">
        <v>94</v>
      </c>
      <c r="B100" s="112" t="s">
        <v>2445</v>
      </c>
      <c r="C100" s="1049" t="s">
        <v>2399</v>
      </c>
      <c r="D100" s="2042"/>
      <c r="E100" s="92"/>
      <c r="F100" s="92"/>
      <c r="G100" s="92"/>
      <c r="H100" s="92"/>
      <c r="I100" s="92"/>
      <c r="J100" s="92"/>
      <c r="K100" s="1155">
        <v>1</v>
      </c>
      <c r="L100" s="1155"/>
      <c r="M100" s="1104" t="s">
        <v>118</v>
      </c>
      <c r="N100" s="2637">
        <v>12200</v>
      </c>
      <c r="O100" s="1029">
        <f t="shared" si="1"/>
        <v>1</v>
      </c>
      <c r="P100" s="1903"/>
      <c r="Q100" s="92"/>
    </row>
    <row r="101" spans="1:17" ht="20.100000000000001" customHeight="1">
      <c r="A101" s="92">
        <v>95</v>
      </c>
      <c r="B101" s="112" t="s">
        <v>2445</v>
      </c>
      <c r="C101" s="1049" t="s">
        <v>2399</v>
      </c>
      <c r="D101" s="2042"/>
      <c r="E101" s="92"/>
      <c r="F101" s="92"/>
      <c r="G101" s="92">
        <v>1</v>
      </c>
      <c r="H101" s="92"/>
      <c r="I101" s="92"/>
      <c r="J101" s="92"/>
      <c r="K101" s="1155"/>
      <c r="L101" s="1155"/>
      <c r="M101" s="1197" t="s">
        <v>49</v>
      </c>
      <c r="N101" s="2637">
        <v>21062589.050000001</v>
      </c>
      <c r="O101" s="1029">
        <f t="shared" si="1"/>
        <v>1</v>
      </c>
      <c r="P101" s="1903"/>
      <c r="Q101" s="92"/>
    </row>
    <row r="102" spans="1:17" ht="20.100000000000001" customHeight="1">
      <c r="A102" s="92">
        <v>96</v>
      </c>
      <c r="B102" s="112" t="s">
        <v>2445</v>
      </c>
      <c r="C102" s="1049" t="s">
        <v>2399</v>
      </c>
      <c r="D102" s="2042"/>
      <c r="E102" s="92"/>
      <c r="F102" s="92"/>
      <c r="G102" s="92">
        <v>1</v>
      </c>
      <c r="H102" s="92"/>
      <c r="I102" s="92"/>
      <c r="J102" s="92"/>
      <c r="K102" s="1155"/>
      <c r="L102" s="1155"/>
      <c r="M102" s="1197" t="s">
        <v>32</v>
      </c>
      <c r="N102" s="2637">
        <v>10318.07</v>
      </c>
      <c r="O102" s="1029">
        <f t="shared" si="1"/>
        <v>1</v>
      </c>
      <c r="P102" s="1903"/>
      <c r="Q102" s="92"/>
    </row>
    <row r="103" spans="1:17" ht="20.100000000000001" customHeight="1">
      <c r="A103" s="92">
        <v>97</v>
      </c>
      <c r="B103" s="112" t="s">
        <v>2445</v>
      </c>
      <c r="C103" s="1049" t="s">
        <v>2399</v>
      </c>
      <c r="D103" s="2042"/>
      <c r="E103" s="92"/>
      <c r="F103" s="92"/>
      <c r="G103" s="92"/>
      <c r="H103" s="92"/>
      <c r="I103" s="92">
        <v>1240</v>
      </c>
      <c r="J103" s="92"/>
      <c r="K103" s="1155"/>
      <c r="L103" s="1155"/>
      <c r="M103" s="1200" t="s">
        <v>35</v>
      </c>
      <c r="N103" s="2658"/>
      <c r="O103" s="1029">
        <f t="shared" si="1"/>
        <v>1240</v>
      </c>
      <c r="P103" s="1903"/>
      <c r="Q103" s="92"/>
    </row>
    <row r="104" spans="1:17" ht="20.100000000000001" customHeight="1">
      <c r="A104" s="92">
        <v>98</v>
      </c>
      <c r="B104" s="112" t="s">
        <v>2445</v>
      </c>
      <c r="C104" s="1049" t="s">
        <v>2399</v>
      </c>
      <c r="D104" s="2042" t="s">
        <v>36</v>
      </c>
      <c r="E104" s="92"/>
      <c r="F104" s="92">
        <v>1210</v>
      </c>
      <c r="G104" s="92"/>
      <c r="H104" s="92"/>
      <c r="I104" s="92"/>
      <c r="J104" s="92"/>
      <c r="K104" s="2019"/>
      <c r="L104" s="1155"/>
      <c r="M104" s="1200" t="s">
        <v>2446</v>
      </c>
      <c r="N104" s="2637"/>
      <c r="O104" s="1029">
        <f t="shared" si="1"/>
        <v>1210</v>
      </c>
      <c r="P104" s="1903"/>
      <c r="Q104" s="92"/>
    </row>
    <row r="105" spans="1:17" ht="20.100000000000001" customHeight="1">
      <c r="A105" s="92">
        <v>99</v>
      </c>
      <c r="B105" s="112" t="s">
        <v>2445</v>
      </c>
      <c r="C105" s="1049" t="s">
        <v>2399</v>
      </c>
      <c r="D105" s="2042"/>
      <c r="E105" s="92">
        <v>60</v>
      </c>
      <c r="F105" s="92"/>
      <c r="G105" s="92"/>
      <c r="H105" s="92"/>
      <c r="I105" s="92"/>
      <c r="J105" s="92"/>
      <c r="K105" s="2019"/>
      <c r="L105" s="1155"/>
      <c r="M105" s="1200" t="s">
        <v>1591</v>
      </c>
      <c r="N105" s="2637"/>
      <c r="O105" s="1029">
        <f t="shared" si="1"/>
        <v>60</v>
      </c>
      <c r="P105" s="1903"/>
      <c r="Q105" s="92"/>
    </row>
    <row r="106" spans="1:17" ht="20.100000000000001" customHeight="1">
      <c r="A106" s="92">
        <v>100</v>
      </c>
      <c r="B106" s="112" t="s">
        <v>2447</v>
      </c>
      <c r="C106" s="1049" t="s">
        <v>2399</v>
      </c>
      <c r="D106" s="1049" t="s">
        <v>26</v>
      </c>
      <c r="E106" s="92"/>
      <c r="F106" s="92"/>
      <c r="G106" s="92"/>
      <c r="H106" s="92"/>
      <c r="I106" s="92"/>
      <c r="J106" s="92"/>
      <c r="K106" s="1155">
        <v>1</v>
      </c>
      <c r="L106" s="2043" t="s">
        <v>2448</v>
      </c>
      <c r="M106" s="1200" t="s">
        <v>48</v>
      </c>
      <c r="N106" s="2659">
        <v>33000</v>
      </c>
      <c r="O106" s="1029">
        <f t="shared" si="1"/>
        <v>1</v>
      </c>
      <c r="P106" s="1903"/>
      <c r="Q106" s="92"/>
    </row>
    <row r="107" spans="1:17" ht="20.100000000000001" customHeight="1">
      <c r="A107" s="92">
        <v>101</v>
      </c>
      <c r="B107" s="112" t="s">
        <v>2447</v>
      </c>
      <c r="C107" s="1049" t="s">
        <v>2399</v>
      </c>
      <c r="D107" s="1049"/>
      <c r="E107" s="92"/>
      <c r="F107" s="92"/>
      <c r="G107" s="92"/>
      <c r="H107" s="92"/>
      <c r="I107" s="92"/>
      <c r="J107" s="92"/>
      <c r="K107" s="1155">
        <v>1</v>
      </c>
      <c r="L107" s="1155"/>
      <c r="M107" s="1104" t="s">
        <v>118</v>
      </c>
      <c r="N107" s="2637">
        <v>33000</v>
      </c>
      <c r="O107" s="1029">
        <f t="shared" si="1"/>
        <v>1</v>
      </c>
      <c r="P107" s="1903"/>
      <c r="Q107" s="92"/>
    </row>
    <row r="108" spans="1:17" ht="20.100000000000001" customHeight="1">
      <c r="A108" s="92">
        <v>102</v>
      </c>
      <c r="B108" s="112" t="s">
        <v>2447</v>
      </c>
      <c r="C108" s="1049" t="s">
        <v>2399</v>
      </c>
      <c r="D108" s="1049"/>
      <c r="E108" s="92"/>
      <c r="F108" s="92"/>
      <c r="G108" s="92">
        <v>1</v>
      </c>
      <c r="H108" s="92"/>
      <c r="I108" s="92"/>
      <c r="J108" s="92"/>
      <c r="K108" s="1155"/>
      <c r="L108" s="1155"/>
      <c r="M108" s="1287" t="s">
        <v>49</v>
      </c>
      <c r="N108" s="2659">
        <v>3677085.76</v>
      </c>
      <c r="O108" s="1029">
        <f t="shared" si="1"/>
        <v>1</v>
      </c>
      <c r="P108" s="1903"/>
      <c r="Q108" s="92"/>
    </row>
    <row r="109" spans="1:17" ht="20.100000000000001" customHeight="1">
      <c r="A109" s="92">
        <v>103</v>
      </c>
      <c r="B109" s="112" t="s">
        <v>2447</v>
      </c>
      <c r="C109" s="1049" t="s">
        <v>2399</v>
      </c>
      <c r="D109" s="1049"/>
      <c r="E109" s="92"/>
      <c r="F109" s="92"/>
      <c r="G109" s="92">
        <v>1</v>
      </c>
      <c r="H109" s="92"/>
      <c r="I109" s="92"/>
      <c r="J109" s="92"/>
      <c r="K109" s="1155"/>
      <c r="L109" s="2043">
        <v>46234</v>
      </c>
      <c r="M109" s="1287" t="s">
        <v>32</v>
      </c>
      <c r="N109" s="2659">
        <v>-161.43</v>
      </c>
      <c r="O109" s="1029">
        <f t="shared" si="1"/>
        <v>1</v>
      </c>
      <c r="P109" s="1903"/>
      <c r="Q109" s="92"/>
    </row>
    <row r="110" spans="1:17" ht="20.100000000000001" customHeight="1">
      <c r="A110" s="92">
        <v>104</v>
      </c>
      <c r="B110" s="112" t="s">
        <v>2447</v>
      </c>
      <c r="C110" s="1049" t="s">
        <v>2399</v>
      </c>
      <c r="D110" s="1049"/>
      <c r="E110" s="92"/>
      <c r="F110" s="92"/>
      <c r="G110" s="92">
        <v>1</v>
      </c>
      <c r="H110" s="92"/>
      <c r="I110" s="92"/>
      <c r="J110" s="92"/>
      <c r="K110" s="1159"/>
      <c r="L110" s="1159"/>
      <c r="M110" s="1287" t="s">
        <v>207</v>
      </c>
      <c r="N110" s="2639"/>
      <c r="O110" s="1029">
        <f t="shared" si="1"/>
        <v>1</v>
      </c>
      <c r="P110" s="1903"/>
      <c r="Q110" s="92"/>
    </row>
    <row r="111" spans="1:17" ht="20.100000000000001" customHeight="1">
      <c r="A111" s="92">
        <v>105</v>
      </c>
      <c r="B111" s="112" t="s">
        <v>2447</v>
      </c>
      <c r="C111" s="1049" t="s">
        <v>2399</v>
      </c>
      <c r="D111" s="1049"/>
      <c r="E111" s="92"/>
      <c r="F111" s="92"/>
      <c r="G111" s="92">
        <v>1</v>
      </c>
      <c r="H111" s="92"/>
      <c r="I111" s="92"/>
      <c r="J111" s="92"/>
      <c r="K111" s="1159"/>
      <c r="L111" s="2044">
        <v>46234</v>
      </c>
      <c r="M111" s="1287" t="s">
        <v>50</v>
      </c>
      <c r="N111" s="2639">
        <v>66.55</v>
      </c>
      <c r="O111" s="1029">
        <f t="shared" si="1"/>
        <v>1</v>
      </c>
      <c r="P111" s="1903"/>
      <c r="Q111" s="92"/>
    </row>
    <row r="112" spans="1:17" ht="20.100000000000001" customHeight="1">
      <c r="A112" s="92">
        <v>108</v>
      </c>
      <c r="B112" s="112" t="s">
        <v>2447</v>
      </c>
      <c r="C112" s="1049" t="s">
        <v>2399</v>
      </c>
      <c r="D112" s="1049"/>
      <c r="E112" s="92"/>
      <c r="F112" s="92"/>
      <c r="G112" s="92"/>
      <c r="H112" s="92"/>
      <c r="I112" s="92">
        <v>4289</v>
      </c>
      <c r="J112" s="92"/>
      <c r="K112" s="1155"/>
      <c r="L112" s="1155"/>
      <c r="M112" s="1200" t="s">
        <v>35</v>
      </c>
      <c r="N112" s="2637">
        <v>635094.41</v>
      </c>
      <c r="O112" s="1029">
        <f t="shared" si="1"/>
        <v>4289</v>
      </c>
      <c r="P112" s="1903"/>
      <c r="Q112" s="92"/>
    </row>
    <row r="113" spans="1:17" ht="20.100000000000001" customHeight="1">
      <c r="A113" s="92">
        <v>109</v>
      </c>
      <c r="B113" s="112" t="s">
        <v>2447</v>
      </c>
      <c r="C113" s="1049" t="s">
        <v>2399</v>
      </c>
      <c r="D113" s="1049"/>
      <c r="E113" s="92"/>
      <c r="F113" s="92"/>
      <c r="G113" s="92"/>
      <c r="H113" s="92"/>
      <c r="I113" s="92"/>
      <c r="J113" s="92"/>
      <c r="K113" s="1155">
        <v>1</v>
      </c>
      <c r="L113" s="1155"/>
      <c r="M113" s="2045" t="s">
        <v>104</v>
      </c>
      <c r="N113" s="2637"/>
      <c r="O113" s="1029">
        <f t="shared" si="1"/>
        <v>0</v>
      </c>
      <c r="P113" s="1903">
        <v>1</v>
      </c>
      <c r="Q113" s="92"/>
    </row>
    <row r="114" spans="1:17" ht="20.100000000000001" customHeight="1">
      <c r="A114" s="92">
        <v>110</v>
      </c>
      <c r="B114" s="112" t="s">
        <v>2447</v>
      </c>
      <c r="C114" s="1049" t="s">
        <v>2399</v>
      </c>
      <c r="D114" s="1049" t="s">
        <v>36</v>
      </c>
      <c r="E114" s="92"/>
      <c r="F114" s="92">
        <v>725</v>
      </c>
      <c r="G114" s="92"/>
      <c r="H114" s="92"/>
      <c r="I114" s="92"/>
      <c r="J114" s="92"/>
      <c r="K114" s="2019"/>
      <c r="L114" s="1155"/>
      <c r="M114" s="1200" t="s">
        <v>2449</v>
      </c>
      <c r="N114" s="2637"/>
      <c r="O114" s="1029">
        <f t="shared" si="1"/>
        <v>725</v>
      </c>
      <c r="P114" s="1903"/>
      <c r="Q114" s="92"/>
    </row>
    <row r="115" spans="1:17" ht="20.100000000000001" customHeight="1">
      <c r="A115" s="92">
        <v>111</v>
      </c>
      <c r="B115" s="112" t="s">
        <v>2447</v>
      </c>
      <c r="C115" s="1049" t="s">
        <v>2399</v>
      </c>
      <c r="D115" s="1049"/>
      <c r="E115" s="92">
        <v>183</v>
      </c>
      <c r="F115" s="92"/>
      <c r="G115" s="92"/>
      <c r="H115" s="92"/>
      <c r="I115" s="92"/>
      <c r="J115" s="92"/>
      <c r="K115" s="2019"/>
      <c r="L115" s="1155"/>
      <c r="M115" s="1200" t="s">
        <v>1591</v>
      </c>
      <c r="N115" s="2637"/>
      <c r="O115" s="1029">
        <f t="shared" si="1"/>
        <v>183</v>
      </c>
      <c r="P115" s="1903"/>
      <c r="Q115" s="92"/>
    </row>
    <row r="116" spans="1:17" ht="20.100000000000001" customHeight="1">
      <c r="A116" s="92">
        <v>112</v>
      </c>
      <c r="B116" s="112" t="s">
        <v>2450</v>
      </c>
      <c r="C116" s="1049" t="s">
        <v>2399</v>
      </c>
      <c r="D116" s="619" t="s">
        <v>26</v>
      </c>
      <c r="E116" s="92"/>
      <c r="F116" s="92"/>
      <c r="G116" s="92"/>
      <c r="H116" s="92"/>
      <c r="I116" s="92"/>
      <c r="J116" s="92"/>
      <c r="K116" s="2046">
        <v>1</v>
      </c>
      <c r="L116" s="930" t="s">
        <v>446</v>
      </c>
      <c r="M116" s="619" t="s">
        <v>48</v>
      </c>
      <c r="N116" s="2639">
        <v>56150.38</v>
      </c>
      <c r="O116" s="1029">
        <f t="shared" si="1"/>
        <v>1</v>
      </c>
      <c r="P116" s="1903"/>
      <c r="Q116" s="92"/>
    </row>
    <row r="117" spans="1:17" ht="20.100000000000001" customHeight="1">
      <c r="A117" s="92">
        <v>113</v>
      </c>
      <c r="B117" s="112" t="s">
        <v>2450</v>
      </c>
      <c r="C117" s="1049" t="s">
        <v>2399</v>
      </c>
      <c r="D117" s="1049"/>
      <c r="E117" s="92"/>
      <c r="F117" s="92"/>
      <c r="G117" s="92"/>
      <c r="H117" s="92"/>
      <c r="I117" s="92"/>
      <c r="J117" s="92"/>
      <c r="K117" s="2046">
        <v>1</v>
      </c>
      <c r="L117" s="930" t="s">
        <v>446</v>
      </c>
      <c r="M117" s="2047" t="s">
        <v>2969</v>
      </c>
      <c r="N117" s="2660"/>
      <c r="O117" s="1029">
        <f t="shared" si="1"/>
        <v>1</v>
      </c>
      <c r="P117" s="1903"/>
      <c r="Q117" s="92"/>
    </row>
    <row r="118" spans="1:17" ht="20.100000000000001" customHeight="1">
      <c r="A118" s="92">
        <v>114</v>
      </c>
      <c r="B118" s="112" t="s">
        <v>2450</v>
      </c>
      <c r="C118" s="1049" t="s">
        <v>2399</v>
      </c>
      <c r="D118" s="1049"/>
      <c r="E118" s="92"/>
      <c r="F118" s="92"/>
      <c r="G118" s="92"/>
      <c r="H118" s="92"/>
      <c r="I118" s="92"/>
      <c r="J118" s="92"/>
      <c r="K118" s="2046"/>
      <c r="L118" s="930" t="s">
        <v>446</v>
      </c>
      <c r="M118" s="2048" t="s">
        <v>119</v>
      </c>
      <c r="N118" s="2637"/>
      <c r="O118" s="1029">
        <f t="shared" si="1"/>
        <v>0</v>
      </c>
      <c r="P118" s="1903"/>
      <c r="Q118" s="92"/>
    </row>
    <row r="119" spans="1:17" ht="20.100000000000001" customHeight="1">
      <c r="A119" s="92">
        <v>115</v>
      </c>
      <c r="B119" s="112" t="s">
        <v>2450</v>
      </c>
      <c r="C119" s="1049" t="s">
        <v>2399</v>
      </c>
      <c r="D119" s="619" t="s">
        <v>29</v>
      </c>
      <c r="E119" s="92"/>
      <c r="F119" s="92"/>
      <c r="G119" s="92">
        <v>1</v>
      </c>
      <c r="H119" s="92"/>
      <c r="I119" s="92"/>
      <c r="J119" s="92"/>
      <c r="K119" s="2046"/>
      <c r="L119" s="930" t="s">
        <v>446</v>
      </c>
      <c r="M119" s="2048" t="s">
        <v>2451</v>
      </c>
      <c r="N119" s="2639">
        <v>14934174.560000001</v>
      </c>
      <c r="O119" s="1029">
        <f t="shared" si="1"/>
        <v>1</v>
      </c>
      <c r="P119" s="1903"/>
      <c r="Q119" s="92"/>
    </row>
    <row r="120" spans="1:17" ht="20.100000000000001" customHeight="1">
      <c r="A120" s="92">
        <v>116</v>
      </c>
      <c r="B120" s="112" t="s">
        <v>2450</v>
      </c>
      <c r="C120" s="1049" t="s">
        <v>2399</v>
      </c>
      <c r="D120" s="1049"/>
      <c r="E120" s="92"/>
      <c r="F120" s="92"/>
      <c r="G120" s="92">
        <v>1</v>
      </c>
      <c r="H120" s="92"/>
      <c r="I120" s="92"/>
      <c r="J120" s="92"/>
      <c r="K120" s="2046"/>
      <c r="L120" s="930" t="s">
        <v>446</v>
      </c>
      <c r="M120" s="2048" t="s">
        <v>32</v>
      </c>
      <c r="N120" s="2639"/>
      <c r="O120" s="1029">
        <f t="shared" si="1"/>
        <v>1</v>
      </c>
      <c r="P120" s="1903"/>
      <c r="Q120" s="92"/>
    </row>
    <row r="121" spans="1:17" ht="20.100000000000001" customHeight="1">
      <c r="A121" s="92">
        <v>117</v>
      </c>
      <c r="B121" s="112" t="s">
        <v>2450</v>
      </c>
      <c r="C121" s="1049" t="s">
        <v>2399</v>
      </c>
      <c r="D121" s="1049"/>
      <c r="E121" s="92"/>
      <c r="F121" s="92"/>
      <c r="G121" s="92">
        <v>1</v>
      </c>
      <c r="H121" s="92"/>
      <c r="I121" s="92"/>
      <c r="J121" s="92"/>
      <c r="K121" s="1059"/>
      <c r="L121" s="930"/>
      <c r="M121" s="2048" t="s">
        <v>50</v>
      </c>
      <c r="N121" s="2653">
        <v>39.75</v>
      </c>
      <c r="O121" s="1029">
        <f t="shared" si="1"/>
        <v>1</v>
      </c>
      <c r="P121" s="1903"/>
      <c r="Q121" s="92"/>
    </row>
    <row r="122" spans="1:17" ht="20.100000000000001" customHeight="1">
      <c r="A122" s="92">
        <v>118</v>
      </c>
      <c r="B122" s="112" t="s">
        <v>2450</v>
      </c>
      <c r="C122" s="1049" t="s">
        <v>2399</v>
      </c>
      <c r="D122" s="619" t="s">
        <v>36</v>
      </c>
      <c r="E122" s="92"/>
      <c r="F122" s="2049">
        <v>189</v>
      </c>
      <c r="G122" s="92"/>
      <c r="H122" s="92"/>
      <c r="I122" s="92"/>
      <c r="J122" s="92"/>
      <c r="K122" s="2046"/>
      <c r="L122" s="930" t="s">
        <v>446</v>
      </c>
      <c r="M122" s="2050" t="s">
        <v>52</v>
      </c>
      <c r="N122" s="2637"/>
      <c r="O122" s="1029">
        <f t="shared" si="1"/>
        <v>189</v>
      </c>
      <c r="P122" s="1903"/>
      <c r="Q122" s="92"/>
    </row>
    <row r="123" spans="1:17" ht="20.100000000000001" customHeight="1">
      <c r="A123" s="92">
        <v>119</v>
      </c>
      <c r="B123" s="112" t="s">
        <v>2450</v>
      </c>
      <c r="C123" s="1049" t="s">
        <v>2399</v>
      </c>
      <c r="D123" s="619"/>
      <c r="E123" s="92"/>
      <c r="F123" s="92"/>
      <c r="G123" s="92"/>
      <c r="H123" s="92"/>
      <c r="I123" s="92"/>
      <c r="J123" s="92"/>
      <c r="K123" s="2046">
        <v>1</v>
      </c>
      <c r="L123" s="930" t="s">
        <v>446</v>
      </c>
      <c r="M123" s="607" t="s">
        <v>2452</v>
      </c>
      <c r="N123" s="2639"/>
      <c r="O123" s="1029">
        <f t="shared" si="1"/>
        <v>1</v>
      </c>
      <c r="P123" s="1903"/>
      <c r="Q123" s="92"/>
    </row>
    <row r="124" spans="1:17" ht="20.100000000000001" customHeight="1">
      <c r="A124" s="92">
        <v>120</v>
      </c>
      <c r="B124" s="112" t="s">
        <v>2450</v>
      </c>
      <c r="C124" s="1049" t="s">
        <v>2399</v>
      </c>
      <c r="D124" s="1064"/>
      <c r="E124" s="92"/>
      <c r="F124" s="92"/>
      <c r="G124" s="92"/>
      <c r="H124" s="92"/>
      <c r="I124" s="92"/>
      <c r="J124" s="92"/>
      <c r="K124" s="2046">
        <v>1</v>
      </c>
      <c r="L124" s="930" t="s">
        <v>446</v>
      </c>
      <c r="M124" s="619" t="s">
        <v>2453</v>
      </c>
      <c r="N124" s="2637"/>
      <c r="O124" s="1029">
        <f t="shared" si="1"/>
        <v>1</v>
      </c>
      <c r="P124" s="1903"/>
      <c r="Q124" s="92"/>
    </row>
    <row r="125" spans="1:17" ht="20.100000000000001" customHeight="1">
      <c r="A125" s="92">
        <v>121</v>
      </c>
      <c r="B125" s="112" t="s">
        <v>2450</v>
      </c>
      <c r="C125" s="1049" t="s">
        <v>2399</v>
      </c>
      <c r="D125" s="1064"/>
      <c r="E125" s="92"/>
      <c r="F125" s="92">
        <v>188</v>
      </c>
      <c r="G125" s="92"/>
      <c r="H125" s="92"/>
      <c r="I125" s="92"/>
      <c r="J125" s="92"/>
      <c r="K125" s="2046"/>
      <c r="L125" s="930" t="s">
        <v>446</v>
      </c>
      <c r="M125" s="619" t="s">
        <v>2454</v>
      </c>
      <c r="N125" s="2637"/>
      <c r="O125" s="1029">
        <f t="shared" si="1"/>
        <v>188</v>
      </c>
      <c r="P125" s="1903"/>
      <c r="Q125" s="92"/>
    </row>
    <row r="126" spans="1:17" ht="20.100000000000001" customHeight="1">
      <c r="A126" s="92">
        <v>122</v>
      </c>
      <c r="B126" s="112" t="s">
        <v>2450</v>
      </c>
      <c r="C126" s="1049" t="s">
        <v>2399</v>
      </c>
      <c r="D126" s="1064"/>
      <c r="E126" s="92">
        <v>24</v>
      </c>
      <c r="F126" s="92"/>
      <c r="G126" s="92"/>
      <c r="H126" s="92"/>
      <c r="I126" s="92"/>
      <c r="J126" s="92"/>
      <c r="K126" s="2046"/>
      <c r="L126" s="930"/>
      <c r="M126" s="1200" t="s">
        <v>1591</v>
      </c>
      <c r="N126" s="2637"/>
      <c r="O126" s="1029">
        <f t="shared" si="1"/>
        <v>23</v>
      </c>
      <c r="P126" s="1903">
        <v>1</v>
      </c>
      <c r="Q126" s="92"/>
    </row>
    <row r="127" spans="1:17" ht="20.100000000000001" customHeight="1">
      <c r="A127" s="92">
        <v>123</v>
      </c>
      <c r="B127" s="112" t="s">
        <v>2450</v>
      </c>
      <c r="C127" s="1049" t="s">
        <v>2399</v>
      </c>
      <c r="D127" s="1064"/>
      <c r="E127" s="92"/>
      <c r="F127" s="92"/>
      <c r="G127" s="92"/>
      <c r="H127" s="92"/>
      <c r="I127" s="92"/>
      <c r="J127" s="92"/>
      <c r="K127" s="1047">
        <v>1</v>
      </c>
      <c r="L127" s="930" t="s">
        <v>446</v>
      </c>
      <c r="M127" s="2050" t="s">
        <v>2455</v>
      </c>
      <c r="N127" s="2653"/>
      <c r="O127" s="1029">
        <f t="shared" si="1"/>
        <v>0</v>
      </c>
      <c r="P127" s="1903">
        <v>1</v>
      </c>
      <c r="Q127" s="92"/>
    </row>
    <row r="128" spans="1:17" ht="20.100000000000001" customHeight="1">
      <c r="A128" s="92">
        <v>124</v>
      </c>
      <c r="B128" s="112" t="s">
        <v>2456</v>
      </c>
      <c r="C128" s="1049" t="s">
        <v>2399</v>
      </c>
      <c r="D128" s="2051" t="s">
        <v>26</v>
      </c>
      <c r="E128" s="92"/>
      <c r="F128" s="92"/>
      <c r="G128" s="92"/>
      <c r="H128" s="92"/>
      <c r="I128" s="92"/>
      <c r="J128" s="92"/>
      <c r="K128" s="2052">
        <v>1</v>
      </c>
      <c r="L128" s="2053" t="s">
        <v>2457</v>
      </c>
      <c r="M128" s="1104" t="s">
        <v>2458</v>
      </c>
      <c r="N128" s="2661">
        <v>-48433</v>
      </c>
      <c r="O128" s="1029">
        <f t="shared" si="1"/>
        <v>1</v>
      </c>
      <c r="P128" s="1903"/>
      <c r="Q128" s="92"/>
    </row>
    <row r="129" spans="1:17" ht="20.100000000000001" customHeight="1">
      <c r="A129" s="92">
        <v>125</v>
      </c>
      <c r="B129" s="112" t="s">
        <v>2456</v>
      </c>
      <c r="C129" s="1049" t="s">
        <v>2399</v>
      </c>
      <c r="D129" s="2051"/>
      <c r="E129" s="92"/>
      <c r="F129" s="92"/>
      <c r="G129" s="92">
        <v>1</v>
      </c>
      <c r="H129" s="92"/>
      <c r="I129" s="92"/>
      <c r="J129" s="92"/>
      <c r="K129" s="2054"/>
      <c r="L129" s="2053" t="s">
        <v>2457</v>
      </c>
      <c r="M129" s="1287" t="s">
        <v>49</v>
      </c>
      <c r="N129" s="2662">
        <v>136536600.30000001</v>
      </c>
      <c r="O129" s="1029">
        <f t="shared" si="1"/>
        <v>1</v>
      </c>
      <c r="P129" s="1903"/>
      <c r="Q129" s="92"/>
    </row>
    <row r="130" spans="1:17" ht="20.100000000000001" customHeight="1">
      <c r="A130" s="92">
        <v>126</v>
      </c>
      <c r="B130" s="112" t="s">
        <v>2456</v>
      </c>
      <c r="C130" s="1049" t="s">
        <v>2399</v>
      </c>
      <c r="D130" s="2051"/>
      <c r="E130" s="92"/>
      <c r="F130" s="92"/>
      <c r="G130" s="92">
        <v>1</v>
      </c>
      <c r="H130" s="92"/>
      <c r="I130" s="92"/>
      <c r="J130" s="92"/>
      <c r="K130" s="2055"/>
      <c r="L130" s="2053" t="s">
        <v>2457</v>
      </c>
      <c r="M130" s="1287" t="s">
        <v>2459</v>
      </c>
      <c r="N130" s="2634">
        <v>-1055.32</v>
      </c>
      <c r="O130" s="1029">
        <f t="shared" si="1"/>
        <v>0</v>
      </c>
      <c r="P130" s="1903">
        <v>1</v>
      </c>
      <c r="Q130" s="92"/>
    </row>
    <row r="131" spans="1:17" ht="20.100000000000001" customHeight="1">
      <c r="A131" s="92">
        <v>127</v>
      </c>
      <c r="B131" s="112" t="s">
        <v>2456</v>
      </c>
      <c r="C131" s="1049" t="s">
        <v>2399</v>
      </c>
      <c r="D131" s="2051"/>
      <c r="E131" s="92"/>
      <c r="F131" s="92"/>
      <c r="G131" s="92">
        <v>1</v>
      </c>
      <c r="H131" s="92"/>
      <c r="I131" s="92"/>
      <c r="J131" s="92"/>
      <c r="K131" s="2055"/>
      <c r="L131" s="2053" t="s">
        <v>2457</v>
      </c>
      <c r="M131" s="1287" t="s">
        <v>2460</v>
      </c>
      <c r="N131" s="2634">
        <v>-184.26</v>
      </c>
      <c r="O131" s="1029">
        <f t="shared" si="1"/>
        <v>1</v>
      </c>
      <c r="P131" s="1903"/>
      <c r="Q131" s="92"/>
    </row>
    <row r="132" spans="1:17" ht="20.100000000000001" customHeight="1">
      <c r="A132" s="92">
        <v>128</v>
      </c>
      <c r="B132" s="112" t="s">
        <v>2456</v>
      </c>
      <c r="C132" s="1049" t="s">
        <v>2399</v>
      </c>
      <c r="D132" s="2051"/>
      <c r="E132" s="92"/>
      <c r="F132" s="92"/>
      <c r="G132" s="92">
        <v>1</v>
      </c>
      <c r="H132" s="92"/>
      <c r="I132" s="92"/>
      <c r="J132" s="92"/>
      <c r="K132" s="2055"/>
      <c r="L132" s="2053" t="s">
        <v>2457</v>
      </c>
      <c r="M132" s="1287" t="s">
        <v>2461</v>
      </c>
      <c r="N132" s="2634">
        <v>11351.64</v>
      </c>
      <c r="O132" s="1029">
        <f t="shared" si="1"/>
        <v>1</v>
      </c>
      <c r="P132" s="1903"/>
      <c r="Q132" s="92"/>
    </row>
    <row r="133" spans="1:17" ht="20.100000000000001" customHeight="1">
      <c r="A133" s="92">
        <v>129</v>
      </c>
      <c r="B133" s="112" t="s">
        <v>2456</v>
      </c>
      <c r="C133" s="1049" t="s">
        <v>2399</v>
      </c>
      <c r="D133" s="2051"/>
      <c r="E133" s="92"/>
      <c r="F133" s="92"/>
      <c r="G133" s="92"/>
      <c r="H133" s="92"/>
      <c r="I133" s="92"/>
      <c r="J133" s="92"/>
      <c r="K133" s="2056">
        <v>1</v>
      </c>
      <c r="L133" s="2053" t="s">
        <v>2457</v>
      </c>
      <c r="M133" s="2094" t="s">
        <v>2462</v>
      </c>
      <c r="N133" s="2663">
        <v>2351</v>
      </c>
      <c r="O133" s="1029">
        <f t="shared" si="1"/>
        <v>1</v>
      </c>
      <c r="P133" s="1903"/>
      <c r="Q133" s="92"/>
    </row>
    <row r="134" spans="1:17" ht="20.100000000000001" customHeight="1">
      <c r="A134" s="92">
        <v>130</v>
      </c>
      <c r="B134" s="112" t="s">
        <v>2456</v>
      </c>
      <c r="C134" s="1049" t="s">
        <v>2399</v>
      </c>
      <c r="D134" s="2051"/>
      <c r="E134" s="92"/>
      <c r="F134" s="92"/>
      <c r="G134" s="92"/>
      <c r="H134" s="92"/>
      <c r="I134" s="92"/>
      <c r="J134" s="92"/>
      <c r="K134" s="2055">
        <v>1</v>
      </c>
      <c r="L134" s="2053" t="s">
        <v>2457</v>
      </c>
      <c r="M134" s="1104" t="s">
        <v>2463</v>
      </c>
      <c r="N134" s="2634">
        <v>200</v>
      </c>
      <c r="O134" s="1029">
        <f t="shared" si="1"/>
        <v>1</v>
      </c>
      <c r="P134" s="1903"/>
      <c r="Q134" s="92"/>
    </row>
    <row r="135" spans="1:17" ht="20.100000000000001" customHeight="1">
      <c r="A135" s="92">
        <v>131</v>
      </c>
      <c r="B135" s="112" t="s">
        <v>2456</v>
      </c>
      <c r="C135" s="1049" t="s">
        <v>2399</v>
      </c>
      <c r="D135" s="2051"/>
      <c r="E135" s="92"/>
      <c r="F135" s="92"/>
      <c r="G135" s="92"/>
      <c r="H135" s="92"/>
      <c r="I135" s="92">
        <v>6474</v>
      </c>
      <c r="J135" s="92"/>
      <c r="K135" s="2057"/>
      <c r="L135" s="2053" t="s">
        <v>2457</v>
      </c>
      <c r="M135" s="1199" t="s">
        <v>35</v>
      </c>
      <c r="N135" s="2664">
        <v>5968639.4500000002</v>
      </c>
      <c r="O135" s="1029">
        <f t="shared" si="1"/>
        <v>6474</v>
      </c>
      <c r="P135" s="1903"/>
      <c r="Q135" s="92"/>
    </row>
    <row r="136" spans="1:17" ht="20.100000000000001" customHeight="1">
      <c r="A136" s="92">
        <v>132</v>
      </c>
      <c r="B136" s="112" t="s">
        <v>2456</v>
      </c>
      <c r="C136" s="1049" t="s">
        <v>2399</v>
      </c>
      <c r="D136" s="2051" t="s">
        <v>195</v>
      </c>
      <c r="E136" s="92"/>
      <c r="F136" s="92"/>
      <c r="G136" s="92"/>
      <c r="H136" s="92"/>
      <c r="I136" s="92"/>
      <c r="J136" s="92"/>
      <c r="K136" s="2054"/>
      <c r="L136" s="2058"/>
      <c r="M136" s="1200" t="s">
        <v>1344</v>
      </c>
      <c r="N136" s="2662"/>
      <c r="O136" s="1029">
        <f t="shared" si="1"/>
        <v>0</v>
      </c>
      <c r="P136" s="1903"/>
      <c r="Q136" s="92"/>
    </row>
    <row r="137" spans="1:17" ht="20.100000000000001" customHeight="1">
      <c r="A137" s="92">
        <v>133</v>
      </c>
      <c r="B137" s="112" t="s">
        <v>2456</v>
      </c>
      <c r="C137" s="1049" t="s">
        <v>2399</v>
      </c>
      <c r="D137" s="2051"/>
      <c r="E137" s="92"/>
      <c r="F137" s="92"/>
      <c r="G137" s="92"/>
      <c r="H137" s="92"/>
      <c r="I137" s="92"/>
      <c r="J137" s="92"/>
      <c r="K137" s="2054">
        <v>16</v>
      </c>
      <c r="L137" s="2053" t="s">
        <v>2457</v>
      </c>
      <c r="M137" s="1287" t="s">
        <v>196</v>
      </c>
      <c r="N137" s="2647"/>
      <c r="O137" s="1029">
        <f t="shared" si="1"/>
        <v>16</v>
      </c>
      <c r="P137" s="1903"/>
      <c r="Q137" s="92"/>
    </row>
    <row r="138" spans="1:17" ht="20.100000000000001" customHeight="1">
      <c r="A138" s="92">
        <v>134</v>
      </c>
      <c r="B138" s="112" t="s">
        <v>2456</v>
      </c>
      <c r="C138" s="1049" t="s">
        <v>2399</v>
      </c>
      <c r="D138" s="2051" t="s">
        <v>36</v>
      </c>
      <c r="E138" s="92"/>
      <c r="F138" s="92">
        <v>352</v>
      </c>
      <c r="G138" s="92"/>
      <c r="H138" s="92"/>
      <c r="I138" s="92"/>
      <c r="J138" s="92"/>
      <c r="K138" s="2061"/>
      <c r="L138" s="2062" t="s">
        <v>2457</v>
      </c>
      <c r="M138" s="1852" t="s">
        <v>2464</v>
      </c>
      <c r="N138" s="2662">
        <f>O8404*50</f>
        <v>0</v>
      </c>
      <c r="O138" s="1029">
        <f t="shared" si="1"/>
        <v>352</v>
      </c>
      <c r="P138" s="1903"/>
      <c r="Q138" s="92"/>
    </row>
    <row r="139" spans="1:17" ht="20.100000000000001" customHeight="1">
      <c r="A139" s="92">
        <v>135</v>
      </c>
      <c r="B139" s="112" t="s">
        <v>2456</v>
      </c>
      <c r="C139" s="1049" t="s">
        <v>2399</v>
      </c>
      <c r="D139" s="2051"/>
      <c r="E139" s="92">
        <v>141</v>
      </c>
      <c r="F139" s="92"/>
      <c r="G139" s="92"/>
      <c r="H139" s="92"/>
      <c r="I139" s="92"/>
      <c r="J139" s="92"/>
      <c r="K139" s="2061"/>
      <c r="L139" s="2062"/>
      <c r="M139" s="1852"/>
      <c r="N139" s="2662"/>
      <c r="O139" s="1029">
        <f t="shared" si="1"/>
        <v>141</v>
      </c>
      <c r="P139" s="1903"/>
      <c r="Q139" s="92"/>
    </row>
    <row r="140" spans="1:17" ht="20.100000000000001" customHeight="1">
      <c r="A140" s="92">
        <v>136</v>
      </c>
      <c r="B140" s="112" t="s">
        <v>2456</v>
      </c>
      <c r="C140" s="1049" t="s">
        <v>2399</v>
      </c>
      <c r="D140" s="2064" t="s">
        <v>105</v>
      </c>
      <c r="E140" s="92"/>
      <c r="F140" s="92"/>
      <c r="G140" s="92"/>
      <c r="H140" s="92"/>
      <c r="I140" s="92"/>
      <c r="J140" s="92"/>
      <c r="K140" s="2065">
        <v>1</v>
      </c>
      <c r="L140" s="2066"/>
      <c r="M140" s="2631" t="s">
        <v>2465</v>
      </c>
      <c r="N140" s="2665">
        <v>12900</v>
      </c>
      <c r="O140" s="1029">
        <f t="shared" si="1"/>
        <v>1</v>
      </c>
      <c r="P140" s="1903"/>
      <c r="Q140" s="92"/>
    </row>
    <row r="141" spans="1:17" ht="20.100000000000001" customHeight="1">
      <c r="A141" s="92">
        <v>137</v>
      </c>
      <c r="B141" s="112" t="s">
        <v>2466</v>
      </c>
      <c r="C141" s="1049" t="s">
        <v>2399</v>
      </c>
      <c r="D141" s="3546" t="s">
        <v>26</v>
      </c>
      <c r="E141" s="92"/>
      <c r="F141" s="92"/>
      <c r="G141" s="92"/>
      <c r="H141" s="92"/>
      <c r="I141" s="92"/>
      <c r="J141" s="92"/>
      <c r="K141" s="2067">
        <v>1</v>
      </c>
      <c r="L141" s="2067" t="s">
        <v>100</v>
      </c>
      <c r="M141" s="1200" t="s">
        <v>48</v>
      </c>
      <c r="N141" s="2180">
        <v>-24938.77</v>
      </c>
      <c r="O141" s="1029">
        <f t="shared" ref="O141:O204" si="2">E141+F141+G141+H141+I141+J141+K141-P141</f>
        <v>1</v>
      </c>
      <c r="P141" s="1903"/>
      <c r="Q141" s="92"/>
    </row>
    <row r="142" spans="1:17" ht="20.100000000000001" customHeight="1">
      <c r="A142" s="92">
        <v>138</v>
      </c>
      <c r="B142" s="112" t="s">
        <v>2466</v>
      </c>
      <c r="C142" s="1049" t="s">
        <v>2399</v>
      </c>
      <c r="D142" s="3546"/>
      <c r="E142" s="92"/>
      <c r="F142" s="92"/>
      <c r="G142" s="92"/>
      <c r="H142" s="92"/>
      <c r="I142" s="92"/>
      <c r="J142" s="92"/>
      <c r="K142" s="2067">
        <v>1</v>
      </c>
      <c r="L142" s="2067" t="s">
        <v>100</v>
      </c>
      <c r="M142" s="1104" t="s">
        <v>2467</v>
      </c>
      <c r="N142" s="2180">
        <v>-24938.77</v>
      </c>
      <c r="O142" s="1029">
        <f t="shared" si="2"/>
        <v>1</v>
      </c>
      <c r="P142" s="1903"/>
      <c r="Q142" s="92"/>
    </row>
    <row r="143" spans="1:17" ht="20.100000000000001" customHeight="1">
      <c r="A143" s="92">
        <v>139</v>
      </c>
      <c r="B143" s="112" t="s">
        <v>2466</v>
      </c>
      <c r="C143" s="1049" t="s">
        <v>2399</v>
      </c>
      <c r="D143" s="2069"/>
      <c r="E143" s="92"/>
      <c r="F143" s="92"/>
      <c r="G143" s="92">
        <v>1</v>
      </c>
      <c r="H143" s="92"/>
      <c r="I143" s="92"/>
      <c r="J143" s="92"/>
      <c r="K143" s="2070"/>
      <c r="L143" s="2070"/>
      <c r="M143" s="1287" t="s">
        <v>50</v>
      </c>
      <c r="N143" s="2653">
        <v>88.25</v>
      </c>
      <c r="O143" s="1029">
        <f t="shared" si="2"/>
        <v>1</v>
      </c>
      <c r="P143" s="1903"/>
      <c r="Q143" s="92"/>
    </row>
    <row r="144" spans="1:17" ht="20.100000000000001" customHeight="1">
      <c r="A144" s="92">
        <v>140</v>
      </c>
      <c r="B144" s="112" t="s">
        <v>2466</v>
      </c>
      <c r="C144" s="1049" t="s">
        <v>2399</v>
      </c>
      <c r="D144" s="2069"/>
      <c r="E144" s="92"/>
      <c r="F144" s="92"/>
      <c r="G144" s="92"/>
      <c r="H144" s="92"/>
      <c r="I144" s="92">
        <v>1981</v>
      </c>
      <c r="J144" s="92"/>
      <c r="K144" s="2067"/>
      <c r="L144" s="2067"/>
      <c r="M144" s="1200" t="s">
        <v>35</v>
      </c>
      <c r="N144" s="2643"/>
      <c r="O144" s="1029">
        <f t="shared" si="2"/>
        <v>1981</v>
      </c>
      <c r="P144" s="1903"/>
      <c r="Q144" s="92"/>
    </row>
    <row r="145" spans="1:17" ht="20.100000000000001" customHeight="1">
      <c r="A145" s="92">
        <v>141</v>
      </c>
      <c r="B145" s="112" t="s">
        <v>2466</v>
      </c>
      <c r="C145" s="1049" t="s">
        <v>2399</v>
      </c>
      <c r="D145" s="2071"/>
      <c r="E145" s="92"/>
      <c r="F145" s="92">
        <v>46</v>
      </c>
      <c r="G145" s="92"/>
      <c r="H145" s="92"/>
      <c r="I145" s="92"/>
      <c r="J145" s="92"/>
      <c r="K145" s="2067"/>
      <c r="L145" s="2067"/>
      <c r="M145" s="1200" t="s">
        <v>2468</v>
      </c>
      <c r="N145" s="2639"/>
      <c r="O145" s="1029">
        <f t="shared" si="2"/>
        <v>46</v>
      </c>
      <c r="P145" s="1903"/>
      <c r="Q145" s="92"/>
    </row>
    <row r="146" spans="1:17" ht="20.100000000000001" customHeight="1">
      <c r="A146" s="92">
        <v>142</v>
      </c>
      <c r="B146" s="112" t="s">
        <v>2466</v>
      </c>
      <c r="C146" s="1049" t="s">
        <v>2399</v>
      </c>
      <c r="D146" s="2071"/>
      <c r="E146" s="92">
        <v>33</v>
      </c>
      <c r="F146" s="92"/>
      <c r="G146" s="92"/>
      <c r="H146" s="92"/>
      <c r="I146" s="92"/>
      <c r="J146" s="92"/>
      <c r="K146" s="2067"/>
      <c r="L146" s="2067"/>
      <c r="M146" s="1200" t="s">
        <v>1591</v>
      </c>
      <c r="N146" s="2639"/>
      <c r="O146" s="1029">
        <f t="shared" si="2"/>
        <v>32</v>
      </c>
      <c r="P146" s="1903">
        <v>1</v>
      </c>
      <c r="Q146" s="92"/>
    </row>
    <row r="147" spans="1:17" ht="20.100000000000001" customHeight="1">
      <c r="A147" s="92">
        <v>143</v>
      </c>
      <c r="B147" s="112" t="s">
        <v>2469</v>
      </c>
      <c r="C147" s="1049" t="s">
        <v>2399</v>
      </c>
      <c r="D147" s="2072"/>
      <c r="E147" s="92"/>
      <c r="F147" s="92"/>
      <c r="G147" s="92"/>
      <c r="H147" s="92"/>
      <c r="I147" s="92"/>
      <c r="J147" s="92"/>
      <c r="K147" s="2073">
        <v>1</v>
      </c>
      <c r="L147" s="2074"/>
      <c r="M147" s="2075" t="s">
        <v>206</v>
      </c>
      <c r="N147" s="2666">
        <v>33033.86</v>
      </c>
      <c r="O147" s="1029">
        <f t="shared" si="2"/>
        <v>1</v>
      </c>
      <c r="P147" s="1903"/>
      <c r="Q147" s="92"/>
    </row>
    <row r="148" spans="1:17" ht="20.100000000000001" customHeight="1">
      <c r="A148" s="92">
        <v>144</v>
      </c>
      <c r="B148" s="112" t="s">
        <v>2469</v>
      </c>
      <c r="C148" s="1049" t="s">
        <v>2399</v>
      </c>
      <c r="D148" s="1049"/>
      <c r="E148" s="92"/>
      <c r="F148" s="92"/>
      <c r="G148" s="92">
        <v>1</v>
      </c>
      <c r="H148" s="92"/>
      <c r="I148" s="92"/>
      <c r="J148" s="92"/>
      <c r="K148" s="1155"/>
      <c r="L148" s="1155"/>
      <c r="M148" s="1197" t="s">
        <v>708</v>
      </c>
      <c r="N148" s="2637">
        <v>0.11</v>
      </c>
      <c r="O148" s="1029">
        <f t="shared" si="2"/>
        <v>1</v>
      </c>
      <c r="P148" s="1903"/>
      <c r="Q148" s="92"/>
    </row>
    <row r="149" spans="1:17" ht="20.100000000000001" customHeight="1">
      <c r="A149" s="92">
        <v>145</v>
      </c>
      <c r="B149" s="112" t="s">
        <v>2469</v>
      </c>
      <c r="C149" s="1049" t="s">
        <v>2399</v>
      </c>
      <c r="D149" s="1049"/>
      <c r="E149" s="92"/>
      <c r="F149" s="92"/>
      <c r="G149" s="92">
        <v>1</v>
      </c>
      <c r="H149" s="92"/>
      <c r="I149" s="92"/>
      <c r="J149" s="92"/>
      <c r="K149" s="1155"/>
      <c r="L149" s="1155"/>
      <c r="M149" s="1197" t="s">
        <v>32</v>
      </c>
      <c r="N149" s="2637">
        <v>0.23</v>
      </c>
      <c r="O149" s="1029">
        <f t="shared" si="2"/>
        <v>1</v>
      </c>
      <c r="P149" s="1903"/>
      <c r="Q149" s="92"/>
    </row>
    <row r="150" spans="1:17" ht="20.100000000000001" customHeight="1">
      <c r="A150" s="92">
        <v>146</v>
      </c>
      <c r="B150" s="112" t="s">
        <v>2469</v>
      </c>
      <c r="C150" s="1049" t="s">
        <v>2399</v>
      </c>
      <c r="D150" s="1049"/>
      <c r="E150" s="92"/>
      <c r="F150" s="92"/>
      <c r="G150" s="92"/>
      <c r="H150" s="92"/>
      <c r="I150" s="92"/>
      <c r="J150" s="92"/>
      <c r="K150" s="1159">
        <v>1</v>
      </c>
      <c r="L150" s="1159"/>
      <c r="M150" s="1202" t="s">
        <v>51</v>
      </c>
      <c r="N150" s="2653">
        <v>12807</v>
      </c>
      <c r="O150" s="1029">
        <f t="shared" si="2"/>
        <v>1</v>
      </c>
      <c r="P150" s="1903"/>
      <c r="Q150" s="92"/>
    </row>
    <row r="151" spans="1:17" ht="20.100000000000001" customHeight="1">
      <c r="A151" s="92">
        <v>147</v>
      </c>
      <c r="B151" s="112" t="s">
        <v>2469</v>
      </c>
      <c r="C151" s="1049" t="s">
        <v>2399</v>
      </c>
      <c r="D151" s="1049"/>
      <c r="E151" s="92"/>
      <c r="F151" s="92"/>
      <c r="G151" s="92">
        <v>1</v>
      </c>
      <c r="H151" s="92"/>
      <c r="I151" s="92"/>
      <c r="J151" s="92"/>
      <c r="K151" s="1159"/>
      <c r="L151" s="1159"/>
      <c r="M151" s="1202" t="s">
        <v>2470</v>
      </c>
      <c r="N151" s="2653">
        <v>106950.08</v>
      </c>
      <c r="O151" s="1029">
        <f t="shared" si="2"/>
        <v>1</v>
      </c>
      <c r="P151" s="1903"/>
      <c r="Q151" s="92"/>
    </row>
    <row r="152" spans="1:17" ht="20.100000000000001" customHeight="1">
      <c r="A152" s="92">
        <v>148</v>
      </c>
      <c r="B152" s="112" t="s">
        <v>2469</v>
      </c>
      <c r="C152" s="1049" t="s">
        <v>2399</v>
      </c>
      <c r="D152" s="1049"/>
      <c r="E152" s="92"/>
      <c r="F152" s="92"/>
      <c r="G152" s="92"/>
      <c r="H152" s="92">
        <v>2</v>
      </c>
      <c r="I152" s="92"/>
      <c r="J152" s="92"/>
      <c r="K152" s="1159"/>
      <c r="L152" s="1159"/>
      <c r="M152" s="1200" t="s">
        <v>34</v>
      </c>
      <c r="N152" s="2653"/>
      <c r="O152" s="1029">
        <f t="shared" si="2"/>
        <v>2</v>
      </c>
      <c r="P152" s="1903"/>
      <c r="Q152" s="92"/>
    </row>
    <row r="153" spans="1:17" ht="20.100000000000001" customHeight="1">
      <c r="A153" s="92">
        <v>149</v>
      </c>
      <c r="B153" s="112" t="s">
        <v>2469</v>
      </c>
      <c r="C153" s="1049" t="s">
        <v>2399</v>
      </c>
      <c r="D153" s="1049"/>
      <c r="E153" s="92"/>
      <c r="F153" s="92"/>
      <c r="G153" s="92"/>
      <c r="H153" s="92"/>
      <c r="I153" s="92">
        <v>2914</v>
      </c>
      <c r="J153" s="92"/>
      <c r="K153" s="1155"/>
      <c r="L153" s="1155"/>
      <c r="M153" s="1200" t="s">
        <v>35</v>
      </c>
      <c r="N153" s="2637"/>
      <c r="O153" s="1029">
        <f t="shared" si="2"/>
        <v>2914</v>
      </c>
      <c r="P153" s="1903"/>
      <c r="Q153" s="92"/>
    </row>
    <row r="154" spans="1:17" ht="20.100000000000001" customHeight="1">
      <c r="A154" s="92">
        <v>150</v>
      </c>
      <c r="B154" s="112" t="s">
        <v>2469</v>
      </c>
      <c r="C154" s="1049" t="s">
        <v>2399</v>
      </c>
      <c r="D154" s="1049" t="s">
        <v>36</v>
      </c>
      <c r="E154" s="92"/>
      <c r="F154" s="92">
        <v>469</v>
      </c>
      <c r="G154" s="92"/>
      <c r="H154" s="92"/>
      <c r="I154" s="92"/>
      <c r="J154" s="92"/>
      <c r="K154" s="1155"/>
      <c r="L154" s="1155"/>
      <c r="M154" s="2045" t="s">
        <v>2471</v>
      </c>
      <c r="N154" s="2637">
        <v>20167</v>
      </c>
      <c r="O154" s="1029">
        <f t="shared" si="2"/>
        <v>469</v>
      </c>
      <c r="P154" s="1903"/>
      <c r="Q154" s="92"/>
    </row>
    <row r="155" spans="1:17" ht="20.100000000000001" customHeight="1">
      <c r="A155" s="92">
        <v>151</v>
      </c>
      <c r="B155" s="112" t="s">
        <v>2469</v>
      </c>
      <c r="C155" s="1049" t="s">
        <v>2399</v>
      </c>
      <c r="D155" s="1049"/>
      <c r="E155" s="92">
        <v>28</v>
      </c>
      <c r="F155" s="92"/>
      <c r="G155" s="92"/>
      <c r="H155" s="92"/>
      <c r="I155" s="92"/>
      <c r="J155" s="92"/>
      <c r="K155" s="1155"/>
      <c r="L155" s="1155"/>
      <c r="M155" s="1200" t="s">
        <v>1591</v>
      </c>
      <c r="N155" s="2637"/>
      <c r="O155" s="1029">
        <f t="shared" si="2"/>
        <v>28</v>
      </c>
      <c r="P155" s="1903"/>
      <c r="Q155" s="92"/>
    </row>
    <row r="156" spans="1:17" ht="20.100000000000001" customHeight="1">
      <c r="A156" s="92">
        <v>152</v>
      </c>
      <c r="B156" s="112" t="s">
        <v>2469</v>
      </c>
      <c r="C156" s="1049" t="s">
        <v>2399</v>
      </c>
      <c r="D156" s="1049"/>
      <c r="E156" s="92"/>
      <c r="F156" s="92"/>
      <c r="G156" s="92"/>
      <c r="H156" s="92"/>
      <c r="I156" s="92"/>
      <c r="J156" s="92"/>
      <c r="K156" s="2076">
        <v>1</v>
      </c>
      <c r="L156" s="2077" t="s">
        <v>2472</v>
      </c>
      <c r="M156" s="2077" t="s">
        <v>2473</v>
      </c>
      <c r="N156" s="2667" t="s">
        <v>2474</v>
      </c>
      <c r="O156" s="1029">
        <f t="shared" si="2"/>
        <v>0</v>
      </c>
      <c r="P156" s="1903">
        <v>1</v>
      </c>
      <c r="Q156" s="92"/>
    </row>
    <row r="157" spans="1:17" ht="20.100000000000001" customHeight="1">
      <c r="A157" s="92">
        <v>153</v>
      </c>
      <c r="B157" s="112" t="s">
        <v>2469</v>
      </c>
      <c r="C157" s="1049" t="s">
        <v>2399</v>
      </c>
      <c r="D157" s="1837"/>
      <c r="E157" s="92"/>
      <c r="F157" s="92"/>
      <c r="G157" s="92"/>
      <c r="H157" s="92"/>
      <c r="I157" s="92"/>
      <c r="J157" s="92"/>
      <c r="K157" s="2078">
        <v>1</v>
      </c>
      <c r="L157" s="2079" t="s">
        <v>2475</v>
      </c>
      <c r="M157" s="2077" t="s">
        <v>2476</v>
      </c>
      <c r="N157" s="2668" t="s">
        <v>2477</v>
      </c>
      <c r="O157" s="1029">
        <f t="shared" si="2"/>
        <v>0</v>
      </c>
      <c r="P157" s="1903">
        <v>1</v>
      </c>
      <c r="Q157" s="92"/>
    </row>
    <row r="158" spans="1:17" ht="20.100000000000001" customHeight="1">
      <c r="A158" s="92">
        <v>154</v>
      </c>
      <c r="B158" s="112" t="s">
        <v>2469</v>
      </c>
      <c r="C158" s="1049" t="s">
        <v>2399</v>
      </c>
      <c r="D158" s="2080"/>
      <c r="E158" s="92"/>
      <c r="F158" s="92"/>
      <c r="G158" s="92"/>
      <c r="H158" s="92"/>
      <c r="I158" s="92"/>
      <c r="J158" s="92"/>
      <c r="K158" s="1198">
        <v>1</v>
      </c>
      <c r="L158" s="2081" t="s">
        <v>2478</v>
      </c>
      <c r="M158" s="2082" t="s">
        <v>2479</v>
      </c>
      <c r="N158" s="2668" t="s">
        <v>2480</v>
      </c>
      <c r="O158" s="1029">
        <f t="shared" si="2"/>
        <v>0</v>
      </c>
      <c r="P158" s="1903">
        <v>1</v>
      </c>
      <c r="Q158" s="92"/>
    </row>
    <row r="159" spans="1:17" ht="20.100000000000001" customHeight="1">
      <c r="A159" s="92">
        <v>155</v>
      </c>
      <c r="B159" s="112" t="s">
        <v>2469</v>
      </c>
      <c r="C159" s="1049" t="s">
        <v>2399</v>
      </c>
      <c r="D159" s="1064"/>
      <c r="E159" s="92"/>
      <c r="F159" s="92"/>
      <c r="G159" s="92"/>
      <c r="H159" s="92"/>
      <c r="I159" s="92"/>
      <c r="J159" s="92"/>
      <c r="K159" s="1155">
        <v>1</v>
      </c>
      <c r="L159" s="2083" t="s">
        <v>2481</v>
      </c>
      <c r="M159" s="1847" t="s">
        <v>2482</v>
      </c>
      <c r="N159" s="2669">
        <v>15000</v>
      </c>
      <c r="O159" s="1029">
        <f t="shared" si="2"/>
        <v>0</v>
      </c>
      <c r="P159" s="1903">
        <v>1</v>
      </c>
      <c r="Q159" s="92"/>
    </row>
    <row r="160" spans="1:17" ht="20.100000000000001" customHeight="1">
      <c r="A160" s="92">
        <v>156</v>
      </c>
      <c r="B160" s="112" t="s">
        <v>2469</v>
      </c>
      <c r="C160" s="1049" t="s">
        <v>2399</v>
      </c>
      <c r="D160" s="1064"/>
      <c r="E160" s="92"/>
      <c r="F160" s="92"/>
      <c r="G160" s="92"/>
      <c r="H160" s="92"/>
      <c r="I160" s="92"/>
      <c r="J160" s="92"/>
      <c r="K160" s="2076">
        <v>1</v>
      </c>
      <c r="L160" s="2084" t="s">
        <v>2483</v>
      </c>
      <c r="M160" s="2085" t="s">
        <v>2484</v>
      </c>
      <c r="N160" s="2670">
        <v>50000</v>
      </c>
      <c r="O160" s="1029">
        <f t="shared" si="2"/>
        <v>0</v>
      </c>
      <c r="P160" s="1903">
        <v>1</v>
      </c>
      <c r="Q160" s="92"/>
    </row>
    <row r="161" spans="1:17" ht="20.100000000000001" customHeight="1">
      <c r="A161" s="92">
        <v>157</v>
      </c>
      <c r="B161" s="112" t="s">
        <v>2469</v>
      </c>
      <c r="C161" s="1049" t="s">
        <v>2399</v>
      </c>
      <c r="D161" s="1064"/>
      <c r="E161" s="92"/>
      <c r="F161" s="92"/>
      <c r="G161" s="92"/>
      <c r="H161" s="92"/>
      <c r="I161" s="92"/>
      <c r="J161" s="92"/>
      <c r="K161" s="2076">
        <v>1</v>
      </c>
      <c r="L161" s="2086" t="s">
        <v>2485</v>
      </c>
      <c r="M161" s="2087" t="s">
        <v>2479</v>
      </c>
      <c r="N161" s="2671">
        <v>50000</v>
      </c>
      <c r="O161" s="1029">
        <f t="shared" si="2"/>
        <v>0</v>
      </c>
      <c r="P161" s="1903">
        <v>1</v>
      </c>
      <c r="Q161" s="92"/>
    </row>
    <row r="162" spans="1:17" ht="20.100000000000001" customHeight="1">
      <c r="A162" s="92">
        <v>158</v>
      </c>
      <c r="B162" s="112" t="s">
        <v>2469</v>
      </c>
      <c r="C162" s="1049" t="s">
        <v>2399</v>
      </c>
      <c r="D162" s="1064"/>
      <c r="E162" s="92"/>
      <c r="F162" s="92"/>
      <c r="G162" s="92"/>
      <c r="H162" s="92"/>
      <c r="I162" s="92"/>
      <c r="J162" s="92"/>
      <c r="K162" s="1155">
        <v>1</v>
      </c>
      <c r="L162" s="2088" t="s">
        <v>2486</v>
      </c>
      <c r="M162" s="1847" t="s">
        <v>2487</v>
      </c>
      <c r="N162" s="2672" t="s">
        <v>2488</v>
      </c>
      <c r="O162" s="1029">
        <f t="shared" si="2"/>
        <v>0</v>
      </c>
      <c r="P162" s="1903">
        <v>1</v>
      </c>
      <c r="Q162" s="92"/>
    </row>
    <row r="163" spans="1:17" ht="20.100000000000001" customHeight="1">
      <c r="A163" s="92">
        <v>159</v>
      </c>
      <c r="B163" s="112" t="s">
        <v>2469</v>
      </c>
      <c r="C163" s="1049" t="s">
        <v>2399</v>
      </c>
      <c r="D163" s="1064"/>
      <c r="E163" s="92"/>
      <c r="F163" s="92"/>
      <c r="G163" s="92"/>
      <c r="H163" s="92"/>
      <c r="I163" s="92"/>
      <c r="J163" s="92"/>
      <c r="K163" s="2078">
        <v>1</v>
      </c>
      <c r="L163" s="2089" t="s">
        <v>2481</v>
      </c>
      <c r="M163" s="2089" t="s">
        <v>2489</v>
      </c>
      <c r="N163" s="2673">
        <v>15000</v>
      </c>
      <c r="O163" s="1029">
        <f t="shared" si="2"/>
        <v>0</v>
      </c>
      <c r="P163" s="1903">
        <v>1</v>
      </c>
      <c r="Q163" s="92"/>
    </row>
    <row r="164" spans="1:17" ht="20.100000000000001" customHeight="1">
      <c r="A164" s="92">
        <v>160</v>
      </c>
      <c r="B164" s="112" t="s">
        <v>2469</v>
      </c>
      <c r="C164" s="1049" t="s">
        <v>2399</v>
      </c>
      <c r="D164" s="1064"/>
      <c r="E164" s="92"/>
      <c r="F164" s="92"/>
      <c r="G164" s="92"/>
      <c r="H164" s="92"/>
      <c r="I164" s="92"/>
      <c r="J164" s="92"/>
      <c r="K164" s="2090">
        <v>4</v>
      </c>
      <c r="L164" s="2083" t="s">
        <v>2481</v>
      </c>
      <c r="M164" s="2091" t="s">
        <v>2482</v>
      </c>
      <c r="N164" s="2674">
        <v>50000</v>
      </c>
      <c r="O164" s="1029">
        <f t="shared" si="2"/>
        <v>0</v>
      </c>
      <c r="P164" s="1903">
        <v>4</v>
      </c>
      <c r="Q164" s="92"/>
    </row>
    <row r="165" spans="1:17" ht="20.100000000000001" customHeight="1">
      <c r="A165" s="92">
        <v>161</v>
      </c>
      <c r="B165" s="112" t="s">
        <v>2490</v>
      </c>
      <c r="C165" s="1049" t="s">
        <v>2399</v>
      </c>
      <c r="D165" s="1049" t="s">
        <v>26</v>
      </c>
      <c r="E165" s="92"/>
      <c r="F165" s="92"/>
      <c r="G165" s="92"/>
      <c r="H165" s="92"/>
      <c r="I165" s="92"/>
      <c r="J165" s="92"/>
      <c r="K165" s="1155">
        <v>1</v>
      </c>
      <c r="L165" s="1155"/>
      <c r="M165" s="1195" t="s">
        <v>48</v>
      </c>
      <c r="N165" s="2637">
        <v>100</v>
      </c>
      <c r="O165" s="1029">
        <f t="shared" si="2"/>
        <v>1</v>
      </c>
      <c r="Q165" s="92"/>
    </row>
    <row r="166" spans="1:17" ht="20.100000000000001" customHeight="1">
      <c r="A166" s="92">
        <v>162</v>
      </c>
      <c r="B166" s="112" t="s">
        <v>2490</v>
      </c>
      <c r="C166" s="1049" t="s">
        <v>2399</v>
      </c>
      <c r="D166" s="1049"/>
      <c r="E166" s="92"/>
      <c r="F166" s="92"/>
      <c r="G166" s="92"/>
      <c r="H166" s="92"/>
      <c r="I166" s="92"/>
      <c r="J166" s="92"/>
      <c r="K166" s="1155">
        <v>1</v>
      </c>
      <c r="L166" s="1155"/>
      <c r="M166" s="1159" t="s">
        <v>2491</v>
      </c>
      <c r="N166" s="2637">
        <v>100</v>
      </c>
      <c r="O166" s="1029">
        <f t="shared" si="2"/>
        <v>1</v>
      </c>
      <c r="Q166" s="92"/>
    </row>
    <row r="167" spans="1:17" ht="20.100000000000001" customHeight="1">
      <c r="A167" s="92">
        <v>163</v>
      </c>
      <c r="B167" s="112" t="s">
        <v>2490</v>
      </c>
      <c r="C167" s="1049" t="s">
        <v>2399</v>
      </c>
      <c r="D167" s="1049"/>
      <c r="E167" s="92"/>
      <c r="F167" s="92"/>
      <c r="G167" s="92">
        <v>1</v>
      </c>
      <c r="H167" s="92"/>
      <c r="I167" s="92"/>
      <c r="J167" s="92"/>
      <c r="K167" s="1155"/>
      <c r="L167" s="1198"/>
      <c r="M167" s="1103" t="s">
        <v>49</v>
      </c>
      <c r="N167" s="2659">
        <v>-17910221.91</v>
      </c>
      <c r="O167" s="1029">
        <f t="shared" si="2"/>
        <v>1</v>
      </c>
      <c r="Q167" s="92"/>
    </row>
    <row r="168" spans="1:17" ht="20.100000000000001" customHeight="1">
      <c r="A168" s="92">
        <v>164</v>
      </c>
      <c r="B168" s="112" t="s">
        <v>2490</v>
      </c>
      <c r="C168" s="1049" t="s">
        <v>2399</v>
      </c>
      <c r="D168" s="1049"/>
      <c r="E168" s="92"/>
      <c r="F168" s="92"/>
      <c r="G168" s="92">
        <v>1</v>
      </c>
      <c r="H168" s="92"/>
      <c r="I168" s="92"/>
      <c r="J168" s="92"/>
      <c r="K168" s="1155"/>
      <c r="L168" s="1155"/>
      <c r="M168" s="1287" t="s">
        <v>32</v>
      </c>
      <c r="N168" s="2638">
        <v>35.35</v>
      </c>
      <c r="O168" s="1029">
        <f t="shared" si="2"/>
        <v>1</v>
      </c>
      <c r="P168" s="1903"/>
      <c r="Q168" s="92"/>
    </row>
    <row r="169" spans="1:17" ht="20.100000000000001" customHeight="1">
      <c r="A169" s="92">
        <v>165</v>
      </c>
      <c r="B169" s="112" t="s">
        <v>2490</v>
      </c>
      <c r="C169" s="1049" t="s">
        <v>2399</v>
      </c>
      <c r="D169" s="1049"/>
      <c r="E169" s="92"/>
      <c r="F169" s="92"/>
      <c r="G169" s="92"/>
      <c r="H169" s="92">
        <v>3</v>
      </c>
      <c r="I169" s="92"/>
      <c r="J169" s="92"/>
      <c r="K169" s="1159"/>
      <c r="L169" s="1159"/>
      <c r="M169" s="1195" t="s">
        <v>34</v>
      </c>
      <c r="N169" s="2653">
        <v>0</v>
      </c>
      <c r="O169" s="1029">
        <f t="shared" si="2"/>
        <v>3</v>
      </c>
      <c r="P169" s="1903"/>
      <c r="Q169" s="92"/>
    </row>
    <row r="170" spans="1:17" ht="20.100000000000001" customHeight="1">
      <c r="A170" s="92">
        <v>166</v>
      </c>
      <c r="B170" s="112" t="s">
        <v>2490</v>
      </c>
      <c r="C170" s="1049" t="s">
        <v>2399</v>
      </c>
      <c r="D170" s="1049"/>
      <c r="E170" s="92"/>
      <c r="F170" s="92"/>
      <c r="G170" s="92"/>
      <c r="H170" s="92"/>
      <c r="I170" s="92">
        <v>305</v>
      </c>
      <c r="J170" s="92"/>
      <c r="K170" s="1155"/>
      <c r="L170" s="1198"/>
      <c r="M170" s="1199" t="s">
        <v>35</v>
      </c>
      <c r="N170" s="2659">
        <v>694565.87</v>
      </c>
      <c r="O170" s="1029">
        <f t="shared" si="2"/>
        <v>305</v>
      </c>
      <c r="P170" s="1903"/>
      <c r="Q170" s="92"/>
    </row>
    <row r="171" spans="1:17" ht="20.100000000000001" customHeight="1">
      <c r="A171" s="92">
        <v>167</v>
      </c>
      <c r="B171" s="112" t="s">
        <v>2490</v>
      </c>
      <c r="C171" s="1049" t="s">
        <v>2399</v>
      </c>
      <c r="D171" s="1049"/>
      <c r="E171" s="92"/>
      <c r="F171" s="92"/>
      <c r="G171" s="92"/>
      <c r="H171" s="92"/>
      <c r="I171" s="92"/>
      <c r="J171" s="92"/>
      <c r="K171" s="1155">
        <v>2</v>
      </c>
      <c r="L171" s="1155"/>
      <c r="M171" s="1200" t="s">
        <v>196</v>
      </c>
      <c r="N171" s="2639">
        <v>2</v>
      </c>
      <c r="O171" s="1029">
        <f t="shared" si="2"/>
        <v>2</v>
      </c>
      <c r="P171" s="1903"/>
      <c r="Q171" s="92"/>
    </row>
    <row r="172" spans="1:17" ht="20.100000000000001" customHeight="1">
      <c r="A172" s="92">
        <v>168</v>
      </c>
      <c r="B172" s="112" t="s">
        <v>2490</v>
      </c>
      <c r="C172" s="1049" t="s">
        <v>2399</v>
      </c>
      <c r="D172" s="1049" t="s">
        <v>36</v>
      </c>
      <c r="E172" s="92"/>
      <c r="F172" s="92">
        <v>201</v>
      </c>
      <c r="G172" s="92"/>
      <c r="H172" s="92"/>
      <c r="I172" s="92"/>
      <c r="J172" s="92"/>
      <c r="K172" s="2092"/>
      <c r="L172" s="1903"/>
      <c r="M172" s="1200" t="s">
        <v>2492</v>
      </c>
      <c r="N172" s="2637"/>
      <c r="O172" s="1029">
        <f t="shared" si="2"/>
        <v>198</v>
      </c>
      <c r="P172" s="1903">
        <v>3</v>
      </c>
      <c r="Q172" s="92"/>
    </row>
    <row r="173" spans="1:17" ht="20.100000000000001" customHeight="1">
      <c r="A173" s="92">
        <v>169</v>
      </c>
      <c r="B173" s="112" t="s">
        <v>2493</v>
      </c>
      <c r="C173" s="1049" t="s">
        <v>2399</v>
      </c>
      <c r="D173" s="1049"/>
      <c r="E173" s="92"/>
      <c r="F173" s="92"/>
      <c r="G173" s="92"/>
      <c r="H173" s="92"/>
      <c r="I173" s="92"/>
      <c r="J173" s="92"/>
      <c r="K173" s="1198">
        <v>1</v>
      </c>
      <c r="L173" s="1198"/>
      <c r="M173" s="2038" t="s">
        <v>118</v>
      </c>
      <c r="N173" s="2654">
        <v>2400</v>
      </c>
      <c r="O173" s="1029">
        <f t="shared" si="2"/>
        <v>1</v>
      </c>
      <c r="P173" s="1903"/>
      <c r="Q173" s="92"/>
    </row>
    <row r="174" spans="1:17" ht="20.100000000000001" customHeight="1">
      <c r="A174" s="92">
        <v>170</v>
      </c>
      <c r="B174" s="112" t="s">
        <v>2493</v>
      </c>
      <c r="C174" s="1049" t="s">
        <v>2399</v>
      </c>
      <c r="D174" s="1049"/>
      <c r="E174" s="92"/>
      <c r="F174" s="92"/>
      <c r="G174" s="92"/>
      <c r="H174" s="92"/>
      <c r="I174" s="92">
        <v>1247</v>
      </c>
      <c r="J174" s="92"/>
      <c r="K174" s="1155"/>
      <c r="L174" s="1155"/>
      <c r="M174" s="1200" t="s">
        <v>2442</v>
      </c>
      <c r="N174" s="2656"/>
      <c r="O174" s="1029">
        <f t="shared" si="2"/>
        <v>1247</v>
      </c>
      <c r="P174" s="1903"/>
      <c r="Q174" s="92"/>
    </row>
    <row r="175" spans="1:17" ht="20.100000000000001" customHeight="1">
      <c r="A175" s="92">
        <v>171</v>
      </c>
      <c r="B175" s="112" t="s">
        <v>2493</v>
      </c>
      <c r="C175" s="1049" t="s">
        <v>2399</v>
      </c>
      <c r="D175" s="1049" t="s">
        <v>36</v>
      </c>
      <c r="E175" s="92"/>
      <c r="F175" s="92">
        <v>577</v>
      </c>
      <c r="G175" s="92"/>
      <c r="H175" s="92"/>
      <c r="I175" s="92"/>
      <c r="J175" s="92"/>
      <c r="K175" s="1155"/>
      <c r="L175" s="1155"/>
      <c r="M175" s="1200" t="s">
        <v>2494</v>
      </c>
      <c r="N175" s="2656"/>
      <c r="O175" s="1029">
        <f t="shared" si="2"/>
        <v>577</v>
      </c>
      <c r="P175" s="1903"/>
      <c r="Q175" s="92"/>
    </row>
    <row r="176" spans="1:17" ht="20.100000000000001" customHeight="1">
      <c r="A176" s="92">
        <v>172</v>
      </c>
      <c r="B176" s="112" t="s">
        <v>2493</v>
      </c>
      <c r="C176" s="1049" t="s">
        <v>2399</v>
      </c>
      <c r="D176" s="1049"/>
      <c r="E176" s="92">
        <v>92</v>
      </c>
      <c r="F176" s="92"/>
      <c r="G176" s="92"/>
      <c r="H176" s="92"/>
      <c r="I176" s="92"/>
      <c r="J176" s="92"/>
      <c r="K176" s="1155"/>
      <c r="L176" s="1155"/>
      <c r="M176" s="1200" t="s">
        <v>1591</v>
      </c>
      <c r="N176" s="2656"/>
      <c r="O176" s="1029">
        <f t="shared" si="2"/>
        <v>92</v>
      </c>
      <c r="P176" s="1903"/>
      <c r="Q176" s="92"/>
    </row>
    <row r="177" spans="1:17" ht="20.100000000000001" customHeight="1">
      <c r="A177" s="92">
        <v>173</v>
      </c>
      <c r="B177" s="112" t="s">
        <v>2493</v>
      </c>
      <c r="C177" s="1049" t="s">
        <v>2399</v>
      </c>
      <c r="D177" s="1049" t="s">
        <v>38</v>
      </c>
      <c r="E177" s="92"/>
      <c r="F177" s="92"/>
      <c r="G177" s="92"/>
      <c r="H177" s="92"/>
      <c r="I177" s="92"/>
      <c r="J177" s="92"/>
      <c r="K177" s="1155">
        <v>5</v>
      </c>
      <c r="L177" s="1155"/>
      <c r="M177" s="2093" t="s">
        <v>2495</v>
      </c>
      <c r="N177" s="2637">
        <v>141000</v>
      </c>
      <c r="O177" s="1029">
        <f t="shared" si="2"/>
        <v>2</v>
      </c>
      <c r="P177" s="1903">
        <v>3</v>
      </c>
      <c r="Q177" s="92"/>
    </row>
    <row r="178" spans="1:17" ht="20.100000000000001" customHeight="1">
      <c r="A178" s="92">
        <v>174</v>
      </c>
      <c r="B178" s="112" t="s">
        <v>2493</v>
      </c>
      <c r="C178" s="1049" t="s">
        <v>2399</v>
      </c>
      <c r="D178" s="1049"/>
      <c r="E178" s="92"/>
      <c r="F178" s="92"/>
      <c r="G178" s="92"/>
      <c r="H178" s="92"/>
      <c r="I178" s="92"/>
      <c r="J178" s="92"/>
      <c r="K178" s="1198">
        <v>4</v>
      </c>
      <c r="L178" s="1198"/>
      <c r="M178" s="2094" t="s">
        <v>2417</v>
      </c>
      <c r="N178" s="2659">
        <v>1240150</v>
      </c>
      <c r="O178" s="1029">
        <f t="shared" si="2"/>
        <v>0</v>
      </c>
      <c r="P178" s="1903">
        <v>4</v>
      </c>
      <c r="Q178" s="92"/>
    </row>
    <row r="179" spans="1:17" ht="20.100000000000001" customHeight="1">
      <c r="A179" s="92">
        <v>175</v>
      </c>
      <c r="B179" s="112" t="s">
        <v>2496</v>
      </c>
      <c r="C179" s="1049" t="s">
        <v>2399</v>
      </c>
      <c r="D179" s="1049" t="s">
        <v>26</v>
      </c>
      <c r="E179" s="92"/>
      <c r="F179" s="92"/>
      <c r="G179" s="92"/>
      <c r="H179" s="92"/>
      <c r="I179" s="92"/>
      <c r="J179" s="92"/>
      <c r="K179" s="1155">
        <v>1</v>
      </c>
      <c r="L179" s="1155"/>
      <c r="M179" s="1200" t="s">
        <v>48</v>
      </c>
      <c r="N179" s="2637">
        <v>-31013.15</v>
      </c>
      <c r="O179" s="1029">
        <f t="shared" si="2"/>
        <v>1</v>
      </c>
      <c r="P179" s="1903"/>
      <c r="Q179" s="92"/>
    </row>
    <row r="180" spans="1:17" ht="20.100000000000001" customHeight="1">
      <c r="A180" s="92">
        <v>176</v>
      </c>
      <c r="B180" s="112" t="s">
        <v>2496</v>
      </c>
      <c r="C180" s="1049" t="s">
        <v>2399</v>
      </c>
      <c r="D180" s="1049"/>
      <c r="E180" s="92"/>
      <c r="F180" s="92"/>
      <c r="G180" s="92"/>
      <c r="H180" s="92"/>
      <c r="I180" s="92"/>
      <c r="J180" s="92"/>
      <c r="K180" s="1155">
        <v>1</v>
      </c>
      <c r="L180" s="1155"/>
      <c r="M180" s="1104" t="s">
        <v>2497</v>
      </c>
      <c r="N180" s="2637">
        <v>-31013.15</v>
      </c>
      <c r="O180" s="1029">
        <f t="shared" si="2"/>
        <v>1</v>
      </c>
      <c r="P180" s="1903"/>
      <c r="Q180" s="92"/>
    </row>
    <row r="181" spans="1:17" ht="20.100000000000001" customHeight="1">
      <c r="A181" s="92">
        <v>177</v>
      </c>
      <c r="B181" s="112" t="s">
        <v>2496</v>
      </c>
      <c r="C181" s="1049" t="s">
        <v>2399</v>
      </c>
      <c r="D181" s="1049"/>
      <c r="E181" s="92"/>
      <c r="F181" s="92"/>
      <c r="G181" s="92">
        <v>1</v>
      </c>
      <c r="H181" s="92"/>
      <c r="I181" s="92"/>
      <c r="J181" s="92"/>
      <c r="K181" s="1155"/>
      <c r="L181" s="1155"/>
      <c r="M181" s="1287" t="s">
        <v>49</v>
      </c>
      <c r="N181" s="2641">
        <v>52620215.380000003</v>
      </c>
      <c r="O181" s="1029">
        <f t="shared" si="2"/>
        <v>1</v>
      </c>
      <c r="P181" s="1903"/>
      <c r="Q181" s="92"/>
    </row>
    <row r="182" spans="1:17" ht="20.100000000000001" customHeight="1">
      <c r="A182" s="92">
        <v>178</v>
      </c>
      <c r="B182" s="112" t="s">
        <v>2496</v>
      </c>
      <c r="C182" s="1049" t="s">
        <v>2399</v>
      </c>
      <c r="D182" s="1049"/>
      <c r="E182" s="92"/>
      <c r="F182" s="92"/>
      <c r="G182" s="92"/>
      <c r="H182" s="92"/>
      <c r="I182" s="92">
        <v>1373</v>
      </c>
      <c r="J182" s="92"/>
      <c r="K182" s="1155"/>
      <c r="L182" s="1155"/>
      <c r="M182" s="1200" t="s">
        <v>35</v>
      </c>
      <c r="N182" s="2637"/>
      <c r="O182" s="1029">
        <f t="shared" si="2"/>
        <v>1373</v>
      </c>
      <c r="P182" s="1903"/>
      <c r="Q182" s="92"/>
    </row>
    <row r="183" spans="1:17" ht="20.100000000000001" customHeight="1">
      <c r="A183" s="92">
        <v>179</v>
      </c>
      <c r="B183" s="112" t="s">
        <v>2496</v>
      </c>
      <c r="C183" s="1049" t="s">
        <v>2399</v>
      </c>
      <c r="D183" s="1049" t="s">
        <v>36</v>
      </c>
      <c r="E183" s="92"/>
      <c r="F183" s="92">
        <v>352</v>
      </c>
      <c r="G183" s="92"/>
      <c r="H183" s="92"/>
      <c r="I183" s="92"/>
      <c r="J183" s="92"/>
      <c r="K183" s="1155"/>
      <c r="L183" s="1155"/>
      <c r="M183" s="1200" t="s">
        <v>2498</v>
      </c>
      <c r="N183" s="2637"/>
      <c r="O183" s="1029">
        <f t="shared" si="2"/>
        <v>352</v>
      </c>
      <c r="P183" s="1903"/>
      <c r="Q183" s="92"/>
    </row>
    <row r="184" spans="1:17" ht="20.100000000000001" customHeight="1">
      <c r="A184" s="92">
        <v>180</v>
      </c>
      <c r="B184" s="112" t="s">
        <v>2496</v>
      </c>
      <c r="C184" s="1049" t="s">
        <v>2399</v>
      </c>
      <c r="D184" s="1049"/>
      <c r="E184" s="92">
        <v>71</v>
      </c>
      <c r="F184" s="92"/>
      <c r="G184" s="92"/>
      <c r="H184" s="92"/>
      <c r="I184" s="92"/>
      <c r="J184" s="92"/>
      <c r="K184" s="1155"/>
      <c r="L184" s="1155"/>
      <c r="M184" s="1200" t="s">
        <v>1591</v>
      </c>
      <c r="N184" s="2637"/>
      <c r="O184" s="1029">
        <f t="shared" si="2"/>
        <v>71</v>
      </c>
      <c r="P184" s="1903"/>
      <c r="Q184" s="92"/>
    </row>
    <row r="185" spans="1:17" ht="20.100000000000001" customHeight="1">
      <c r="A185" s="92">
        <v>181</v>
      </c>
      <c r="B185" s="112" t="s">
        <v>2499</v>
      </c>
      <c r="C185" s="1049" t="s">
        <v>2399</v>
      </c>
      <c r="D185" s="1049"/>
      <c r="E185" s="92"/>
      <c r="F185" s="92"/>
      <c r="G185" s="92"/>
      <c r="H185" s="92"/>
      <c r="I185" s="92">
        <v>629</v>
      </c>
      <c r="J185" s="92"/>
      <c r="K185" s="1155"/>
      <c r="L185" s="1155"/>
      <c r="M185" s="1200" t="s">
        <v>35</v>
      </c>
      <c r="N185" s="2675">
        <v>302797.09000000003</v>
      </c>
      <c r="O185" s="1029">
        <f t="shared" si="2"/>
        <v>629</v>
      </c>
      <c r="P185" s="1903"/>
      <c r="Q185" s="92"/>
    </row>
    <row r="186" spans="1:17" ht="20.100000000000001" customHeight="1">
      <c r="A186" s="92">
        <v>182</v>
      </c>
      <c r="B186" s="112" t="s">
        <v>2499</v>
      </c>
      <c r="C186" s="1049" t="s">
        <v>2399</v>
      </c>
      <c r="D186" s="1049" t="s">
        <v>36</v>
      </c>
      <c r="E186" s="92"/>
      <c r="F186" s="92">
        <v>644</v>
      </c>
      <c r="G186" s="92"/>
      <c r="H186" s="92"/>
      <c r="I186" s="92"/>
      <c r="J186" s="92"/>
      <c r="K186" s="1155"/>
      <c r="L186" s="1155"/>
      <c r="M186" s="1200" t="s">
        <v>2500</v>
      </c>
      <c r="N186" s="2637"/>
      <c r="O186" s="1029">
        <f t="shared" si="2"/>
        <v>644</v>
      </c>
      <c r="P186" s="1903"/>
      <c r="Q186" s="92"/>
    </row>
    <row r="187" spans="1:17" ht="20.100000000000001" customHeight="1">
      <c r="A187" s="92">
        <v>183</v>
      </c>
      <c r="B187" s="112" t="s">
        <v>2499</v>
      </c>
      <c r="C187" s="1049" t="s">
        <v>2399</v>
      </c>
      <c r="D187" s="1049"/>
      <c r="E187" s="92">
        <v>8</v>
      </c>
      <c r="F187" s="92"/>
      <c r="G187" s="92"/>
      <c r="H187" s="92"/>
      <c r="I187" s="92"/>
      <c r="J187" s="92"/>
      <c r="K187" s="1155"/>
      <c r="L187" s="1155"/>
      <c r="M187" s="1200" t="s">
        <v>1591</v>
      </c>
      <c r="N187" s="2637"/>
      <c r="O187" s="1029">
        <f t="shared" si="2"/>
        <v>8</v>
      </c>
      <c r="P187" s="1903"/>
      <c r="Q187" s="92"/>
    </row>
    <row r="188" spans="1:17" ht="20.100000000000001" customHeight="1">
      <c r="A188" s="92">
        <v>184</v>
      </c>
      <c r="B188" s="112" t="s">
        <v>2501</v>
      </c>
      <c r="C188" s="1049" t="s">
        <v>2399</v>
      </c>
      <c r="D188" s="1049"/>
      <c r="E188" s="92"/>
      <c r="F188" s="92"/>
      <c r="G188" s="92"/>
      <c r="H188" s="92"/>
      <c r="I188" s="92">
        <v>235</v>
      </c>
      <c r="J188" s="92"/>
      <c r="K188" s="2046"/>
      <c r="L188" s="930"/>
      <c r="M188" s="1200" t="s">
        <v>2502</v>
      </c>
      <c r="N188" s="2653"/>
      <c r="O188" s="1029">
        <f t="shared" si="2"/>
        <v>235</v>
      </c>
      <c r="P188" s="1903"/>
      <c r="Q188" s="92"/>
    </row>
    <row r="189" spans="1:17" ht="20.100000000000001" customHeight="1">
      <c r="A189" s="92">
        <v>185</v>
      </c>
      <c r="B189" s="112" t="s">
        <v>2501</v>
      </c>
      <c r="C189" s="1049" t="s">
        <v>2399</v>
      </c>
      <c r="D189" s="619" t="s">
        <v>36</v>
      </c>
      <c r="E189" s="92"/>
      <c r="F189" s="92">
        <v>148</v>
      </c>
      <c r="G189" s="92"/>
      <c r="H189" s="92"/>
      <c r="I189" s="92"/>
      <c r="J189" s="92"/>
      <c r="K189" s="162"/>
      <c r="L189" s="1101"/>
      <c r="M189" s="567" t="s">
        <v>2503</v>
      </c>
      <c r="N189" s="2637"/>
      <c r="O189" s="1029">
        <f t="shared" si="2"/>
        <v>148</v>
      </c>
      <c r="P189" s="1903"/>
      <c r="Q189" s="92"/>
    </row>
    <row r="190" spans="1:17" ht="20.100000000000001" customHeight="1">
      <c r="A190" s="92">
        <v>186</v>
      </c>
      <c r="B190" s="112" t="s">
        <v>2504</v>
      </c>
      <c r="C190" s="1049" t="s">
        <v>2399</v>
      </c>
      <c r="D190" s="3544"/>
      <c r="E190" s="92"/>
      <c r="F190" s="92"/>
      <c r="G190" s="1047">
        <v>1</v>
      </c>
      <c r="H190" s="92"/>
      <c r="I190" s="92"/>
      <c r="J190" s="92"/>
      <c r="K190" s="1047"/>
      <c r="L190" s="1047"/>
      <c r="M190" s="1287" t="s">
        <v>49</v>
      </c>
      <c r="N190" s="2641">
        <v>5076487.47</v>
      </c>
      <c r="O190" s="1029">
        <f t="shared" si="2"/>
        <v>1</v>
      </c>
      <c r="P190" s="1903"/>
      <c r="Q190" s="92"/>
    </row>
    <row r="191" spans="1:17" ht="20.100000000000001" customHeight="1">
      <c r="A191" s="92">
        <v>187</v>
      </c>
      <c r="B191" s="112" t="s">
        <v>2504</v>
      </c>
      <c r="C191" s="1049" t="s">
        <v>2399</v>
      </c>
      <c r="D191" s="3544"/>
      <c r="E191" s="92"/>
      <c r="F191" s="92"/>
      <c r="G191" s="1047">
        <v>1</v>
      </c>
      <c r="H191" s="92"/>
      <c r="I191" s="92"/>
      <c r="J191" s="92"/>
      <c r="K191" s="1047"/>
      <c r="L191" s="1047"/>
      <c r="M191" s="1287" t="s">
        <v>32</v>
      </c>
      <c r="N191" s="2637">
        <v>356.02</v>
      </c>
      <c r="O191" s="1029">
        <f t="shared" si="2"/>
        <v>1</v>
      </c>
      <c r="P191" s="1903"/>
      <c r="Q191" s="92"/>
    </row>
    <row r="192" spans="1:17" ht="20.100000000000001" customHeight="1">
      <c r="A192" s="92">
        <v>188</v>
      </c>
      <c r="B192" s="112" t="s">
        <v>2504</v>
      </c>
      <c r="C192" s="1049" t="s">
        <v>2399</v>
      </c>
      <c r="D192" s="3544"/>
      <c r="E192" s="92"/>
      <c r="F192" s="92"/>
      <c r="G192" s="1059">
        <v>1</v>
      </c>
      <c r="H192" s="92"/>
      <c r="I192" s="92"/>
      <c r="J192" s="92"/>
      <c r="K192" s="1059"/>
      <c r="L192" s="1059"/>
      <c r="M192" s="1287" t="s">
        <v>50</v>
      </c>
      <c r="N192" s="2653"/>
      <c r="O192" s="1029">
        <f t="shared" si="2"/>
        <v>1</v>
      </c>
      <c r="P192" s="1903"/>
      <c r="Q192" s="92"/>
    </row>
    <row r="193" spans="1:17" ht="20.100000000000001" customHeight="1">
      <c r="A193" s="92">
        <v>189</v>
      </c>
      <c r="B193" s="112" t="s">
        <v>2504</v>
      </c>
      <c r="C193" s="1049" t="s">
        <v>2399</v>
      </c>
      <c r="D193" s="3544"/>
      <c r="E193" s="92"/>
      <c r="F193" s="92"/>
      <c r="G193" s="92"/>
      <c r="H193" s="92"/>
      <c r="I193" s="92"/>
      <c r="J193" s="92"/>
      <c r="K193" s="1059">
        <v>1</v>
      </c>
      <c r="L193" s="1059"/>
      <c r="M193" s="2628" t="s">
        <v>2967</v>
      </c>
      <c r="N193" s="2653">
        <v>18424.36</v>
      </c>
      <c r="O193" s="1029">
        <f t="shared" si="2"/>
        <v>1</v>
      </c>
      <c r="P193" s="1903"/>
      <c r="Q193" s="92"/>
    </row>
    <row r="194" spans="1:17" ht="20.100000000000001" customHeight="1">
      <c r="A194" s="92">
        <v>190</v>
      </c>
      <c r="B194" s="112" t="s">
        <v>2504</v>
      </c>
      <c r="C194" s="1049" t="s">
        <v>2399</v>
      </c>
      <c r="D194" s="2021"/>
      <c r="E194" s="92"/>
      <c r="F194" s="92"/>
      <c r="G194" s="92"/>
      <c r="H194" s="92"/>
      <c r="I194" s="92">
        <v>1720</v>
      </c>
      <c r="J194" s="92"/>
      <c r="K194" s="155"/>
      <c r="L194" s="1047"/>
      <c r="M194" s="1200" t="s">
        <v>35</v>
      </c>
      <c r="N194" s="2637"/>
      <c r="O194" s="1029">
        <f t="shared" si="2"/>
        <v>1720</v>
      </c>
      <c r="P194" s="1903"/>
      <c r="Q194" s="92"/>
    </row>
    <row r="195" spans="1:17" ht="20.100000000000001" customHeight="1">
      <c r="A195" s="92">
        <v>191</v>
      </c>
      <c r="B195" s="112" t="s">
        <v>2505</v>
      </c>
      <c r="C195" s="1049" t="s">
        <v>2399</v>
      </c>
      <c r="D195" s="1049" t="s">
        <v>26</v>
      </c>
      <c r="E195" s="92"/>
      <c r="F195" s="92"/>
      <c r="G195" s="92"/>
      <c r="H195" s="92"/>
      <c r="I195" s="92"/>
      <c r="J195" s="92"/>
      <c r="K195" s="2095">
        <v>1</v>
      </c>
      <c r="L195" s="2095"/>
      <c r="M195" s="1104" t="s">
        <v>2506</v>
      </c>
      <c r="N195" s="2652">
        <v>-80321.69</v>
      </c>
      <c r="O195" s="1029">
        <f t="shared" si="2"/>
        <v>1</v>
      </c>
      <c r="P195" s="1903"/>
      <c r="Q195" s="92"/>
    </row>
    <row r="196" spans="1:17" ht="20.100000000000001" customHeight="1">
      <c r="A196" s="92">
        <v>192</v>
      </c>
      <c r="B196" s="112" t="s">
        <v>2505</v>
      </c>
      <c r="C196" s="1049" t="s">
        <v>2399</v>
      </c>
      <c r="D196" s="1049" t="s">
        <v>29</v>
      </c>
      <c r="E196" s="92"/>
      <c r="F196" s="92"/>
      <c r="G196" s="92">
        <v>1</v>
      </c>
      <c r="H196" s="92"/>
      <c r="I196" s="92"/>
      <c r="J196" s="92"/>
      <c r="K196" s="2095"/>
      <c r="L196" s="2095"/>
      <c r="M196" s="2017" t="s">
        <v>1026</v>
      </c>
      <c r="N196" s="2652">
        <v>1450</v>
      </c>
      <c r="O196" s="1029">
        <f t="shared" si="2"/>
        <v>1</v>
      </c>
      <c r="P196" s="1903"/>
      <c r="Q196" s="92"/>
    </row>
    <row r="197" spans="1:17" ht="20.100000000000001" customHeight="1">
      <c r="A197" s="92">
        <v>193</v>
      </c>
      <c r="B197" s="112" t="s">
        <v>2505</v>
      </c>
      <c r="C197" s="1049" t="s">
        <v>2399</v>
      </c>
      <c r="D197" s="1049"/>
      <c r="E197" s="92"/>
      <c r="F197" s="92"/>
      <c r="G197" s="92">
        <v>1</v>
      </c>
      <c r="H197" s="92"/>
      <c r="I197" s="92"/>
      <c r="J197" s="92"/>
      <c r="K197" s="2095"/>
      <c r="L197" s="2095"/>
      <c r="M197" s="1287" t="s">
        <v>49</v>
      </c>
      <c r="N197" s="2652">
        <v>-36852547.68</v>
      </c>
      <c r="O197" s="1029">
        <f t="shared" si="2"/>
        <v>1</v>
      </c>
      <c r="P197" s="1903"/>
      <c r="Q197" s="92"/>
    </row>
    <row r="198" spans="1:17" ht="20.100000000000001" customHeight="1">
      <c r="A198" s="92">
        <v>194</v>
      </c>
      <c r="B198" s="112" t="s">
        <v>2505</v>
      </c>
      <c r="C198" s="1049" t="s">
        <v>2399</v>
      </c>
      <c r="D198" s="1049"/>
      <c r="E198" s="92"/>
      <c r="F198" s="92"/>
      <c r="G198" s="92">
        <v>1</v>
      </c>
      <c r="H198" s="92"/>
      <c r="I198" s="92"/>
      <c r="J198" s="92"/>
      <c r="K198" s="2095"/>
      <c r="L198" s="2095"/>
      <c r="M198" s="1287" t="s">
        <v>32</v>
      </c>
      <c r="N198" s="2652">
        <v>0.59</v>
      </c>
      <c r="O198" s="1029">
        <f t="shared" si="2"/>
        <v>1</v>
      </c>
      <c r="P198" s="1903"/>
      <c r="Q198" s="92"/>
    </row>
    <row r="199" spans="1:17" ht="20.100000000000001" customHeight="1">
      <c r="A199" s="92">
        <v>195</v>
      </c>
      <c r="B199" s="112" t="s">
        <v>2505</v>
      </c>
      <c r="C199" s="1049" t="s">
        <v>2399</v>
      </c>
      <c r="D199" s="1049"/>
      <c r="E199" s="92"/>
      <c r="F199" s="92"/>
      <c r="G199" s="92">
        <v>1</v>
      </c>
      <c r="H199" s="92"/>
      <c r="I199" s="92"/>
      <c r="J199" s="92"/>
      <c r="K199" s="1159"/>
      <c r="L199" s="1159"/>
      <c r="M199" s="1287" t="s">
        <v>50</v>
      </c>
      <c r="N199" s="2653">
        <v>101.14</v>
      </c>
      <c r="O199" s="1029">
        <f t="shared" si="2"/>
        <v>1</v>
      </c>
      <c r="P199" s="1903"/>
      <c r="Q199" s="92"/>
    </row>
    <row r="200" spans="1:17" ht="20.100000000000001" customHeight="1">
      <c r="A200" s="92">
        <v>196</v>
      </c>
      <c r="B200" s="112" t="s">
        <v>2505</v>
      </c>
      <c r="C200" s="1049" t="s">
        <v>2399</v>
      </c>
      <c r="D200" s="1049"/>
      <c r="E200" s="92"/>
      <c r="F200" s="92"/>
      <c r="G200" s="92"/>
      <c r="H200" s="92"/>
      <c r="I200" s="92"/>
      <c r="J200" s="92"/>
      <c r="K200" s="2097">
        <v>1</v>
      </c>
      <c r="L200" s="1159"/>
      <c r="M200" s="2783" t="s">
        <v>167</v>
      </c>
      <c r="N200" s="2653">
        <v>6500</v>
      </c>
      <c r="O200" s="1029">
        <f t="shared" si="2"/>
        <v>0</v>
      </c>
      <c r="P200" s="1903">
        <v>1</v>
      </c>
      <c r="Q200" s="92"/>
    </row>
    <row r="201" spans="1:17" ht="20.100000000000001" customHeight="1">
      <c r="A201" s="92">
        <v>197</v>
      </c>
      <c r="B201" s="112" t="s">
        <v>2505</v>
      </c>
      <c r="C201" s="1049" t="s">
        <v>2399</v>
      </c>
      <c r="D201" s="1049"/>
      <c r="E201" s="92"/>
      <c r="F201" s="92"/>
      <c r="G201" s="92"/>
      <c r="H201" s="92">
        <v>2</v>
      </c>
      <c r="I201" s="92"/>
      <c r="J201" s="92"/>
      <c r="K201" s="1159"/>
      <c r="L201" s="1159"/>
      <c r="M201" s="1287" t="s">
        <v>2507</v>
      </c>
      <c r="N201" s="2653"/>
      <c r="O201" s="1029">
        <f t="shared" si="2"/>
        <v>0</v>
      </c>
      <c r="P201" s="1903">
        <v>2</v>
      </c>
      <c r="Q201" s="92"/>
    </row>
    <row r="202" spans="1:17" ht="20.100000000000001" customHeight="1">
      <c r="A202" s="92">
        <v>198</v>
      </c>
      <c r="B202" s="112" t="s">
        <v>2505</v>
      </c>
      <c r="C202" s="1049" t="s">
        <v>2399</v>
      </c>
      <c r="D202" s="1049"/>
      <c r="E202" s="92"/>
      <c r="F202" s="92"/>
      <c r="G202" s="92"/>
      <c r="H202" s="92"/>
      <c r="I202" s="92">
        <v>2265</v>
      </c>
      <c r="J202" s="92"/>
      <c r="K202" s="2098"/>
      <c r="L202" s="2095"/>
      <c r="M202" s="1287" t="s">
        <v>35</v>
      </c>
      <c r="N202" s="2652"/>
      <c r="O202" s="1029">
        <f t="shared" si="2"/>
        <v>2265</v>
      </c>
      <c r="P202" s="1903"/>
      <c r="Q202" s="92"/>
    </row>
    <row r="203" spans="1:17" ht="20.100000000000001" customHeight="1">
      <c r="A203" s="92">
        <v>199</v>
      </c>
      <c r="B203" s="112" t="s">
        <v>2505</v>
      </c>
      <c r="C203" s="1049" t="s">
        <v>2399</v>
      </c>
      <c r="D203" s="1049"/>
      <c r="E203" s="92"/>
      <c r="F203" s="92"/>
      <c r="G203" s="92"/>
      <c r="H203" s="92"/>
      <c r="I203" s="92"/>
      <c r="J203" s="92"/>
      <c r="K203" s="2095">
        <v>6</v>
      </c>
      <c r="L203" s="2095"/>
      <c r="M203" s="1287" t="s">
        <v>196</v>
      </c>
      <c r="N203" s="2639"/>
      <c r="O203" s="1029">
        <f t="shared" si="2"/>
        <v>6</v>
      </c>
      <c r="P203" s="1903"/>
      <c r="Q203" s="92"/>
    </row>
    <row r="204" spans="1:17" ht="20.100000000000001" customHeight="1">
      <c r="A204" s="92">
        <v>200</v>
      </c>
      <c r="B204" s="112" t="s">
        <v>2505</v>
      </c>
      <c r="C204" s="1049" t="s">
        <v>2399</v>
      </c>
      <c r="D204" s="1049" t="s">
        <v>36</v>
      </c>
      <c r="E204" s="92"/>
      <c r="F204" s="92">
        <v>65</v>
      </c>
      <c r="G204" s="92"/>
      <c r="H204" s="92"/>
      <c r="I204" s="92"/>
      <c r="J204" s="92"/>
      <c r="K204" s="2095"/>
      <c r="L204" s="2095"/>
      <c r="M204" s="1287" t="s">
        <v>2508</v>
      </c>
      <c r="N204" s="2652"/>
      <c r="O204" s="1029">
        <f t="shared" si="2"/>
        <v>65</v>
      </c>
      <c r="P204" s="1903"/>
      <c r="Q204" s="92"/>
    </row>
    <row r="205" spans="1:17" ht="20.100000000000001" customHeight="1">
      <c r="A205" s="92">
        <v>201</v>
      </c>
      <c r="B205" s="112" t="s">
        <v>2505</v>
      </c>
      <c r="C205" s="1049" t="s">
        <v>2399</v>
      </c>
      <c r="D205" s="1049"/>
      <c r="E205" s="92">
        <v>30</v>
      </c>
      <c r="F205" s="92"/>
      <c r="G205" s="92"/>
      <c r="H205" s="92"/>
      <c r="I205" s="92"/>
      <c r="J205" s="92"/>
      <c r="K205" s="2095"/>
      <c r="L205" s="2095"/>
      <c r="M205" s="1200" t="s">
        <v>1591</v>
      </c>
      <c r="N205" s="2652"/>
      <c r="O205" s="1029">
        <f t="shared" ref="O205:O268" si="3">E205+F205+G205+H205+I205+J205+K205-P205</f>
        <v>30</v>
      </c>
      <c r="P205" s="1903"/>
      <c r="Q205" s="92"/>
    </row>
    <row r="206" spans="1:17" ht="20.100000000000001" customHeight="1">
      <c r="A206" s="92">
        <v>202</v>
      </c>
      <c r="B206" s="112" t="s">
        <v>2505</v>
      </c>
      <c r="C206" s="1049" t="s">
        <v>2399</v>
      </c>
      <c r="D206" s="1049" t="s">
        <v>105</v>
      </c>
      <c r="E206" s="92"/>
      <c r="F206" s="92"/>
      <c r="G206" s="92"/>
      <c r="H206" s="92"/>
      <c r="I206" s="92"/>
      <c r="J206" s="92"/>
      <c r="K206" s="2099">
        <v>3</v>
      </c>
      <c r="L206" s="2078"/>
      <c r="M206" s="1309" t="s">
        <v>2509</v>
      </c>
      <c r="N206" s="2676" t="s">
        <v>2510</v>
      </c>
      <c r="O206" s="1029">
        <f t="shared" si="3"/>
        <v>3</v>
      </c>
      <c r="P206" s="1903"/>
      <c r="Q206" s="92"/>
    </row>
    <row r="207" spans="1:17" ht="20.100000000000001" customHeight="1">
      <c r="A207" s="92">
        <v>203</v>
      </c>
      <c r="B207" s="112" t="s">
        <v>2511</v>
      </c>
      <c r="C207" s="1049" t="s">
        <v>2399</v>
      </c>
      <c r="D207" s="1082"/>
      <c r="E207" s="92"/>
      <c r="F207" s="92"/>
      <c r="G207" s="92"/>
      <c r="H207" s="92"/>
      <c r="I207" s="92"/>
      <c r="J207" s="92"/>
      <c r="K207" s="1155">
        <v>1</v>
      </c>
      <c r="L207" s="1155" t="s">
        <v>2512</v>
      </c>
      <c r="M207" s="1200" t="s">
        <v>35</v>
      </c>
      <c r="N207" s="2637">
        <v>167919.3</v>
      </c>
      <c r="O207" s="1029">
        <f t="shared" si="3"/>
        <v>1</v>
      </c>
      <c r="P207" s="1903"/>
      <c r="Q207" s="92"/>
    </row>
    <row r="208" spans="1:17" ht="20.100000000000001" customHeight="1">
      <c r="A208" s="92">
        <v>204</v>
      </c>
      <c r="B208" s="112" t="s">
        <v>2511</v>
      </c>
      <c r="C208" s="1049" t="s">
        <v>2399</v>
      </c>
      <c r="D208" s="2100"/>
      <c r="E208" s="92"/>
      <c r="F208" s="92"/>
      <c r="G208" s="92"/>
      <c r="H208" s="92"/>
      <c r="I208" s="92"/>
      <c r="J208" s="92"/>
      <c r="K208" s="1155">
        <v>1</v>
      </c>
      <c r="L208" s="2101"/>
      <c r="M208" s="2093" t="s">
        <v>2513</v>
      </c>
      <c r="N208" s="2677">
        <v>20000</v>
      </c>
      <c r="O208" s="1029">
        <f t="shared" si="3"/>
        <v>0</v>
      </c>
      <c r="P208" s="1903">
        <v>1</v>
      </c>
      <c r="Q208" s="92"/>
    </row>
    <row r="209" spans="1:17" ht="20.100000000000001" customHeight="1">
      <c r="A209" s="92">
        <v>205</v>
      </c>
      <c r="B209" s="112" t="s">
        <v>2514</v>
      </c>
      <c r="C209" s="1049" t="s">
        <v>2399</v>
      </c>
      <c r="D209" s="2021" t="s">
        <v>26</v>
      </c>
      <c r="E209" s="92"/>
      <c r="F209" s="92"/>
      <c r="G209" s="92"/>
      <c r="H209" s="92"/>
      <c r="I209" s="92"/>
      <c r="J209" s="92"/>
      <c r="K209" s="1155">
        <v>1</v>
      </c>
      <c r="L209" s="1155"/>
      <c r="M209" s="1200" t="s">
        <v>48</v>
      </c>
      <c r="N209" s="2637">
        <v>-83350.75</v>
      </c>
      <c r="O209" s="1029">
        <f t="shared" si="3"/>
        <v>1</v>
      </c>
      <c r="P209" s="1903"/>
      <c r="Q209" s="92"/>
    </row>
    <row r="210" spans="1:17" ht="20.100000000000001" customHeight="1">
      <c r="A210" s="92">
        <v>206</v>
      </c>
      <c r="B210" s="112" t="s">
        <v>2514</v>
      </c>
      <c r="C210" s="1049" t="s">
        <v>2399</v>
      </c>
      <c r="D210" s="3544"/>
      <c r="E210" s="92"/>
      <c r="F210" s="92"/>
      <c r="G210" s="92">
        <v>1</v>
      </c>
      <c r="H210" s="92"/>
      <c r="I210" s="92"/>
      <c r="J210" s="92"/>
      <c r="K210" s="1155"/>
      <c r="L210" s="1155"/>
      <c r="M210" s="1287" t="s">
        <v>49</v>
      </c>
      <c r="N210" s="2637">
        <v>157981334.80000001</v>
      </c>
      <c r="O210" s="1029">
        <f t="shared" si="3"/>
        <v>1</v>
      </c>
      <c r="P210" s="1903"/>
      <c r="Q210" s="92"/>
    </row>
    <row r="211" spans="1:17" ht="20.100000000000001" customHeight="1">
      <c r="A211" s="92">
        <v>207</v>
      </c>
      <c r="B211" s="112" t="s">
        <v>2514</v>
      </c>
      <c r="C211" s="1049" t="s">
        <v>2399</v>
      </c>
      <c r="D211" s="3544"/>
      <c r="E211" s="92"/>
      <c r="F211" s="92"/>
      <c r="G211" s="92">
        <v>1</v>
      </c>
      <c r="H211" s="92"/>
      <c r="I211" s="92"/>
      <c r="J211" s="92"/>
      <c r="K211" s="1155"/>
      <c r="L211" s="1155"/>
      <c r="M211" s="1287" t="s">
        <v>32</v>
      </c>
      <c r="N211" s="2637">
        <v>645.77</v>
      </c>
      <c r="O211" s="1029">
        <f t="shared" si="3"/>
        <v>1</v>
      </c>
      <c r="P211" s="1903"/>
      <c r="Q211" s="92"/>
    </row>
    <row r="212" spans="1:17" ht="20.100000000000001" customHeight="1">
      <c r="A212" s="92">
        <v>208</v>
      </c>
      <c r="B212" s="112" t="s">
        <v>2514</v>
      </c>
      <c r="C212" s="1049" t="s">
        <v>2399</v>
      </c>
      <c r="D212" s="3544"/>
      <c r="E212" s="92"/>
      <c r="F212" s="92"/>
      <c r="G212" s="92"/>
      <c r="H212" s="92"/>
      <c r="I212" s="92"/>
      <c r="J212" s="92"/>
      <c r="K212" s="1155">
        <v>1</v>
      </c>
      <c r="L212" s="1155"/>
      <c r="M212" s="1287" t="s">
        <v>2515</v>
      </c>
      <c r="N212" s="2637">
        <v>2697046.32</v>
      </c>
      <c r="O212" s="1029">
        <f t="shared" si="3"/>
        <v>1</v>
      </c>
      <c r="P212" s="1903"/>
      <c r="Q212" s="92"/>
    </row>
    <row r="213" spans="1:17" ht="20.100000000000001" customHeight="1">
      <c r="A213" s="92">
        <v>209</v>
      </c>
      <c r="B213" s="112" t="s">
        <v>2514</v>
      </c>
      <c r="C213" s="1049" t="s">
        <v>2399</v>
      </c>
      <c r="D213" s="3544"/>
      <c r="E213" s="92"/>
      <c r="F213" s="92"/>
      <c r="G213" s="92"/>
      <c r="H213" s="92">
        <v>52</v>
      </c>
      <c r="I213" s="92"/>
      <c r="J213" s="92"/>
      <c r="K213" s="1903"/>
      <c r="L213" s="2103"/>
      <c r="M213" s="1200" t="s">
        <v>34</v>
      </c>
      <c r="N213" s="2653"/>
      <c r="O213" s="1029">
        <f t="shared" si="3"/>
        <v>34</v>
      </c>
      <c r="P213" s="1903">
        <v>18</v>
      </c>
      <c r="Q213" s="92"/>
    </row>
    <row r="214" spans="1:17" ht="20.100000000000001" customHeight="1">
      <c r="A214" s="92">
        <v>210</v>
      </c>
      <c r="B214" s="112" t="s">
        <v>2514</v>
      </c>
      <c r="C214" s="1049" t="s">
        <v>2399</v>
      </c>
      <c r="D214" s="3544"/>
      <c r="E214" s="92"/>
      <c r="F214" s="92"/>
      <c r="G214" s="92"/>
      <c r="H214" s="92"/>
      <c r="I214" s="92">
        <v>6249</v>
      </c>
      <c r="J214" s="92"/>
      <c r="K214" s="1155"/>
      <c r="L214" s="2104"/>
      <c r="M214" s="1200" t="s">
        <v>35</v>
      </c>
      <c r="N214" s="2637"/>
      <c r="O214" s="1029">
        <f t="shared" si="3"/>
        <v>6249</v>
      </c>
      <c r="P214" s="1903"/>
      <c r="Q214" s="92"/>
    </row>
    <row r="215" spans="1:17" ht="20.100000000000001" customHeight="1">
      <c r="A215" s="92">
        <v>211</v>
      </c>
      <c r="B215" s="112" t="s">
        <v>2514</v>
      </c>
      <c r="C215" s="1049" t="s">
        <v>2399</v>
      </c>
      <c r="D215" s="1049" t="s">
        <v>36</v>
      </c>
      <c r="E215" s="92"/>
      <c r="F215" s="92">
        <v>1141</v>
      </c>
      <c r="G215" s="92"/>
      <c r="H215" s="92"/>
      <c r="I215" s="92"/>
      <c r="J215" s="92"/>
      <c r="K215" s="2105"/>
      <c r="L215" s="1155"/>
      <c r="M215" s="1200" t="s">
        <v>2516</v>
      </c>
      <c r="N215" s="2656"/>
      <c r="O215" s="1029">
        <f t="shared" si="3"/>
        <v>1141</v>
      </c>
      <c r="P215" s="1903"/>
      <c r="Q215" s="92"/>
    </row>
    <row r="216" spans="1:17" ht="20.100000000000001" customHeight="1">
      <c r="A216" s="92">
        <v>212</v>
      </c>
      <c r="B216" s="112" t="s">
        <v>2514</v>
      </c>
      <c r="C216" s="1049" t="s">
        <v>2399</v>
      </c>
      <c r="D216" s="1049"/>
      <c r="E216" s="92">
        <v>44</v>
      </c>
      <c r="F216" s="92"/>
      <c r="G216" s="92"/>
      <c r="H216" s="92"/>
      <c r="I216" s="92"/>
      <c r="J216" s="92"/>
      <c r="K216" s="2105"/>
      <c r="L216" s="1155"/>
      <c r="M216" s="1200" t="s">
        <v>1591</v>
      </c>
      <c r="N216" s="2656"/>
      <c r="O216" s="1029">
        <f t="shared" si="3"/>
        <v>44</v>
      </c>
      <c r="P216" s="1903"/>
      <c r="Q216" s="92"/>
    </row>
    <row r="217" spans="1:17" ht="20.100000000000001" customHeight="1">
      <c r="A217" s="92">
        <v>213</v>
      </c>
      <c r="B217" s="112" t="s">
        <v>2514</v>
      </c>
      <c r="C217" s="1049" t="s">
        <v>2399</v>
      </c>
      <c r="D217" s="2021"/>
      <c r="E217" s="92"/>
      <c r="F217" s="92"/>
      <c r="G217" s="92"/>
      <c r="H217" s="92"/>
      <c r="I217" s="92"/>
      <c r="J217" s="92"/>
      <c r="K217" s="2106">
        <v>17</v>
      </c>
      <c r="L217" s="1301"/>
      <c r="M217" s="2107" t="s">
        <v>2517</v>
      </c>
      <c r="N217" s="2678">
        <v>10542000</v>
      </c>
      <c r="O217" s="1029">
        <f t="shared" si="3"/>
        <v>7</v>
      </c>
      <c r="P217" s="1903">
        <v>10</v>
      </c>
      <c r="Q217" s="92"/>
    </row>
    <row r="218" spans="1:17" ht="20.100000000000001" customHeight="1">
      <c r="A218" s="92">
        <v>214</v>
      </c>
      <c r="B218" s="112" t="s">
        <v>2518</v>
      </c>
      <c r="C218" s="1049" t="s">
        <v>2399</v>
      </c>
      <c r="D218" s="3544" t="s">
        <v>26</v>
      </c>
      <c r="E218" s="92"/>
      <c r="F218" s="92"/>
      <c r="G218" s="92"/>
      <c r="H218" s="92"/>
      <c r="I218" s="92"/>
      <c r="J218" s="92"/>
      <c r="K218" s="1155">
        <v>1</v>
      </c>
      <c r="L218" s="1155"/>
      <c r="M218" s="1200" t="s">
        <v>48</v>
      </c>
      <c r="N218" s="2659">
        <v>9000</v>
      </c>
      <c r="O218" s="1029">
        <f t="shared" si="3"/>
        <v>1</v>
      </c>
      <c r="P218" s="1903"/>
      <c r="Q218" s="92"/>
    </row>
    <row r="219" spans="1:17" ht="20.100000000000001" customHeight="1">
      <c r="A219" s="92">
        <v>215</v>
      </c>
      <c r="B219" s="112" t="s">
        <v>2518</v>
      </c>
      <c r="C219" s="1049" t="s">
        <v>2399</v>
      </c>
      <c r="D219" s="3544"/>
      <c r="E219" s="92"/>
      <c r="F219" s="92"/>
      <c r="G219" s="92"/>
      <c r="H219" s="92"/>
      <c r="I219" s="92"/>
      <c r="J219" s="92"/>
      <c r="K219" s="1155">
        <v>1</v>
      </c>
      <c r="L219" s="1155"/>
      <c r="M219" s="1104" t="s">
        <v>118</v>
      </c>
      <c r="N219" s="2659">
        <v>9000</v>
      </c>
      <c r="O219" s="1029">
        <f t="shared" si="3"/>
        <v>1</v>
      </c>
      <c r="P219" s="1903"/>
      <c r="Q219" s="92"/>
    </row>
    <row r="220" spans="1:17" ht="20.100000000000001" customHeight="1">
      <c r="A220" s="92">
        <v>216</v>
      </c>
      <c r="B220" s="112" t="s">
        <v>2518</v>
      </c>
      <c r="C220" s="1049" t="s">
        <v>2399</v>
      </c>
      <c r="D220" s="3544"/>
      <c r="E220" s="92"/>
      <c r="F220" s="92"/>
      <c r="G220" s="92">
        <v>1</v>
      </c>
      <c r="H220" s="92"/>
      <c r="I220" s="92"/>
      <c r="J220" s="92"/>
      <c r="K220" s="1155"/>
      <c r="L220" s="1155"/>
      <c r="M220" s="1287" t="s">
        <v>49</v>
      </c>
      <c r="N220" s="2659">
        <v>46811497.289999999</v>
      </c>
      <c r="O220" s="1029">
        <f t="shared" si="3"/>
        <v>1</v>
      </c>
      <c r="P220" s="1903"/>
      <c r="Q220" s="92"/>
    </row>
    <row r="221" spans="1:17" ht="20.100000000000001" customHeight="1">
      <c r="A221" s="92">
        <v>217</v>
      </c>
      <c r="B221" s="112" t="s">
        <v>2518</v>
      </c>
      <c r="C221" s="1049" t="s">
        <v>2399</v>
      </c>
      <c r="D221" s="3544"/>
      <c r="E221" s="92"/>
      <c r="F221" s="92"/>
      <c r="G221" s="92">
        <v>1</v>
      </c>
      <c r="H221" s="92"/>
      <c r="I221" s="92"/>
      <c r="J221" s="92"/>
      <c r="K221" s="1155"/>
      <c r="L221" s="1155"/>
      <c r="M221" s="1287" t="s">
        <v>32</v>
      </c>
      <c r="N221" s="2679">
        <v>0.57999999999999996</v>
      </c>
      <c r="O221" s="1029">
        <f t="shared" si="3"/>
        <v>1</v>
      </c>
      <c r="P221" s="1903"/>
      <c r="Q221" s="92"/>
    </row>
    <row r="222" spans="1:17" ht="20.100000000000001" customHeight="1">
      <c r="A222" s="92">
        <v>218</v>
      </c>
      <c r="B222" s="112" t="s">
        <v>2518</v>
      </c>
      <c r="C222" s="1049" t="s">
        <v>2399</v>
      </c>
      <c r="D222" s="3544"/>
      <c r="E222" s="92"/>
      <c r="F222" s="92"/>
      <c r="G222" s="92">
        <v>1</v>
      </c>
      <c r="H222" s="92"/>
      <c r="I222" s="92"/>
      <c r="J222" s="92"/>
      <c r="K222" s="1159"/>
      <c r="L222" s="1159"/>
      <c r="M222" s="1287" t="s">
        <v>50</v>
      </c>
      <c r="N222" s="2639">
        <v>1226.47</v>
      </c>
      <c r="O222" s="1029">
        <f t="shared" si="3"/>
        <v>1</v>
      </c>
      <c r="P222" s="1903"/>
      <c r="Q222" s="92"/>
    </row>
    <row r="223" spans="1:17" ht="20.100000000000001" customHeight="1">
      <c r="A223" s="92">
        <v>219</v>
      </c>
      <c r="B223" s="112" t="s">
        <v>2518</v>
      </c>
      <c r="C223" s="1049" t="s">
        <v>2399</v>
      </c>
      <c r="D223" s="2021"/>
      <c r="E223" s="92"/>
      <c r="F223" s="92"/>
      <c r="G223" s="92"/>
      <c r="H223" s="92"/>
      <c r="I223" s="92">
        <v>337</v>
      </c>
      <c r="J223" s="92"/>
      <c r="K223" s="1155"/>
      <c r="L223" s="1155"/>
      <c r="M223" s="1200" t="s">
        <v>2442</v>
      </c>
      <c r="N223" s="2680">
        <v>97480.7</v>
      </c>
      <c r="O223" s="1029">
        <f t="shared" si="3"/>
        <v>337</v>
      </c>
      <c r="P223" s="1903"/>
      <c r="Q223" s="92"/>
    </row>
    <row r="224" spans="1:17" ht="20.100000000000001" customHeight="1">
      <c r="A224" s="92">
        <v>220</v>
      </c>
      <c r="B224" s="112" t="s">
        <v>2518</v>
      </c>
      <c r="C224" s="1049" t="s">
        <v>2399</v>
      </c>
      <c r="D224" s="1049" t="s">
        <v>36</v>
      </c>
      <c r="E224" s="92"/>
      <c r="F224" s="92">
        <v>2106</v>
      </c>
      <c r="G224" s="92"/>
      <c r="H224" s="92"/>
      <c r="I224" s="92"/>
      <c r="J224" s="92"/>
      <c r="K224" s="1155"/>
      <c r="L224" s="1155"/>
      <c r="M224" s="1200" t="s">
        <v>2519</v>
      </c>
      <c r="N224" s="2656"/>
      <c r="O224" s="1029">
        <f t="shared" si="3"/>
        <v>2106</v>
      </c>
      <c r="P224" s="1903"/>
      <c r="Q224" s="92"/>
    </row>
    <row r="225" spans="1:17" ht="20.100000000000001" customHeight="1">
      <c r="A225" s="92">
        <v>221</v>
      </c>
      <c r="B225" s="112" t="s">
        <v>2520</v>
      </c>
      <c r="C225" s="1049" t="s">
        <v>2399</v>
      </c>
      <c r="D225" s="3547"/>
      <c r="E225" s="92"/>
      <c r="F225" s="92"/>
      <c r="G225" s="92"/>
      <c r="H225" s="92"/>
      <c r="I225" s="92"/>
      <c r="J225" s="92"/>
      <c r="K225" s="1155">
        <v>1</v>
      </c>
      <c r="L225" s="1155">
        <v>20260731</v>
      </c>
      <c r="M225" s="1195" t="s">
        <v>48</v>
      </c>
      <c r="N225" s="2637">
        <v>8022</v>
      </c>
      <c r="O225" s="1029">
        <f t="shared" si="3"/>
        <v>1</v>
      </c>
      <c r="P225" s="1903"/>
      <c r="Q225" s="92"/>
    </row>
    <row r="226" spans="1:17" ht="20.100000000000001" customHeight="1">
      <c r="A226" s="92">
        <v>222</v>
      </c>
      <c r="B226" s="112" t="s">
        <v>2520</v>
      </c>
      <c r="C226" s="1049" t="s">
        <v>2399</v>
      </c>
      <c r="D226" s="3547"/>
      <c r="E226" s="92"/>
      <c r="F226" s="92"/>
      <c r="G226" s="92"/>
      <c r="H226" s="92"/>
      <c r="I226" s="92"/>
      <c r="J226" s="92"/>
      <c r="K226" s="1155">
        <v>1</v>
      </c>
      <c r="L226" s="1155">
        <v>20260731</v>
      </c>
      <c r="M226" s="1159" t="s">
        <v>2521</v>
      </c>
      <c r="N226" s="2637">
        <v>8022</v>
      </c>
      <c r="O226" s="1029">
        <f t="shared" si="3"/>
        <v>1</v>
      </c>
      <c r="P226" s="1903"/>
      <c r="Q226" s="92"/>
    </row>
    <row r="227" spans="1:17" ht="20.100000000000001" customHeight="1">
      <c r="A227" s="92">
        <v>223</v>
      </c>
      <c r="B227" s="112" t="s">
        <v>2520</v>
      </c>
      <c r="C227" s="1049" t="s">
        <v>2399</v>
      </c>
      <c r="D227" s="3548"/>
      <c r="E227" s="92"/>
      <c r="F227" s="92"/>
      <c r="G227" s="92">
        <v>1</v>
      </c>
      <c r="H227" s="92"/>
      <c r="I227" s="92"/>
      <c r="J227" s="92"/>
      <c r="K227" s="1155"/>
      <c r="L227" s="1155"/>
      <c r="M227" s="2108" t="s">
        <v>49</v>
      </c>
      <c r="N227" s="2637">
        <v>20741434.300000001</v>
      </c>
      <c r="O227" s="1029">
        <f t="shared" si="3"/>
        <v>1</v>
      </c>
      <c r="Q227" s="92"/>
    </row>
    <row r="228" spans="1:17" ht="20.100000000000001" customHeight="1">
      <c r="A228" s="92">
        <v>224</v>
      </c>
      <c r="B228" s="112" t="s">
        <v>2520</v>
      </c>
      <c r="C228" s="1049" t="s">
        <v>2399</v>
      </c>
      <c r="D228" s="3548"/>
      <c r="E228" s="92"/>
      <c r="F228" s="92"/>
      <c r="G228" s="92">
        <v>1</v>
      </c>
      <c r="H228" s="92"/>
      <c r="I228" s="92"/>
      <c r="J228" s="92"/>
      <c r="K228" s="1155"/>
      <c r="L228" s="1155"/>
      <c r="M228" s="2108" t="s">
        <v>32</v>
      </c>
      <c r="N228" s="2637">
        <v>50.87</v>
      </c>
      <c r="O228" s="1029">
        <f t="shared" si="3"/>
        <v>1</v>
      </c>
      <c r="Q228" s="92"/>
    </row>
    <row r="229" spans="1:17" ht="20.100000000000001" customHeight="1">
      <c r="A229" s="92">
        <v>225</v>
      </c>
      <c r="B229" s="112" t="s">
        <v>2520</v>
      </c>
      <c r="C229" s="1049" t="s">
        <v>2399</v>
      </c>
      <c r="D229" s="2109"/>
      <c r="E229" s="92"/>
      <c r="F229" s="92"/>
      <c r="G229" s="92"/>
      <c r="H229" s="92"/>
      <c r="I229" s="92">
        <v>5528</v>
      </c>
      <c r="J229" s="92"/>
      <c r="K229" s="1155"/>
      <c r="L229" s="2019" t="s">
        <v>2522</v>
      </c>
      <c r="M229" s="1195" t="s">
        <v>35</v>
      </c>
      <c r="N229" s="2637"/>
      <c r="O229" s="1029">
        <f t="shared" si="3"/>
        <v>5528</v>
      </c>
      <c r="Q229" s="92"/>
    </row>
    <row r="230" spans="1:17" ht="20.100000000000001" customHeight="1">
      <c r="A230" s="92">
        <v>226</v>
      </c>
      <c r="B230" s="112" t="s">
        <v>2520</v>
      </c>
      <c r="C230" s="1049" t="s">
        <v>2399</v>
      </c>
      <c r="D230" s="2109"/>
      <c r="E230" s="92"/>
      <c r="F230" s="92"/>
      <c r="G230" s="92"/>
      <c r="H230" s="92"/>
      <c r="I230" s="92"/>
      <c r="J230" s="92"/>
      <c r="K230" s="1155">
        <v>1</v>
      </c>
      <c r="L230" s="1155"/>
      <c r="M230" s="2110" t="s">
        <v>104</v>
      </c>
      <c r="N230" s="2637"/>
      <c r="O230" s="1029">
        <f t="shared" si="3"/>
        <v>1</v>
      </c>
      <c r="P230" s="1903"/>
      <c r="Q230" s="92"/>
    </row>
    <row r="231" spans="1:17" ht="20.100000000000001" customHeight="1">
      <c r="A231" s="92">
        <v>227</v>
      </c>
      <c r="B231" s="112" t="s">
        <v>2520</v>
      </c>
      <c r="C231" s="1049" t="s">
        <v>2399</v>
      </c>
      <c r="D231" s="1064" t="s">
        <v>36</v>
      </c>
      <c r="E231" s="92"/>
      <c r="F231" s="92">
        <v>690</v>
      </c>
      <c r="G231" s="92"/>
      <c r="H231" s="92"/>
      <c r="I231" s="92"/>
      <c r="J231" s="92"/>
      <c r="K231" s="2019"/>
      <c r="L231" s="1155">
        <v>20260731</v>
      </c>
      <c r="M231" s="1195" t="s">
        <v>2523</v>
      </c>
      <c r="N231" s="2637"/>
      <c r="O231" s="1029">
        <f t="shared" si="3"/>
        <v>690</v>
      </c>
      <c r="P231" s="1903"/>
      <c r="Q231" s="92"/>
    </row>
    <row r="232" spans="1:17" ht="20.100000000000001" customHeight="1">
      <c r="A232" s="92">
        <v>228</v>
      </c>
      <c r="B232" s="112" t="s">
        <v>2524</v>
      </c>
      <c r="C232" s="1049" t="s">
        <v>2399</v>
      </c>
      <c r="D232" s="2024"/>
      <c r="E232" s="92"/>
      <c r="F232" s="92"/>
      <c r="G232" s="92"/>
      <c r="H232" s="92"/>
      <c r="I232" s="92"/>
      <c r="J232" s="92"/>
      <c r="K232" s="1155">
        <v>1</v>
      </c>
      <c r="L232" s="1155">
        <v>20260731</v>
      </c>
      <c r="M232" s="1104" t="s">
        <v>118</v>
      </c>
      <c r="N232" s="2637">
        <v>37859.96</v>
      </c>
      <c r="O232" s="1029">
        <f t="shared" si="3"/>
        <v>1</v>
      </c>
      <c r="P232" s="1903"/>
      <c r="Q232" s="92"/>
    </row>
    <row r="233" spans="1:17" ht="20.100000000000001" customHeight="1">
      <c r="A233" s="92">
        <v>229</v>
      </c>
      <c r="B233" s="112" t="s">
        <v>2524</v>
      </c>
      <c r="C233" s="1049" t="s">
        <v>2399</v>
      </c>
      <c r="D233" s="2021"/>
      <c r="E233" s="92"/>
      <c r="F233" s="92"/>
      <c r="G233" s="92"/>
      <c r="H233" s="92"/>
      <c r="I233" s="92">
        <v>1228</v>
      </c>
      <c r="J233" s="92"/>
      <c r="K233" s="1155"/>
      <c r="L233" s="1155"/>
      <c r="M233" s="1200" t="s">
        <v>35</v>
      </c>
      <c r="N233" s="2637"/>
      <c r="O233" s="1029">
        <f t="shared" si="3"/>
        <v>1228</v>
      </c>
      <c r="P233" s="1903"/>
      <c r="Q233" s="92"/>
    </row>
    <row r="234" spans="1:17" ht="20.100000000000001" customHeight="1">
      <c r="A234" s="92">
        <v>230</v>
      </c>
      <c r="B234" s="112" t="s">
        <v>2524</v>
      </c>
      <c r="C234" s="1049" t="s">
        <v>2399</v>
      </c>
      <c r="D234" s="1049" t="s">
        <v>36</v>
      </c>
      <c r="E234" s="92"/>
      <c r="F234" s="92">
        <v>372</v>
      </c>
      <c r="G234" s="92"/>
      <c r="H234" s="92"/>
      <c r="I234" s="92"/>
      <c r="J234" s="92"/>
      <c r="K234" s="2111"/>
      <c r="L234" s="1155">
        <v>20260731</v>
      </c>
      <c r="M234" s="1200" t="s">
        <v>2525</v>
      </c>
      <c r="N234" s="2637">
        <v>0</v>
      </c>
      <c r="O234" s="1029">
        <f t="shared" si="3"/>
        <v>372</v>
      </c>
      <c r="P234" s="1903"/>
      <c r="Q234" s="92"/>
    </row>
    <row r="235" spans="1:17" ht="20.100000000000001" customHeight="1">
      <c r="A235" s="92">
        <v>231</v>
      </c>
      <c r="B235" s="112" t="s">
        <v>2524</v>
      </c>
      <c r="C235" s="1049" t="s">
        <v>2399</v>
      </c>
      <c r="D235" s="1049"/>
      <c r="E235" s="92">
        <v>11</v>
      </c>
      <c r="F235" s="92"/>
      <c r="G235" s="92"/>
      <c r="H235" s="92"/>
      <c r="I235" s="92"/>
      <c r="J235" s="92"/>
      <c r="K235" s="2111"/>
      <c r="L235" s="1155"/>
      <c r="M235" s="1200" t="s">
        <v>1591</v>
      </c>
      <c r="N235" s="2637"/>
      <c r="O235" s="1029">
        <f t="shared" si="3"/>
        <v>11</v>
      </c>
      <c r="P235" s="1903"/>
      <c r="Q235" s="92"/>
    </row>
    <row r="236" spans="1:17" ht="20.100000000000001" customHeight="1">
      <c r="A236" s="92">
        <v>232</v>
      </c>
      <c r="B236" s="112" t="s">
        <v>2526</v>
      </c>
      <c r="C236" s="1049" t="s">
        <v>2399</v>
      </c>
      <c r="D236" s="2051"/>
      <c r="E236" s="92"/>
      <c r="F236" s="92"/>
      <c r="G236" s="92">
        <v>1</v>
      </c>
      <c r="H236" s="92"/>
      <c r="I236" s="92"/>
      <c r="J236" s="92"/>
      <c r="K236" s="2112"/>
      <c r="L236" s="2112"/>
      <c r="M236" s="1197" t="s">
        <v>49</v>
      </c>
      <c r="N236" s="2646">
        <v>2667316.56</v>
      </c>
      <c r="O236" s="1029">
        <f t="shared" si="3"/>
        <v>1</v>
      </c>
      <c r="P236" s="1903"/>
      <c r="Q236" s="92"/>
    </row>
    <row r="237" spans="1:17" ht="20.100000000000001" customHeight="1">
      <c r="A237" s="92">
        <v>233</v>
      </c>
      <c r="B237" s="112" t="s">
        <v>2526</v>
      </c>
      <c r="C237" s="1049" t="s">
        <v>2399</v>
      </c>
      <c r="D237" s="2051"/>
      <c r="E237" s="92"/>
      <c r="F237" s="92"/>
      <c r="G237" s="92">
        <v>1</v>
      </c>
      <c r="H237" s="92"/>
      <c r="I237" s="92"/>
      <c r="J237" s="92"/>
      <c r="K237" s="2115"/>
      <c r="L237" s="2115"/>
      <c r="M237" s="1197" t="s">
        <v>50</v>
      </c>
      <c r="N237" s="2634">
        <v>4178.74</v>
      </c>
      <c r="O237" s="1029">
        <f t="shared" si="3"/>
        <v>1</v>
      </c>
      <c r="P237" s="1903"/>
      <c r="Q237" s="92"/>
    </row>
    <row r="238" spans="1:17" ht="20.100000000000001" customHeight="1">
      <c r="A238" s="92">
        <v>234</v>
      </c>
      <c r="B238" s="112" t="s">
        <v>2526</v>
      </c>
      <c r="C238" s="1049" t="s">
        <v>2399</v>
      </c>
      <c r="D238" s="2051" t="s">
        <v>68</v>
      </c>
      <c r="E238" s="92"/>
      <c r="F238" s="92"/>
      <c r="G238" s="92"/>
      <c r="H238" s="92"/>
      <c r="I238" s="92"/>
      <c r="J238" s="92"/>
      <c r="K238" s="2115">
        <v>1</v>
      </c>
      <c r="L238" s="2115"/>
      <c r="M238" s="1206" t="s">
        <v>2527</v>
      </c>
      <c r="N238" s="2634">
        <v>2549.92</v>
      </c>
      <c r="O238" s="1029">
        <f t="shared" si="3"/>
        <v>1</v>
      </c>
      <c r="P238" s="1903"/>
      <c r="Q238" s="92"/>
    </row>
    <row r="239" spans="1:17" ht="20.100000000000001" customHeight="1">
      <c r="A239" s="92">
        <v>235</v>
      </c>
      <c r="B239" s="112" t="s">
        <v>2526</v>
      </c>
      <c r="C239" s="1049" t="s">
        <v>2399</v>
      </c>
      <c r="D239" s="2118"/>
      <c r="E239" s="92"/>
      <c r="F239" s="92"/>
      <c r="G239" s="92"/>
      <c r="H239" s="92"/>
      <c r="I239" s="92">
        <v>1</v>
      </c>
      <c r="J239" s="92"/>
      <c r="K239" s="2119"/>
      <c r="L239" s="2120">
        <v>46234</v>
      </c>
      <c r="M239" s="1200" t="s">
        <v>35</v>
      </c>
      <c r="N239" s="2646"/>
      <c r="O239" s="1029">
        <f t="shared" si="3"/>
        <v>1</v>
      </c>
      <c r="P239" s="1903"/>
      <c r="Q239" s="92"/>
    </row>
    <row r="240" spans="1:17" ht="20.100000000000001" customHeight="1">
      <c r="A240" s="92">
        <v>237</v>
      </c>
      <c r="B240" s="112" t="s">
        <v>2528</v>
      </c>
      <c r="C240" s="1049" t="s">
        <v>2399</v>
      </c>
      <c r="D240" s="1049" t="s">
        <v>26</v>
      </c>
      <c r="E240" s="92"/>
      <c r="F240" s="92"/>
      <c r="G240" s="92"/>
      <c r="H240" s="92"/>
      <c r="I240" s="92"/>
      <c r="J240" s="92"/>
      <c r="K240" s="1155">
        <v>1</v>
      </c>
      <c r="L240" s="1155"/>
      <c r="M240" s="1104" t="s">
        <v>2529</v>
      </c>
      <c r="N240" s="2637">
        <v>2697.67</v>
      </c>
      <c r="O240" s="1029">
        <f t="shared" si="3"/>
        <v>1</v>
      </c>
      <c r="P240" s="1903"/>
      <c r="Q240" s="92"/>
    </row>
    <row r="241" spans="1:17" ht="20.100000000000001" customHeight="1">
      <c r="A241" s="92">
        <v>238</v>
      </c>
      <c r="B241" s="112" t="s">
        <v>2528</v>
      </c>
      <c r="C241" s="1049" t="s">
        <v>2399</v>
      </c>
      <c r="D241" s="3544"/>
      <c r="E241" s="92"/>
      <c r="F241" s="92"/>
      <c r="G241" s="92">
        <v>1</v>
      </c>
      <c r="H241" s="92"/>
      <c r="I241" s="92"/>
      <c r="J241" s="92"/>
      <c r="K241" s="1155"/>
      <c r="L241" s="1155"/>
      <c r="M241" s="1287" t="s">
        <v>49</v>
      </c>
      <c r="N241" s="2637">
        <v>10020561.68</v>
      </c>
      <c r="O241" s="1029">
        <f t="shared" si="3"/>
        <v>0</v>
      </c>
      <c r="P241" s="1903">
        <v>1</v>
      </c>
      <c r="Q241" s="92"/>
    </row>
    <row r="242" spans="1:17" ht="20.100000000000001" customHeight="1">
      <c r="A242" s="92">
        <v>239</v>
      </c>
      <c r="B242" s="112" t="s">
        <v>2528</v>
      </c>
      <c r="C242" s="1049" t="s">
        <v>2399</v>
      </c>
      <c r="D242" s="3544"/>
      <c r="E242" s="92"/>
      <c r="F242" s="92"/>
      <c r="G242" s="92">
        <v>1</v>
      </c>
      <c r="H242" s="92"/>
      <c r="I242" s="92"/>
      <c r="J242" s="92"/>
      <c r="K242" s="1155"/>
      <c r="L242" s="1155"/>
      <c r="M242" s="1287" t="s">
        <v>32</v>
      </c>
      <c r="N242" s="2637">
        <v>15452.52</v>
      </c>
      <c r="O242" s="1029">
        <f t="shared" si="3"/>
        <v>1</v>
      </c>
      <c r="P242" s="1903"/>
      <c r="Q242" s="92"/>
    </row>
    <row r="243" spans="1:17" ht="20.100000000000001" customHeight="1">
      <c r="A243" s="92">
        <v>240</v>
      </c>
      <c r="B243" s="112" t="s">
        <v>2528</v>
      </c>
      <c r="C243" s="1049" t="s">
        <v>2399</v>
      </c>
      <c r="D243" s="3544"/>
      <c r="E243" s="92"/>
      <c r="F243" s="92"/>
      <c r="G243" s="92"/>
      <c r="H243" s="92"/>
      <c r="I243" s="92"/>
      <c r="J243" s="92"/>
      <c r="K243" s="2097">
        <v>1</v>
      </c>
      <c r="L243" s="1159"/>
      <c r="M243" s="2626" t="s">
        <v>2965</v>
      </c>
      <c r="N243" s="2653">
        <v>6500</v>
      </c>
      <c r="O243" s="1029">
        <f t="shared" si="3"/>
        <v>1</v>
      </c>
      <c r="P243" s="1903"/>
      <c r="Q243" s="92"/>
    </row>
    <row r="244" spans="1:17" ht="20.100000000000001" customHeight="1">
      <c r="A244" s="92">
        <v>241</v>
      </c>
      <c r="B244" s="112" t="s">
        <v>2528</v>
      </c>
      <c r="C244" s="1049" t="s">
        <v>2399</v>
      </c>
      <c r="D244" s="3544"/>
      <c r="E244" s="92"/>
      <c r="F244" s="92"/>
      <c r="G244" s="92"/>
      <c r="H244" s="92"/>
      <c r="I244" s="92"/>
      <c r="J244" s="92"/>
      <c r="K244" s="2097">
        <v>1</v>
      </c>
      <c r="L244" s="1159"/>
      <c r="M244" s="2626" t="s">
        <v>2966</v>
      </c>
      <c r="N244" s="2653">
        <v>11442.5</v>
      </c>
      <c r="O244" s="1029">
        <f t="shared" si="3"/>
        <v>1</v>
      </c>
      <c r="P244" s="1903"/>
      <c r="Q244" s="92"/>
    </row>
    <row r="245" spans="1:17" ht="20.100000000000001" customHeight="1">
      <c r="A245" s="92">
        <v>242</v>
      </c>
      <c r="B245" s="112" t="s">
        <v>2528</v>
      </c>
      <c r="C245" s="1049" t="s">
        <v>2399</v>
      </c>
      <c r="D245" s="3544"/>
      <c r="E245" s="92"/>
      <c r="F245" s="92"/>
      <c r="G245" s="92"/>
      <c r="H245" s="92">
        <v>10</v>
      </c>
      <c r="I245" s="92"/>
      <c r="J245" s="92"/>
      <c r="K245" s="1159"/>
      <c r="L245" s="1159"/>
      <c r="M245" s="1200" t="s">
        <v>34</v>
      </c>
      <c r="N245" s="2653"/>
      <c r="O245" s="1029">
        <f t="shared" si="3"/>
        <v>0</v>
      </c>
      <c r="P245" s="1903">
        <v>10</v>
      </c>
      <c r="Q245" s="92"/>
    </row>
    <row r="246" spans="1:17" ht="20.100000000000001" customHeight="1">
      <c r="A246" s="92">
        <v>243</v>
      </c>
      <c r="B246" s="112" t="s">
        <v>2528</v>
      </c>
      <c r="C246" s="1049" t="s">
        <v>2399</v>
      </c>
      <c r="D246" s="3544"/>
      <c r="E246" s="92"/>
      <c r="F246" s="92"/>
      <c r="G246" s="92"/>
      <c r="H246" s="92"/>
      <c r="I246" s="92">
        <v>2673</v>
      </c>
      <c r="J246" s="92"/>
      <c r="K246" s="1155"/>
      <c r="L246" s="1155"/>
      <c r="M246" s="1200" t="s">
        <v>35</v>
      </c>
      <c r="N246" s="2637"/>
      <c r="O246" s="1029">
        <f t="shared" si="3"/>
        <v>2673</v>
      </c>
      <c r="P246" s="1903"/>
      <c r="Q246" s="92"/>
    </row>
    <row r="247" spans="1:17" ht="20.100000000000001" customHeight="1">
      <c r="A247" s="92">
        <v>244</v>
      </c>
      <c r="B247" s="112" t="s">
        <v>2528</v>
      </c>
      <c r="C247" s="1049" t="s">
        <v>2399</v>
      </c>
      <c r="D247" s="1049" t="s">
        <v>195</v>
      </c>
      <c r="E247" s="92"/>
      <c r="F247" s="92"/>
      <c r="G247" s="92"/>
      <c r="H247" s="92"/>
      <c r="I247" s="92"/>
      <c r="J247" s="92"/>
      <c r="K247" s="1155">
        <v>20</v>
      </c>
      <c r="L247" s="1155"/>
      <c r="M247" s="1200" t="s">
        <v>196</v>
      </c>
      <c r="N247" s="2639"/>
      <c r="O247" s="1029">
        <f t="shared" si="3"/>
        <v>20</v>
      </c>
      <c r="P247" s="1903"/>
      <c r="Q247" s="92"/>
    </row>
    <row r="248" spans="1:17" ht="20.100000000000001" customHeight="1">
      <c r="A248" s="92">
        <v>245</v>
      </c>
      <c r="B248" s="112" t="s">
        <v>2528</v>
      </c>
      <c r="C248" s="1049" t="s">
        <v>2399</v>
      </c>
      <c r="D248" s="1049" t="s">
        <v>36</v>
      </c>
      <c r="E248" s="92"/>
      <c r="F248" s="92">
        <v>475</v>
      </c>
      <c r="G248" s="92"/>
      <c r="H248" s="92"/>
      <c r="I248" s="92"/>
      <c r="J248" s="92"/>
      <c r="K248" s="1155"/>
      <c r="L248" s="1155"/>
      <c r="M248" s="1200" t="s">
        <v>2530</v>
      </c>
      <c r="N248" s="2637"/>
      <c r="O248" s="1029">
        <f t="shared" si="3"/>
        <v>475</v>
      </c>
      <c r="P248" s="1903"/>
      <c r="Q248" s="92"/>
    </row>
    <row r="249" spans="1:17" ht="20.100000000000001" customHeight="1">
      <c r="A249" s="92">
        <v>246</v>
      </c>
      <c r="B249" s="112" t="s">
        <v>2528</v>
      </c>
      <c r="C249" s="1049" t="s">
        <v>2399</v>
      </c>
      <c r="D249" s="1049"/>
      <c r="E249" s="92">
        <v>78</v>
      </c>
      <c r="F249" s="92"/>
      <c r="G249" s="92"/>
      <c r="H249" s="92"/>
      <c r="I249" s="92"/>
      <c r="J249" s="92"/>
      <c r="K249" s="1155"/>
      <c r="L249" s="1155"/>
      <c r="M249" s="1200" t="s">
        <v>1591</v>
      </c>
      <c r="N249" s="2637"/>
      <c r="O249" s="1029">
        <f t="shared" si="3"/>
        <v>78</v>
      </c>
      <c r="P249" s="1903"/>
      <c r="Q249" s="92"/>
    </row>
    <row r="250" spans="1:17" ht="20.100000000000001" customHeight="1">
      <c r="A250" s="92">
        <v>247</v>
      </c>
      <c r="B250" s="112" t="s">
        <v>2528</v>
      </c>
      <c r="C250" s="1049" t="s">
        <v>2399</v>
      </c>
      <c r="D250" s="2021" t="s">
        <v>38</v>
      </c>
      <c r="E250" s="92"/>
      <c r="F250" s="92"/>
      <c r="G250" s="92"/>
      <c r="H250" s="92"/>
      <c r="I250" s="92"/>
      <c r="J250" s="92"/>
      <c r="K250" s="1155">
        <v>1</v>
      </c>
      <c r="L250" s="1155"/>
      <c r="M250" s="2093" t="s">
        <v>2495</v>
      </c>
      <c r="N250" s="2637">
        <v>24000</v>
      </c>
      <c r="O250" s="1029">
        <f t="shared" si="3"/>
        <v>0</v>
      </c>
      <c r="P250" s="1903">
        <v>1</v>
      </c>
      <c r="Q250" s="92"/>
    </row>
    <row r="251" spans="1:17" ht="20.100000000000001" customHeight="1">
      <c r="A251" s="92">
        <v>248</v>
      </c>
      <c r="B251" s="112" t="s">
        <v>2531</v>
      </c>
      <c r="C251" s="1049" t="s">
        <v>2399</v>
      </c>
      <c r="D251" s="3544" t="s">
        <v>26</v>
      </c>
      <c r="E251" s="92"/>
      <c r="F251" s="92"/>
      <c r="G251" s="92"/>
      <c r="H251" s="92"/>
      <c r="I251" s="92"/>
      <c r="J251" s="92"/>
      <c r="K251" s="1155">
        <v>1</v>
      </c>
      <c r="L251" s="1155"/>
      <c r="M251" s="1200" t="s">
        <v>48</v>
      </c>
      <c r="N251" s="2637">
        <v>-3611.78</v>
      </c>
      <c r="O251" s="1029">
        <f t="shared" si="3"/>
        <v>1</v>
      </c>
      <c r="P251" s="1903"/>
      <c r="Q251" s="92"/>
    </row>
    <row r="252" spans="1:17" ht="20.100000000000001" customHeight="1">
      <c r="A252" s="92">
        <v>249</v>
      </c>
      <c r="B252" s="112" t="s">
        <v>2531</v>
      </c>
      <c r="C252" s="1049" t="s">
        <v>2399</v>
      </c>
      <c r="D252" s="3544"/>
      <c r="E252" s="92"/>
      <c r="F252" s="92"/>
      <c r="G252" s="92"/>
      <c r="H252" s="92"/>
      <c r="I252" s="92"/>
      <c r="J252" s="92"/>
      <c r="K252" s="1155">
        <v>1</v>
      </c>
      <c r="L252" s="1155"/>
      <c r="M252" s="1104" t="s">
        <v>2532</v>
      </c>
      <c r="N252" s="2681" t="s">
        <v>2533</v>
      </c>
      <c r="O252" s="1029">
        <f t="shared" si="3"/>
        <v>1</v>
      </c>
      <c r="P252" s="1903"/>
      <c r="Q252" s="92"/>
    </row>
    <row r="253" spans="1:17" ht="20.100000000000001" customHeight="1">
      <c r="A253" s="92">
        <v>250</v>
      </c>
      <c r="B253" s="112" t="s">
        <v>2531</v>
      </c>
      <c r="C253" s="1049" t="s">
        <v>2399</v>
      </c>
      <c r="D253" s="3544"/>
      <c r="E253" s="92"/>
      <c r="F253" s="92"/>
      <c r="G253" s="92">
        <v>1</v>
      </c>
      <c r="H253" s="92"/>
      <c r="I253" s="92"/>
      <c r="J253" s="92"/>
      <c r="K253" s="1155"/>
      <c r="L253" s="1155"/>
      <c r="M253" s="1287" t="s">
        <v>49</v>
      </c>
      <c r="N253" s="2641">
        <v>2215820.17</v>
      </c>
      <c r="O253" s="1029">
        <f t="shared" si="3"/>
        <v>1</v>
      </c>
      <c r="P253" s="1903"/>
      <c r="Q253" s="92"/>
    </row>
    <row r="254" spans="1:17" ht="20.100000000000001" customHeight="1">
      <c r="A254" s="92">
        <v>251</v>
      </c>
      <c r="B254" s="112" t="s">
        <v>2531</v>
      </c>
      <c r="C254" s="1049" t="s">
        <v>2399</v>
      </c>
      <c r="D254" s="3544"/>
      <c r="E254" s="92"/>
      <c r="F254" s="92"/>
      <c r="G254" s="92">
        <v>1</v>
      </c>
      <c r="H254" s="92"/>
      <c r="I254" s="92"/>
      <c r="J254" s="92"/>
      <c r="K254" s="1159"/>
      <c r="L254" s="1159"/>
      <c r="M254" s="1287" t="s">
        <v>2534</v>
      </c>
      <c r="N254" s="2638">
        <v>-599.47</v>
      </c>
      <c r="O254" s="1029">
        <f t="shared" si="3"/>
        <v>1</v>
      </c>
      <c r="P254" s="1903"/>
      <c r="Q254" s="92"/>
    </row>
    <row r="255" spans="1:17" ht="20.100000000000001" customHeight="1">
      <c r="A255" s="92">
        <v>252</v>
      </c>
      <c r="B255" s="112" t="s">
        <v>2531</v>
      </c>
      <c r="C255" s="1049" t="s">
        <v>2399</v>
      </c>
      <c r="D255" s="2021"/>
      <c r="E255" s="92"/>
      <c r="F255" s="92"/>
      <c r="G255" s="92"/>
      <c r="H255" s="92"/>
      <c r="I255" s="92">
        <v>1608</v>
      </c>
      <c r="J255" s="92"/>
      <c r="K255" s="1155"/>
      <c r="L255" s="1155"/>
      <c r="M255" s="1200" t="s">
        <v>35</v>
      </c>
      <c r="N255" s="2637"/>
      <c r="O255" s="1029">
        <f t="shared" si="3"/>
        <v>1608</v>
      </c>
      <c r="P255" s="1903"/>
      <c r="Q255" s="92"/>
    </row>
    <row r="256" spans="1:17" ht="20.100000000000001" customHeight="1">
      <c r="A256" s="92">
        <v>253</v>
      </c>
      <c r="B256" s="112" t="s">
        <v>2531</v>
      </c>
      <c r="C256" s="1049" t="s">
        <v>2399</v>
      </c>
      <c r="D256" s="1049" t="s">
        <v>36</v>
      </c>
      <c r="E256" s="92"/>
      <c r="F256" s="92">
        <v>56</v>
      </c>
      <c r="G256" s="92"/>
      <c r="H256" s="92"/>
      <c r="I256" s="92"/>
      <c r="J256" s="92"/>
      <c r="K256" s="1155"/>
      <c r="L256" s="1155"/>
      <c r="M256" s="1200" t="s">
        <v>2535</v>
      </c>
      <c r="N256" s="2180"/>
      <c r="O256" s="1029">
        <f t="shared" si="3"/>
        <v>56</v>
      </c>
      <c r="P256" s="1903"/>
      <c r="Q256" s="92"/>
    </row>
    <row r="257" spans="1:17" ht="20.100000000000001" customHeight="1">
      <c r="A257" s="92">
        <v>254</v>
      </c>
      <c r="B257" s="112" t="s">
        <v>2531</v>
      </c>
      <c r="C257" s="1049" t="s">
        <v>2399</v>
      </c>
      <c r="D257" s="1049"/>
      <c r="E257" s="92">
        <v>5</v>
      </c>
      <c r="F257" s="92"/>
      <c r="G257" s="92"/>
      <c r="H257" s="92"/>
      <c r="I257" s="92"/>
      <c r="J257" s="92"/>
      <c r="K257" s="1155"/>
      <c r="L257" s="1155"/>
      <c r="M257" s="1200" t="s">
        <v>1591</v>
      </c>
      <c r="N257" s="2180"/>
      <c r="O257" s="1029">
        <f t="shared" si="3"/>
        <v>5</v>
      </c>
      <c r="P257" s="1903"/>
      <c r="Q257" s="92"/>
    </row>
    <row r="258" spans="1:17" ht="20.100000000000001" customHeight="1">
      <c r="A258" s="92">
        <v>255</v>
      </c>
      <c r="B258" s="112" t="s">
        <v>2536</v>
      </c>
      <c r="C258" s="1049" t="s">
        <v>2399</v>
      </c>
      <c r="D258" s="1049" t="s">
        <v>26</v>
      </c>
      <c r="E258" s="92"/>
      <c r="F258" s="92"/>
      <c r="G258" s="92"/>
      <c r="H258" s="92"/>
      <c r="I258" s="92"/>
      <c r="J258" s="92"/>
      <c r="K258" s="1155">
        <v>1</v>
      </c>
      <c r="L258" s="1155"/>
      <c r="M258" s="1200" t="s">
        <v>48</v>
      </c>
      <c r="N258" s="2637">
        <v>30.27</v>
      </c>
      <c r="O258" s="1029">
        <f t="shared" si="3"/>
        <v>1</v>
      </c>
      <c r="P258" s="1903"/>
      <c r="Q258" s="92"/>
    </row>
    <row r="259" spans="1:17" ht="20.100000000000001" customHeight="1">
      <c r="A259" s="92">
        <v>256</v>
      </c>
      <c r="B259" s="112" t="s">
        <v>2536</v>
      </c>
      <c r="C259" s="1049" t="s">
        <v>2399</v>
      </c>
      <c r="D259" s="1049"/>
      <c r="E259" s="92"/>
      <c r="F259" s="92"/>
      <c r="G259" s="92"/>
      <c r="H259" s="92"/>
      <c r="I259" s="92"/>
      <c r="J259" s="92"/>
      <c r="K259" s="1155">
        <v>1</v>
      </c>
      <c r="L259" s="1155"/>
      <c r="M259" s="1104" t="s">
        <v>118</v>
      </c>
      <c r="N259" s="2637">
        <v>39100</v>
      </c>
      <c r="O259" s="1029">
        <f t="shared" si="3"/>
        <v>1</v>
      </c>
      <c r="P259" s="1903"/>
      <c r="Q259" s="92"/>
    </row>
    <row r="260" spans="1:17" ht="20.100000000000001" customHeight="1">
      <c r="A260" s="92">
        <v>257</v>
      </c>
      <c r="B260" s="112" t="s">
        <v>2536</v>
      </c>
      <c r="C260" s="1049" t="s">
        <v>2399</v>
      </c>
      <c r="D260" s="1049"/>
      <c r="E260" s="92"/>
      <c r="F260" s="92"/>
      <c r="G260" s="92">
        <v>1</v>
      </c>
      <c r="H260" s="92"/>
      <c r="I260" s="92"/>
      <c r="J260" s="92"/>
      <c r="K260" s="1155"/>
      <c r="L260" s="1155"/>
      <c r="M260" s="1197" t="s">
        <v>49</v>
      </c>
      <c r="N260" s="2637">
        <v>4205498.6900000004</v>
      </c>
      <c r="O260" s="1029">
        <f t="shared" si="3"/>
        <v>1</v>
      </c>
      <c r="P260" s="1903"/>
      <c r="Q260" s="92"/>
    </row>
    <row r="261" spans="1:17" ht="20.100000000000001" customHeight="1">
      <c r="A261" s="92">
        <v>258</v>
      </c>
      <c r="B261" s="112" t="s">
        <v>2536</v>
      </c>
      <c r="C261" s="1049" t="s">
        <v>2399</v>
      </c>
      <c r="D261" s="1049"/>
      <c r="E261" s="92"/>
      <c r="F261" s="92"/>
      <c r="G261" s="92">
        <v>1</v>
      </c>
      <c r="H261" s="92"/>
      <c r="I261" s="92"/>
      <c r="J261" s="92"/>
      <c r="K261" s="1155"/>
      <c r="L261" s="1155"/>
      <c r="M261" s="1197" t="s">
        <v>32</v>
      </c>
      <c r="N261" s="2637">
        <v>0.52</v>
      </c>
      <c r="O261" s="1029">
        <f t="shared" si="3"/>
        <v>1</v>
      </c>
      <c r="P261" s="1903"/>
      <c r="Q261" s="92"/>
    </row>
    <row r="262" spans="1:17" ht="20.100000000000001" customHeight="1">
      <c r="A262" s="92">
        <v>259</v>
      </c>
      <c r="B262" s="112" t="s">
        <v>2536</v>
      </c>
      <c r="C262" s="1049" t="s">
        <v>2399</v>
      </c>
      <c r="D262" s="1049"/>
      <c r="E262" s="92"/>
      <c r="F262" s="92"/>
      <c r="G262" s="92"/>
      <c r="H262" s="92"/>
      <c r="I262" s="92">
        <v>1056</v>
      </c>
      <c r="J262" s="92"/>
      <c r="K262" s="1155"/>
      <c r="L262" s="1155"/>
      <c r="M262" s="1200" t="s">
        <v>35</v>
      </c>
      <c r="N262" s="2682"/>
      <c r="O262" s="1029">
        <f t="shared" si="3"/>
        <v>1056</v>
      </c>
      <c r="P262" s="1903"/>
      <c r="Q262" s="92"/>
    </row>
    <row r="263" spans="1:17" ht="20.100000000000001" customHeight="1">
      <c r="A263" s="92">
        <v>260</v>
      </c>
      <c r="B263" s="112" t="s">
        <v>2536</v>
      </c>
      <c r="C263" s="1049" t="s">
        <v>2399</v>
      </c>
      <c r="D263" s="1049" t="s">
        <v>36</v>
      </c>
      <c r="E263" s="92"/>
      <c r="F263" s="92">
        <v>790</v>
      </c>
      <c r="G263" s="92"/>
      <c r="H263" s="92"/>
      <c r="I263" s="92"/>
      <c r="J263" s="92"/>
      <c r="K263" s="1155"/>
      <c r="L263" s="1155"/>
      <c r="M263" s="1200" t="s">
        <v>2537</v>
      </c>
      <c r="N263" s="2683"/>
      <c r="O263" s="1029">
        <f t="shared" si="3"/>
        <v>790</v>
      </c>
      <c r="P263" s="1903"/>
      <c r="Q263" s="92"/>
    </row>
    <row r="264" spans="1:17" ht="20.100000000000001" customHeight="1">
      <c r="A264" s="92">
        <v>261</v>
      </c>
      <c r="B264" s="112" t="s">
        <v>2536</v>
      </c>
      <c r="C264" s="1049" t="s">
        <v>2399</v>
      </c>
      <c r="D264" s="1049" t="s">
        <v>105</v>
      </c>
      <c r="E264" s="92"/>
      <c r="F264" s="92"/>
      <c r="G264" s="92"/>
      <c r="H264" s="92"/>
      <c r="I264" s="92"/>
      <c r="J264" s="92"/>
      <c r="K264" s="1155">
        <v>1</v>
      </c>
      <c r="L264" s="1155"/>
      <c r="M264" s="2121" t="s">
        <v>2538</v>
      </c>
      <c r="N264" s="2637" t="s">
        <v>2539</v>
      </c>
      <c r="O264" s="1029">
        <f t="shared" si="3"/>
        <v>1</v>
      </c>
      <c r="P264" s="1903"/>
      <c r="Q264" s="92"/>
    </row>
    <row r="265" spans="1:17" ht="20.100000000000001" customHeight="1">
      <c r="A265" s="92">
        <v>262</v>
      </c>
      <c r="B265" s="2569" t="s">
        <v>2932</v>
      </c>
      <c r="C265" s="2155" t="s">
        <v>2399</v>
      </c>
      <c r="D265" s="2570" t="s">
        <v>26</v>
      </c>
      <c r="E265" s="92"/>
      <c r="F265" s="92"/>
      <c r="G265" s="92"/>
      <c r="H265" s="92"/>
      <c r="I265" s="92"/>
      <c r="J265" s="92"/>
      <c r="K265" s="2571">
        <v>1</v>
      </c>
      <c r="L265" s="2571"/>
      <c r="M265" s="2629" t="s">
        <v>118</v>
      </c>
      <c r="N265" s="2684">
        <v>17400</v>
      </c>
      <c r="O265" s="1029">
        <f t="shared" si="3"/>
        <v>1</v>
      </c>
      <c r="P265" s="1903"/>
      <c r="Q265" s="92"/>
    </row>
    <row r="266" spans="1:17" ht="20.100000000000001" customHeight="1">
      <c r="A266" s="92">
        <v>263</v>
      </c>
      <c r="B266" s="2569" t="s">
        <v>2932</v>
      </c>
      <c r="C266" s="2155" t="s">
        <v>2399</v>
      </c>
      <c r="D266" s="2572"/>
      <c r="E266" s="92"/>
      <c r="F266" s="92"/>
      <c r="G266" s="92">
        <v>1</v>
      </c>
      <c r="H266" s="92"/>
      <c r="I266" s="92"/>
      <c r="J266" s="92"/>
      <c r="K266" s="2571"/>
      <c r="L266" s="2571"/>
      <c r="M266" s="2630" t="s">
        <v>32</v>
      </c>
      <c r="N266" s="2685"/>
      <c r="O266" s="1029">
        <f t="shared" si="3"/>
        <v>1</v>
      </c>
      <c r="P266" s="1903"/>
      <c r="Q266" s="92"/>
    </row>
    <row r="267" spans="1:17" ht="20.100000000000001" customHeight="1">
      <c r="A267" s="92">
        <v>264</v>
      </c>
      <c r="B267" s="2569" t="s">
        <v>2932</v>
      </c>
      <c r="C267" s="2155" t="s">
        <v>2399</v>
      </c>
      <c r="D267" s="2573"/>
      <c r="E267" s="92"/>
      <c r="F267" s="92"/>
      <c r="G267" s="92"/>
      <c r="H267" s="92"/>
      <c r="I267" s="92">
        <v>6221</v>
      </c>
      <c r="J267" s="92"/>
      <c r="K267" s="2574"/>
      <c r="L267" s="2574"/>
      <c r="M267" s="1200" t="s">
        <v>2442</v>
      </c>
      <c r="N267" s="2686"/>
      <c r="O267" s="1029">
        <f t="shared" si="3"/>
        <v>6221</v>
      </c>
      <c r="P267" s="1903"/>
      <c r="Q267" s="92"/>
    </row>
    <row r="268" spans="1:17" ht="20.100000000000001" customHeight="1">
      <c r="A268" s="92">
        <v>265</v>
      </c>
      <c r="B268" s="2569" t="s">
        <v>2932</v>
      </c>
      <c r="C268" s="2155" t="s">
        <v>2399</v>
      </c>
      <c r="D268" s="2575" t="s">
        <v>36</v>
      </c>
      <c r="E268" s="92"/>
      <c r="F268" s="92">
        <v>448</v>
      </c>
      <c r="G268" s="92"/>
      <c r="H268" s="92"/>
      <c r="I268" s="92"/>
      <c r="J268" s="92"/>
      <c r="K268" s="2574"/>
      <c r="L268" s="2574"/>
      <c r="M268" s="1200" t="s">
        <v>2933</v>
      </c>
      <c r="N268" s="2687"/>
      <c r="O268" s="1029">
        <f t="shared" si="3"/>
        <v>448</v>
      </c>
      <c r="P268" s="1903"/>
      <c r="Q268" s="92"/>
    </row>
    <row r="269" spans="1:17" ht="20.100000000000001" customHeight="1">
      <c r="A269" s="92">
        <v>266</v>
      </c>
      <c r="B269" s="2569" t="s">
        <v>2934</v>
      </c>
      <c r="C269" s="2155" t="s">
        <v>2399</v>
      </c>
      <c r="D269" s="2576" t="s">
        <v>26</v>
      </c>
      <c r="E269" s="92"/>
      <c r="F269" s="92"/>
      <c r="G269" s="92"/>
      <c r="H269" s="92"/>
      <c r="I269" s="92"/>
      <c r="J269" s="92"/>
      <c r="K269" s="1047">
        <v>1</v>
      </c>
      <c r="L269" s="2577" t="s">
        <v>2935</v>
      </c>
      <c r="M269" s="1200" t="s">
        <v>2936</v>
      </c>
      <c r="N269" s="2689">
        <v>1601.96</v>
      </c>
      <c r="O269" s="1029">
        <f t="shared" ref="O269:O281" si="4">E269+F269+G269+H269+I269+J269+K269-P269</f>
        <v>1</v>
      </c>
      <c r="P269" s="1903"/>
      <c r="Q269" s="92"/>
    </row>
    <row r="270" spans="1:17" ht="20.100000000000001" customHeight="1">
      <c r="A270" s="92">
        <v>267</v>
      </c>
      <c r="B270" s="2569" t="s">
        <v>2934</v>
      </c>
      <c r="C270" s="2155" t="s">
        <v>2399</v>
      </c>
      <c r="D270" s="3549"/>
      <c r="E270" s="92"/>
      <c r="F270" s="92"/>
      <c r="G270" s="92">
        <v>1</v>
      </c>
      <c r="H270" s="92"/>
      <c r="I270" s="92"/>
      <c r="J270" s="92"/>
      <c r="K270" s="1047"/>
      <c r="L270" s="2577" t="s">
        <v>2935</v>
      </c>
      <c r="M270" s="1287" t="s">
        <v>49</v>
      </c>
      <c r="N270" s="2690">
        <v>-5862485.0800000001</v>
      </c>
      <c r="O270" s="1029">
        <f t="shared" si="4"/>
        <v>1</v>
      </c>
      <c r="P270" s="1903"/>
      <c r="Q270" s="92"/>
    </row>
    <row r="271" spans="1:17" ht="20.100000000000001" customHeight="1">
      <c r="A271" s="92">
        <v>268</v>
      </c>
      <c r="B271" s="2569" t="s">
        <v>2934</v>
      </c>
      <c r="C271" s="2155" t="s">
        <v>2399</v>
      </c>
      <c r="D271" s="3549"/>
      <c r="E271" s="92"/>
      <c r="F271" s="92"/>
      <c r="G271" s="92">
        <v>1</v>
      </c>
      <c r="H271" s="92"/>
      <c r="I271" s="92"/>
      <c r="J271" s="92"/>
      <c r="K271" s="1047"/>
      <c r="L271" s="2577" t="s">
        <v>2935</v>
      </c>
      <c r="M271" s="1287" t="s">
        <v>31</v>
      </c>
      <c r="N271" s="2691">
        <v>-69.91</v>
      </c>
      <c r="O271" s="1029">
        <f t="shared" si="4"/>
        <v>0</v>
      </c>
      <c r="P271" s="1903">
        <v>1</v>
      </c>
      <c r="Q271" s="92"/>
    </row>
    <row r="272" spans="1:17" ht="20.100000000000001" customHeight="1">
      <c r="A272" s="92">
        <v>269</v>
      </c>
      <c r="B272" s="2569" t="s">
        <v>2934</v>
      </c>
      <c r="C272" s="2155" t="s">
        <v>2399</v>
      </c>
      <c r="D272" s="3549"/>
      <c r="E272" s="92"/>
      <c r="F272" s="92"/>
      <c r="G272" s="92">
        <v>1</v>
      </c>
      <c r="H272" s="92"/>
      <c r="I272" s="92"/>
      <c r="J272" s="92"/>
      <c r="K272" s="1047"/>
      <c r="L272" s="2577" t="s">
        <v>2935</v>
      </c>
      <c r="M272" s="1287" t="s">
        <v>32</v>
      </c>
      <c r="N272" s="2692">
        <v>0.19</v>
      </c>
      <c r="O272" s="1029">
        <f t="shared" si="4"/>
        <v>1</v>
      </c>
      <c r="P272" s="1903"/>
      <c r="Q272" s="92"/>
    </row>
    <row r="273" spans="1:17" ht="20.100000000000001" customHeight="1">
      <c r="A273" s="92">
        <v>270</v>
      </c>
      <c r="B273" s="2569" t="s">
        <v>2934</v>
      </c>
      <c r="C273" s="2155" t="s">
        <v>2399</v>
      </c>
      <c r="D273" s="2578"/>
      <c r="E273" s="92"/>
      <c r="F273" s="92"/>
      <c r="G273" s="92"/>
      <c r="H273" s="92"/>
      <c r="I273" s="92">
        <v>1982</v>
      </c>
      <c r="J273" s="92"/>
      <c r="K273" s="1047"/>
      <c r="L273" s="2577" t="s">
        <v>2935</v>
      </c>
      <c r="M273" s="1200" t="s">
        <v>2442</v>
      </c>
      <c r="N273" s="2688"/>
      <c r="O273" s="1029">
        <f t="shared" si="4"/>
        <v>1982</v>
      </c>
      <c r="P273" s="1903"/>
      <c r="Q273" s="92"/>
    </row>
    <row r="274" spans="1:17" ht="20.100000000000001" customHeight="1">
      <c r="A274" s="92">
        <v>271</v>
      </c>
      <c r="B274" s="2569" t="s">
        <v>2934</v>
      </c>
      <c r="C274" s="2155" t="s">
        <v>2399</v>
      </c>
      <c r="D274" s="2579" t="s">
        <v>38</v>
      </c>
      <c r="E274" s="92"/>
      <c r="F274" s="92"/>
      <c r="G274" s="92"/>
      <c r="H274" s="92"/>
      <c r="I274" s="92"/>
      <c r="J274" s="92"/>
      <c r="K274" s="2580">
        <v>1</v>
      </c>
      <c r="L274" s="2577" t="s">
        <v>2935</v>
      </c>
      <c r="M274" s="2093" t="s">
        <v>2495</v>
      </c>
      <c r="N274" s="2669">
        <v>8000</v>
      </c>
      <c r="O274" s="1029">
        <f t="shared" si="4"/>
        <v>0</v>
      </c>
      <c r="P274" s="1903">
        <v>1</v>
      </c>
      <c r="Q274" s="92"/>
    </row>
    <row r="275" spans="1:17" ht="20.100000000000001" customHeight="1">
      <c r="A275" s="92"/>
      <c r="B275" s="2569" t="s">
        <v>3084</v>
      </c>
      <c r="C275" s="2804" t="s">
        <v>2399</v>
      </c>
      <c r="D275" s="2579" t="s">
        <v>26</v>
      </c>
      <c r="E275" s="92"/>
      <c r="F275" s="92"/>
      <c r="G275" s="92"/>
      <c r="H275" s="92"/>
      <c r="I275" s="92"/>
      <c r="J275" s="92"/>
      <c r="K275" s="1155">
        <v>2</v>
      </c>
      <c r="L275" s="1155"/>
      <c r="M275" s="1104" t="s">
        <v>3085</v>
      </c>
      <c r="N275" s="434">
        <v>-725800</v>
      </c>
      <c r="O275" s="1029">
        <f t="shared" si="4"/>
        <v>2</v>
      </c>
      <c r="P275" s="1903"/>
      <c r="Q275" s="92"/>
    </row>
    <row r="276" spans="1:17" ht="20.100000000000001" customHeight="1">
      <c r="A276" s="92"/>
      <c r="B276" s="2569" t="s">
        <v>3084</v>
      </c>
      <c r="C276" s="2804" t="s">
        <v>2399</v>
      </c>
      <c r="D276" s="3549"/>
      <c r="E276" s="92"/>
      <c r="F276" s="92"/>
      <c r="G276" s="92">
        <v>1</v>
      </c>
      <c r="H276" s="92"/>
      <c r="I276" s="92"/>
      <c r="J276" s="92"/>
      <c r="K276" s="1155"/>
      <c r="L276" s="1155"/>
      <c r="M276" s="1287" t="s">
        <v>49</v>
      </c>
      <c r="N276" s="434">
        <v>160957752</v>
      </c>
      <c r="O276" s="1029">
        <f t="shared" si="4"/>
        <v>1</v>
      </c>
      <c r="P276" s="1903"/>
      <c r="Q276" s="92"/>
    </row>
    <row r="277" spans="1:17" ht="20.100000000000001" customHeight="1">
      <c r="A277" s="92"/>
      <c r="B277" s="2569" t="s">
        <v>3084</v>
      </c>
      <c r="C277" s="2804" t="s">
        <v>2399</v>
      </c>
      <c r="D277" s="3549"/>
      <c r="E277" s="92"/>
      <c r="F277" s="92"/>
      <c r="G277" s="92">
        <v>1</v>
      </c>
      <c r="H277" s="92"/>
      <c r="I277" s="92"/>
      <c r="J277" s="92"/>
      <c r="K277" s="1155"/>
      <c r="L277" s="1155"/>
      <c r="M277" s="1287" t="s">
        <v>32</v>
      </c>
      <c r="N277" s="434">
        <v>78.900000000000006</v>
      </c>
      <c r="O277" s="1029">
        <f t="shared" si="4"/>
        <v>1</v>
      </c>
      <c r="P277" s="1903"/>
      <c r="Q277" s="92"/>
    </row>
    <row r="278" spans="1:17" ht="20.100000000000001" customHeight="1">
      <c r="A278" s="92"/>
      <c r="B278" s="2569" t="s">
        <v>3084</v>
      </c>
      <c r="C278" s="2804" t="s">
        <v>2399</v>
      </c>
      <c r="D278" s="3549"/>
      <c r="E278" s="92"/>
      <c r="F278" s="92"/>
      <c r="G278" s="92">
        <v>1</v>
      </c>
      <c r="H278" s="92"/>
      <c r="I278" s="92"/>
      <c r="J278" s="92"/>
      <c r="K278" s="1159"/>
      <c r="L278" s="1159"/>
      <c r="M278" s="1287" t="s">
        <v>50</v>
      </c>
      <c r="N278" s="437">
        <v>633.85</v>
      </c>
      <c r="O278" s="1029">
        <f t="shared" si="4"/>
        <v>1</v>
      </c>
      <c r="P278" s="1903"/>
      <c r="Q278" s="92"/>
    </row>
    <row r="279" spans="1:17" ht="20.100000000000001" customHeight="1">
      <c r="A279" s="92"/>
      <c r="B279" s="2569" t="s">
        <v>3084</v>
      </c>
      <c r="C279" s="2804" t="s">
        <v>2399</v>
      </c>
      <c r="D279" s="2848"/>
      <c r="E279" s="92"/>
      <c r="F279" s="92"/>
      <c r="G279" s="92"/>
      <c r="H279" s="92"/>
      <c r="I279" s="92">
        <v>8729</v>
      </c>
      <c r="J279" s="92"/>
      <c r="K279" s="1047"/>
      <c r="L279" s="1047"/>
      <c r="M279" s="2023" t="s">
        <v>35</v>
      </c>
      <c r="N279" s="401"/>
      <c r="O279" s="1029">
        <f t="shared" si="4"/>
        <v>8729</v>
      </c>
      <c r="P279" s="92"/>
      <c r="Q279" s="92"/>
    </row>
    <row r="280" spans="1:17" ht="20.100000000000001" customHeight="1">
      <c r="A280" s="92"/>
      <c r="B280" s="2569" t="s">
        <v>3084</v>
      </c>
      <c r="C280" s="2804" t="s">
        <v>2399</v>
      </c>
      <c r="D280" s="2846"/>
      <c r="E280" s="92"/>
      <c r="F280" s="92"/>
      <c r="G280" s="92"/>
      <c r="H280" s="92"/>
      <c r="I280" s="92"/>
      <c r="J280" s="92"/>
      <c r="K280" s="1047">
        <v>5</v>
      </c>
      <c r="L280" s="2847"/>
      <c r="M280" s="2023" t="s">
        <v>196</v>
      </c>
      <c r="N280" s="457"/>
      <c r="O280" s="1029">
        <f t="shared" si="4"/>
        <v>5</v>
      </c>
      <c r="P280" s="92"/>
      <c r="Q280" s="92"/>
    </row>
    <row r="281" spans="1:17" ht="20.100000000000001" customHeight="1">
      <c r="A281" s="92"/>
      <c r="B281" s="2569" t="s">
        <v>3084</v>
      </c>
      <c r="C281" s="2804" t="s">
        <v>2399</v>
      </c>
      <c r="D281" s="2731" t="s">
        <v>36</v>
      </c>
      <c r="E281" s="92"/>
      <c r="F281" s="92">
        <v>1290</v>
      </c>
      <c r="G281" s="92"/>
      <c r="H281" s="92"/>
      <c r="I281" s="92"/>
      <c r="J281" s="92"/>
      <c r="K281" s="1155"/>
      <c r="L281" s="1155"/>
      <c r="M281" s="1200" t="s">
        <v>3086</v>
      </c>
      <c r="N281" s="155">
        <v>62500</v>
      </c>
      <c r="O281" s="1029">
        <f t="shared" si="4"/>
        <v>1290</v>
      </c>
      <c r="P281" s="92"/>
      <c r="Q281" s="92"/>
    </row>
    <row r="282" spans="1:17" ht="20.100000000000001" customHeight="1">
      <c r="A282" s="1332"/>
      <c r="B282" s="1332"/>
      <c r="C282" s="1332"/>
      <c r="D282" s="1332"/>
      <c r="E282" s="1332">
        <f t="shared" ref="E282:K282" si="5">SUM(E8:E281)</f>
        <v>1232</v>
      </c>
      <c r="F282" s="1332">
        <f t="shared" si="5"/>
        <v>16571</v>
      </c>
      <c r="G282" s="1332">
        <f t="shared" si="5"/>
        <v>73</v>
      </c>
      <c r="H282" s="1332">
        <f t="shared" si="5"/>
        <v>274</v>
      </c>
      <c r="I282" s="1332">
        <f t="shared" si="5"/>
        <v>94745</v>
      </c>
      <c r="J282" s="1332">
        <f t="shared" si="5"/>
        <v>0</v>
      </c>
      <c r="K282" s="1332">
        <f t="shared" si="5"/>
        <v>207</v>
      </c>
      <c r="L282" s="1332"/>
      <c r="M282" s="1332"/>
      <c r="N282" s="2601">
        <f>SUM(N8:N281)</f>
        <v>1064986361.0200003</v>
      </c>
      <c r="O282" s="2601">
        <f>SUM(O8:O281)</f>
        <v>113025</v>
      </c>
      <c r="P282" s="2601">
        <f>SUM(P8:P281)</f>
        <v>77</v>
      </c>
      <c r="Q282" s="1332"/>
    </row>
    <row r="283" spans="1:17" ht="20.100000000000001" customHeight="1"/>
    <row r="284" spans="1:17" ht="20.100000000000001" customHeight="1">
      <c r="A284" s="3502" t="s">
        <v>1579</v>
      </c>
      <c r="B284" s="3502" t="s">
        <v>1837</v>
      </c>
      <c r="C284" s="3502" t="s">
        <v>5</v>
      </c>
      <c r="D284" s="3502" t="s">
        <v>6</v>
      </c>
      <c r="E284" s="3502"/>
      <c r="F284" s="3502"/>
      <c r="G284" s="3502"/>
      <c r="H284" s="3502"/>
      <c r="I284" s="3502"/>
      <c r="J284" s="3502"/>
      <c r="K284" s="3502"/>
      <c r="L284" s="3502" t="s">
        <v>1585</v>
      </c>
      <c r="M284" s="3502" t="s">
        <v>14</v>
      </c>
      <c r="N284" s="3504" t="s">
        <v>1022</v>
      </c>
      <c r="O284" s="3501" t="s">
        <v>16</v>
      </c>
      <c r="P284" s="3501"/>
      <c r="Q284" s="3501"/>
    </row>
    <row r="285" spans="1:17" ht="20.100000000000001" customHeight="1">
      <c r="A285" s="3502"/>
      <c r="B285" s="3502"/>
      <c r="C285" s="3502"/>
      <c r="D285" s="3502"/>
      <c r="E285" s="3501" t="s">
        <v>1580</v>
      </c>
      <c r="F285" s="3501"/>
      <c r="G285" s="3502" t="s">
        <v>1581</v>
      </c>
      <c r="H285" s="3502" t="s">
        <v>9</v>
      </c>
      <c r="I285" s="3502" t="s">
        <v>1582</v>
      </c>
      <c r="J285" s="3502" t="s">
        <v>1583</v>
      </c>
      <c r="K285" s="3502" t="s">
        <v>1584</v>
      </c>
      <c r="L285" s="3502"/>
      <c r="M285" s="3502"/>
      <c r="N285" s="3504" t="s">
        <v>15</v>
      </c>
      <c r="O285" s="3501" t="s">
        <v>21</v>
      </c>
      <c r="P285" s="3501" t="s">
        <v>22</v>
      </c>
      <c r="Q285" s="3502" t="s">
        <v>23</v>
      </c>
    </row>
    <row r="286" spans="1:17" ht="20.100000000000001" customHeight="1">
      <c r="A286" s="3502"/>
      <c r="B286" s="3502"/>
      <c r="C286" s="3502"/>
      <c r="D286" s="3502" t="s">
        <v>6</v>
      </c>
      <c r="E286" s="1334" t="s">
        <v>779</v>
      </c>
      <c r="F286" s="1334" t="s">
        <v>1586</v>
      </c>
      <c r="G286" s="3502"/>
      <c r="H286" s="3502"/>
      <c r="I286" s="3502"/>
      <c r="J286" s="3502"/>
      <c r="K286" s="3502"/>
      <c r="L286" s="3502"/>
      <c r="M286" s="3502" t="s">
        <v>20</v>
      </c>
      <c r="N286" s="3504"/>
      <c r="O286" s="3501"/>
      <c r="P286" s="3501"/>
      <c r="Q286" s="3502"/>
    </row>
    <row r="287" spans="1:17" ht="20.100000000000001" customHeight="1">
      <c r="A287" s="1335"/>
      <c r="B287" s="1335"/>
      <c r="C287" s="1336" t="s">
        <v>2399</v>
      </c>
      <c r="D287" s="1335"/>
      <c r="E287" s="1337">
        <f t="shared" ref="E287:K287" si="6">E282</f>
        <v>1232</v>
      </c>
      <c r="F287" s="1337">
        <f t="shared" si="6"/>
        <v>16571</v>
      </c>
      <c r="G287" s="1337">
        <f t="shared" si="6"/>
        <v>73</v>
      </c>
      <c r="H287" s="1337">
        <f t="shared" si="6"/>
        <v>274</v>
      </c>
      <c r="I287" s="1337">
        <f t="shared" si="6"/>
        <v>94745</v>
      </c>
      <c r="J287" s="1337">
        <f t="shared" si="6"/>
        <v>0</v>
      </c>
      <c r="K287" s="1337">
        <f t="shared" si="6"/>
        <v>207</v>
      </c>
      <c r="L287" s="1337">
        <v>0</v>
      </c>
      <c r="M287" s="1337"/>
      <c r="N287" s="1337">
        <f>N282</f>
        <v>1064986361.0200003</v>
      </c>
      <c r="O287" s="1337">
        <f>O282</f>
        <v>113025</v>
      </c>
      <c r="P287" s="1337">
        <f>P282</f>
        <v>77</v>
      </c>
      <c r="Q287" s="1337">
        <f>Q282</f>
        <v>0</v>
      </c>
    </row>
    <row r="288" spans="1:17" ht="20.100000000000001" customHeight="1">
      <c r="A288" s="1338"/>
      <c r="B288" s="1338"/>
      <c r="C288" s="1338"/>
      <c r="D288" s="1338"/>
      <c r="E288" s="1338"/>
      <c r="F288" s="1338"/>
      <c r="G288" s="1338"/>
      <c r="H288" s="1338"/>
      <c r="I288" s="1338"/>
      <c r="J288" s="1338"/>
      <c r="K288" s="1338"/>
      <c r="L288" s="1338"/>
      <c r="M288" s="1338"/>
      <c r="N288" s="1338"/>
      <c r="O288" s="1338"/>
      <c r="P288" s="1338"/>
      <c r="Q288" s="1338"/>
    </row>
    <row r="289" spans="1:17" ht="20.100000000000001" customHeight="1">
      <c r="A289" s="1338"/>
      <c r="B289" s="1338"/>
      <c r="C289" s="1338"/>
      <c r="D289" s="1338"/>
      <c r="E289" s="1338"/>
      <c r="F289" s="1338"/>
      <c r="G289" s="1338"/>
      <c r="H289" s="1338"/>
      <c r="I289" s="1338"/>
      <c r="J289" s="1338"/>
      <c r="K289" s="1338"/>
      <c r="L289" s="1338"/>
      <c r="M289" s="1338"/>
      <c r="N289" s="1338"/>
      <c r="O289" s="1338"/>
      <c r="P289" s="1338"/>
      <c r="Q289" s="1338"/>
    </row>
    <row r="290" spans="1:17" ht="20.100000000000001" customHeight="1">
      <c r="A290" s="1338"/>
      <c r="B290" s="1338"/>
      <c r="C290" s="1338"/>
      <c r="D290" s="1338"/>
      <c r="E290" s="1338"/>
      <c r="F290" s="1338"/>
      <c r="G290" s="1338"/>
      <c r="H290" s="1338"/>
      <c r="I290" s="1338"/>
      <c r="J290" s="1338"/>
      <c r="K290" s="1338"/>
      <c r="L290" s="1338"/>
      <c r="M290" s="1338"/>
      <c r="N290" s="1338"/>
      <c r="O290" s="1338"/>
      <c r="P290" s="1338"/>
      <c r="Q290" s="1338"/>
    </row>
    <row r="291" spans="1:17" ht="20.100000000000001" customHeight="1">
      <c r="A291" s="1338"/>
      <c r="B291" s="1338"/>
      <c r="C291" s="1338"/>
      <c r="D291" s="1335"/>
      <c r="E291" s="1335"/>
      <c r="F291" s="1339" t="s">
        <v>22</v>
      </c>
      <c r="G291" s="1339" t="s">
        <v>1839</v>
      </c>
      <c r="H291" s="1339" t="s">
        <v>755</v>
      </c>
      <c r="I291" s="1338"/>
      <c r="J291" s="1338"/>
      <c r="K291" s="1338"/>
      <c r="L291" s="1338"/>
      <c r="M291" s="1338"/>
      <c r="N291" s="1338"/>
      <c r="O291" s="1338"/>
      <c r="P291" s="1338"/>
      <c r="Q291" s="1338"/>
    </row>
    <row r="292" spans="1:17" ht="20.100000000000001" customHeight="1">
      <c r="A292" s="1338"/>
      <c r="B292" s="1338"/>
      <c r="C292" s="1338"/>
      <c r="D292" s="3503" t="s">
        <v>7</v>
      </c>
      <c r="E292" s="1341" t="s">
        <v>17</v>
      </c>
      <c r="F292" s="1342">
        <f>P24+P49+P63+P73+P88+P97+P105+P115+P126+P139+P146+P155+P176+P181+P184+P202+P213+P235+P249+P257</f>
        <v>20</v>
      </c>
      <c r="G292" s="1343">
        <f>E287</f>
        <v>1232</v>
      </c>
      <c r="H292" s="1343">
        <f>G292-F292</f>
        <v>1212</v>
      </c>
      <c r="I292" s="1338"/>
      <c r="J292" s="1338"/>
      <c r="K292" s="1338"/>
      <c r="L292" s="1338"/>
      <c r="M292" s="1338"/>
      <c r="N292" s="1338"/>
      <c r="O292" s="1338"/>
      <c r="P292" s="1338"/>
      <c r="Q292" s="1338"/>
    </row>
    <row r="293" spans="1:17" ht="20.100000000000001" customHeight="1">
      <c r="A293" s="1338"/>
      <c r="B293" s="1338"/>
      <c r="C293" s="1338"/>
      <c r="D293" s="3503"/>
      <c r="E293" s="1344" t="s">
        <v>18</v>
      </c>
      <c r="F293" s="1345">
        <f>P23+P42+P48+P62+P72+P87+P96+P104+P114+P122+P125+P138+P145+P154+P172+P175+P180+P183+P201+P212+P221+P231+P234+P248+P256+P263</f>
        <v>5</v>
      </c>
      <c r="G293" s="1343">
        <f>F287</f>
        <v>16571</v>
      </c>
      <c r="H293" s="1343">
        <f t="shared" ref="H293:H298" si="7">G293-F293</f>
        <v>16566</v>
      </c>
      <c r="I293" s="1338"/>
      <c r="J293" s="1338"/>
      <c r="K293" s="1338"/>
      <c r="L293" s="1338"/>
      <c r="M293" s="1338"/>
      <c r="N293" s="1338"/>
      <c r="O293" s="1338"/>
      <c r="P293" s="1338"/>
      <c r="Q293" s="1338"/>
    </row>
    <row r="294" spans="1:17" ht="20.100000000000001" customHeight="1">
      <c r="A294" s="1338"/>
      <c r="B294" s="1338"/>
      <c r="C294" s="1338"/>
      <c r="D294" s="1341" t="s">
        <v>756</v>
      </c>
      <c r="E294" s="1341"/>
      <c r="F294" s="1345">
        <f>P9+P10+P11+P12+P13+P28+P29+P30+P38+P39+P44+P45+P54+P55+P65+P66+P81+P82+P83+P92+P93+P94+P101+P102+P108+P109+P110+P111+P119+P120+P121+P129+P130+P131+P132+P143+P148+P149+P151+P164+P168+P178+P187+P188+P189+P193+P194+P195+P196+P207+P208+P217+P218+P219+P224+P225+P236+P237+P241+P242+P253+P254+P260+P261+P266+P270+P271+P272+P276+P279+P278</f>
        <v>22</v>
      </c>
      <c r="G294" s="1343">
        <f>G287</f>
        <v>73</v>
      </c>
      <c r="H294" s="1343">
        <f t="shared" si="7"/>
        <v>51</v>
      </c>
      <c r="I294" s="1338"/>
      <c r="J294" s="1338"/>
      <c r="K294" s="1338"/>
      <c r="L294" s="1338"/>
      <c r="M294" s="1338"/>
      <c r="N294" s="1338"/>
      <c r="O294" s="1338"/>
      <c r="P294" s="1338"/>
      <c r="Q294" s="1338"/>
    </row>
    <row r="295" spans="1:17" ht="20.100000000000001" customHeight="1">
      <c r="A295" s="1338"/>
      <c r="B295" s="1338"/>
      <c r="C295" s="1338"/>
      <c r="D295" s="1344" t="s">
        <v>1840</v>
      </c>
      <c r="E295" s="1341"/>
      <c r="F295" s="1345">
        <f>P61+P152+P169+P198+P210+P245</f>
        <v>10</v>
      </c>
      <c r="G295" s="1343">
        <f>H287</f>
        <v>274</v>
      </c>
      <c r="H295" s="1343">
        <f t="shared" si="7"/>
        <v>264</v>
      </c>
      <c r="I295" s="1338"/>
      <c r="J295" s="1338"/>
      <c r="K295" s="1338"/>
      <c r="L295" s="1338"/>
      <c r="M295" s="1338"/>
      <c r="N295" s="1338"/>
      <c r="O295" s="1338"/>
      <c r="P295" s="1338"/>
      <c r="Q295" s="1338"/>
    </row>
    <row r="296" spans="1:17" ht="20.100000000000001" customHeight="1">
      <c r="A296" s="1338"/>
      <c r="B296" s="1338"/>
      <c r="C296" s="1338"/>
      <c r="D296" s="1344" t="s">
        <v>1841</v>
      </c>
      <c r="E296" s="1344"/>
      <c r="F296" s="1345">
        <f>P21+P34+P40+P46+P69+P86+P95+P103+P112+P135+P144+P153+P170+P174+P179+P182+P191+P199+P211+P220+P226+P233+P239+P246+P255+P262+P267+P273</f>
        <v>0</v>
      </c>
      <c r="G296" s="1343">
        <f>I287</f>
        <v>94745</v>
      </c>
      <c r="H296" s="1343">
        <f t="shared" si="7"/>
        <v>94745</v>
      </c>
      <c r="I296" s="1338"/>
      <c r="J296" s="1338"/>
      <c r="K296" s="1338"/>
      <c r="L296" s="1338"/>
      <c r="M296" s="1338"/>
      <c r="N296" s="1338"/>
      <c r="O296" s="1338"/>
      <c r="P296" s="1338"/>
      <c r="Q296" s="1338"/>
    </row>
    <row r="297" spans="1:17" ht="20.100000000000001" customHeight="1">
      <c r="A297" s="1338"/>
      <c r="B297" s="1338"/>
      <c r="C297" s="1338"/>
      <c r="D297" s="1344" t="s">
        <v>758</v>
      </c>
      <c r="E297" s="1344"/>
      <c r="F297" s="1345"/>
      <c r="G297" s="1343">
        <f>J287</f>
        <v>0</v>
      </c>
      <c r="H297" s="1343">
        <f t="shared" si="7"/>
        <v>0</v>
      </c>
      <c r="I297" s="1338"/>
      <c r="J297" s="1338"/>
      <c r="K297" s="1338"/>
      <c r="L297" s="1338"/>
      <c r="M297" s="1338"/>
      <c r="N297" s="1338"/>
      <c r="O297" s="1338"/>
      <c r="P297" s="1338"/>
      <c r="Q297" s="1338"/>
    </row>
    <row r="298" spans="1:17" ht="20.100000000000001" customHeight="1">
      <c r="A298" s="1338"/>
      <c r="B298" s="1338"/>
      <c r="C298" s="1338"/>
      <c r="D298" s="1346" t="s">
        <v>1842</v>
      </c>
      <c r="E298" s="1346"/>
      <c r="F298" s="1345">
        <f>P282-F297-F296-F295-F294-F293-F292</f>
        <v>20</v>
      </c>
      <c r="G298" s="1343">
        <f>K287</f>
        <v>207</v>
      </c>
      <c r="H298" s="1343">
        <f t="shared" si="7"/>
        <v>187</v>
      </c>
      <c r="I298" s="1338"/>
      <c r="J298" s="1338"/>
      <c r="K298" s="1338"/>
      <c r="L298" s="1338"/>
      <c r="M298" s="1338"/>
      <c r="N298" s="1338"/>
      <c r="O298" s="1338"/>
      <c r="P298" s="1338"/>
      <c r="Q298" s="1338"/>
    </row>
    <row r="299" spans="1:17" ht="20.100000000000001" customHeight="1">
      <c r="A299" s="1338"/>
      <c r="B299" s="1338"/>
      <c r="C299" s="1338"/>
      <c r="D299" s="1347" t="s">
        <v>760</v>
      </c>
      <c r="E299" s="1335"/>
      <c r="F299" s="1348">
        <f>SUM(F292:F298)</f>
        <v>77</v>
      </c>
      <c r="G299" s="1343">
        <f>SUM(G292:G298)</f>
        <v>113102</v>
      </c>
      <c r="H299" s="1343">
        <f>SUM(H292:H298)</f>
        <v>113025</v>
      </c>
      <c r="I299" s="1338"/>
      <c r="J299" s="1338"/>
      <c r="K299" s="1338"/>
      <c r="L299" s="1338"/>
      <c r="M299" s="1338"/>
      <c r="N299" s="1338"/>
      <c r="O299" s="1338"/>
      <c r="P299" s="1338"/>
      <c r="Q299" s="1338"/>
    </row>
    <row r="300" spans="1:17" ht="20.100000000000001" customHeight="1"/>
  </sheetData>
  <mergeCells count="51">
    <mergeCell ref="D292:D293"/>
    <mergeCell ref="E284:K284"/>
    <mergeCell ref="L284:L286"/>
    <mergeCell ref="M284:M286"/>
    <mergeCell ref="N284:N286"/>
    <mergeCell ref="O284:Q284"/>
    <mergeCell ref="E285:F285"/>
    <mergeCell ref="G285:G286"/>
    <mergeCell ref="H285:H286"/>
    <mergeCell ref="I285:I286"/>
    <mergeCell ref="J285:J286"/>
    <mergeCell ref="K285:K286"/>
    <mergeCell ref="O285:O286"/>
    <mergeCell ref="P285:P286"/>
    <mergeCell ref="Q285:Q286"/>
    <mergeCell ref="D251:D252"/>
    <mergeCell ref="D253:D254"/>
    <mergeCell ref="D270:D272"/>
    <mergeCell ref="A284:A286"/>
    <mergeCell ref="B284:B286"/>
    <mergeCell ref="C284:C286"/>
    <mergeCell ref="D284:D286"/>
    <mergeCell ref="D276:D278"/>
    <mergeCell ref="D220:D222"/>
    <mergeCell ref="D225:D226"/>
    <mergeCell ref="D227:D228"/>
    <mergeCell ref="D241:D244"/>
    <mergeCell ref="D245:D246"/>
    <mergeCell ref="D141:D142"/>
    <mergeCell ref="D190:D193"/>
    <mergeCell ref="D210:D212"/>
    <mergeCell ref="D213:D214"/>
    <mergeCell ref="D218:D219"/>
    <mergeCell ref="D44:D45"/>
    <mergeCell ref="L56:L57"/>
    <mergeCell ref="J5:J6"/>
    <mergeCell ref="K5:K7"/>
    <mergeCell ref="L5:L7"/>
    <mergeCell ref="D5:D7"/>
    <mergeCell ref="E5:F5"/>
    <mergeCell ref="G5:G6"/>
    <mergeCell ref="H5:H6"/>
    <mergeCell ref="I5:I6"/>
    <mergeCell ref="A1:Q1"/>
    <mergeCell ref="A2:Q2"/>
    <mergeCell ref="A3:Q3"/>
    <mergeCell ref="A4:Q4"/>
    <mergeCell ref="A5:A7"/>
    <mergeCell ref="O5:Q5"/>
    <mergeCell ref="M5:M7"/>
    <mergeCell ref="N5:N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2"/>
  <sheetViews>
    <sheetView topLeftCell="D200" workbookViewId="0">
      <selection activeCell="K216" sqref="K216"/>
    </sheetView>
  </sheetViews>
  <sheetFormatPr defaultRowHeight="15"/>
  <cols>
    <col min="1" max="1" width="5.140625" bestFit="1" customWidth="1"/>
    <col min="4" max="4" width="18.42578125" customWidth="1"/>
    <col min="5" max="5" width="36" customWidth="1"/>
    <col min="6" max="6" width="12.140625" bestFit="1" customWidth="1"/>
    <col min="7" max="7" width="11.7109375" bestFit="1" customWidth="1"/>
    <col min="8" max="8" width="10.5703125" bestFit="1" customWidth="1"/>
    <col min="9" max="9" width="11.42578125" bestFit="1" customWidth="1"/>
    <col min="10" max="10" width="16" bestFit="1" customWidth="1"/>
    <col min="11" max="11" width="16.85546875" bestFit="1" customWidth="1"/>
    <col min="12" max="12" width="18.140625" bestFit="1" customWidth="1"/>
    <col min="13" max="13" width="20.42578125" bestFit="1" customWidth="1"/>
  </cols>
  <sheetData>
    <row r="1" spans="1:17" ht="20.100000000000001" customHeight="1">
      <c r="A1" s="3406" t="s">
        <v>0</v>
      </c>
      <c r="B1" s="3406"/>
      <c r="C1" s="3406"/>
      <c r="D1" s="3406"/>
      <c r="E1" s="3406"/>
      <c r="F1" s="3406"/>
      <c r="G1" s="3406"/>
      <c r="H1" s="3406"/>
      <c r="I1" s="3406"/>
      <c r="J1" s="3406"/>
      <c r="K1" s="3406"/>
      <c r="L1" s="3406"/>
      <c r="M1" s="3406"/>
      <c r="N1" s="3406"/>
      <c r="O1" s="3406"/>
      <c r="P1" s="3406"/>
      <c r="Q1" s="3406"/>
    </row>
    <row r="2" spans="1:17" ht="20.100000000000001" customHeight="1">
      <c r="A2" s="3406" t="s">
        <v>1844</v>
      </c>
      <c r="B2" s="3406"/>
      <c r="C2" s="3406"/>
      <c r="D2" s="3406"/>
      <c r="E2" s="3406"/>
      <c r="F2" s="3406"/>
      <c r="G2" s="3406"/>
      <c r="H2" s="3406"/>
      <c r="I2" s="3406"/>
      <c r="J2" s="3406"/>
      <c r="K2" s="3406"/>
      <c r="L2" s="3406"/>
      <c r="M2" s="3406"/>
      <c r="N2" s="3406"/>
      <c r="O2" s="3406"/>
      <c r="P2" s="3406"/>
      <c r="Q2" s="3406"/>
    </row>
    <row r="3" spans="1:17" ht="20.100000000000001" customHeight="1">
      <c r="A3" s="3406" t="s">
        <v>770</v>
      </c>
      <c r="B3" s="3406"/>
      <c r="C3" s="3406"/>
      <c r="D3" s="3406"/>
      <c r="E3" s="3406"/>
      <c r="F3" s="3406"/>
      <c r="G3" s="3406"/>
      <c r="H3" s="3406"/>
      <c r="I3" s="3406"/>
      <c r="J3" s="3406"/>
      <c r="K3" s="3406"/>
      <c r="L3" s="3406"/>
      <c r="M3" s="3406"/>
      <c r="N3" s="3406"/>
      <c r="O3" s="3406"/>
      <c r="P3" s="3406"/>
      <c r="Q3" s="3406"/>
    </row>
    <row r="4" spans="1:17" ht="20.100000000000001" customHeight="1">
      <c r="A4" s="3406" t="s">
        <v>2204</v>
      </c>
      <c r="B4" s="3406"/>
      <c r="C4" s="3406" t="s">
        <v>1846</v>
      </c>
      <c r="D4" s="3406"/>
      <c r="E4" s="3406"/>
      <c r="F4" s="3406"/>
      <c r="G4" s="3406"/>
      <c r="H4" s="3406"/>
      <c r="I4" s="3406"/>
      <c r="J4" s="3406"/>
      <c r="K4" s="3406"/>
      <c r="L4" s="3406"/>
      <c r="M4" s="3406"/>
      <c r="N4" s="3406"/>
      <c r="O4" s="3406"/>
      <c r="P4" s="3406"/>
      <c r="Q4" s="3406"/>
    </row>
    <row r="5" spans="1:17" ht="20.100000000000001" customHeight="1">
      <c r="A5" s="3550" t="s">
        <v>1579</v>
      </c>
      <c r="B5" s="3414" t="s">
        <v>1847</v>
      </c>
      <c r="C5" s="3538" t="s">
        <v>5</v>
      </c>
      <c r="D5" s="1866"/>
      <c r="E5" s="3552" t="s">
        <v>1848</v>
      </c>
      <c r="F5" s="3438" t="s">
        <v>775</v>
      </c>
      <c r="G5" s="3439"/>
      <c r="H5" s="1350"/>
      <c r="I5" s="1825"/>
      <c r="J5" s="1350"/>
      <c r="K5" s="1350"/>
      <c r="L5" s="3531" t="s">
        <v>776</v>
      </c>
      <c r="M5" s="3542" t="s">
        <v>777</v>
      </c>
      <c r="N5" s="3438" t="s">
        <v>16</v>
      </c>
      <c r="O5" s="3530"/>
      <c r="P5" s="3439"/>
    </row>
    <row r="6" spans="1:17" ht="20.100000000000001" customHeight="1">
      <c r="A6" s="3551"/>
      <c r="B6" s="3415"/>
      <c r="C6" s="3539"/>
      <c r="D6" s="1867" t="s">
        <v>1849</v>
      </c>
      <c r="E6" s="3553"/>
      <c r="F6" s="1352" t="s">
        <v>779</v>
      </c>
      <c r="G6" s="1353" t="s">
        <v>780</v>
      </c>
      <c r="H6" s="1353" t="s">
        <v>781</v>
      </c>
      <c r="I6" s="1352" t="s">
        <v>782</v>
      </c>
      <c r="J6" s="1353" t="s">
        <v>10</v>
      </c>
      <c r="K6" s="1353" t="s">
        <v>1850</v>
      </c>
      <c r="L6" s="3532"/>
      <c r="M6" s="3543"/>
      <c r="N6" s="1354" t="s">
        <v>21</v>
      </c>
      <c r="O6" s="1354" t="s">
        <v>22</v>
      </c>
      <c r="P6" s="1355" t="s">
        <v>23</v>
      </c>
    </row>
    <row r="7" spans="1:17" ht="20.100000000000001" customHeight="1">
      <c r="A7" s="1868">
        <v>1</v>
      </c>
      <c r="B7" s="1358" t="s">
        <v>2205</v>
      </c>
      <c r="C7" s="1358" t="s">
        <v>2206</v>
      </c>
      <c r="D7" s="1869" t="s">
        <v>100</v>
      </c>
      <c r="E7" s="1870" t="s">
        <v>35</v>
      </c>
      <c r="F7" s="1871">
        <v>0</v>
      </c>
      <c r="G7" s="1871">
        <v>0</v>
      </c>
      <c r="H7" s="1871">
        <v>0</v>
      </c>
      <c r="I7" s="1871">
        <v>0</v>
      </c>
      <c r="J7" s="1871">
        <v>806</v>
      </c>
      <c r="K7" s="1871">
        <v>0</v>
      </c>
      <c r="L7" s="1871">
        <v>0</v>
      </c>
      <c r="M7" s="1872"/>
      <c r="N7" s="1873">
        <f>F7+G7+H7+I7+J7+K7+L7-O7</f>
        <v>806</v>
      </c>
      <c r="O7" s="1874"/>
      <c r="P7" s="1875"/>
      <c r="Q7" s="1876"/>
    </row>
    <row r="8" spans="1:17" ht="54">
      <c r="A8" s="1877">
        <v>2</v>
      </c>
      <c r="B8" s="1358" t="s">
        <v>2205</v>
      </c>
      <c r="C8" s="1358" t="s">
        <v>2206</v>
      </c>
      <c r="D8" s="1878" t="s">
        <v>100</v>
      </c>
      <c r="E8" s="1879" t="s">
        <v>2207</v>
      </c>
      <c r="F8" s="1871">
        <v>0</v>
      </c>
      <c r="G8" s="1880">
        <v>660</v>
      </c>
      <c r="H8" s="1871">
        <v>0</v>
      </c>
      <c r="I8" s="1871">
        <v>0</v>
      </c>
      <c r="J8" s="1871">
        <v>0</v>
      </c>
      <c r="K8" s="1871">
        <v>0</v>
      </c>
      <c r="L8" s="1871">
        <v>0</v>
      </c>
      <c r="M8" s="1881"/>
      <c r="N8" s="1873">
        <f t="shared" ref="N8:N71" si="0">F8+G8+H8+I8+J8+K8+L8-O8</f>
        <v>656</v>
      </c>
      <c r="O8" s="92">
        <v>4</v>
      </c>
      <c r="P8" s="1882"/>
    </row>
    <row r="9" spans="1:17" ht="20.100000000000001" customHeight="1">
      <c r="A9" s="1877">
        <v>3</v>
      </c>
      <c r="B9" s="1883" t="s">
        <v>2208</v>
      </c>
      <c r="C9" s="1358" t="s">
        <v>2206</v>
      </c>
      <c r="D9" s="1884">
        <v>44409</v>
      </c>
      <c r="E9" s="1870" t="s">
        <v>703</v>
      </c>
      <c r="F9" s="1871">
        <v>0</v>
      </c>
      <c r="G9" s="1871">
        <v>0</v>
      </c>
      <c r="H9" s="1871">
        <v>0</v>
      </c>
      <c r="I9" s="1871">
        <v>0</v>
      </c>
      <c r="J9" s="1871">
        <v>0</v>
      </c>
      <c r="K9" s="1871">
        <v>0</v>
      </c>
      <c r="L9" s="1885">
        <v>1</v>
      </c>
      <c r="M9" s="1886">
        <v>6435.05</v>
      </c>
      <c r="N9" s="1873">
        <f t="shared" si="0"/>
        <v>1</v>
      </c>
      <c r="O9" s="92"/>
      <c r="P9" s="92"/>
    </row>
    <row r="10" spans="1:17" ht="20.100000000000001" customHeight="1">
      <c r="A10" s="1868">
        <v>4</v>
      </c>
      <c r="B10" s="1883" t="s">
        <v>2208</v>
      </c>
      <c r="C10" s="1358" t="s">
        <v>2206</v>
      </c>
      <c r="D10" s="1887">
        <v>44409</v>
      </c>
      <c r="E10" s="1888" t="s">
        <v>2209</v>
      </c>
      <c r="F10" s="1871">
        <v>0</v>
      </c>
      <c r="G10" s="1871">
        <v>0</v>
      </c>
      <c r="H10" s="1871">
        <v>0</v>
      </c>
      <c r="I10" s="1871">
        <v>0</v>
      </c>
      <c r="J10" s="1871">
        <v>0</v>
      </c>
      <c r="K10" s="1871">
        <v>0</v>
      </c>
      <c r="L10" s="1889">
        <v>1</v>
      </c>
      <c r="M10" s="1890">
        <v>6773.22</v>
      </c>
      <c r="N10" s="1873">
        <f t="shared" si="0"/>
        <v>1</v>
      </c>
      <c r="O10" s="92"/>
      <c r="P10" s="92"/>
    </row>
    <row r="11" spans="1:17" ht="20.100000000000001" customHeight="1">
      <c r="A11" s="1877">
        <v>5</v>
      </c>
      <c r="B11" s="1883" t="s">
        <v>2208</v>
      </c>
      <c r="C11" s="1358" t="s">
        <v>2206</v>
      </c>
      <c r="D11" s="1891"/>
      <c r="E11" s="1892" t="s">
        <v>35</v>
      </c>
      <c r="F11" s="1871">
        <v>0</v>
      </c>
      <c r="G11" s="1871">
        <v>0</v>
      </c>
      <c r="H11" s="1871">
        <v>0</v>
      </c>
      <c r="I11" s="1871">
        <v>0</v>
      </c>
      <c r="J11" s="1885">
        <v>2437</v>
      </c>
      <c r="K11" s="1871">
        <v>0</v>
      </c>
      <c r="L11" s="1871">
        <v>0</v>
      </c>
      <c r="M11" s="1893"/>
      <c r="N11" s="1873">
        <f t="shared" si="0"/>
        <v>2434</v>
      </c>
      <c r="O11" s="92">
        <v>3</v>
      </c>
      <c r="P11" s="92"/>
    </row>
    <row r="12" spans="1:17" ht="51">
      <c r="A12" s="1877">
        <v>6</v>
      </c>
      <c r="B12" s="1883" t="s">
        <v>2208</v>
      </c>
      <c r="C12" s="1358" t="s">
        <v>2206</v>
      </c>
      <c r="D12" s="1891" t="s">
        <v>2210</v>
      </c>
      <c r="E12" s="1870" t="s">
        <v>2211</v>
      </c>
      <c r="F12" s="1871">
        <v>0</v>
      </c>
      <c r="G12" s="1197">
        <v>1148</v>
      </c>
      <c r="H12" s="1871">
        <v>0</v>
      </c>
      <c r="I12" s="1871">
        <v>0</v>
      </c>
      <c r="J12" s="1871">
        <v>0</v>
      </c>
      <c r="K12" s="1871">
        <v>0</v>
      </c>
      <c r="L12" s="1871">
        <v>0</v>
      </c>
      <c r="M12" s="155"/>
      <c r="N12" s="1873">
        <f t="shared" si="0"/>
        <v>1148</v>
      </c>
      <c r="O12" s="92"/>
      <c r="P12" s="92"/>
    </row>
    <row r="13" spans="1:17" ht="20.100000000000001" customHeight="1">
      <c r="A13" s="1868">
        <v>7</v>
      </c>
      <c r="B13" s="1883" t="s">
        <v>2208</v>
      </c>
      <c r="C13" s="1358" t="s">
        <v>2206</v>
      </c>
      <c r="D13" s="92"/>
      <c r="E13" s="3400" t="s">
        <v>2212</v>
      </c>
      <c r="F13" s="1197">
        <v>29</v>
      </c>
      <c r="G13" s="1871">
        <v>0</v>
      </c>
      <c r="H13" s="1871">
        <v>0</v>
      </c>
      <c r="I13" s="1871">
        <v>0</v>
      </c>
      <c r="J13" s="1871">
        <v>0</v>
      </c>
      <c r="K13" s="1871">
        <v>0</v>
      </c>
      <c r="L13" s="1871">
        <v>0</v>
      </c>
      <c r="M13" s="1894"/>
      <c r="N13" s="1873">
        <f t="shared" si="0"/>
        <v>29</v>
      </c>
      <c r="O13" s="92"/>
      <c r="P13" s="92"/>
    </row>
    <row r="14" spans="1:17" ht="20.100000000000001" customHeight="1">
      <c r="A14" s="1877">
        <v>8</v>
      </c>
      <c r="B14" s="1895" t="s">
        <v>2213</v>
      </c>
      <c r="C14" s="1358" t="s">
        <v>2206</v>
      </c>
      <c r="D14" s="1059" t="s">
        <v>2214</v>
      </c>
      <c r="E14" s="1296" t="s">
        <v>2215</v>
      </c>
      <c r="F14" s="1871">
        <v>0</v>
      </c>
      <c r="G14" s="1871">
        <v>0</v>
      </c>
      <c r="H14" s="1871">
        <v>0</v>
      </c>
      <c r="I14" s="1871">
        <v>0</v>
      </c>
      <c r="J14" s="1871">
        <v>0</v>
      </c>
      <c r="K14" s="1871">
        <v>0</v>
      </c>
      <c r="L14" s="1871">
        <v>0</v>
      </c>
      <c r="M14" s="1886">
        <v>6180</v>
      </c>
      <c r="N14" s="1873">
        <f t="shared" si="0"/>
        <v>0</v>
      </c>
      <c r="O14" s="92"/>
      <c r="P14" s="92"/>
    </row>
    <row r="15" spans="1:17" ht="20.100000000000001" customHeight="1">
      <c r="A15" s="1877">
        <v>9</v>
      </c>
      <c r="B15" s="1895" t="s">
        <v>2213</v>
      </c>
      <c r="C15" s="1358" t="s">
        <v>2206</v>
      </c>
      <c r="D15" s="1896" t="s">
        <v>322</v>
      </c>
      <c r="E15" s="1260" t="s">
        <v>2216</v>
      </c>
      <c r="F15" s="1871">
        <v>0</v>
      </c>
      <c r="G15" s="1871">
        <v>0</v>
      </c>
      <c r="H15" s="1871">
        <v>0</v>
      </c>
      <c r="I15" s="1871">
        <v>0</v>
      </c>
      <c r="J15" s="1871">
        <v>0</v>
      </c>
      <c r="K15" s="1871">
        <v>0</v>
      </c>
      <c r="L15" s="92">
        <v>1</v>
      </c>
      <c r="M15" s="1886">
        <v>450000</v>
      </c>
      <c r="N15" s="1873">
        <f t="shared" si="0"/>
        <v>0</v>
      </c>
      <c r="O15" s="92">
        <v>1</v>
      </c>
      <c r="P15" s="92"/>
    </row>
    <row r="16" spans="1:17" ht="20.100000000000001" customHeight="1">
      <c r="A16" s="1868">
        <v>10</v>
      </c>
      <c r="B16" s="92" t="s">
        <v>2217</v>
      </c>
      <c r="C16" s="1358" t="s">
        <v>2206</v>
      </c>
      <c r="D16" s="1897" t="s">
        <v>2218</v>
      </c>
      <c r="E16" s="1870" t="s">
        <v>32</v>
      </c>
      <c r="F16" s="1871">
        <v>0</v>
      </c>
      <c r="G16" s="1871">
        <v>0</v>
      </c>
      <c r="H16" s="1898">
        <v>1</v>
      </c>
      <c r="I16" s="1871">
        <v>0</v>
      </c>
      <c r="J16" s="1871">
        <v>0</v>
      </c>
      <c r="K16" s="1871">
        <v>0</v>
      </c>
      <c r="L16" s="1871">
        <v>0</v>
      </c>
      <c r="M16" s="1899">
        <v>284649.59000000003</v>
      </c>
      <c r="N16" s="1873">
        <f t="shared" si="0"/>
        <v>1</v>
      </c>
      <c r="O16" s="92"/>
      <c r="P16" s="92"/>
    </row>
    <row r="17" spans="1:16" ht="20.100000000000001" customHeight="1">
      <c r="A17" s="1877">
        <v>11</v>
      </c>
      <c r="B17" s="92" t="s">
        <v>2217</v>
      </c>
      <c r="C17" s="1358" t="s">
        <v>2206</v>
      </c>
      <c r="D17" s="1900">
        <v>45358</v>
      </c>
      <c r="E17" s="1870" t="s">
        <v>50</v>
      </c>
      <c r="F17" s="1871">
        <v>0</v>
      </c>
      <c r="G17" s="1871">
        <v>0</v>
      </c>
      <c r="H17" s="1898">
        <v>1</v>
      </c>
      <c r="I17" s="1871">
        <v>0</v>
      </c>
      <c r="J17" s="1871">
        <v>0</v>
      </c>
      <c r="K17" s="1871">
        <v>0</v>
      </c>
      <c r="L17" s="1871">
        <v>0</v>
      </c>
      <c r="M17" s="1091">
        <v>20</v>
      </c>
      <c r="N17" s="1873">
        <f t="shared" si="0"/>
        <v>1</v>
      </c>
      <c r="O17" s="92"/>
      <c r="P17" s="92"/>
    </row>
    <row r="18" spans="1:16" ht="20.100000000000001" customHeight="1">
      <c r="A18" s="1877">
        <v>12</v>
      </c>
      <c r="B18" s="92" t="s">
        <v>2217</v>
      </c>
      <c r="C18" s="1358" t="s">
        <v>2206</v>
      </c>
      <c r="D18" s="1897" t="s">
        <v>2219</v>
      </c>
      <c r="E18" s="2001" t="s">
        <v>2220</v>
      </c>
      <c r="F18" s="1871">
        <v>0</v>
      </c>
      <c r="G18" s="1871">
        <v>0</v>
      </c>
      <c r="H18" s="1898">
        <v>1</v>
      </c>
      <c r="I18" s="1871">
        <v>0</v>
      </c>
      <c r="J18" s="1871">
        <v>0</v>
      </c>
      <c r="K18" s="1871">
        <v>0</v>
      </c>
      <c r="L18" s="1871">
        <v>0</v>
      </c>
      <c r="M18" s="1899">
        <v>7808.96</v>
      </c>
      <c r="N18" s="1873">
        <f t="shared" si="0"/>
        <v>1</v>
      </c>
      <c r="O18" s="92"/>
      <c r="P18" s="92"/>
    </row>
    <row r="19" spans="1:16" ht="20.100000000000001" customHeight="1">
      <c r="A19" s="1868">
        <v>13</v>
      </c>
      <c r="B19" s="92" t="s">
        <v>2217</v>
      </c>
      <c r="C19" s="1358" t="s">
        <v>2206</v>
      </c>
      <c r="D19" s="1901" t="s">
        <v>100</v>
      </c>
      <c r="E19" s="1870" t="s">
        <v>35</v>
      </c>
      <c r="F19" s="1871">
        <v>0</v>
      </c>
      <c r="G19" s="1871">
        <v>0</v>
      </c>
      <c r="H19" s="1871">
        <v>0</v>
      </c>
      <c r="I19" s="1871">
        <v>0</v>
      </c>
      <c r="J19" s="92">
        <v>7996</v>
      </c>
      <c r="K19" s="1871">
        <v>0</v>
      </c>
      <c r="L19" s="1871">
        <v>0</v>
      </c>
      <c r="M19" s="1886"/>
      <c r="N19" s="1873">
        <f t="shared" si="0"/>
        <v>7928</v>
      </c>
      <c r="O19" s="92">
        <v>68</v>
      </c>
      <c r="P19" s="92"/>
    </row>
    <row r="20" spans="1:16" ht="20.100000000000001" customHeight="1">
      <c r="A20" s="1877">
        <v>14</v>
      </c>
      <c r="B20" s="92" t="s">
        <v>2217</v>
      </c>
      <c r="C20" s="1358" t="s">
        <v>2206</v>
      </c>
      <c r="D20" s="1902" t="s">
        <v>100</v>
      </c>
      <c r="E20" s="1870" t="s">
        <v>2221</v>
      </c>
      <c r="F20" s="1871">
        <v>0</v>
      </c>
      <c r="G20" s="92">
        <v>2333</v>
      </c>
      <c r="H20" s="1871">
        <v>0</v>
      </c>
      <c r="I20" s="1871">
        <v>0</v>
      </c>
      <c r="J20" s="1871">
        <v>0</v>
      </c>
      <c r="K20" s="1871">
        <v>0</v>
      </c>
      <c r="L20" s="1871">
        <v>0</v>
      </c>
      <c r="M20" s="1886"/>
      <c r="N20" s="1873">
        <f t="shared" si="0"/>
        <v>2333</v>
      </c>
      <c r="O20" s="92"/>
      <c r="P20" s="92"/>
    </row>
    <row r="21" spans="1:16" ht="20.100000000000001" customHeight="1">
      <c r="A21" s="1877">
        <v>15</v>
      </c>
      <c r="B21" s="92" t="s">
        <v>2217</v>
      </c>
      <c r="C21" s="1358" t="s">
        <v>2206</v>
      </c>
      <c r="D21" s="92"/>
      <c r="E21" s="1656" t="s">
        <v>2222</v>
      </c>
      <c r="F21" s="92">
        <v>499</v>
      </c>
      <c r="G21" s="1871">
        <v>0</v>
      </c>
      <c r="H21" s="1871">
        <v>0</v>
      </c>
      <c r="I21" s="1871">
        <v>0</v>
      </c>
      <c r="J21" s="1871">
        <v>0</v>
      </c>
      <c r="K21" s="1871">
        <v>0</v>
      </c>
      <c r="L21" s="1871">
        <v>0</v>
      </c>
      <c r="M21" s="1886"/>
      <c r="N21" s="1873">
        <f t="shared" si="0"/>
        <v>499</v>
      </c>
      <c r="O21" s="92"/>
      <c r="P21" s="92"/>
    </row>
    <row r="22" spans="1:16" ht="20.100000000000001" customHeight="1">
      <c r="A22" s="1868">
        <v>16</v>
      </c>
      <c r="B22" s="1248" t="s">
        <v>2223</v>
      </c>
      <c r="C22" s="1358" t="s">
        <v>2206</v>
      </c>
      <c r="D22" s="1904" t="s">
        <v>741</v>
      </c>
      <c r="E22" s="1905" t="s">
        <v>2224</v>
      </c>
      <c r="F22" s="1871">
        <v>0</v>
      </c>
      <c r="G22" s="1871">
        <v>0</v>
      </c>
      <c r="H22" s="1871">
        <v>0</v>
      </c>
      <c r="I22" s="1871">
        <v>0</v>
      </c>
      <c r="J22" s="1871">
        <v>0</v>
      </c>
      <c r="K22" s="1871">
        <v>0</v>
      </c>
      <c r="L22" s="92">
        <v>1</v>
      </c>
      <c r="M22" s="1886">
        <v>13600.02</v>
      </c>
      <c r="N22" s="1873">
        <f t="shared" si="0"/>
        <v>0</v>
      </c>
      <c r="O22" s="92">
        <v>1</v>
      </c>
      <c r="P22" s="92"/>
    </row>
    <row r="23" spans="1:16" ht="80.25" customHeight="1">
      <c r="A23" s="1877">
        <v>17</v>
      </c>
      <c r="B23" s="1248" t="s">
        <v>2223</v>
      </c>
      <c r="C23" s="1358" t="s">
        <v>2206</v>
      </c>
      <c r="D23" s="1884"/>
      <c r="E23" s="1906" t="s">
        <v>2225</v>
      </c>
      <c r="F23" s="1871">
        <v>0</v>
      </c>
      <c r="G23" s="1871">
        <v>0</v>
      </c>
      <c r="H23" s="1871">
        <v>0</v>
      </c>
      <c r="I23" s="1871">
        <v>0</v>
      </c>
      <c r="J23" s="1871">
        <v>0</v>
      </c>
      <c r="K23" s="92">
        <v>1</v>
      </c>
      <c r="L23" s="1871">
        <v>0</v>
      </c>
      <c r="M23" s="1886"/>
      <c r="N23" s="1873">
        <f t="shared" si="0"/>
        <v>0</v>
      </c>
      <c r="O23" s="92">
        <v>1</v>
      </c>
      <c r="P23" s="92"/>
    </row>
    <row r="24" spans="1:16" ht="20.100000000000001" customHeight="1">
      <c r="A24" s="1877">
        <v>18</v>
      </c>
      <c r="B24" s="1248" t="s">
        <v>2223</v>
      </c>
      <c r="C24" s="1358" t="s">
        <v>2206</v>
      </c>
      <c r="D24" s="1904" t="s">
        <v>741</v>
      </c>
      <c r="E24" s="1907" t="s">
        <v>32</v>
      </c>
      <c r="F24" s="1871">
        <v>0</v>
      </c>
      <c r="G24" s="1871">
        <v>0</v>
      </c>
      <c r="H24" s="92">
        <v>1</v>
      </c>
      <c r="I24" s="1871">
        <v>0</v>
      </c>
      <c r="J24" s="1871">
        <v>0</v>
      </c>
      <c r="K24" s="1871">
        <v>0</v>
      </c>
      <c r="L24" s="1871">
        <v>0</v>
      </c>
      <c r="M24" s="1886">
        <v>0.22</v>
      </c>
      <c r="N24" s="1873">
        <f t="shared" si="0"/>
        <v>1</v>
      </c>
      <c r="O24" s="92"/>
      <c r="P24" s="92"/>
    </row>
    <row r="25" spans="1:16" ht="36">
      <c r="A25" s="1868">
        <v>19</v>
      </c>
      <c r="B25" s="1248" t="s">
        <v>2223</v>
      </c>
      <c r="C25" s="1358" t="s">
        <v>2206</v>
      </c>
      <c r="D25" s="1904" t="s">
        <v>741</v>
      </c>
      <c r="E25" s="1888" t="s">
        <v>2226</v>
      </c>
      <c r="F25" s="1871">
        <v>0</v>
      </c>
      <c r="G25" s="1871">
        <v>0</v>
      </c>
      <c r="H25" s="1871">
        <v>0</v>
      </c>
      <c r="I25" s="1871">
        <v>0</v>
      </c>
      <c r="J25" s="1871">
        <v>0</v>
      </c>
      <c r="K25" s="1871">
        <v>0</v>
      </c>
      <c r="L25" s="92">
        <v>1</v>
      </c>
      <c r="M25" s="1886">
        <v>41247.99</v>
      </c>
      <c r="N25" s="1873">
        <f t="shared" si="0"/>
        <v>1</v>
      </c>
      <c r="O25" s="92"/>
      <c r="P25" s="92"/>
    </row>
    <row r="26" spans="1:16" ht="20.100000000000001" customHeight="1">
      <c r="A26" s="1877">
        <v>20</v>
      </c>
      <c r="B26" s="1248" t="s">
        <v>2223</v>
      </c>
      <c r="C26" s="1358" t="s">
        <v>2206</v>
      </c>
      <c r="D26" s="92"/>
      <c r="E26" s="1892" t="s">
        <v>35</v>
      </c>
      <c r="F26" s="1871">
        <v>0</v>
      </c>
      <c r="G26" s="1871">
        <v>0</v>
      </c>
      <c r="H26" s="1871">
        <v>0</v>
      </c>
      <c r="I26" s="1871">
        <v>0</v>
      </c>
      <c r="J26" s="92">
        <v>282</v>
      </c>
      <c r="K26" s="1871">
        <v>0</v>
      </c>
      <c r="L26" s="1871">
        <v>0</v>
      </c>
      <c r="M26" s="1886"/>
      <c r="N26" s="1873">
        <f t="shared" si="0"/>
        <v>262</v>
      </c>
      <c r="O26" s="92">
        <v>20</v>
      </c>
      <c r="P26" s="92"/>
    </row>
    <row r="27" spans="1:16" ht="76.5">
      <c r="A27" s="1877">
        <v>21</v>
      </c>
      <c r="B27" s="1248" t="s">
        <v>2223</v>
      </c>
      <c r="C27" s="1358" t="s">
        <v>2206</v>
      </c>
      <c r="D27" s="1908" t="s">
        <v>741</v>
      </c>
      <c r="E27" s="1909" t="s">
        <v>2227</v>
      </c>
      <c r="F27" s="1871">
        <v>0</v>
      </c>
      <c r="G27" s="92">
        <v>1043</v>
      </c>
      <c r="H27" s="1871">
        <v>0</v>
      </c>
      <c r="I27" s="1871">
        <v>0</v>
      </c>
      <c r="J27" s="1871">
        <v>0</v>
      </c>
      <c r="K27" s="1871">
        <v>0</v>
      </c>
      <c r="L27" s="1871">
        <v>0</v>
      </c>
      <c r="M27" s="1886"/>
      <c r="N27" s="1873">
        <f t="shared" si="0"/>
        <v>1043</v>
      </c>
      <c r="O27" s="92"/>
      <c r="P27" s="92"/>
    </row>
    <row r="28" spans="1:16" ht="20.100000000000001" customHeight="1">
      <c r="A28" s="1868">
        <v>22</v>
      </c>
      <c r="B28" s="1248" t="s">
        <v>2223</v>
      </c>
      <c r="C28" s="1358" t="s">
        <v>2206</v>
      </c>
      <c r="D28" s="92"/>
      <c r="E28" s="3401" t="s">
        <v>2228</v>
      </c>
      <c r="F28" s="92">
        <v>422</v>
      </c>
      <c r="G28" s="1871">
        <v>0</v>
      </c>
      <c r="H28" s="1871">
        <v>0</v>
      </c>
      <c r="I28" s="1871">
        <v>0</v>
      </c>
      <c r="J28" s="1871">
        <v>0</v>
      </c>
      <c r="K28" s="1871">
        <v>0</v>
      </c>
      <c r="L28" s="1871">
        <v>0</v>
      </c>
      <c r="M28" s="1886"/>
      <c r="N28" s="1873">
        <f t="shared" si="0"/>
        <v>422</v>
      </c>
      <c r="O28" s="92"/>
      <c r="P28" s="92"/>
    </row>
    <row r="29" spans="1:16" ht="28.5">
      <c r="A29" s="1877">
        <v>23</v>
      </c>
      <c r="B29" s="92"/>
      <c r="C29" s="1358" t="s">
        <v>2206</v>
      </c>
      <c r="D29" s="1904">
        <v>46332</v>
      </c>
      <c r="E29" s="1910" t="s">
        <v>2229</v>
      </c>
      <c r="F29" s="1871">
        <v>0</v>
      </c>
      <c r="G29" s="1871">
        <v>0</v>
      </c>
      <c r="H29" s="1871">
        <v>0</v>
      </c>
      <c r="I29" s="1871">
        <v>0</v>
      </c>
      <c r="J29" s="1871">
        <v>0</v>
      </c>
      <c r="K29" s="1871">
        <v>0</v>
      </c>
      <c r="L29" s="92">
        <v>1</v>
      </c>
      <c r="M29" s="1886">
        <v>50000</v>
      </c>
      <c r="N29" s="1873">
        <f t="shared" si="0"/>
        <v>0</v>
      </c>
      <c r="O29" s="92">
        <v>1</v>
      </c>
      <c r="P29" s="92"/>
    </row>
    <row r="30" spans="1:16" ht="63.75">
      <c r="A30" s="1877">
        <v>24</v>
      </c>
      <c r="B30" s="1903" t="s">
        <v>2230</v>
      </c>
      <c r="C30" s="1358" t="s">
        <v>2206</v>
      </c>
      <c r="D30" s="1891" t="s">
        <v>741</v>
      </c>
      <c r="E30" s="1905" t="s">
        <v>2231</v>
      </c>
      <c r="F30" s="1871">
        <v>0</v>
      </c>
      <c r="G30" s="1871">
        <v>0</v>
      </c>
      <c r="H30" s="1871">
        <v>0</v>
      </c>
      <c r="I30" s="1871">
        <v>0</v>
      </c>
      <c r="J30" s="1871">
        <v>0</v>
      </c>
      <c r="K30" s="1871">
        <v>0</v>
      </c>
      <c r="L30" s="92">
        <v>1</v>
      </c>
      <c r="M30" s="1911">
        <v>41000</v>
      </c>
      <c r="N30" s="1873">
        <f t="shared" si="0"/>
        <v>0</v>
      </c>
      <c r="O30" s="92">
        <v>1</v>
      </c>
      <c r="P30" s="92"/>
    </row>
    <row r="31" spans="1:16" ht="20.100000000000001" customHeight="1">
      <c r="A31" s="1868">
        <v>25</v>
      </c>
      <c r="B31" s="1903" t="s">
        <v>2230</v>
      </c>
      <c r="C31" s="1358" t="s">
        <v>2206</v>
      </c>
      <c r="D31" s="1912" t="s">
        <v>100</v>
      </c>
      <c r="E31" s="1913" t="s">
        <v>32</v>
      </c>
      <c r="F31" s="1871">
        <v>0</v>
      </c>
      <c r="G31" s="1871">
        <v>0</v>
      </c>
      <c r="H31" s="92">
        <v>1</v>
      </c>
      <c r="I31" s="1871">
        <v>0</v>
      </c>
      <c r="J31" s="1871">
        <v>0</v>
      </c>
      <c r="K31" s="1871">
        <v>0</v>
      </c>
      <c r="L31" s="1871">
        <v>0</v>
      </c>
      <c r="M31" s="1911">
        <v>0.34</v>
      </c>
      <c r="N31" s="1873">
        <f t="shared" si="0"/>
        <v>1</v>
      </c>
      <c r="O31" s="92"/>
      <c r="P31" s="92"/>
    </row>
    <row r="32" spans="1:16" ht="20.100000000000001" customHeight="1">
      <c r="A32" s="1877">
        <v>26</v>
      </c>
      <c r="B32" s="1903" t="s">
        <v>2230</v>
      </c>
      <c r="C32" s="1358" t="s">
        <v>2206</v>
      </c>
      <c r="D32" s="1912" t="s">
        <v>100</v>
      </c>
      <c r="E32" s="1888" t="s">
        <v>2232</v>
      </c>
      <c r="F32" s="1871">
        <v>0</v>
      </c>
      <c r="G32" s="1871">
        <v>0</v>
      </c>
      <c r="H32" s="1871">
        <v>0</v>
      </c>
      <c r="I32" s="1871">
        <v>0</v>
      </c>
      <c r="J32" s="1871">
        <v>0</v>
      </c>
      <c r="K32" s="1871">
        <v>0</v>
      </c>
      <c r="L32" s="92">
        <v>1</v>
      </c>
      <c r="M32" s="1911">
        <v>27430.959999999999</v>
      </c>
      <c r="N32" s="1873">
        <f t="shared" si="0"/>
        <v>1</v>
      </c>
      <c r="O32" s="92"/>
      <c r="P32" s="92"/>
    </row>
    <row r="33" spans="1:16" ht="20.100000000000001" customHeight="1">
      <c r="A33" s="1877">
        <v>27</v>
      </c>
      <c r="B33" s="1903" t="s">
        <v>2230</v>
      </c>
      <c r="C33" s="1358" t="s">
        <v>2206</v>
      </c>
      <c r="D33" s="1912" t="s">
        <v>100</v>
      </c>
      <c r="E33" s="1892" t="s">
        <v>35</v>
      </c>
      <c r="F33" s="1871">
        <v>0</v>
      </c>
      <c r="G33" s="1871">
        <v>0</v>
      </c>
      <c r="H33" s="1871">
        <v>0</v>
      </c>
      <c r="I33" s="1871">
        <v>0</v>
      </c>
      <c r="J33" s="1248">
        <v>3763</v>
      </c>
      <c r="K33" s="1871">
        <v>0</v>
      </c>
      <c r="L33" s="1871">
        <v>0</v>
      </c>
      <c r="M33" s="1886"/>
      <c r="N33" s="1873">
        <f t="shared" si="0"/>
        <v>3755</v>
      </c>
      <c r="O33" s="92">
        <v>8</v>
      </c>
      <c r="P33" s="92"/>
    </row>
    <row r="34" spans="1:16" ht="20.100000000000001" customHeight="1">
      <c r="A34" s="1868">
        <v>28</v>
      </c>
      <c r="B34" s="1903" t="s">
        <v>2230</v>
      </c>
      <c r="C34" s="1358" t="s">
        <v>2206</v>
      </c>
      <c r="D34" s="1912" t="s">
        <v>100</v>
      </c>
      <c r="E34" s="1870" t="s">
        <v>2233</v>
      </c>
      <c r="F34" s="1871">
        <v>0</v>
      </c>
      <c r="G34" s="1248">
        <v>639</v>
      </c>
      <c r="H34" s="1871">
        <v>0</v>
      </c>
      <c r="I34" s="1871">
        <v>0</v>
      </c>
      <c r="J34" s="1871">
        <v>0</v>
      </c>
      <c r="K34" s="1871">
        <v>0</v>
      </c>
      <c r="L34" s="1871">
        <v>0</v>
      </c>
      <c r="M34" s="1886"/>
      <c r="N34" s="1873">
        <f t="shared" si="0"/>
        <v>639</v>
      </c>
      <c r="O34" s="92"/>
      <c r="P34" s="92"/>
    </row>
    <row r="35" spans="1:16" ht="20.100000000000001" customHeight="1">
      <c r="A35" s="1877">
        <v>29</v>
      </c>
      <c r="B35" s="1903" t="s">
        <v>2230</v>
      </c>
      <c r="C35" s="1358" t="s">
        <v>2206</v>
      </c>
      <c r="D35" s="92"/>
      <c r="E35" s="1656" t="s">
        <v>2234</v>
      </c>
      <c r="F35" s="1248">
        <v>175</v>
      </c>
      <c r="G35" s="1871">
        <v>0</v>
      </c>
      <c r="H35" s="1871">
        <v>0</v>
      </c>
      <c r="I35" s="1871">
        <v>0</v>
      </c>
      <c r="J35" s="1871">
        <v>0</v>
      </c>
      <c r="K35" s="1871">
        <v>0</v>
      </c>
      <c r="L35" s="1871">
        <v>0</v>
      </c>
      <c r="M35" s="1886"/>
      <c r="N35" s="1873">
        <f t="shared" si="0"/>
        <v>175</v>
      </c>
      <c r="O35" s="92"/>
      <c r="P35" s="92"/>
    </row>
    <row r="36" spans="1:16" ht="20.100000000000001" customHeight="1">
      <c r="A36" s="1877">
        <v>30</v>
      </c>
      <c r="B36" s="1903" t="s">
        <v>2230</v>
      </c>
      <c r="C36" s="1358" t="s">
        <v>2206</v>
      </c>
      <c r="D36" s="1912" t="s">
        <v>100</v>
      </c>
      <c r="E36" s="1930" t="s">
        <v>2235</v>
      </c>
      <c r="F36" s="1871">
        <v>0</v>
      </c>
      <c r="G36" s="1871">
        <v>0</v>
      </c>
      <c r="H36" s="1871">
        <v>0</v>
      </c>
      <c r="I36" s="1871">
        <v>0</v>
      </c>
      <c r="J36" s="1871">
        <v>0</v>
      </c>
      <c r="K36" s="1871">
        <v>0</v>
      </c>
      <c r="L36" s="1914">
        <v>3</v>
      </c>
      <c r="M36" s="1915">
        <v>143000</v>
      </c>
      <c r="N36" s="1873">
        <f t="shared" si="0"/>
        <v>0</v>
      </c>
      <c r="O36" s="92">
        <v>3</v>
      </c>
      <c r="P36" s="92"/>
    </row>
    <row r="37" spans="1:16" ht="20.100000000000001" customHeight="1">
      <c r="A37" s="1868">
        <v>31</v>
      </c>
      <c r="B37" s="1903" t="s">
        <v>2230</v>
      </c>
      <c r="C37" s="1358" t="s">
        <v>2206</v>
      </c>
      <c r="D37" s="1912" t="s">
        <v>100</v>
      </c>
      <c r="E37" s="1930" t="s">
        <v>2236</v>
      </c>
      <c r="F37" s="1871">
        <v>0</v>
      </c>
      <c r="G37" s="1871">
        <v>0</v>
      </c>
      <c r="H37" s="1871">
        <v>0</v>
      </c>
      <c r="I37" s="1871">
        <v>0</v>
      </c>
      <c r="J37" s="1871">
        <v>0</v>
      </c>
      <c r="K37" s="1871">
        <v>0</v>
      </c>
      <c r="L37" s="1914">
        <v>3</v>
      </c>
      <c r="M37" s="1915">
        <v>120000</v>
      </c>
      <c r="N37" s="1873">
        <f t="shared" si="0"/>
        <v>0</v>
      </c>
      <c r="O37" s="92">
        <v>3</v>
      </c>
      <c r="P37" s="92"/>
    </row>
    <row r="38" spans="1:16" ht="20.100000000000001" customHeight="1">
      <c r="A38" s="1877">
        <v>32</v>
      </c>
      <c r="B38" s="1903" t="s">
        <v>2237</v>
      </c>
      <c r="C38" s="1358" t="s">
        <v>2206</v>
      </c>
      <c r="D38" s="1916" t="s">
        <v>100</v>
      </c>
      <c r="E38" s="1917" t="s">
        <v>118</v>
      </c>
      <c r="F38" s="1871">
        <v>0</v>
      </c>
      <c r="G38" s="1871">
        <v>0</v>
      </c>
      <c r="H38" s="1871">
        <v>0</v>
      </c>
      <c r="I38" s="1871">
        <v>0</v>
      </c>
      <c r="J38" s="1871">
        <v>0</v>
      </c>
      <c r="K38" s="1871">
        <v>0</v>
      </c>
      <c r="L38" s="1248">
        <v>1</v>
      </c>
      <c r="M38" s="1886">
        <v>13400</v>
      </c>
      <c r="N38" s="1873">
        <f t="shared" si="0"/>
        <v>1</v>
      </c>
      <c r="O38" s="92"/>
      <c r="P38" s="92"/>
    </row>
    <row r="39" spans="1:16" ht="20.100000000000001" customHeight="1">
      <c r="A39" s="1877">
        <v>33</v>
      </c>
      <c r="B39" s="1903" t="s">
        <v>2237</v>
      </c>
      <c r="C39" s="1358" t="s">
        <v>2206</v>
      </c>
      <c r="D39" s="1918" t="s">
        <v>741</v>
      </c>
      <c r="E39" s="1919" t="s">
        <v>32</v>
      </c>
      <c r="F39" s="1871">
        <v>0</v>
      </c>
      <c r="G39" s="1871">
        <v>0</v>
      </c>
      <c r="H39" s="1248">
        <v>1</v>
      </c>
      <c r="I39" s="1871">
        <v>0</v>
      </c>
      <c r="J39" s="1871">
        <v>0</v>
      </c>
      <c r="K39" s="1871">
        <v>0</v>
      </c>
      <c r="L39" s="1871">
        <v>0</v>
      </c>
      <c r="M39" s="1886">
        <v>0.22</v>
      </c>
      <c r="N39" s="1873">
        <f t="shared" si="0"/>
        <v>1</v>
      </c>
      <c r="O39" s="92"/>
      <c r="P39" s="92"/>
    </row>
    <row r="40" spans="1:16" ht="20.100000000000001" customHeight="1">
      <c r="A40" s="1868">
        <v>34</v>
      </c>
      <c r="B40" s="1903" t="s">
        <v>2237</v>
      </c>
      <c r="C40" s="1358" t="s">
        <v>2206</v>
      </c>
      <c r="D40" s="1920">
        <v>45299</v>
      </c>
      <c r="E40" s="1919" t="s">
        <v>50</v>
      </c>
      <c r="F40" s="1871">
        <v>0</v>
      </c>
      <c r="G40" s="1871">
        <v>0</v>
      </c>
      <c r="H40" s="1248">
        <v>1</v>
      </c>
      <c r="I40" s="1871">
        <v>0</v>
      </c>
      <c r="J40" s="1871">
        <v>0</v>
      </c>
      <c r="K40" s="1871">
        <v>0</v>
      </c>
      <c r="L40" s="1871">
        <v>0</v>
      </c>
      <c r="M40" s="1886">
        <v>0.75</v>
      </c>
      <c r="N40" s="1873">
        <f t="shared" si="0"/>
        <v>1</v>
      </c>
      <c r="O40" s="92"/>
      <c r="P40" s="92"/>
    </row>
    <row r="41" spans="1:16" ht="20.100000000000001" customHeight="1">
      <c r="A41" s="1877">
        <v>35</v>
      </c>
      <c r="B41" s="1903" t="s">
        <v>2237</v>
      </c>
      <c r="C41" s="1358" t="s">
        <v>2206</v>
      </c>
      <c r="D41" s="1918" t="s">
        <v>741</v>
      </c>
      <c r="E41" s="1921" t="s">
        <v>35</v>
      </c>
      <c r="F41" s="1871">
        <v>0</v>
      </c>
      <c r="G41" s="1871">
        <v>0</v>
      </c>
      <c r="H41" s="1871">
        <v>0</v>
      </c>
      <c r="I41" s="1871">
        <v>0</v>
      </c>
      <c r="J41" s="1871">
        <v>0</v>
      </c>
      <c r="K41" s="1871">
        <v>0</v>
      </c>
      <c r="L41" s="1871">
        <v>0</v>
      </c>
      <c r="M41" s="1886">
        <v>1698</v>
      </c>
      <c r="N41" s="1873">
        <f t="shared" si="0"/>
        <v>0</v>
      </c>
      <c r="O41" s="92"/>
      <c r="P41" s="92"/>
    </row>
    <row r="42" spans="1:16" ht="20.100000000000001" customHeight="1">
      <c r="A42" s="1877">
        <v>36</v>
      </c>
      <c r="B42" s="1903" t="s">
        <v>2237</v>
      </c>
      <c r="C42" s="1358" t="s">
        <v>2206</v>
      </c>
      <c r="D42" s="1922" t="s">
        <v>100</v>
      </c>
      <c r="E42" s="1919" t="s">
        <v>2238</v>
      </c>
      <c r="F42" s="1871">
        <v>0</v>
      </c>
      <c r="G42" s="92">
        <v>464</v>
      </c>
      <c r="H42" s="1871">
        <v>0</v>
      </c>
      <c r="I42" s="1871">
        <v>0</v>
      </c>
      <c r="J42" s="1871">
        <v>0</v>
      </c>
      <c r="K42" s="1871">
        <v>0</v>
      </c>
      <c r="L42" s="1871">
        <v>0</v>
      </c>
      <c r="M42" s="1886"/>
      <c r="N42" s="1873">
        <f t="shared" si="0"/>
        <v>464</v>
      </c>
      <c r="O42" s="92"/>
      <c r="P42" s="92"/>
    </row>
    <row r="43" spans="1:16" ht="20.100000000000001" customHeight="1">
      <c r="A43" s="1868">
        <v>37</v>
      </c>
      <c r="B43" s="1903" t="s">
        <v>2237</v>
      </c>
      <c r="C43" s="1358" t="s">
        <v>2206</v>
      </c>
      <c r="D43" s="92"/>
      <c r="E43" s="1656" t="s">
        <v>2239</v>
      </c>
      <c r="F43" s="92">
        <v>112</v>
      </c>
      <c r="G43" s="1871">
        <v>0</v>
      </c>
      <c r="H43" s="1871">
        <v>0</v>
      </c>
      <c r="I43" s="1871">
        <v>0</v>
      </c>
      <c r="J43" s="1871">
        <v>0</v>
      </c>
      <c r="K43" s="1871">
        <v>0</v>
      </c>
      <c r="L43" s="1871">
        <v>0</v>
      </c>
      <c r="M43" s="1886"/>
      <c r="N43" s="1873">
        <f t="shared" si="0"/>
        <v>112</v>
      </c>
      <c r="O43" s="92"/>
      <c r="P43" s="92"/>
    </row>
    <row r="44" spans="1:16" ht="20.100000000000001" customHeight="1">
      <c r="A44" s="1877">
        <v>38</v>
      </c>
      <c r="B44" s="92" t="s">
        <v>2240</v>
      </c>
      <c r="C44" s="1358" t="s">
        <v>2206</v>
      </c>
      <c r="D44" s="1923" t="s">
        <v>741</v>
      </c>
      <c r="E44" s="1870" t="s">
        <v>32</v>
      </c>
      <c r="F44" s="1871">
        <v>0</v>
      </c>
      <c r="G44" s="1871">
        <v>0</v>
      </c>
      <c r="H44" s="92">
        <v>1</v>
      </c>
      <c r="I44" s="1871">
        <v>0</v>
      </c>
      <c r="J44" s="1871">
        <v>0</v>
      </c>
      <c r="K44" s="1871">
        <v>0</v>
      </c>
      <c r="L44" s="1871">
        <v>0</v>
      </c>
      <c r="M44" s="1886">
        <v>59.65</v>
      </c>
      <c r="N44" s="1873">
        <f t="shared" si="0"/>
        <v>1</v>
      </c>
      <c r="O44" s="92"/>
      <c r="P44" s="92"/>
    </row>
    <row r="45" spans="1:16" ht="20.100000000000001" customHeight="1">
      <c r="A45" s="1877">
        <v>39</v>
      </c>
      <c r="B45" s="92" t="s">
        <v>2240</v>
      </c>
      <c r="C45" s="1358" t="s">
        <v>2206</v>
      </c>
      <c r="D45" s="1912" t="s">
        <v>741</v>
      </c>
      <c r="E45" s="1870" t="s">
        <v>35</v>
      </c>
      <c r="F45" s="1871">
        <v>0</v>
      </c>
      <c r="G45" s="1871">
        <v>0</v>
      </c>
      <c r="H45" s="1871">
        <v>0</v>
      </c>
      <c r="I45" s="1871">
        <v>0</v>
      </c>
      <c r="J45" s="92">
        <v>391</v>
      </c>
      <c r="K45" s="1871">
        <v>0</v>
      </c>
      <c r="L45" s="1871">
        <v>0</v>
      </c>
      <c r="M45" s="1886"/>
      <c r="N45" s="1873">
        <f t="shared" si="0"/>
        <v>375</v>
      </c>
      <c r="O45" s="92">
        <v>16</v>
      </c>
      <c r="P45" s="92"/>
    </row>
    <row r="46" spans="1:16" ht="20.100000000000001" customHeight="1">
      <c r="A46" s="1868">
        <v>40</v>
      </c>
      <c r="B46" s="92" t="s">
        <v>2240</v>
      </c>
      <c r="C46" s="1358" t="s">
        <v>2206</v>
      </c>
      <c r="D46" s="1891" t="s">
        <v>76</v>
      </c>
      <c r="E46" s="1870" t="s">
        <v>2241</v>
      </c>
      <c r="F46" s="1871">
        <v>0</v>
      </c>
      <c r="G46" s="92">
        <v>474</v>
      </c>
      <c r="H46" s="1871">
        <v>0</v>
      </c>
      <c r="I46" s="1871">
        <v>0</v>
      </c>
      <c r="J46" s="1871">
        <v>0</v>
      </c>
      <c r="K46" s="1871">
        <v>0</v>
      </c>
      <c r="L46" s="1871">
        <v>0</v>
      </c>
      <c r="M46" s="1886"/>
      <c r="N46" s="1873">
        <f t="shared" si="0"/>
        <v>474</v>
      </c>
      <c r="O46" s="92"/>
      <c r="P46" s="92"/>
    </row>
    <row r="47" spans="1:16" ht="20.100000000000001" customHeight="1">
      <c r="A47" s="1877">
        <v>41</v>
      </c>
      <c r="B47" s="92" t="s">
        <v>2240</v>
      </c>
      <c r="C47" s="1358" t="s">
        <v>2206</v>
      </c>
      <c r="D47" s="92"/>
      <c r="E47" s="1656" t="s">
        <v>2242</v>
      </c>
      <c r="F47" s="92">
        <v>146</v>
      </c>
      <c r="G47" s="1871">
        <v>0</v>
      </c>
      <c r="H47" s="1871">
        <v>0</v>
      </c>
      <c r="I47" s="1871">
        <v>0</v>
      </c>
      <c r="J47" s="1871">
        <v>0</v>
      </c>
      <c r="K47" s="1871">
        <v>0</v>
      </c>
      <c r="L47" s="1871">
        <v>0</v>
      </c>
      <c r="M47" s="1886"/>
      <c r="N47" s="1873">
        <f t="shared" si="0"/>
        <v>146</v>
      </c>
      <c r="O47" s="92"/>
      <c r="P47" s="92"/>
    </row>
    <row r="48" spans="1:16" ht="63.75">
      <c r="A48" s="1877">
        <v>42</v>
      </c>
      <c r="B48" s="92" t="s">
        <v>2243</v>
      </c>
      <c r="C48" s="1358" t="s">
        <v>2206</v>
      </c>
      <c r="D48" s="1924" t="s">
        <v>100</v>
      </c>
      <c r="E48" s="1905" t="s">
        <v>2244</v>
      </c>
      <c r="F48" s="1871">
        <v>0</v>
      </c>
      <c r="G48" s="1871">
        <v>0</v>
      </c>
      <c r="H48" s="1871">
        <v>0</v>
      </c>
      <c r="I48" s="1871">
        <v>0</v>
      </c>
      <c r="J48" s="1871">
        <v>0</v>
      </c>
      <c r="K48" s="1871">
        <v>0</v>
      </c>
      <c r="L48" s="92">
        <v>1</v>
      </c>
      <c r="M48" s="1886">
        <v>19343.73</v>
      </c>
      <c r="N48" s="1873">
        <f t="shared" si="0"/>
        <v>1</v>
      </c>
      <c r="O48" s="92"/>
      <c r="P48" s="92"/>
    </row>
    <row r="49" spans="1:16" ht="36.75" customHeight="1">
      <c r="A49" s="1868">
        <v>43</v>
      </c>
      <c r="B49" s="92" t="s">
        <v>2243</v>
      </c>
      <c r="C49" s="1358" t="s">
        <v>2206</v>
      </c>
      <c r="D49" s="1924" t="s">
        <v>818</v>
      </c>
      <c r="E49" s="1906" t="s">
        <v>2245</v>
      </c>
      <c r="F49" s="1871">
        <v>0</v>
      </c>
      <c r="G49" s="1871">
        <v>0</v>
      </c>
      <c r="H49" s="1871">
        <v>0</v>
      </c>
      <c r="I49" s="1871">
        <v>0</v>
      </c>
      <c r="J49" s="1871">
        <v>0</v>
      </c>
      <c r="K49" s="92">
        <v>0</v>
      </c>
      <c r="L49" s="1871">
        <v>1</v>
      </c>
      <c r="M49" s="1886">
        <v>4.18</v>
      </c>
      <c r="N49" s="1873">
        <f t="shared" si="0"/>
        <v>0</v>
      </c>
      <c r="O49" s="92">
        <v>1</v>
      </c>
      <c r="P49" s="92"/>
    </row>
    <row r="50" spans="1:16" ht="20.100000000000001" customHeight="1">
      <c r="A50" s="1877">
        <v>44</v>
      </c>
      <c r="B50" s="92" t="s">
        <v>2243</v>
      </c>
      <c r="C50" s="1358" t="s">
        <v>2206</v>
      </c>
      <c r="D50" s="1925" t="s">
        <v>100</v>
      </c>
      <c r="E50" s="1926" t="s">
        <v>50</v>
      </c>
      <c r="F50" s="1871">
        <v>0</v>
      </c>
      <c r="G50" s="1871">
        <v>0</v>
      </c>
      <c r="H50" s="92">
        <v>1</v>
      </c>
      <c r="I50" s="1871">
        <v>0</v>
      </c>
      <c r="J50" s="1871">
        <v>0</v>
      </c>
      <c r="K50" s="1871">
        <v>0</v>
      </c>
      <c r="L50" s="1871">
        <v>0</v>
      </c>
      <c r="M50" s="1911">
        <v>94.1</v>
      </c>
      <c r="N50" s="1873">
        <f t="shared" si="0"/>
        <v>1</v>
      </c>
      <c r="O50" s="92"/>
      <c r="P50" s="92"/>
    </row>
    <row r="51" spans="1:16" ht="20.100000000000001" customHeight="1">
      <c r="A51" s="1877">
        <v>45</v>
      </c>
      <c r="B51" s="92" t="s">
        <v>2243</v>
      </c>
      <c r="C51" s="1358" t="s">
        <v>2206</v>
      </c>
      <c r="D51" s="92"/>
      <c r="E51" s="1927" t="s">
        <v>2246</v>
      </c>
      <c r="F51" s="1871">
        <v>0</v>
      </c>
      <c r="G51" s="1871">
        <v>0</v>
      </c>
      <c r="H51" s="1871">
        <v>0</v>
      </c>
      <c r="I51" s="1871">
        <v>0</v>
      </c>
      <c r="J51" s="1871">
        <v>0</v>
      </c>
      <c r="K51" s="1871">
        <v>0</v>
      </c>
      <c r="L51" s="92">
        <v>1</v>
      </c>
      <c r="M51" s="1928">
        <v>70734.679999999993</v>
      </c>
      <c r="N51" s="1873">
        <f t="shared" si="0"/>
        <v>1</v>
      </c>
      <c r="O51" s="92"/>
      <c r="P51" s="92"/>
    </row>
    <row r="52" spans="1:16" ht="25.5">
      <c r="A52" s="1868">
        <v>46</v>
      </c>
      <c r="B52" s="92" t="s">
        <v>2243</v>
      </c>
      <c r="C52" s="1358" t="s">
        <v>2206</v>
      </c>
      <c r="D52" s="92"/>
      <c r="E52" s="1927" t="s">
        <v>2247</v>
      </c>
      <c r="F52" s="1871">
        <v>0</v>
      </c>
      <c r="G52" s="1871">
        <v>0</v>
      </c>
      <c r="H52" s="1871">
        <v>0</v>
      </c>
      <c r="I52" s="1871">
        <v>0</v>
      </c>
      <c r="J52" s="1871">
        <v>0</v>
      </c>
      <c r="K52" s="1871">
        <v>0</v>
      </c>
      <c r="L52" s="92">
        <v>1</v>
      </c>
      <c r="M52" s="1091">
        <v>3180</v>
      </c>
      <c r="N52" s="1873">
        <f t="shared" si="0"/>
        <v>1</v>
      </c>
      <c r="O52" s="92"/>
      <c r="P52" s="92"/>
    </row>
    <row r="53" spans="1:16" ht="20.100000000000001" customHeight="1">
      <c r="A53" s="1877">
        <v>47</v>
      </c>
      <c r="B53" s="92" t="s">
        <v>2243</v>
      </c>
      <c r="C53" s="1358" t="s">
        <v>2206</v>
      </c>
      <c r="D53" s="92"/>
      <c r="E53" s="1870" t="s">
        <v>34</v>
      </c>
      <c r="F53" s="1871">
        <v>0</v>
      </c>
      <c r="G53" s="1871">
        <v>0</v>
      </c>
      <c r="H53" s="1871">
        <v>0</v>
      </c>
      <c r="I53" s="92">
        <v>85</v>
      </c>
      <c r="J53" s="1871">
        <v>0</v>
      </c>
      <c r="K53" s="1871">
        <v>0</v>
      </c>
      <c r="L53" s="1871">
        <v>0</v>
      </c>
      <c r="M53" s="1886"/>
      <c r="N53" s="1873">
        <f t="shared" si="0"/>
        <v>0</v>
      </c>
      <c r="O53" s="2049">
        <v>85</v>
      </c>
      <c r="P53" s="92"/>
    </row>
    <row r="54" spans="1:16" ht="20.100000000000001" customHeight="1">
      <c r="A54" s="1877">
        <v>48</v>
      </c>
      <c r="B54" s="92" t="s">
        <v>2243</v>
      </c>
      <c r="C54" s="1358" t="s">
        <v>2206</v>
      </c>
      <c r="D54" s="92"/>
      <c r="E54" s="1926" t="s">
        <v>35</v>
      </c>
      <c r="F54" s="1871">
        <v>0</v>
      </c>
      <c r="G54" s="1871">
        <v>0</v>
      </c>
      <c r="H54" s="1871">
        <v>0</v>
      </c>
      <c r="I54" s="1871">
        <v>0</v>
      </c>
      <c r="J54" s="92">
        <v>222</v>
      </c>
      <c r="K54" s="1871">
        <v>0</v>
      </c>
      <c r="L54" s="1871">
        <v>0</v>
      </c>
      <c r="M54" s="1886"/>
      <c r="N54" s="1873">
        <f t="shared" si="0"/>
        <v>216</v>
      </c>
      <c r="O54" s="92">
        <v>6</v>
      </c>
      <c r="P54" s="92"/>
    </row>
    <row r="55" spans="1:16" ht="20.100000000000001" customHeight="1">
      <c r="A55" s="1868">
        <v>49</v>
      </c>
      <c r="B55" s="92" t="s">
        <v>2243</v>
      </c>
      <c r="C55" s="1358" t="s">
        <v>2206</v>
      </c>
      <c r="D55" s="92"/>
      <c r="E55" s="1929" t="s">
        <v>2248</v>
      </c>
      <c r="F55" s="1871">
        <v>0</v>
      </c>
      <c r="G55" s="92">
        <v>3176</v>
      </c>
      <c r="H55" s="1871">
        <v>0</v>
      </c>
      <c r="I55" s="1871">
        <v>0</v>
      </c>
      <c r="J55" s="1871">
        <v>0</v>
      </c>
      <c r="K55" s="1871">
        <v>0</v>
      </c>
      <c r="L55" s="1871">
        <v>0</v>
      </c>
      <c r="M55" s="1886"/>
      <c r="N55" s="1873">
        <f t="shared" si="0"/>
        <v>3176</v>
      </c>
      <c r="O55" s="92"/>
      <c r="P55" s="92"/>
    </row>
    <row r="56" spans="1:16" ht="20.100000000000001" customHeight="1">
      <c r="A56" s="1877">
        <v>50</v>
      </c>
      <c r="B56" s="92" t="s">
        <v>2243</v>
      </c>
      <c r="C56" s="1358" t="s">
        <v>2206</v>
      </c>
      <c r="D56" s="92"/>
      <c r="E56" s="1656" t="s">
        <v>2242</v>
      </c>
      <c r="F56" s="92">
        <v>126</v>
      </c>
      <c r="G56" s="1871">
        <v>0</v>
      </c>
      <c r="H56" s="1871">
        <v>0</v>
      </c>
      <c r="I56" s="1871">
        <v>0</v>
      </c>
      <c r="J56" s="1871">
        <v>0</v>
      </c>
      <c r="K56" s="1871">
        <v>0</v>
      </c>
      <c r="L56" s="1871">
        <v>0</v>
      </c>
      <c r="M56" s="1886"/>
      <c r="N56" s="1873">
        <f t="shared" si="0"/>
        <v>126</v>
      </c>
      <c r="O56" s="92"/>
      <c r="P56" s="92"/>
    </row>
    <row r="57" spans="1:16" ht="20.100000000000001" customHeight="1">
      <c r="A57" s="1877">
        <v>51</v>
      </c>
      <c r="B57" s="92" t="s">
        <v>2243</v>
      </c>
      <c r="C57" s="1358" t="s">
        <v>2206</v>
      </c>
      <c r="D57" s="92"/>
      <c r="E57" s="1930" t="s">
        <v>2236</v>
      </c>
      <c r="F57" s="1871">
        <v>0</v>
      </c>
      <c r="G57" s="1871">
        <v>0</v>
      </c>
      <c r="H57" s="1871">
        <v>0</v>
      </c>
      <c r="I57" s="1871">
        <v>0</v>
      </c>
      <c r="J57" s="1871">
        <v>0</v>
      </c>
      <c r="K57" s="1871">
        <v>0</v>
      </c>
      <c r="L57" s="1898">
        <v>1</v>
      </c>
      <c r="M57" s="1886">
        <v>10000</v>
      </c>
      <c r="N57" s="1873">
        <f t="shared" si="0"/>
        <v>0</v>
      </c>
      <c r="O57" s="92">
        <v>1</v>
      </c>
      <c r="P57" s="92"/>
    </row>
    <row r="58" spans="1:16" ht="20.100000000000001" customHeight="1">
      <c r="A58" s="1868">
        <v>52</v>
      </c>
      <c r="B58" s="92" t="s">
        <v>2249</v>
      </c>
      <c r="C58" s="1358" t="s">
        <v>2206</v>
      </c>
      <c r="D58" s="1912" t="s">
        <v>741</v>
      </c>
      <c r="E58" s="1905" t="s">
        <v>28</v>
      </c>
      <c r="F58" s="1871">
        <v>0</v>
      </c>
      <c r="G58" s="1871">
        <v>0</v>
      </c>
      <c r="H58" s="1871">
        <v>0</v>
      </c>
      <c r="I58" s="1871">
        <v>0</v>
      </c>
      <c r="J58" s="1871">
        <v>0</v>
      </c>
      <c r="K58" s="1871">
        <v>0</v>
      </c>
      <c r="L58" s="1248">
        <v>1</v>
      </c>
      <c r="M58" s="1886">
        <v>26489.24</v>
      </c>
      <c r="N58" s="1873">
        <f t="shared" si="0"/>
        <v>1</v>
      </c>
      <c r="O58" s="92"/>
      <c r="P58" s="92"/>
    </row>
    <row r="59" spans="1:16" ht="20.100000000000001" customHeight="1">
      <c r="A59" s="1877">
        <v>53</v>
      </c>
      <c r="B59" s="92" t="s">
        <v>2249</v>
      </c>
      <c r="C59" s="1358" t="s">
        <v>2206</v>
      </c>
      <c r="D59" s="1912" t="s">
        <v>100</v>
      </c>
      <c r="E59" s="1931" t="s">
        <v>32</v>
      </c>
      <c r="F59" s="1871">
        <v>0</v>
      </c>
      <c r="G59" s="1871">
        <v>0</v>
      </c>
      <c r="H59" s="92">
        <v>1</v>
      </c>
      <c r="I59" s="1871">
        <v>0</v>
      </c>
      <c r="J59" s="1871">
        <v>0</v>
      </c>
      <c r="K59" s="1871">
        <v>0</v>
      </c>
      <c r="L59" s="1871">
        <v>0</v>
      </c>
      <c r="M59" s="1886">
        <v>0.53</v>
      </c>
      <c r="N59" s="1873">
        <f t="shared" si="0"/>
        <v>1</v>
      </c>
      <c r="O59" s="92"/>
      <c r="P59" s="92"/>
    </row>
    <row r="60" spans="1:16" ht="20.100000000000001" customHeight="1">
      <c r="A60" s="1877">
        <v>54</v>
      </c>
      <c r="B60" s="92" t="s">
        <v>2249</v>
      </c>
      <c r="C60" s="1358" t="s">
        <v>2206</v>
      </c>
      <c r="D60" s="1912" t="s">
        <v>100</v>
      </c>
      <c r="E60" s="1931" t="s">
        <v>2250</v>
      </c>
      <c r="F60" s="1871">
        <v>0</v>
      </c>
      <c r="G60" s="1871">
        <v>0</v>
      </c>
      <c r="H60" s="92">
        <v>1</v>
      </c>
      <c r="I60" s="1871">
        <v>0</v>
      </c>
      <c r="J60" s="1871">
        <v>0</v>
      </c>
      <c r="K60" s="1871">
        <v>0</v>
      </c>
      <c r="L60" s="1871">
        <v>0</v>
      </c>
      <c r="M60" s="1886">
        <v>11</v>
      </c>
      <c r="N60" s="1873">
        <f t="shared" si="0"/>
        <v>1</v>
      </c>
      <c r="O60" s="92"/>
      <c r="P60" s="92"/>
    </row>
    <row r="61" spans="1:16" ht="20.100000000000001" customHeight="1">
      <c r="A61" s="1868">
        <v>55</v>
      </c>
      <c r="B61" s="92" t="s">
        <v>2249</v>
      </c>
      <c r="C61" s="1358" t="s">
        <v>2206</v>
      </c>
      <c r="D61" s="1912" t="s">
        <v>100</v>
      </c>
      <c r="E61" s="3402" t="s">
        <v>2251</v>
      </c>
      <c r="F61" s="1871">
        <v>0</v>
      </c>
      <c r="G61" s="1871">
        <v>0</v>
      </c>
      <c r="H61" s="1871">
        <v>0</v>
      </c>
      <c r="I61" s="1871">
        <v>0</v>
      </c>
      <c r="J61" s="92">
        <v>7892</v>
      </c>
      <c r="K61" s="1871">
        <v>0</v>
      </c>
      <c r="L61" s="1871">
        <v>0</v>
      </c>
      <c r="M61" s="1886"/>
      <c r="N61" s="1873">
        <f t="shared" si="0"/>
        <v>7892</v>
      </c>
      <c r="O61" s="92"/>
      <c r="P61" s="92"/>
    </row>
    <row r="62" spans="1:16" ht="20.100000000000001" customHeight="1">
      <c r="A62" s="1877">
        <v>56</v>
      </c>
      <c r="B62" s="92" t="s">
        <v>2249</v>
      </c>
      <c r="C62" s="1358" t="s">
        <v>2206</v>
      </c>
      <c r="D62" s="1912" t="s">
        <v>100</v>
      </c>
      <c r="E62" s="1870" t="s">
        <v>52</v>
      </c>
      <c r="F62" s="1871">
        <v>0</v>
      </c>
      <c r="G62" s="1248">
        <v>1138</v>
      </c>
      <c r="H62" s="1871">
        <v>0</v>
      </c>
      <c r="I62" s="1871">
        <v>0</v>
      </c>
      <c r="J62" s="1871">
        <v>0</v>
      </c>
      <c r="K62" s="1871">
        <v>0</v>
      </c>
      <c r="L62" s="1871">
        <v>0</v>
      </c>
      <c r="M62" s="1886"/>
      <c r="N62" s="1873">
        <f t="shared" si="0"/>
        <v>1138</v>
      </c>
      <c r="O62" s="92"/>
      <c r="P62" s="92"/>
    </row>
    <row r="63" spans="1:16" ht="20.100000000000001" customHeight="1">
      <c r="A63" s="1877">
        <v>57</v>
      </c>
      <c r="B63" s="92" t="s">
        <v>2252</v>
      </c>
      <c r="C63" s="1358" t="s">
        <v>2206</v>
      </c>
      <c r="D63" s="1932" t="s">
        <v>100</v>
      </c>
      <c r="E63" s="1870" t="s">
        <v>2253</v>
      </c>
      <c r="F63" s="1871">
        <v>0</v>
      </c>
      <c r="G63" s="1871">
        <v>0</v>
      </c>
      <c r="H63" s="1871">
        <v>0</v>
      </c>
      <c r="I63" s="1871">
        <v>0</v>
      </c>
      <c r="J63" s="92">
        <v>1500</v>
      </c>
      <c r="K63" s="1871">
        <v>0</v>
      </c>
      <c r="L63" s="1871">
        <v>0</v>
      </c>
      <c r="M63" s="1886"/>
      <c r="N63" s="1873">
        <f t="shared" si="0"/>
        <v>1500</v>
      </c>
      <c r="O63" s="92"/>
      <c r="P63" s="92"/>
    </row>
    <row r="64" spans="1:16" ht="20.100000000000001" customHeight="1">
      <c r="A64" s="1868">
        <v>58</v>
      </c>
      <c r="B64" s="92" t="s">
        <v>2252</v>
      </c>
      <c r="C64" s="1358" t="s">
        <v>2206</v>
      </c>
      <c r="D64" s="1932" t="s">
        <v>2254</v>
      </c>
      <c r="E64" s="1870" t="s">
        <v>2255</v>
      </c>
      <c r="F64" s="1871">
        <v>0</v>
      </c>
      <c r="G64" s="92">
        <v>878</v>
      </c>
      <c r="H64" s="1871">
        <v>0</v>
      </c>
      <c r="I64" s="1871">
        <v>0</v>
      </c>
      <c r="J64" s="1871">
        <v>0</v>
      </c>
      <c r="K64" s="1871">
        <v>0</v>
      </c>
      <c r="L64" s="1871">
        <v>0</v>
      </c>
      <c r="M64" s="1886"/>
      <c r="N64" s="1873">
        <f t="shared" si="0"/>
        <v>878</v>
      </c>
      <c r="O64" s="92"/>
      <c r="P64" s="92"/>
    </row>
    <row r="65" spans="1:17" ht="20.100000000000001" customHeight="1">
      <c r="A65" s="1877">
        <v>59</v>
      </c>
      <c r="B65" s="92" t="s">
        <v>2252</v>
      </c>
      <c r="C65" s="1358" t="s">
        <v>2206</v>
      </c>
      <c r="D65" s="92"/>
      <c r="E65" s="1656" t="s">
        <v>2256</v>
      </c>
      <c r="F65" s="92">
        <v>91</v>
      </c>
      <c r="G65" s="1871">
        <v>0</v>
      </c>
      <c r="H65" s="1871">
        <v>0</v>
      </c>
      <c r="I65" s="1871">
        <v>0</v>
      </c>
      <c r="J65" s="1871">
        <v>0</v>
      </c>
      <c r="K65" s="1871">
        <v>0</v>
      </c>
      <c r="L65" s="1871">
        <v>0</v>
      </c>
      <c r="M65" s="1886"/>
      <c r="N65" s="1873">
        <f t="shared" si="0"/>
        <v>91</v>
      </c>
      <c r="O65" s="92"/>
      <c r="P65" s="92"/>
    </row>
    <row r="66" spans="1:17" ht="20.100000000000001" customHeight="1">
      <c r="A66" s="1877">
        <v>60</v>
      </c>
      <c r="B66" s="92" t="s">
        <v>2257</v>
      </c>
      <c r="C66" s="1358" t="s">
        <v>2206</v>
      </c>
      <c r="D66" s="1933" t="s">
        <v>100</v>
      </c>
      <c r="E66" s="1892" t="s">
        <v>32</v>
      </c>
      <c r="F66" s="1871">
        <v>0</v>
      </c>
      <c r="G66" s="1871">
        <v>0</v>
      </c>
      <c r="H66" s="92">
        <v>1</v>
      </c>
      <c r="I66" s="1871">
        <v>0</v>
      </c>
      <c r="J66" s="1871">
        <v>0</v>
      </c>
      <c r="K66" s="1871">
        <v>0</v>
      </c>
      <c r="L66" s="1871">
        <v>0</v>
      </c>
      <c r="M66" s="1886">
        <v>22616.41</v>
      </c>
      <c r="N66" s="1873">
        <f t="shared" si="0"/>
        <v>1</v>
      </c>
      <c r="O66" s="92"/>
      <c r="P66" s="92"/>
    </row>
    <row r="67" spans="1:17" ht="20.100000000000001" customHeight="1">
      <c r="A67" s="1868">
        <v>61</v>
      </c>
      <c r="B67" s="92" t="s">
        <v>2257</v>
      </c>
      <c r="C67" s="1358" t="s">
        <v>2206</v>
      </c>
      <c r="D67" s="1933" t="s">
        <v>100</v>
      </c>
      <c r="E67" s="1892" t="s">
        <v>50</v>
      </c>
      <c r="F67" s="1871">
        <v>0</v>
      </c>
      <c r="G67" s="1871">
        <v>0</v>
      </c>
      <c r="H67" s="92">
        <v>1</v>
      </c>
      <c r="I67" s="1871">
        <v>0</v>
      </c>
      <c r="J67" s="1871">
        <v>0</v>
      </c>
      <c r="K67" s="1871">
        <v>0</v>
      </c>
      <c r="L67" s="1871">
        <v>0</v>
      </c>
      <c r="M67" s="1886">
        <v>53.28</v>
      </c>
      <c r="N67" s="1873">
        <f t="shared" si="0"/>
        <v>1</v>
      </c>
      <c r="O67" s="92"/>
      <c r="P67" s="92"/>
    </row>
    <row r="68" spans="1:17" ht="20.100000000000001" customHeight="1">
      <c r="A68" s="1934">
        <v>62</v>
      </c>
      <c r="B68" s="1935" t="s">
        <v>2257</v>
      </c>
      <c r="C68" s="1936" t="s">
        <v>2206</v>
      </c>
      <c r="D68" s="1937" t="s">
        <v>100</v>
      </c>
      <c r="E68" s="1938" t="s">
        <v>35</v>
      </c>
      <c r="F68" s="1939">
        <v>0</v>
      </c>
      <c r="G68" s="1939">
        <v>0</v>
      </c>
      <c r="H68" s="1939">
        <v>0</v>
      </c>
      <c r="I68" s="1939">
        <v>0</v>
      </c>
      <c r="J68" s="1939">
        <v>14700</v>
      </c>
      <c r="K68" s="1939">
        <v>0</v>
      </c>
      <c r="L68" s="1939">
        <v>0</v>
      </c>
      <c r="M68" s="1939">
        <v>0</v>
      </c>
      <c r="N68" s="1940">
        <f t="shared" si="0"/>
        <v>14700</v>
      </c>
      <c r="O68" s="1935"/>
      <c r="P68" s="1935"/>
      <c r="Q68" s="1941"/>
    </row>
    <row r="69" spans="1:17" ht="20.100000000000001" customHeight="1">
      <c r="A69" s="1877">
        <v>63</v>
      </c>
      <c r="B69" s="92" t="s">
        <v>2257</v>
      </c>
      <c r="C69" s="1358" t="s">
        <v>2206</v>
      </c>
      <c r="D69" s="1933"/>
      <c r="E69" s="1870" t="s">
        <v>52</v>
      </c>
      <c r="F69" s="1871">
        <v>0</v>
      </c>
      <c r="G69" s="92">
        <v>3839</v>
      </c>
      <c r="H69" s="1871">
        <v>0</v>
      </c>
      <c r="I69" s="1871">
        <v>0</v>
      </c>
      <c r="J69" s="1871">
        <v>0</v>
      </c>
      <c r="K69" s="1871">
        <v>0</v>
      </c>
      <c r="L69" s="1871">
        <v>0</v>
      </c>
      <c r="M69" s="1886"/>
      <c r="N69" s="1873">
        <f t="shared" si="0"/>
        <v>3839</v>
      </c>
      <c r="O69" s="92"/>
      <c r="P69" s="92"/>
    </row>
    <row r="70" spans="1:17" ht="20.100000000000001" customHeight="1">
      <c r="A70" s="1868">
        <v>64</v>
      </c>
      <c r="B70" s="92" t="s">
        <v>2257</v>
      </c>
      <c r="C70" s="1358" t="s">
        <v>2206</v>
      </c>
      <c r="D70" s="1933"/>
      <c r="E70" s="3403" t="s">
        <v>2258</v>
      </c>
      <c r="F70" s="92">
        <v>15</v>
      </c>
      <c r="G70" s="1871">
        <v>0</v>
      </c>
      <c r="H70" s="1871">
        <v>0</v>
      </c>
      <c r="I70" s="1871">
        <v>0</v>
      </c>
      <c r="J70" s="1871">
        <v>0</v>
      </c>
      <c r="K70" s="1871">
        <v>0</v>
      </c>
      <c r="L70" s="1871">
        <v>0</v>
      </c>
      <c r="M70" s="1886"/>
      <c r="N70" s="1873">
        <f t="shared" si="0"/>
        <v>15</v>
      </c>
      <c r="O70" s="92"/>
      <c r="P70" s="92"/>
    </row>
    <row r="71" spans="1:17" ht="20.100000000000001" customHeight="1">
      <c r="A71" s="1877">
        <v>65</v>
      </c>
      <c r="B71" s="92" t="s">
        <v>2257</v>
      </c>
      <c r="C71" s="1358" t="s">
        <v>2206</v>
      </c>
      <c r="D71" s="1933" t="s">
        <v>2259</v>
      </c>
      <c r="E71" s="1317" t="s">
        <v>2260</v>
      </c>
      <c r="F71" s="1871">
        <v>0</v>
      </c>
      <c r="G71" s="1871">
        <v>0</v>
      </c>
      <c r="H71" s="1871">
        <v>0</v>
      </c>
      <c r="I71" s="1871">
        <v>0</v>
      </c>
      <c r="J71" s="1871">
        <v>0</v>
      </c>
      <c r="K71" s="1871">
        <v>0</v>
      </c>
      <c r="L71" s="92">
        <v>3</v>
      </c>
      <c r="M71" s="1886">
        <v>2857000</v>
      </c>
      <c r="N71" s="1873">
        <f t="shared" si="0"/>
        <v>1</v>
      </c>
      <c r="O71" s="92">
        <v>2</v>
      </c>
      <c r="P71" s="92"/>
    </row>
    <row r="72" spans="1:17" ht="20.100000000000001" customHeight="1">
      <c r="A72" s="1877">
        <v>66</v>
      </c>
      <c r="B72" s="92" t="s">
        <v>2261</v>
      </c>
      <c r="C72" s="1358" t="s">
        <v>2206</v>
      </c>
      <c r="D72" s="1942" t="s">
        <v>2262</v>
      </c>
      <c r="E72" s="1905" t="s">
        <v>2263</v>
      </c>
      <c r="F72" s="1871">
        <v>0</v>
      </c>
      <c r="G72" s="1871">
        <v>0</v>
      </c>
      <c r="H72" s="1871">
        <v>0</v>
      </c>
      <c r="I72" s="1871">
        <v>0</v>
      </c>
      <c r="J72" s="1871">
        <v>0</v>
      </c>
      <c r="K72" s="1871">
        <v>0</v>
      </c>
      <c r="L72" s="92">
        <v>1</v>
      </c>
      <c r="M72" s="1886">
        <v>113</v>
      </c>
      <c r="N72" s="1873">
        <f t="shared" ref="N72:N135" si="1">F72+G72+H72+I72+J72+K72+L72-O72</f>
        <v>1</v>
      </c>
      <c r="O72" s="92"/>
      <c r="P72" s="92"/>
    </row>
    <row r="73" spans="1:17" ht="20.100000000000001" customHeight="1">
      <c r="A73" s="1868">
        <v>67</v>
      </c>
      <c r="B73" s="92" t="s">
        <v>2261</v>
      </c>
      <c r="C73" s="1358" t="s">
        <v>2206</v>
      </c>
      <c r="D73" s="1943" t="s">
        <v>2264</v>
      </c>
      <c r="E73" s="1931" t="s">
        <v>32</v>
      </c>
      <c r="F73" s="1871">
        <v>0</v>
      </c>
      <c r="G73" s="1871">
        <v>0</v>
      </c>
      <c r="H73" s="92">
        <v>1</v>
      </c>
      <c r="I73" s="1871">
        <v>0</v>
      </c>
      <c r="J73" s="1871">
        <v>0</v>
      </c>
      <c r="K73" s="1871">
        <v>0</v>
      </c>
      <c r="L73" s="1871">
        <v>0</v>
      </c>
      <c r="M73" s="1886">
        <v>0.14000000000000001</v>
      </c>
      <c r="N73" s="1873">
        <f t="shared" si="1"/>
        <v>1</v>
      </c>
      <c r="O73" s="92"/>
      <c r="P73" s="92"/>
    </row>
    <row r="74" spans="1:17" ht="20.100000000000001" customHeight="1">
      <c r="A74" s="1877">
        <v>68</v>
      </c>
      <c r="B74" s="92" t="s">
        <v>2261</v>
      </c>
      <c r="C74" s="1358" t="s">
        <v>2206</v>
      </c>
      <c r="D74" s="1887" t="s">
        <v>930</v>
      </c>
      <c r="E74" s="1892" t="s">
        <v>2251</v>
      </c>
      <c r="F74" s="1871">
        <v>0</v>
      </c>
      <c r="G74" s="1871">
        <v>0</v>
      </c>
      <c r="H74" s="1871">
        <v>0</v>
      </c>
      <c r="I74" s="1871">
        <v>0</v>
      </c>
      <c r="J74" s="92">
        <v>7692</v>
      </c>
      <c r="K74" s="1871">
        <v>0</v>
      </c>
      <c r="L74" s="1871">
        <v>0</v>
      </c>
      <c r="M74" s="1886"/>
      <c r="N74" s="1873">
        <f t="shared" si="1"/>
        <v>7687</v>
      </c>
      <c r="O74" s="92">
        <v>5</v>
      </c>
      <c r="P74" s="92"/>
    </row>
    <row r="75" spans="1:17" ht="20.100000000000001" customHeight="1">
      <c r="A75" s="1877">
        <v>69</v>
      </c>
      <c r="B75" s="92" t="s">
        <v>2261</v>
      </c>
      <c r="C75" s="1358" t="s">
        <v>2206</v>
      </c>
      <c r="D75" s="92"/>
      <c r="E75" s="1870" t="s">
        <v>2265</v>
      </c>
      <c r="F75" s="1871">
        <v>0</v>
      </c>
      <c r="G75" s="92">
        <v>3020</v>
      </c>
      <c r="H75" s="1871">
        <v>0</v>
      </c>
      <c r="I75" s="1871">
        <v>0</v>
      </c>
      <c r="J75" s="1871">
        <v>0</v>
      </c>
      <c r="K75" s="1871">
        <v>0</v>
      </c>
      <c r="L75" s="1871">
        <v>0</v>
      </c>
      <c r="M75" s="1886"/>
      <c r="N75" s="1873">
        <f t="shared" si="1"/>
        <v>3018</v>
      </c>
      <c r="O75" s="92">
        <v>2</v>
      </c>
      <c r="P75" s="92"/>
    </row>
    <row r="76" spans="1:17" ht="20.100000000000001" customHeight="1">
      <c r="A76" s="1868">
        <v>70</v>
      </c>
      <c r="B76" s="92" t="s">
        <v>2261</v>
      </c>
      <c r="C76" s="1358" t="s">
        <v>2206</v>
      </c>
      <c r="D76" s="92"/>
      <c r="E76" s="3403" t="s">
        <v>2266</v>
      </c>
      <c r="F76" s="92">
        <v>557</v>
      </c>
      <c r="G76" s="1871">
        <v>0</v>
      </c>
      <c r="H76" s="1871">
        <v>0</v>
      </c>
      <c r="I76" s="1871">
        <v>0</v>
      </c>
      <c r="J76" s="1871">
        <v>0</v>
      </c>
      <c r="K76" s="1871">
        <v>0</v>
      </c>
      <c r="L76" s="1871">
        <v>0</v>
      </c>
      <c r="M76" s="1886"/>
      <c r="N76" s="1873">
        <f t="shared" si="1"/>
        <v>557</v>
      </c>
      <c r="O76" s="92"/>
      <c r="P76" s="92"/>
    </row>
    <row r="77" spans="1:17" ht="20.100000000000001" customHeight="1">
      <c r="A77" s="1877">
        <v>71</v>
      </c>
      <c r="B77" s="92" t="s">
        <v>2267</v>
      </c>
      <c r="C77" s="1358" t="s">
        <v>2206</v>
      </c>
      <c r="D77" s="1912" t="s">
        <v>100</v>
      </c>
      <c r="E77" s="1905" t="s">
        <v>2268</v>
      </c>
      <c r="F77" s="1871">
        <v>0</v>
      </c>
      <c r="G77" s="1871">
        <v>0</v>
      </c>
      <c r="H77" s="1871">
        <v>0</v>
      </c>
      <c r="I77" s="1871">
        <v>0</v>
      </c>
      <c r="J77" s="1871">
        <v>0</v>
      </c>
      <c r="K77" s="1871">
        <v>0</v>
      </c>
      <c r="L77" s="1248">
        <v>1</v>
      </c>
      <c r="M77" s="1886">
        <v>24479.79</v>
      </c>
      <c r="N77" s="1873">
        <f t="shared" si="1"/>
        <v>0</v>
      </c>
      <c r="O77" s="92">
        <v>1</v>
      </c>
      <c r="P77" s="92"/>
    </row>
    <row r="78" spans="1:17" ht="20.100000000000001" customHeight="1">
      <c r="A78" s="1877">
        <v>72</v>
      </c>
      <c r="B78" s="92" t="s">
        <v>2267</v>
      </c>
      <c r="C78" s="1358" t="s">
        <v>2206</v>
      </c>
      <c r="D78" s="1912" t="s">
        <v>100</v>
      </c>
      <c r="E78" s="1944" t="s">
        <v>2269</v>
      </c>
      <c r="F78" s="1871">
        <v>0</v>
      </c>
      <c r="G78" s="92">
        <v>4114</v>
      </c>
      <c r="H78" s="1871">
        <v>0</v>
      </c>
      <c r="I78" s="1871">
        <v>0</v>
      </c>
      <c r="J78" s="1871">
        <v>0</v>
      </c>
      <c r="K78" s="1871">
        <v>0</v>
      </c>
      <c r="L78" s="1871">
        <v>0</v>
      </c>
      <c r="M78" s="1886"/>
      <c r="N78" s="1873">
        <f t="shared" si="1"/>
        <v>4114</v>
      </c>
      <c r="O78" s="92"/>
      <c r="P78" s="92"/>
    </row>
    <row r="79" spans="1:17" ht="20.100000000000001" customHeight="1">
      <c r="A79" s="1868">
        <v>73</v>
      </c>
      <c r="B79" s="92" t="s">
        <v>2267</v>
      </c>
      <c r="C79" s="1358" t="s">
        <v>2206</v>
      </c>
      <c r="D79" s="1912" t="s">
        <v>100</v>
      </c>
      <c r="E79" s="1870" t="s">
        <v>2270</v>
      </c>
      <c r="F79" s="1871">
        <v>0</v>
      </c>
      <c r="G79" s="1871">
        <v>0</v>
      </c>
      <c r="H79" s="1248">
        <v>1</v>
      </c>
      <c r="I79" s="1871">
        <v>0</v>
      </c>
      <c r="J79" s="1871">
        <v>0</v>
      </c>
      <c r="K79" s="1871">
        <v>0</v>
      </c>
      <c r="L79" s="1871">
        <v>0</v>
      </c>
      <c r="M79" s="1945">
        <v>-199.56</v>
      </c>
      <c r="N79" s="1873">
        <f t="shared" si="1"/>
        <v>1</v>
      </c>
      <c r="O79" s="92"/>
      <c r="P79" s="92"/>
    </row>
    <row r="80" spans="1:17" ht="20.100000000000001" customHeight="1">
      <c r="A80" s="1877">
        <v>74</v>
      </c>
      <c r="B80" s="92" t="s">
        <v>2267</v>
      </c>
      <c r="C80" s="1358" t="s">
        <v>2206</v>
      </c>
      <c r="D80" s="1912" t="s">
        <v>100</v>
      </c>
      <c r="E80" s="1870" t="s">
        <v>32</v>
      </c>
      <c r="F80" s="1871">
        <v>0</v>
      </c>
      <c r="G80" s="1871">
        <v>0</v>
      </c>
      <c r="H80" s="1248">
        <v>1</v>
      </c>
      <c r="I80" s="1871">
        <v>0</v>
      </c>
      <c r="J80" s="1871">
        <v>0</v>
      </c>
      <c r="K80" s="1871">
        <v>0</v>
      </c>
      <c r="L80" s="1871">
        <v>0</v>
      </c>
      <c r="M80" s="1945">
        <v>-194.55</v>
      </c>
      <c r="N80" s="1873">
        <f t="shared" si="1"/>
        <v>1</v>
      </c>
      <c r="O80" s="92"/>
      <c r="P80" s="92"/>
    </row>
    <row r="81" spans="1:16" ht="20.100000000000001" customHeight="1">
      <c r="A81" s="1877">
        <v>75</v>
      </c>
      <c r="B81" s="92" t="s">
        <v>2267</v>
      </c>
      <c r="C81" s="1358" t="s">
        <v>2206</v>
      </c>
      <c r="D81" s="1925" t="s">
        <v>100</v>
      </c>
      <c r="E81" s="1870" t="s">
        <v>678</v>
      </c>
      <c r="F81" s="1871">
        <v>0</v>
      </c>
      <c r="G81" s="1871">
        <v>0</v>
      </c>
      <c r="H81" s="1248">
        <v>1</v>
      </c>
      <c r="I81" s="1871">
        <v>0</v>
      </c>
      <c r="J81" s="1871">
        <v>0</v>
      </c>
      <c r="K81" s="1871">
        <v>0</v>
      </c>
      <c r="L81" s="1871">
        <v>0</v>
      </c>
      <c r="M81" s="980">
        <v>-8718.1</v>
      </c>
      <c r="N81" s="1873">
        <f t="shared" si="1"/>
        <v>1</v>
      </c>
      <c r="O81" s="92"/>
      <c r="P81" s="92"/>
    </row>
    <row r="82" spans="1:16" ht="20.100000000000001" customHeight="1">
      <c r="A82" s="1868">
        <v>76</v>
      </c>
      <c r="B82" s="92" t="s">
        <v>2267</v>
      </c>
      <c r="C82" s="1358" t="s">
        <v>2206</v>
      </c>
      <c r="D82" s="1925" t="s">
        <v>150</v>
      </c>
      <c r="E82" s="1870" t="s">
        <v>2271</v>
      </c>
      <c r="F82" s="1871">
        <v>0</v>
      </c>
      <c r="G82" s="1871">
        <v>0</v>
      </c>
      <c r="H82" s="1248">
        <v>1</v>
      </c>
      <c r="I82" s="1871">
        <v>0</v>
      </c>
      <c r="J82" s="1871">
        <v>0</v>
      </c>
      <c r="K82" s="1871">
        <v>0</v>
      </c>
      <c r="L82" s="1871">
        <v>0</v>
      </c>
      <c r="M82" s="980">
        <v>43.75</v>
      </c>
      <c r="N82" s="1873">
        <f t="shared" si="1"/>
        <v>1</v>
      </c>
      <c r="O82" s="92"/>
      <c r="P82" s="92"/>
    </row>
    <row r="83" spans="1:16" ht="20.100000000000001" customHeight="1">
      <c r="A83" s="1877">
        <v>77</v>
      </c>
      <c r="B83" s="92" t="s">
        <v>2267</v>
      </c>
      <c r="C83" s="1358" t="s">
        <v>2206</v>
      </c>
      <c r="D83" s="1925" t="s">
        <v>100</v>
      </c>
      <c r="E83" s="1870" t="s">
        <v>2272</v>
      </c>
      <c r="F83" s="1871">
        <v>0</v>
      </c>
      <c r="G83" s="1871">
        <v>0</v>
      </c>
      <c r="H83" s="1871">
        <v>0</v>
      </c>
      <c r="I83" s="1871">
        <v>0</v>
      </c>
      <c r="J83" s="1871">
        <v>0</v>
      </c>
      <c r="K83" s="1871">
        <v>0</v>
      </c>
      <c r="L83" s="92">
        <v>1</v>
      </c>
      <c r="M83" s="1886">
        <v>3925</v>
      </c>
      <c r="N83" s="1873">
        <f t="shared" si="1"/>
        <v>0</v>
      </c>
      <c r="O83" s="92">
        <v>1</v>
      </c>
      <c r="P83" s="92"/>
    </row>
    <row r="84" spans="1:16" ht="20.100000000000001" customHeight="1">
      <c r="A84" s="1877">
        <v>78</v>
      </c>
      <c r="B84" s="92" t="s">
        <v>2267</v>
      </c>
      <c r="C84" s="1358" t="s">
        <v>2206</v>
      </c>
      <c r="D84" s="1090" t="s">
        <v>741</v>
      </c>
      <c r="E84" s="1892" t="s">
        <v>35</v>
      </c>
      <c r="F84" s="1871">
        <v>0</v>
      </c>
      <c r="G84" s="1871">
        <v>0</v>
      </c>
      <c r="H84" s="1871">
        <v>0</v>
      </c>
      <c r="I84" s="1871">
        <v>0</v>
      </c>
      <c r="J84" s="92">
        <v>8791</v>
      </c>
      <c r="K84" s="1871">
        <v>0</v>
      </c>
      <c r="L84" s="1871">
        <v>0</v>
      </c>
      <c r="M84" s="1886"/>
      <c r="N84" s="1873">
        <f t="shared" si="1"/>
        <v>8791</v>
      </c>
      <c r="O84" s="92"/>
      <c r="P84" s="92"/>
    </row>
    <row r="85" spans="1:16" ht="20.100000000000001" customHeight="1">
      <c r="A85" s="1868">
        <v>79</v>
      </c>
      <c r="B85" s="92" t="s">
        <v>2267</v>
      </c>
      <c r="C85" s="1358" t="s">
        <v>2206</v>
      </c>
      <c r="D85" s="1946" t="s">
        <v>100</v>
      </c>
      <c r="E85" s="1870" t="s">
        <v>2273</v>
      </c>
      <c r="F85" s="1871">
        <v>0</v>
      </c>
      <c r="G85" s="92">
        <v>3687</v>
      </c>
      <c r="H85" s="1871">
        <v>0</v>
      </c>
      <c r="I85" s="1871">
        <v>0</v>
      </c>
      <c r="J85" s="1871">
        <v>0</v>
      </c>
      <c r="K85" s="1871">
        <v>0</v>
      </c>
      <c r="L85" s="1871">
        <v>0</v>
      </c>
      <c r="M85" s="1886"/>
      <c r="N85" s="1873">
        <f t="shared" si="1"/>
        <v>3687</v>
      </c>
      <c r="O85" s="92"/>
      <c r="P85" s="92"/>
    </row>
    <row r="86" spans="1:16" ht="20.100000000000001" customHeight="1">
      <c r="A86" s="1877">
        <v>80</v>
      </c>
      <c r="B86" s="92" t="s">
        <v>2267</v>
      </c>
      <c r="C86" s="1358" t="s">
        <v>2206</v>
      </c>
      <c r="D86" s="1891" t="s">
        <v>100</v>
      </c>
      <c r="E86" s="1905" t="s">
        <v>2274</v>
      </c>
      <c r="F86" s="1947">
        <v>495</v>
      </c>
      <c r="G86" s="1871">
        <v>0</v>
      </c>
      <c r="H86" s="1871">
        <v>0</v>
      </c>
      <c r="I86" s="1871">
        <v>0</v>
      </c>
      <c r="J86" s="1871">
        <v>0</v>
      </c>
      <c r="K86" s="1871">
        <v>0</v>
      </c>
      <c r="L86" s="1871">
        <v>0</v>
      </c>
      <c r="M86" s="1886"/>
      <c r="N86" s="1873">
        <f t="shared" si="1"/>
        <v>495</v>
      </c>
      <c r="O86" s="92"/>
      <c r="P86" s="92"/>
    </row>
    <row r="87" spans="1:16" ht="20.100000000000001" customHeight="1">
      <c r="A87" s="1877">
        <v>81</v>
      </c>
      <c r="B87" s="92" t="s">
        <v>2267</v>
      </c>
      <c r="C87" s="1358" t="s">
        <v>2206</v>
      </c>
      <c r="D87" s="1891" t="s">
        <v>816</v>
      </c>
      <c r="E87" s="1930" t="s">
        <v>2236</v>
      </c>
      <c r="F87" s="1871">
        <v>0</v>
      </c>
      <c r="G87" s="1871">
        <v>0</v>
      </c>
      <c r="H87" s="1871">
        <v>0</v>
      </c>
      <c r="I87" s="1871">
        <v>0</v>
      </c>
      <c r="J87" s="1871">
        <v>0</v>
      </c>
      <c r="K87" s="1871">
        <v>0</v>
      </c>
      <c r="L87" s="92">
        <v>4</v>
      </c>
      <c r="M87" s="1886">
        <v>125000</v>
      </c>
      <c r="N87" s="1873">
        <f t="shared" si="1"/>
        <v>0</v>
      </c>
      <c r="O87" s="92">
        <v>4</v>
      </c>
      <c r="P87" s="92"/>
    </row>
    <row r="88" spans="1:16" ht="20.100000000000001" customHeight="1">
      <c r="A88" s="1868">
        <v>82</v>
      </c>
      <c r="B88" s="92" t="s">
        <v>2267</v>
      </c>
      <c r="C88" s="1358" t="s">
        <v>2206</v>
      </c>
      <c r="D88" s="1891"/>
      <c r="E88" s="1930" t="s">
        <v>2235</v>
      </c>
      <c r="F88" s="1871">
        <v>0</v>
      </c>
      <c r="G88" s="1871">
        <v>0</v>
      </c>
      <c r="H88" s="1871">
        <v>0</v>
      </c>
      <c r="I88" s="1871">
        <v>0</v>
      </c>
      <c r="J88" s="1871">
        <v>0</v>
      </c>
      <c r="K88" s="1871">
        <v>0</v>
      </c>
      <c r="L88" s="92">
        <v>15</v>
      </c>
      <c r="M88" s="1886">
        <v>1235000</v>
      </c>
      <c r="N88" s="1873">
        <f t="shared" si="1"/>
        <v>0</v>
      </c>
      <c r="O88" s="92">
        <v>15</v>
      </c>
      <c r="P88" s="92"/>
    </row>
    <row r="89" spans="1:16" ht="20.100000000000001" customHeight="1">
      <c r="A89" s="1877">
        <v>83</v>
      </c>
      <c r="B89" s="92" t="s">
        <v>2275</v>
      </c>
      <c r="C89" s="1358" t="s">
        <v>2206</v>
      </c>
      <c r="D89" s="1912" t="s">
        <v>100</v>
      </c>
      <c r="E89" s="1905" t="s">
        <v>2276</v>
      </c>
      <c r="F89" s="1871">
        <v>0</v>
      </c>
      <c r="G89" s="1871">
        <v>0</v>
      </c>
      <c r="H89" s="1871">
        <v>0</v>
      </c>
      <c r="I89" s="1871">
        <v>0</v>
      </c>
      <c r="J89" s="1871">
        <v>0</v>
      </c>
      <c r="K89" s="1871">
        <v>0</v>
      </c>
      <c r="L89" s="92">
        <v>1</v>
      </c>
      <c r="M89" s="1886">
        <v>257421.25</v>
      </c>
      <c r="N89" s="1873">
        <f t="shared" si="1"/>
        <v>1</v>
      </c>
      <c r="O89" s="92"/>
      <c r="P89" s="92"/>
    </row>
    <row r="90" spans="1:16" ht="20.100000000000001" customHeight="1">
      <c r="A90" s="1877">
        <v>84</v>
      </c>
      <c r="B90" s="92" t="s">
        <v>2275</v>
      </c>
      <c r="C90" s="1358" t="s">
        <v>2206</v>
      </c>
      <c r="D90" s="1912" t="s">
        <v>100</v>
      </c>
      <c r="E90" s="1870" t="s">
        <v>32</v>
      </c>
      <c r="F90" s="1871">
        <v>0</v>
      </c>
      <c r="G90" s="1871">
        <v>0</v>
      </c>
      <c r="H90" s="92">
        <v>1</v>
      </c>
      <c r="I90" s="1871">
        <v>0</v>
      </c>
      <c r="J90" s="1871">
        <v>0</v>
      </c>
      <c r="K90" s="1871">
        <v>0</v>
      </c>
      <c r="L90" s="1871">
        <v>0</v>
      </c>
      <c r="M90" s="1886">
        <v>68.81</v>
      </c>
      <c r="N90" s="1873">
        <f t="shared" si="1"/>
        <v>1</v>
      </c>
      <c r="O90" s="92"/>
      <c r="P90" s="92"/>
    </row>
    <row r="91" spans="1:16" ht="20.100000000000001" customHeight="1">
      <c r="A91" s="1868">
        <v>85</v>
      </c>
      <c r="B91" s="92" t="s">
        <v>2275</v>
      </c>
      <c r="C91" s="1358" t="s">
        <v>2206</v>
      </c>
      <c r="D91" s="1925" t="s">
        <v>2214</v>
      </c>
      <c r="E91" s="1888" t="s">
        <v>2215</v>
      </c>
      <c r="F91" s="1871">
        <v>0</v>
      </c>
      <c r="G91" s="1871">
        <v>0</v>
      </c>
      <c r="H91" s="1871">
        <v>0</v>
      </c>
      <c r="I91" s="1871">
        <v>0</v>
      </c>
      <c r="J91" s="1871">
        <v>0</v>
      </c>
      <c r="K91" s="1871">
        <v>0</v>
      </c>
      <c r="L91" s="92">
        <v>1</v>
      </c>
      <c r="M91" s="1886">
        <v>6180</v>
      </c>
      <c r="N91" s="1873">
        <f t="shared" si="1"/>
        <v>0</v>
      </c>
      <c r="O91" s="92">
        <v>1</v>
      </c>
      <c r="P91" s="92"/>
    </row>
    <row r="92" spans="1:16" ht="20.100000000000001" customHeight="1">
      <c r="A92" s="1877">
        <v>86</v>
      </c>
      <c r="B92" s="92" t="s">
        <v>2275</v>
      </c>
      <c r="C92" s="1358" t="s">
        <v>2206</v>
      </c>
      <c r="D92" s="1891" t="s">
        <v>100</v>
      </c>
      <c r="E92" s="1892" t="s">
        <v>35</v>
      </c>
      <c r="F92" s="1871">
        <v>0</v>
      </c>
      <c r="G92" s="1871">
        <v>0</v>
      </c>
      <c r="H92" s="1871">
        <v>0</v>
      </c>
      <c r="I92" s="1871">
        <v>0</v>
      </c>
      <c r="J92" s="92">
        <v>8873</v>
      </c>
      <c r="K92" s="1871">
        <v>0</v>
      </c>
      <c r="L92" s="1871">
        <v>0</v>
      </c>
      <c r="M92" s="1886"/>
      <c r="N92" s="1873">
        <f t="shared" si="1"/>
        <v>8863</v>
      </c>
      <c r="O92" s="92">
        <v>10</v>
      </c>
      <c r="P92" s="92"/>
    </row>
    <row r="93" spans="1:16" ht="20.100000000000001" customHeight="1">
      <c r="A93" s="1877">
        <v>87</v>
      </c>
      <c r="B93" s="92" t="s">
        <v>2275</v>
      </c>
      <c r="C93" s="1358" t="s">
        <v>2206</v>
      </c>
      <c r="D93" s="1891" t="s">
        <v>100</v>
      </c>
      <c r="E93" s="1870" t="s">
        <v>2277</v>
      </c>
      <c r="F93" s="1871">
        <v>0</v>
      </c>
      <c r="G93" s="92">
        <v>966</v>
      </c>
      <c r="H93" s="1871">
        <v>0</v>
      </c>
      <c r="I93" s="1871">
        <v>0</v>
      </c>
      <c r="J93" s="1871">
        <v>0</v>
      </c>
      <c r="K93" s="1871">
        <v>0</v>
      </c>
      <c r="L93" s="1871">
        <v>0</v>
      </c>
      <c r="M93" s="1886"/>
      <c r="N93" s="1873">
        <f t="shared" si="1"/>
        <v>966</v>
      </c>
      <c r="O93" s="92"/>
      <c r="P93" s="92"/>
    </row>
    <row r="94" spans="1:16" ht="20.100000000000001" customHeight="1">
      <c r="A94" s="1868">
        <v>88</v>
      </c>
      <c r="B94" s="92" t="s">
        <v>2275</v>
      </c>
      <c r="C94" s="1358" t="s">
        <v>2206</v>
      </c>
      <c r="D94" s="1891"/>
      <c r="E94" s="3403" t="s">
        <v>2278</v>
      </c>
      <c r="F94" s="1948">
        <v>73</v>
      </c>
      <c r="G94" s="1871">
        <v>0</v>
      </c>
      <c r="H94" s="1871">
        <v>0</v>
      </c>
      <c r="I94" s="1871">
        <v>0</v>
      </c>
      <c r="J94" s="1871">
        <v>0</v>
      </c>
      <c r="K94" s="1871">
        <v>0</v>
      </c>
      <c r="L94" s="1871">
        <v>0</v>
      </c>
      <c r="M94" s="1886"/>
      <c r="N94" s="1873">
        <f t="shared" si="1"/>
        <v>73</v>
      </c>
      <c r="O94" s="92"/>
      <c r="P94" s="92"/>
    </row>
    <row r="95" spans="1:16" ht="20.100000000000001" customHeight="1">
      <c r="A95" s="1877">
        <v>89</v>
      </c>
      <c r="B95" s="92" t="s">
        <v>2275</v>
      </c>
      <c r="C95" s="1358" t="s">
        <v>2206</v>
      </c>
      <c r="D95" s="1949" t="s">
        <v>2279</v>
      </c>
      <c r="E95" s="1988" t="s">
        <v>2280</v>
      </c>
      <c r="F95" s="1871">
        <v>0</v>
      </c>
      <c r="G95" s="1871">
        <v>0</v>
      </c>
      <c r="H95" s="1871">
        <v>0</v>
      </c>
      <c r="I95" s="1871">
        <v>0</v>
      </c>
      <c r="J95" s="1871">
        <v>0</v>
      </c>
      <c r="K95" s="1871">
        <v>0</v>
      </c>
      <c r="L95" s="1903">
        <v>3</v>
      </c>
      <c r="M95" s="1911">
        <v>87000</v>
      </c>
      <c r="N95" s="1873">
        <f t="shared" si="1"/>
        <v>0</v>
      </c>
      <c r="O95" s="92">
        <v>3</v>
      </c>
      <c r="P95" s="92"/>
    </row>
    <row r="96" spans="1:16" ht="20.100000000000001" customHeight="1">
      <c r="A96" s="1877">
        <v>90</v>
      </c>
      <c r="B96" s="92" t="s">
        <v>2275</v>
      </c>
      <c r="C96" s="1358" t="s">
        <v>2206</v>
      </c>
      <c r="D96" s="1949" t="s">
        <v>2279</v>
      </c>
      <c r="E96" s="1988" t="s">
        <v>2216</v>
      </c>
      <c r="F96" s="1871">
        <v>0</v>
      </c>
      <c r="G96" s="1871">
        <v>0</v>
      </c>
      <c r="H96" s="1871">
        <v>0</v>
      </c>
      <c r="I96" s="1871">
        <v>0</v>
      </c>
      <c r="J96" s="1871">
        <v>0</v>
      </c>
      <c r="K96" s="1871">
        <v>0</v>
      </c>
      <c r="L96" s="1903">
        <v>16</v>
      </c>
      <c r="M96" s="1911">
        <v>6367000</v>
      </c>
      <c r="N96" s="1873">
        <f t="shared" si="1"/>
        <v>0</v>
      </c>
      <c r="O96" s="92">
        <v>16</v>
      </c>
      <c r="P96" s="92"/>
    </row>
    <row r="97" spans="1:16" ht="20.100000000000001" customHeight="1">
      <c r="A97" s="1868">
        <v>91</v>
      </c>
      <c r="B97" s="92" t="s">
        <v>2281</v>
      </c>
      <c r="C97" s="1358" t="s">
        <v>2206</v>
      </c>
      <c r="D97" s="1950" t="s">
        <v>890</v>
      </c>
      <c r="E97" s="1951" t="s">
        <v>2282</v>
      </c>
      <c r="F97" s="1871">
        <v>0</v>
      </c>
      <c r="G97" s="1871">
        <v>0</v>
      </c>
      <c r="H97" s="1871">
        <v>0</v>
      </c>
      <c r="I97" s="1871">
        <v>0</v>
      </c>
      <c r="J97" s="1871">
        <v>0</v>
      </c>
      <c r="K97" s="1871">
        <v>0</v>
      </c>
      <c r="L97" s="1903">
        <v>1</v>
      </c>
      <c r="M97" s="1911">
        <v>3000</v>
      </c>
      <c r="N97" s="1873">
        <f t="shared" si="1"/>
        <v>0</v>
      </c>
      <c r="O97" s="92">
        <v>1</v>
      </c>
      <c r="P97" s="92"/>
    </row>
    <row r="98" spans="1:16" ht="20.100000000000001" customHeight="1">
      <c r="A98" s="1877">
        <v>92</v>
      </c>
      <c r="B98" s="92" t="s">
        <v>2281</v>
      </c>
      <c r="C98" s="1358" t="s">
        <v>2206</v>
      </c>
      <c r="D98" s="1952">
        <v>46119</v>
      </c>
      <c r="E98" s="1951" t="s">
        <v>2283</v>
      </c>
      <c r="F98" s="1871">
        <v>0</v>
      </c>
      <c r="G98" s="1871">
        <v>0</v>
      </c>
      <c r="H98" s="1871">
        <v>0</v>
      </c>
      <c r="I98" s="1871">
        <v>0</v>
      </c>
      <c r="J98" s="1871">
        <v>0</v>
      </c>
      <c r="K98" s="1871">
        <v>0</v>
      </c>
      <c r="L98" s="92">
        <v>1</v>
      </c>
      <c r="M98" s="1886">
        <v>4000</v>
      </c>
      <c r="N98" s="1873">
        <f t="shared" si="1"/>
        <v>0</v>
      </c>
      <c r="O98" s="92">
        <v>1</v>
      </c>
      <c r="P98" s="92"/>
    </row>
    <row r="99" spans="1:16" ht="20.100000000000001" customHeight="1">
      <c r="A99" s="1877">
        <v>93</v>
      </c>
      <c r="B99" s="92" t="s">
        <v>2281</v>
      </c>
      <c r="C99" s="1358" t="s">
        <v>2206</v>
      </c>
      <c r="D99" s="1953">
        <v>44692</v>
      </c>
      <c r="E99" s="1954" t="s">
        <v>2284</v>
      </c>
      <c r="F99" s="1871">
        <v>0</v>
      </c>
      <c r="G99" s="1871">
        <v>0</v>
      </c>
      <c r="H99" s="1871">
        <v>0</v>
      </c>
      <c r="I99" s="1871">
        <v>0</v>
      </c>
      <c r="J99" s="1871">
        <v>0</v>
      </c>
      <c r="K99" s="1871">
        <v>0</v>
      </c>
      <c r="L99" s="92">
        <v>1</v>
      </c>
      <c r="M99" s="1955">
        <v>61776.959999999999</v>
      </c>
      <c r="N99" s="1873">
        <f t="shared" si="1"/>
        <v>1</v>
      </c>
      <c r="O99" s="92"/>
      <c r="P99" s="92"/>
    </row>
    <row r="100" spans="1:16" ht="20.100000000000001" customHeight="1">
      <c r="A100" s="1868">
        <v>94</v>
      </c>
      <c r="B100" s="92" t="s">
        <v>2281</v>
      </c>
      <c r="C100" s="1358" t="s">
        <v>2206</v>
      </c>
      <c r="D100" s="1956" t="s">
        <v>2285</v>
      </c>
      <c r="E100" s="1951" t="s">
        <v>2286</v>
      </c>
      <c r="F100" s="1871">
        <v>0</v>
      </c>
      <c r="G100" s="1871">
        <v>0</v>
      </c>
      <c r="H100" s="1871">
        <v>0</v>
      </c>
      <c r="I100" s="1871">
        <v>0</v>
      </c>
      <c r="J100" s="1871">
        <v>0</v>
      </c>
      <c r="K100" s="1871">
        <v>0</v>
      </c>
      <c r="L100" s="92">
        <v>1</v>
      </c>
      <c r="M100" s="1955">
        <v>35112.03</v>
      </c>
      <c r="N100" s="1873">
        <f t="shared" si="1"/>
        <v>1</v>
      </c>
      <c r="O100" s="92"/>
      <c r="P100" s="92"/>
    </row>
    <row r="101" spans="1:16" ht="20.100000000000001" customHeight="1">
      <c r="A101" s="1877">
        <v>95</v>
      </c>
      <c r="B101" s="92" t="s">
        <v>2281</v>
      </c>
      <c r="C101" s="1358" t="s">
        <v>2206</v>
      </c>
      <c r="D101" s="1956" t="s">
        <v>2287</v>
      </c>
      <c r="E101" s="1951" t="s">
        <v>2288</v>
      </c>
      <c r="F101" s="1871">
        <v>0</v>
      </c>
      <c r="G101" s="1871">
        <v>0</v>
      </c>
      <c r="H101" s="1871">
        <v>0</v>
      </c>
      <c r="I101" s="1871">
        <v>0</v>
      </c>
      <c r="J101" s="1871">
        <v>0</v>
      </c>
      <c r="K101" s="1871">
        <v>0</v>
      </c>
      <c r="L101" s="92">
        <v>1</v>
      </c>
      <c r="M101" s="1955">
        <v>9848</v>
      </c>
      <c r="N101" s="1873">
        <f t="shared" si="1"/>
        <v>1</v>
      </c>
      <c r="O101" s="92"/>
      <c r="P101" s="92"/>
    </row>
    <row r="102" spans="1:16" ht="20.100000000000001" customHeight="1">
      <c r="A102" s="1877">
        <v>96</v>
      </c>
      <c r="B102" s="92" t="s">
        <v>2281</v>
      </c>
      <c r="C102" s="1358" t="s">
        <v>2206</v>
      </c>
      <c r="D102" s="1957" t="s">
        <v>100</v>
      </c>
      <c r="E102" s="1958" t="s">
        <v>35</v>
      </c>
      <c r="F102" s="1871">
        <v>0</v>
      </c>
      <c r="G102" s="1871">
        <v>0</v>
      </c>
      <c r="H102" s="1871">
        <v>0</v>
      </c>
      <c r="I102" s="1871">
        <v>0</v>
      </c>
      <c r="J102" s="92">
        <v>6653</v>
      </c>
      <c r="K102" s="1871">
        <v>0</v>
      </c>
      <c r="L102" s="1871">
        <v>0</v>
      </c>
      <c r="M102" s="1886"/>
      <c r="N102" s="1873">
        <f t="shared" si="1"/>
        <v>6517</v>
      </c>
      <c r="O102" s="92">
        <v>136</v>
      </c>
      <c r="P102" s="92"/>
    </row>
    <row r="103" spans="1:16" ht="20.100000000000001" customHeight="1">
      <c r="A103" s="1868">
        <v>97</v>
      </c>
      <c r="B103" s="92" t="s">
        <v>2281</v>
      </c>
      <c r="C103" s="1358" t="s">
        <v>2206</v>
      </c>
      <c r="D103" s="1957" t="s">
        <v>100</v>
      </c>
      <c r="E103" s="1959" t="s">
        <v>2289</v>
      </c>
      <c r="F103" s="1871">
        <v>0</v>
      </c>
      <c r="G103" s="92">
        <v>3585</v>
      </c>
      <c r="H103" s="1871">
        <v>0</v>
      </c>
      <c r="I103" s="1871">
        <v>0</v>
      </c>
      <c r="J103" s="1871">
        <v>0</v>
      </c>
      <c r="K103" s="1871">
        <v>0</v>
      </c>
      <c r="L103" s="1871">
        <v>0</v>
      </c>
      <c r="M103" s="1886"/>
      <c r="N103" s="1873">
        <f t="shared" si="1"/>
        <v>3584</v>
      </c>
      <c r="O103" s="92">
        <v>1</v>
      </c>
      <c r="P103" s="92"/>
    </row>
    <row r="104" spans="1:16" ht="20.100000000000001" customHeight="1">
      <c r="A104" s="1877">
        <v>98</v>
      </c>
      <c r="B104" s="92" t="s">
        <v>2281</v>
      </c>
      <c r="C104" s="1358" t="s">
        <v>2206</v>
      </c>
      <c r="D104" s="1960"/>
      <c r="E104" s="3403" t="s">
        <v>2290</v>
      </c>
      <c r="F104" s="1961">
        <v>519</v>
      </c>
      <c r="G104" s="1871">
        <v>0</v>
      </c>
      <c r="H104" s="1871">
        <v>0</v>
      </c>
      <c r="I104" s="1871">
        <v>0</v>
      </c>
      <c r="J104" s="1871">
        <v>0</v>
      </c>
      <c r="K104" s="1871">
        <v>0</v>
      </c>
      <c r="L104" s="1871">
        <v>0</v>
      </c>
      <c r="M104" s="1886"/>
      <c r="N104" s="1873">
        <f t="shared" si="1"/>
        <v>519</v>
      </c>
      <c r="O104" s="92"/>
      <c r="P104" s="92"/>
    </row>
    <row r="105" spans="1:16" ht="20.100000000000001" customHeight="1">
      <c r="A105" s="1877">
        <v>99</v>
      </c>
      <c r="B105" s="92" t="s">
        <v>2281</v>
      </c>
      <c r="C105" s="1358" t="s">
        <v>2206</v>
      </c>
      <c r="D105" s="1962" t="s">
        <v>2291</v>
      </c>
      <c r="E105" s="1963" t="s">
        <v>2292</v>
      </c>
      <c r="F105" s="1871">
        <v>0</v>
      </c>
      <c r="G105" s="1871">
        <v>0</v>
      </c>
      <c r="H105" s="1871">
        <v>0</v>
      </c>
      <c r="I105" s="1871">
        <v>0</v>
      </c>
      <c r="J105" s="1871">
        <v>0</v>
      </c>
      <c r="K105" s="1871">
        <v>0</v>
      </c>
      <c r="L105" s="92">
        <v>30</v>
      </c>
      <c r="M105" s="1964">
        <v>573730</v>
      </c>
      <c r="N105" s="1873">
        <f t="shared" si="1"/>
        <v>0</v>
      </c>
      <c r="O105" s="92">
        <v>30</v>
      </c>
      <c r="P105" s="92"/>
    </row>
    <row r="106" spans="1:16" ht="20.100000000000001" customHeight="1">
      <c r="A106" s="1868">
        <v>100</v>
      </c>
      <c r="B106" s="92" t="s">
        <v>2281</v>
      </c>
      <c r="C106" s="1358" t="s">
        <v>2206</v>
      </c>
      <c r="D106" s="1962" t="s">
        <v>2293</v>
      </c>
      <c r="E106" s="1963" t="s">
        <v>2294</v>
      </c>
      <c r="F106" s="1871">
        <v>0</v>
      </c>
      <c r="G106" s="1871">
        <v>0</v>
      </c>
      <c r="H106" s="1871">
        <v>0</v>
      </c>
      <c r="I106" s="1871">
        <v>0</v>
      </c>
      <c r="J106" s="1871">
        <v>0</v>
      </c>
      <c r="K106" s="1871">
        <v>0</v>
      </c>
      <c r="L106" s="92">
        <v>32</v>
      </c>
      <c r="M106" s="1965">
        <v>3300000</v>
      </c>
      <c r="N106" s="1873">
        <f t="shared" si="1"/>
        <v>0</v>
      </c>
      <c r="O106" s="92">
        <v>32</v>
      </c>
      <c r="P106" s="92"/>
    </row>
    <row r="107" spans="1:16" ht="20.100000000000001" customHeight="1">
      <c r="A107" s="1877">
        <v>101</v>
      </c>
      <c r="B107" s="92" t="s">
        <v>2281</v>
      </c>
      <c r="C107" s="1358" t="s">
        <v>2206</v>
      </c>
      <c r="D107" s="92"/>
      <c r="E107" s="1966" t="s">
        <v>2295</v>
      </c>
      <c r="F107" s="1871">
        <v>0</v>
      </c>
      <c r="G107" s="1871">
        <v>0</v>
      </c>
      <c r="H107" s="1871">
        <v>0</v>
      </c>
      <c r="I107" s="1871">
        <v>0</v>
      </c>
      <c r="J107" s="1871">
        <v>0</v>
      </c>
      <c r="K107" s="1871">
        <v>0</v>
      </c>
      <c r="L107" s="92">
        <v>1</v>
      </c>
      <c r="M107" s="1886"/>
      <c r="N107" s="1873">
        <f t="shared" si="1"/>
        <v>0</v>
      </c>
      <c r="O107" s="92">
        <v>1</v>
      </c>
      <c r="P107" s="92"/>
    </row>
    <row r="108" spans="1:16" ht="20.100000000000001" customHeight="1">
      <c r="A108" s="1877">
        <v>102</v>
      </c>
      <c r="B108" s="92" t="s">
        <v>2296</v>
      </c>
      <c r="C108" s="1358" t="s">
        <v>2206</v>
      </c>
      <c r="D108" s="1912" t="s">
        <v>2297</v>
      </c>
      <c r="E108" s="1870" t="s">
        <v>2298</v>
      </c>
      <c r="F108" s="1871">
        <v>0</v>
      </c>
      <c r="G108" s="1871">
        <v>0</v>
      </c>
      <c r="H108" s="1871">
        <v>0</v>
      </c>
      <c r="I108" s="1871">
        <v>0</v>
      </c>
      <c r="J108" s="1871">
        <v>0</v>
      </c>
      <c r="K108" s="1871">
        <v>0</v>
      </c>
      <c r="L108" s="92">
        <v>1</v>
      </c>
      <c r="M108" s="1886">
        <v>3000</v>
      </c>
      <c r="N108" s="1873">
        <f t="shared" si="1"/>
        <v>0</v>
      </c>
      <c r="O108" s="92">
        <v>1</v>
      </c>
      <c r="P108" s="92"/>
    </row>
    <row r="109" spans="1:16" ht="20.100000000000001" customHeight="1">
      <c r="A109" s="1868">
        <v>103</v>
      </c>
      <c r="B109" s="92" t="s">
        <v>2296</v>
      </c>
      <c r="C109" s="1358" t="s">
        <v>2206</v>
      </c>
      <c r="D109" s="1912" t="s">
        <v>2299</v>
      </c>
      <c r="E109" s="1905" t="s">
        <v>2300</v>
      </c>
      <c r="F109" s="1871">
        <v>0</v>
      </c>
      <c r="G109" s="1871">
        <v>0</v>
      </c>
      <c r="H109" s="1871">
        <v>0</v>
      </c>
      <c r="I109" s="1871">
        <v>0</v>
      </c>
      <c r="J109" s="1871">
        <v>0</v>
      </c>
      <c r="K109" s="1871">
        <v>0</v>
      </c>
      <c r="L109" s="92">
        <v>1</v>
      </c>
      <c r="M109" s="1886">
        <v>4400</v>
      </c>
      <c r="N109" s="1873">
        <f t="shared" si="1"/>
        <v>1</v>
      </c>
      <c r="O109" s="92"/>
      <c r="P109" s="92"/>
    </row>
    <row r="110" spans="1:16" ht="20.100000000000001" customHeight="1">
      <c r="A110" s="1877">
        <v>104</v>
      </c>
      <c r="B110" s="92" t="s">
        <v>2296</v>
      </c>
      <c r="C110" s="1358" t="s">
        <v>2206</v>
      </c>
      <c r="D110" s="1912" t="s">
        <v>100</v>
      </c>
      <c r="E110" s="1967" t="s">
        <v>32</v>
      </c>
      <c r="F110" s="1871">
        <v>0</v>
      </c>
      <c r="G110" s="1871">
        <v>0</v>
      </c>
      <c r="H110" s="1248">
        <v>1</v>
      </c>
      <c r="I110" s="1871">
        <v>0</v>
      </c>
      <c r="J110" s="1871">
        <v>0</v>
      </c>
      <c r="K110" s="1871">
        <v>0</v>
      </c>
      <c r="L110" s="1871">
        <v>0</v>
      </c>
      <c r="M110" s="1886">
        <v>0.28000000000000003</v>
      </c>
      <c r="N110" s="1873">
        <f t="shared" si="1"/>
        <v>1</v>
      </c>
      <c r="O110" s="92"/>
      <c r="P110" s="92"/>
    </row>
    <row r="111" spans="1:16" ht="20.100000000000001" customHeight="1">
      <c r="A111" s="1877">
        <v>105</v>
      </c>
      <c r="B111" s="92" t="s">
        <v>2296</v>
      </c>
      <c r="C111" s="1358" t="s">
        <v>2206</v>
      </c>
      <c r="D111" s="1912" t="s">
        <v>100</v>
      </c>
      <c r="E111" s="1968" t="s">
        <v>2301</v>
      </c>
      <c r="F111" s="1871">
        <v>0</v>
      </c>
      <c r="G111" s="1871">
        <v>0</v>
      </c>
      <c r="H111" s="1248">
        <v>1</v>
      </c>
      <c r="I111" s="1871">
        <v>0</v>
      </c>
      <c r="J111" s="1871">
        <v>0</v>
      </c>
      <c r="K111" s="1871">
        <v>0</v>
      </c>
      <c r="L111" s="1871">
        <v>0</v>
      </c>
      <c r="M111" s="1886">
        <v>1.5</v>
      </c>
      <c r="N111" s="1873">
        <f t="shared" si="1"/>
        <v>1</v>
      </c>
      <c r="O111" s="92"/>
      <c r="P111" s="92"/>
    </row>
    <row r="112" spans="1:16" ht="20.100000000000001" customHeight="1">
      <c r="A112" s="1868">
        <v>106</v>
      </c>
      <c r="B112" s="92" t="s">
        <v>2296</v>
      </c>
      <c r="C112" s="1358" t="s">
        <v>2206</v>
      </c>
      <c r="D112" s="1090" t="s">
        <v>2302</v>
      </c>
      <c r="E112" s="1892" t="s">
        <v>2303</v>
      </c>
      <c r="F112" s="1871">
        <v>0</v>
      </c>
      <c r="G112" s="1871">
        <v>0</v>
      </c>
      <c r="H112" s="1871">
        <v>0</v>
      </c>
      <c r="I112" s="1871">
        <v>0</v>
      </c>
      <c r="J112" s="1871">
        <v>0</v>
      </c>
      <c r="K112" s="1871">
        <v>0</v>
      </c>
      <c r="L112" s="92">
        <v>1</v>
      </c>
      <c r="M112" s="1886">
        <v>11750</v>
      </c>
      <c r="N112" s="1873">
        <f t="shared" si="1"/>
        <v>0</v>
      </c>
      <c r="O112" s="92">
        <v>1</v>
      </c>
      <c r="P112" s="92"/>
    </row>
    <row r="113" spans="1:16" ht="20.100000000000001" customHeight="1">
      <c r="A113" s="1877">
        <v>107</v>
      </c>
      <c r="B113" s="92" t="s">
        <v>2296</v>
      </c>
      <c r="C113" s="1358" t="s">
        <v>2206</v>
      </c>
      <c r="D113" s="1912" t="s">
        <v>100</v>
      </c>
      <c r="E113" s="1870" t="s">
        <v>2304</v>
      </c>
      <c r="F113" s="1871">
        <v>0</v>
      </c>
      <c r="G113" s="1871">
        <v>0</v>
      </c>
      <c r="H113" s="1871">
        <v>0</v>
      </c>
      <c r="I113" s="1871">
        <v>0</v>
      </c>
      <c r="J113" s="92">
        <v>4320</v>
      </c>
      <c r="K113" s="1871">
        <v>0</v>
      </c>
      <c r="L113" s="1871">
        <v>0</v>
      </c>
      <c r="M113" s="1886"/>
      <c r="N113" s="1873">
        <f t="shared" si="1"/>
        <v>4295</v>
      </c>
      <c r="O113" s="92">
        <v>25</v>
      </c>
      <c r="P113" s="92"/>
    </row>
    <row r="114" spans="1:16" ht="20.100000000000001" customHeight="1">
      <c r="A114" s="1877">
        <v>108</v>
      </c>
      <c r="B114" s="92" t="s">
        <v>2296</v>
      </c>
      <c r="C114" s="1358" t="s">
        <v>2206</v>
      </c>
      <c r="D114" s="1912" t="s">
        <v>100</v>
      </c>
      <c r="E114" s="1870" t="s">
        <v>2305</v>
      </c>
      <c r="F114" s="1871">
        <v>0</v>
      </c>
      <c r="G114" s="92">
        <v>1643</v>
      </c>
      <c r="H114" s="1871">
        <v>0</v>
      </c>
      <c r="I114" s="1871">
        <v>0</v>
      </c>
      <c r="J114" s="1871">
        <v>0</v>
      </c>
      <c r="K114" s="1871">
        <v>0</v>
      </c>
      <c r="L114" s="1871">
        <v>0</v>
      </c>
      <c r="M114" s="1886"/>
      <c r="N114" s="1873">
        <f t="shared" si="1"/>
        <v>1643</v>
      </c>
      <c r="O114" s="92"/>
      <c r="P114" s="92"/>
    </row>
    <row r="115" spans="1:16" ht="20.100000000000001" customHeight="1">
      <c r="A115" s="1868">
        <v>109</v>
      </c>
      <c r="B115" s="92" t="s">
        <v>2296</v>
      </c>
      <c r="C115" s="1358" t="s">
        <v>2206</v>
      </c>
      <c r="D115" s="92"/>
      <c r="E115" s="3403" t="s">
        <v>2306</v>
      </c>
      <c r="F115" s="92">
        <v>104</v>
      </c>
      <c r="G115" s="1871">
        <v>0</v>
      </c>
      <c r="H115" s="1871">
        <v>0</v>
      </c>
      <c r="I115" s="1871">
        <v>0</v>
      </c>
      <c r="J115" s="1871">
        <v>0</v>
      </c>
      <c r="K115" s="1871">
        <v>0</v>
      </c>
      <c r="L115" s="1871">
        <v>0</v>
      </c>
      <c r="M115" s="1886"/>
      <c r="N115" s="1873">
        <f t="shared" si="1"/>
        <v>104</v>
      </c>
      <c r="O115" s="92"/>
      <c r="P115" s="92"/>
    </row>
    <row r="116" spans="1:16" ht="20.100000000000001" customHeight="1">
      <c r="A116" s="1877">
        <v>110</v>
      </c>
      <c r="B116" s="92" t="s">
        <v>2307</v>
      </c>
      <c r="C116" s="1358" t="s">
        <v>2206</v>
      </c>
      <c r="D116" s="1912" t="s">
        <v>100</v>
      </c>
      <c r="E116" s="1870" t="s">
        <v>48</v>
      </c>
      <c r="F116" s="1871">
        <v>0</v>
      </c>
      <c r="G116" s="1871">
        <v>0</v>
      </c>
      <c r="H116" s="1871">
        <v>0</v>
      </c>
      <c r="I116" s="1871">
        <v>0</v>
      </c>
      <c r="J116" s="1871">
        <v>0</v>
      </c>
      <c r="K116" s="1871">
        <v>0</v>
      </c>
      <c r="L116" s="92">
        <v>1</v>
      </c>
      <c r="M116" s="1969">
        <v>2219582.5299999998</v>
      </c>
      <c r="N116" s="1873">
        <f t="shared" si="1"/>
        <v>1</v>
      </c>
      <c r="O116" s="92"/>
      <c r="P116" s="92"/>
    </row>
    <row r="117" spans="1:16" ht="20.100000000000001" customHeight="1">
      <c r="A117" s="1877">
        <v>111</v>
      </c>
      <c r="B117" s="92" t="s">
        <v>2307</v>
      </c>
      <c r="C117" s="1358" t="s">
        <v>2206</v>
      </c>
      <c r="D117" s="1912" t="s">
        <v>100</v>
      </c>
      <c r="E117" s="1913" t="s">
        <v>32</v>
      </c>
      <c r="F117" s="1871">
        <v>0</v>
      </c>
      <c r="G117" s="1871">
        <v>0</v>
      </c>
      <c r="H117" s="92">
        <v>1</v>
      </c>
      <c r="I117" s="1871">
        <v>0</v>
      </c>
      <c r="J117" s="1871">
        <v>0</v>
      </c>
      <c r="K117" s="1871">
        <v>0</v>
      </c>
      <c r="L117" s="1871">
        <v>0</v>
      </c>
      <c r="M117" s="1899">
        <v>46959.11</v>
      </c>
      <c r="N117" s="1873">
        <f t="shared" si="1"/>
        <v>1</v>
      </c>
      <c r="O117" s="92"/>
      <c r="P117" s="92"/>
    </row>
    <row r="118" spans="1:16" ht="20.100000000000001" customHeight="1">
      <c r="A118" s="1868">
        <v>112</v>
      </c>
      <c r="B118" s="92" t="s">
        <v>2307</v>
      </c>
      <c r="C118" s="1358" t="s">
        <v>2206</v>
      </c>
      <c r="D118" s="1912" t="s">
        <v>100</v>
      </c>
      <c r="E118" s="1970" t="s">
        <v>2308</v>
      </c>
      <c r="F118" s="1871">
        <v>0</v>
      </c>
      <c r="G118" s="1871">
        <v>0</v>
      </c>
      <c r="H118" s="1871">
        <v>0</v>
      </c>
      <c r="I118" s="1871">
        <v>0</v>
      </c>
      <c r="J118" s="1871">
        <v>0</v>
      </c>
      <c r="K118" s="1871">
        <v>0</v>
      </c>
      <c r="L118" s="92">
        <v>1</v>
      </c>
      <c r="M118" s="1091">
        <v>3438.72</v>
      </c>
      <c r="N118" s="1873">
        <f t="shared" si="1"/>
        <v>1</v>
      </c>
      <c r="O118" s="92"/>
      <c r="P118" s="92"/>
    </row>
    <row r="119" spans="1:16" ht="20.100000000000001" customHeight="1">
      <c r="A119" s="1877">
        <v>113</v>
      </c>
      <c r="B119" s="92" t="s">
        <v>2307</v>
      </c>
      <c r="C119" s="1358" t="s">
        <v>2206</v>
      </c>
      <c r="D119" s="1912" t="s">
        <v>100</v>
      </c>
      <c r="E119" s="1870" t="s">
        <v>35</v>
      </c>
      <c r="F119" s="1871">
        <v>0</v>
      </c>
      <c r="G119" s="1871">
        <v>0</v>
      </c>
      <c r="H119" s="1871">
        <v>0</v>
      </c>
      <c r="I119" s="1871">
        <v>0</v>
      </c>
      <c r="J119" s="92">
        <v>4015</v>
      </c>
      <c r="K119" s="1871">
        <v>0</v>
      </c>
      <c r="L119" s="1871">
        <v>0</v>
      </c>
      <c r="M119" s="1886"/>
      <c r="N119" s="1873">
        <f t="shared" si="1"/>
        <v>3838</v>
      </c>
      <c r="O119" s="92">
        <v>177</v>
      </c>
      <c r="P119" s="92"/>
    </row>
    <row r="120" spans="1:16" ht="20.100000000000001" customHeight="1">
      <c r="A120" s="1877">
        <v>114</v>
      </c>
      <c r="B120" s="92" t="s">
        <v>2307</v>
      </c>
      <c r="C120" s="1358" t="s">
        <v>2206</v>
      </c>
      <c r="D120" s="1912" t="s">
        <v>100</v>
      </c>
      <c r="E120" s="1870" t="s">
        <v>2309</v>
      </c>
      <c r="F120" s="1871">
        <v>0</v>
      </c>
      <c r="G120" s="92">
        <v>1747</v>
      </c>
      <c r="H120" s="1871">
        <v>0</v>
      </c>
      <c r="I120" s="1871">
        <v>0</v>
      </c>
      <c r="J120" s="1871">
        <v>0</v>
      </c>
      <c r="K120" s="1871">
        <v>0</v>
      </c>
      <c r="L120" s="1871">
        <v>0</v>
      </c>
      <c r="M120" s="1886"/>
      <c r="N120" s="1873">
        <f t="shared" si="1"/>
        <v>1747</v>
      </c>
      <c r="O120" s="92"/>
      <c r="P120" s="92"/>
    </row>
    <row r="121" spans="1:16" ht="20.100000000000001" customHeight="1">
      <c r="A121" s="1868">
        <v>115</v>
      </c>
      <c r="B121" s="92" t="s">
        <v>2307</v>
      </c>
      <c r="C121" s="1358" t="s">
        <v>2206</v>
      </c>
      <c r="D121" s="1912"/>
      <c r="E121" s="3403" t="s">
        <v>2310</v>
      </c>
      <c r="F121" s="92">
        <v>19</v>
      </c>
      <c r="G121" s="1871">
        <v>0</v>
      </c>
      <c r="H121" s="1871">
        <v>0</v>
      </c>
      <c r="I121" s="1871">
        <v>0</v>
      </c>
      <c r="J121" s="1871">
        <v>0</v>
      </c>
      <c r="K121" s="1871">
        <v>0</v>
      </c>
      <c r="L121" s="1871">
        <v>0</v>
      </c>
      <c r="M121" s="1886"/>
      <c r="N121" s="1873">
        <f t="shared" si="1"/>
        <v>19</v>
      </c>
      <c r="O121" s="92"/>
      <c r="P121" s="92"/>
    </row>
    <row r="122" spans="1:16" ht="20.100000000000001" customHeight="1">
      <c r="A122" s="1877">
        <v>116</v>
      </c>
      <c r="B122" s="92" t="s">
        <v>2307</v>
      </c>
      <c r="C122" s="1358" t="s">
        <v>2206</v>
      </c>
      <c r="D122" s="1949" t="s">
        <v>479</v>
      </c>
      <c r="E122" s="1930" t="s">
        <v>2311</v>
      </c>
      <c r="F122" s="1871">
        <v>0</v>
      </c>
      <c r="G122" s="1871">
        <v>0</v>
      </c>
      <c r="H122" s="1871">
        <v>0</v>
      </c>
      <c r="I122" s="1871">
        <v>0</v>
      </c>
      <c r="J122" s="1871">
        <v>0</v>
      </c>
      <c r="K122" s="1871">
        <v>0</v>
      </c>
      <c r="L122" s="92">
        <v>1</v>
      </c>
      <c r="M122" s="1971">
        <v>3000</v>
      </c>
      <c r="N122" s="1873">
        <f t="shared" si="1"/>
        <v>0</v>
      </c>
      <c r="O122" s="92">
        <v>1</v>
      </c>
      <c r="P122" s="92"/>
    </row>
    <row r="123" spans="1:16" ht="20.100000000000001" customHeight="1">
      <c r="A123" s="1877">
        <v>117</v>
      </c>
      <c r="B123" s="92" t="s">
        <v>2307</v>
      </c>
      <c r="C123" s="1358" t="s">
        <v>2206</v>
      </c>
      <c r="D123" s="1912" t="s">
        <v>313</v>
      </c>
      <c r="E123" s="1930" t="s">
        <v>2312</v>
      </c>
      <c r="F123" s="1871">
        <v>0</v>
      </c>
      <c r="G123" s="1871">
        <v>0</v>
      </c>
      <c r="H123" s="1871">
        <v>0</v>
      </c>
      <c r="I123" s="1871">
        <v>0</v>
      </c>
      <c r="J123" s="1871">
        <v>0</v>
      </c>
      <c r="K123" s="1871">
        <v>0</v>
      </c>
      <c r="L123" s="92">
        <v>1</v>
      </c>
      <c r="M123" s="1899">
        <v>50000</v>
      </c>
      <c r="N123" s="1873">
        <f t="shared" si="1"/>
        <v>0</v>
      </c>
      <c r="O123" s="92">
        <v>1</v>
      </c>
      <c r="P123" s="92"/>
    </row>
    <row r="124" spans="1:16" ht="20.100000000000001" customHeight="1">
      <c r="A124" s="1868">
        <v>118</v>
      </c>
      <c r="B124" s="106" t="s">
        <v>2313</v>
      </c>
      <c r="C124" s="1358" t="s">
        <v>2206</v>
      </c>
      <c r="D124" s="1972" t="s">
        <v>100</v>
      </c>
      <c r="E124" s="1973" t="s">
        <v>32</v>
      </c>
      <c r="F124" s="1871">
        <v>0</v>
      </c>
      <c r="G124" s="1871">
        <v>0</v>
      </c>
      <c r="H124" s="92">
        <v>1</v>
      </c>
      <c r="I124" s="1871">
        <v>0</v>
      </c>
      <c r="J124" s="1871">
        <v>0</v>
      </c>
      <c r="K124" s="1871">
        <v>0</v>
      </c>
      <c r="L124" s="1871">
        <v>0</v>
      </c>
      <c r="M124" s="1886">
        <v>0.16</v>
      </c>
      <c r="N124" s="1873">
        <f t="shared" si="1"/>
        <v>1</v>
      </c>
      <c r="O124" s="92"/>
      <c r="P124" s="92"/>
    </row>
    <row r="125" spans="1:16" ht="20.100000000000001" customHeight="1">
      <c r="A125" s="1877">
        <v>119</v>
      </c>
      <c r="B125" s="106" t="s">
        <v>2313</v>
      </c>
      <c r="C125" s="1358" t="s">
        <v>2206</v>
      </c>
      <c r="D125" s="1972" t="s">
        <v>100</v>
      </c>
      <c r="E125" s="1921" t="s">
        <v>35</v>
      </c>
      <c r="F125" s="1871">
        <v>0</v>
      </c>
      <c r="G125" s="1871">
        <v>0</v>
      </c>
      <c r="H125" s="1871">
        <v>0</v>
      </c>
      <c r="I125" s="1871">
        <v>0</v>
      </c>
      <c r="J125" s="92">
        <v>3653</v>
      </c>
      <c r="K125" s="1871">
        <v>0</v>
      </c>
      <c r="L125" s="1871">
        <v>0</v>
      </c>
      <c r="M125" s="1886"/>
      <c r="N125" s="1873">
        <f t="shared" si="1"/>
        <v>3651</v>
      </c>
      <c r="O125" s="92">
        <v>2</v>
      </c>
      <c r="P125" s="92"/>
    </row>
    <row r="126" spans="1:16" ht="20.100000000000001" customHeight="1">
      <c r="A126" s="1877">
        <v>120</v>
      </c>
      <c r="B126" s="106" t="s">
        <v>2313</v>
      </c>
      <c r="C126" s="1358" t="s">
        <v>2206</v>
      </c>
      <c r="D126" s="1972" t="s">
        <v>100</v>
      </c>
      <c r="E126" s="1919" t="s">
        <v>2314</v>
      </c>
      <c r="F126" s="1871">
        <v>0</v>
      </c>
      <c r="G126" s="92">
        <v>1126</v>
      </c>
      <c r="H126" s="1871">
        <v>0</v>
      </c>
      <c r="I126" s="1871">
        <v>0</v>
      </c>
      <c r="J126" s="1871">
        <v>0</v>
      </c>
      <c r="K126" s="1871">
        <v>0</v>
      </c>
      <c r="L126" s="1871">
        <v>0</v>
      </c>
      <c r="M126" s="1886"/>
      <c r="N126" s="1873">
        <f t="shared" si="1"/>
        <v>1126</v>
      </c>
      <c r="O126" s="92"/>
      <c r="P126" s="92"/>
    </row>
    <row r="127" spans="1:16" ht="20.100000000000001" customHeight="1">
      <c r="A127" s="1868">
        <v>121</v>
      </c>
      <c r="B127" s="106" t="s">
        <v>2313</v>
      </c>
      <c r="C127" s="1358" t="s">
        <v>2206</v>
      </c>
      <c r="D127" s="1974"/>
      <c r="E127" s="3403" t="s">
        <v>2315</v>
      </c>
      <c r="F127" s="1975">
        <v>54</v>
      </c>
      <c r="G127" s="1871">
        <v>0</v>
      </c>
      <c r="H127" s="1871">
        <v>0</v>
      </c>
      <c r="I127" s="1871">
        <v>0</v>
      </c>
      <c r="J127" s="1871">
        <v>0</v>
      </c>
      <c r="K127" s="1871">
        <v>0</v>
      </c>
      <c r="L127" s="1871">
        <v>0</v>
      </c>
      <c r="M127" s="1886"/>
      <c r="N127" s="1873">
        <f t="shared" si="1"/>
        <v>54</v>
      </c>
      <c r="O127" s="92"/>
      <c r="P127" s="92"/>
    </row>
    <row r="128" spans="1:16" ht="20.100000000000001" customHeight="1">
      <c r="A128" s="1877">
        <v>122</v>
      </c>
      <c r="B128" s="106" t="s">
        <v>2313</v>
      </c>
      <c r="C128" s="1358" t="s">
        <v>2206</v>
      </c>
      <c r="D128" s="1972" t="s">
        <v>100</v>
      </c>
      <c r="E128" s="1930" t="s">
        <v>2235</v>
      </c>
      <c r="F128" s="1871">
        <v>0</v>
      </c>
      <c r="G128" s="1871">
        <v>0</v>
      </c>
      <c r="H128" s="1871">
        <v>0</v>
      </c>
      <c r="I128" s="1871">
        <v>0</v>
      </c>
      <c r="J128" s="1871">
        <v>0</v>
      </c>
      <c r="K128" s="1871">
        <v>0</v>
      </c>
      <c r="L128" s="92">
        <v>2</v>
      </c>
      <c r="M128" s="1886">
        <v>415000</v>
      </c>
      <c r="N128" s="1873">
        <f t="shared" si="1"/>
        <v>0</v>
      </c>
      <c r="O128" s="92">
        <v>2</v>
      </c>
      <c r="P128" s="92"/>
    </row>
    <row r="129" spans="1:16" ht="20.100000000000001" customHeight="1">
      <c r="A129" s="1877">
        <v>123</v>
      </c>
      <c r="B129" s="106" t="s">
        <v>2313</v>
      </c>
      <c r="C129" s="1358" t="s">
        <v>2206</v>
      </c>
      <c r="D129" s="1972" t="s">
        <v>100</v>
      </c>
      <c r="E129" s="1930" t="s">
        <v>2236</v>
      </c>
      <c r="F129" s="1871">
        <v>0</v>
      </c>
      <c r="G129" s="1871">
        <v>0</v>
      </c>
      <c r="H129" s="1871">
        <v>0</v>
      </c>
      <c r="I129" s="1871">
        <v>0</v>
      </c>
      <c r="J129" s="1871">
        <v>0</v>
      </c>
      <c r="K129" s="1871">
        <v>0</v>
      </c>
      <c r="L129" s="92">
        <v>2</v>
      </c>
      <c r="M129" s="1886">
        <v>17000</v>
      </c>
      <c r="N129" s="1873">
        <f t="shared" si="1"/>
        <v>0</v>
      </c>
      <c r="O129" s="92">
        <v>2</v>
      </c>
      <c r="P129" s="92"/>
    </row>
    <row r="130" spans="1:16" ht="20.100000000000001" customHeight="1">
      <c r="A130" s="1868">
        <v>124</v>
      </c>
      <c r="B130" s="106" t="s">
        <v>2316</v>
      </c>
      <c r="C130" s="1912">
        <v>2</v>
      </c>
      <c r="D130" s="1912" t="s">
        <v>100</v>
      </c>
      <c r="E130" s="1905" t="s">
        <v>2317</v>
      </c>
      <c r="F130" s="1871">
        <v>0</v>
      </c>
      <c r="G130" s="1871">
        <v>0</v>
      </c>
      <c r="H130" s="1871">
        <v>0</v>
      </c>
      <c r="I130" s="1871">
        <v>0</v>
      </c>
      <c r="J130" s="1871">
        <v>0</v>
      </c>
      <c r="K130" s="1871">
        <v>0</v>
      </c>
      <c r="L130" s="92">
        <v>2</v>
      </c>
      <c r="M130" s="1886">
        <v>77600</v>
      </c>
      <c r="N130" s="1873">
        <f t="shared" si="1"/>
        <v>1</v>
      </c>
      <c r="O130" s="92">
        <v>1</v>
      </c>
      <c r="P130" s="92"/>
    </row>
    <row r="131" spans="1:16" ht="20.100000000000001" customHeight="1">
      <c r="A131" s="1877">
        <v>125</v>
      </c>
      <c r="B131" s="106" t="s">
        <v>2316</v>
      </c>
      <c r="C131" s="1912"/>
      <c r="D131" s="1912" t="s">
        <v>100</v>
      </c>
      <c r="E131" s="1870" t="s">
        <v>32</v>
      </c>
      <c r="F131" s="1871">
        <v>0</v>
      </c>
      <c r="G131" s="1871">
        <v>0</v>
      </c>
      <c r="H131" s="1248">
        <v>1</v>
      </c>
      <c r="I131" s="1871">
        <v>0</v>
      </c>
      <c r="J131" s="1871">
        <v>0</v>
      </c>
      <c r="K131" s="1871">
        <v>0</v>
      </c>
      <c r="L131" s="1871">
        <v>0</v>
      </c>
      <c r="M131" s="1976">
        <v>120.12</v>
      </c>
      <c r="N131" s="1873">
        <f t="shared" si="1"/>
        <v>1</v>
      </c>
      <c r="O131" s="92"/>
      <c r="P131" s="92"/>
    </row>
    <row r="132" spans="1:16" ht="20.100000000000001" customHeight="1">
      <c r="A132" s="1877">
        <v>126</v>
      </c>
      <c r="B132" s="106" t="s">
        <v>2316</v>
      </c>
      <c r="C132" s="1925"/>
      <c r="D132" s="1912" t="s">
        <v>100</v>
      </c>
      <c r="E132" s="1870" t="s">
        <v>2250</v>
      </c>
      <c r="F132" s="1871">
        <v>0</v>
      </c>
      <c r="G132" s="1871">
        <v>0</v>
      </c>
      <c r="H132" s="1248">
        <v>1</v>
      </c>
      <c r="I132" s="1871">
        <v>0</v>
      </c>
      <c r="J132" s="1871">
        <v>0</v>
      </c>
      <c r="K132" s="1871">
        <v>0</v>
      </c>
      <c r="L132" s="1871">
        <v>0</v>
      </c>
      <c r="M132" s="1977">
        <v>18510.740000000002</v>
      </c>
      <c r="N132" s="1873">
        <f t="shared" si="1"/>
        <v>1</v>
      </c>
      <c r="O132" s="92"/>
      <c r="P132" s="92"/>
    </row>
    <row r="133" spans="1:16" ht="20.100000000000001" customHeight="1">
      <c r="A133" s="1868">
        <v>127</v>
      </c>
      <c r="B133" s="106" t="s">
        <v>2316</v>
      </c>
      <c r="C133" s="1925"/>
      <c r="D133" s="1912" t="s">
        <v>100</v>
      </c>
      <c r="E133" s="1870" t="s">
        <v>50</v>
      </c>
      <c r="F133" s="1871">
        <v>0</v>
      </c>
      <c r="G133" s="1871">
        <v>0</v>
      </c>
      <c r="H133" s="1248">
        <v>1</v>
      </c>
      <c r="I133" s="1871">
        <v>0</v>
      </c>
      <c r="J133" s="1871">
        <v>0</v>
      </c>
      <c r="K133" s="1871">
        <v>0</v>
      </c>
      <c r="L133" s="1871">
        <v>0</v>
      </c>
      <c r="M133" s="1977">
        <v>1482.58</v>
      </c>
      <c r="N133" s="1873">
        <f t="shared" si="1"/>
        <v>1</v>
      </c>
      <c r="O133" s="92"/>
      <c r="P133" s="92"/>
    </row>
    <row r="134" spans="1:16" ht="20.100000000000001" customHeight="1">
      <c r="A134" s="1877">
        <v>128</v>
      </c>
      <c r="B134" s="106" t="s">
        <v>2316</v>
      </c>
      <c r="C134" s="1925"/>
      <c r="D134" s="1912" t="s">
        <v>2318</v>
      </c>
      <c r="E134" s="1905" t="s">
        <v>2319</v>
      </c>
      <c r="F134" s="1871">
        <v>0</v>
      </c>
      <c r="G134" s="1871">
        <v>0</v>
      </c>
      <c r="H134" s="1871">
        <v>0</v>
      </c>
      <c r="I134" s="1871">
        <v>0</v>
      </c>
      <c r="J134" s="1871">
        <v>0</v>
      </c>
      <c r="K134" s="1871">
        <v>0</v>
      </c>
      <c r="L134" s="92">
        <v>1</v>
      </c>
      <c r="M134" s="1977">
        <v>3500</v>
      </c>
      <c r="N134" s="1873">
        <f t="shared" si="1"/>
        <v>1</v>
      </c>
      <c r="O134" s="92"/>
      <c r="P134" s="92"/>
    </row>
    <row r="135" spans="1:16" ht="20.100000000000001" customHeight="1">
      <c r="A135" s="1877">
        <v>129</v>
      </c>
      <c r="B135" s="106" t="s">
        <v>2316</v>
      </c>
      <c r="C135" s="1925"/>
      <c r="D135" s="1978" t="s">
        <v>2320</v>
      </c>
      <c r="E135" s="1979" t="s">
        <v>2321</v>
      </c>
      <c r="F135" s="1871">
        <v>0</v>
      </c>
      <c r="G135" s="1871">
        <v>0</v>
      </c>
      <c r="H135" s="1871">
        <v>0</v>
      </c>
      <c r="I135" s="1871">
        <v>0</v>
      </c>
      <c r="J135" s="1871">
        <v>0</v>
      </c>
      <c r="K135" s="1871">
        <v>0</v>
      </c>
      <c r="L135" s="92">
        <v>1</v>
      </c>
      <c r="M135" s="1980">
        <v>3249</v>
      </c>
      <c r="N135" s="1873">
        <f t="shared" si="1"/>
        <v>1</v>
      </c>
      <c r="O135" s="92"/>
      <c r="P135" s="92"/>
    </row>
    <row r="136" spans="1:16" ht="20.100000000000001" customHeight="1">
      <c r="A136" s="1868">
        <v>130</v>
      </c>
      <c r="B136" s="106" t="s">
        <v>2316</v>
      </c>
      <c r="C136" s="1925"/>
      <c r="D136" s="1981" t="s">
        <v>2322</v>
      </c>
      <c r="E136" s="1979" t="s">
        <v>2323</v>
      </c>
      <c r="F136" s="1871">
        <v>0</v>
      </c>
      <c r="G136" s="1871">
        <v>0</v>
      </c>
      <c r="H136" s="1871">
        <v>0</v>
      </c>
      <c r="I136" s="1871">
        <v>0</v>
      </c>
      <c r="J136" s="1871">
        <v>0</v>
      </c>
      <c r="K136" s="1871">
        <v>0</v>
      </c>
      <c r="L136" s="92">
        <v>1</v>
      </c>
      <c r="M136" s="1977">
        <v>3581.7</v>
      </c>
      <c r="N136" s="1873">
        <f t="shared" ref="N136:N199" si="2">F136+G136+H136+I136+J136+K136+L136-O136</f>
        <v>1</v>
      </c>
      <c r="O136" s="92"/>
      <c r="P136" s="92"/>
    </row>
    <row r="137" spans="1:16" ht="20.100000000000001" customHeight="1">
      <c r="A137" s="1877">
        <v>131</v>
      </c>
      <c r="B137" s="106" t="s">
        <v>2316</v>
      </c>
      <c r="C137" s="1982"/>
      <c r="D137" s="1912" t="s">
        <v>100</v>
      </c>
      <c r="E137" s="1913" t="s">
        <v>2251</v>
      </c>
      <c r="F137" s="1871">
        <v>0</v>
      </c>
      <c r="G137" s="1871">
        <v>0</v>
      </c>
      <c r="H137" s="1871">
        <v>0</v>
      </c>
      <c r="I137" s="1871">
        <v>0</v>
      </c>
      <c r="J137" s="92">
        <v>3502</v>
      </c>
      <c r="K137" s="1871">
        <v>0</v>
      </c>
      <c r="L137" s="1871">
        <v>0</v>
      </c>
      <c r="M137" s="1886"/>
      <c r="N137" s="1873">
        <f t="shared" si="2"/>
        <v>3502</v>
      </c>
      <c r="O137" s="92"/>
      <c r="P137" s="92"/>
    </row>
    <row r="138" spans="1:16" ht="20.100000000000001" customHeight="1">
      <c r="A138" s="1877">
        <v>132</v>
      </c>
      <c r="B138" s="106" t="s">
        <v>2316</v>
      </c>
      <c r="C138" s="1912" t="s">
        <v>2324</v>
      </c>
      <c r="D138" s="1912" t="s">
        <v>100</v>
      </c>
      <c r="E138" s="1870" t="s">
        <v>2325</v>
      </c>
      <c r="F138" s="1871">
        <v>0</v>
      </c>
      <c r="G138" s="92">
        <v>655</v>
      </c>
      <c r="H138" s="1871">
        <v>0</v>
      </c>
      <c r="I138" s="1871">
        <v>0</v>
      </c>
      <c r="J138" s="1871">
        <v>0</v>
      </c>
      <c r="K138" s="1871">
        <v>0</v>
      </c>
      <c r="L138" s="1871">
        <v>0</v>
      </c>
      <c r="M138" s="1886"/>
      <c r="N138" s="1873">
        <f t="shared" si="2"/>
        <v>655</v>
      </c>
      <c r="O138" s="92"/>
      <c r="P138" s="92"/>
    </row>
    <row r="139" spans="1:16" ht="20.100000000000001" customHeight="1">
      <c r="A139" s="1868">
        <v>133</v>
      </c>
      <c r="B139" s="106" t="s">
        <v>2316</v>
      </c>
      <c r="C139" s="92"/>
      <c r="D139" s="92"/>
      <c r="E139" s="3403" t="s">
        <v>2326</v>
      </c>
      <c r="F139" s="92">
        <v>403</v>
      </c>
      <c r="G139" s="1871">
        <v>0</v>
      </c>
      <c r="H139" s="1871">
        <v>0</v>
      </c>
      <c r="I139" s="1871">
        <v>0</v>
      </c>
      <c r="J139" s="1871">
        <v>0</v>
      </c>
      <c r="K139" s="1871">
        <v>0</v>
      </c>
      <c r="L139" s="1871">
        <v>0</v>
      </c>
      <c r="M139" s="1886"/>
      <c r="N139" s="1873">
        <f t="shared" si="2"/>
        <v>403</v>
      </c>
      <c r="O139" s="92"/>
      <c r="P139" s="92"/>
    </row>
    <row r="140" spans="1:16" ht="20.100000000000001" customHeight="1">
      <c r="A140" s="1877">
        <v>134</v>
      </c>
      <c r="B140" s="106" t="s">
        <v>2327</v>
      </c>
      <c r="C140" s="92"/>
      <c r="D140" s="1891" t="s">
        <v>100</v>
      </c>
      <c r="E140" s="1870" t="s">
        <v>48</v>
      </c>
      <c r="F140" s="1871">
        <v>0</v>
      </c>
      <c r="G140" s="1871">
        <v>0</v>
      </c>
      <c r="H140" s="1871">
        <v>0</v>
      </c>
      <c r="I140" s="1871">
        <v>0</v>
      </c>
      <c r="J140" s="1871">
        <v>0</v>
      </c>
      <c r="K140" s="1871">
        <v>0</v>
      </c>
      <c r="L140" s="92">
        <v>1</v>
      </c>
      <c r="M140" s="1886">
        <v>54850</v>
      </c>
      <c r="N140" s="1873">
        <f t="shared" si="2"/>
        <v>0</v>
      </c>
      <c r="O140" s="92">
        <v>1</v>
      </c>
      <c r="P140" s="92"/>
    </row>
    <row r="141" spans="1:16" ht="20.100000000000001" customHeight="1">
      <c r="A141" s="1877">
        <v>135</v>
      </c>
      <c r="B141" s="106" t="s">
        <v>2327</v>
      </c>
      <c r="C141" s="1891"/>
      <c r="D141" s="1891" t="s">
        <v>100</v>
      </c>
      <c r="E141" s="1892" t="s">
        <v>35</v>
      </c>
      <c r="F141" s="1871">
        <v>0</v>
      </c>
      <c r="G141" s="1871">
        <v>0</v>
      </c>
      <c r="H141" s="1871">
        <v>0</v>
      </c>
      <c r="I141" s="1871">
        <v>0</v>
      </c>
      <c r="J141" s="92">
        <v>4</v>
      </c>
      <c r="K141" s="1871">
        <v>0</v>
      </c>
      <c r="L141" s="1871">
        <v>0</v>
      </c>
      <c r="M141" s="1886"/>
      <c r="N141" s="1873">
        <f t="shared" si="2"/>
        <v>4</v>
      </c>
      <c r="O141" s="92"/>
      <c r="P141" s="92"/>
    </row>
    <row r="142" spans="1:16" ht="20.100000000000001" customHeight="1">
      <c r="A142" s="1868">
        <v>136</v>
      </c>
      <c r="B142" s="106" t="s">
        <v>2327</v>
      </c>
      <c r="C142" s="1891"/>
      <c r="D142" s="1891" t="s">
        <v>100</v>
      </c>
      <c r="E142" s="1870" t="s">
        <v>2328</v>
      </c>
      <c r="F142" s="1871">
        <v>0</v>
      </c>
      <c r="G142" s="92">
        <v>699</v>
      </c>
      <c r="H142" s="1871">
        <v>0</v>
      </c>
      <c r="I142" s="1871">
        <v>0</v>
      </c>
      <c r="J142" s="1871">
        <v>0</v>
      </c>
      <c r="K142" s="1871">
        <v>0</v>
      </c>
      <c r="L142" s="1871">
        <v>0</v>
      </c>
      <c r="M142" s="1886"/>
      <c r="N142" s="1873">
        <f t="shared" si="2"/>
        <v>699</v>
      </c>
      <c r="O142" s="92"/>
      <c r="P142" s="92"/>
    </row>
    <row r="143" spans="1:16" ht="20.100000000000001" customHeight="1">
      <c r="A143" s="1877">
        <v>137</v>
      </c>
      <c r="B143" s="92" t="s">
        <v>2329</v>
      </c>
      <c r="C143" s="92"/>
      <c r="D143" s="1974" t="s">
        <v>100</v>
      </c>
      <c r="E143" s="1973" t="s">
        <v>32</v>
      </c>
      <c r="F143" s="1871">
        <v>0</v>
      </c>
      <c r="G143" s="1871">
        <v>0</v>
      </c>
      <c r="H143" s="92">
        <v>1</v>
      </c>
      <c r="I143" s="1871">
        <v>0</v>
      </c>
      <c r="J143" s="1871">
        <v>0</v>
      </c>
      <c r="K143" s="1871">
        <v>0</v>
      </c>
      <c r="L143" s="1871">
        <v>0</v>
      </c>
      <c r="M143" s="1886">
        <v>125.4</v>
      </c>
      <c r="N143" s="1873">
        <f t="shared" si="2"/>
        <v>1</v>
      </c>
      <c r="O143" s="92"/>
      <c r="P143" s="92"/>
    </row>
    <row r="144" spans="1:16" ht="20.100000000000001" customHeight="1">
      <c r="A144" s="1877">
        <v>138</v>
      </c>
      <c r="B144" s="92" t="s">
        <v>2329</v>
      </c>
      <c r="C144" s="1974"/>
      <c r="D144" s="1974" t="s">
        <v>100</v>
      </c>
      <c r="E144" s="1921" t="s">
        <v>35</v>
      </c>
      <c r="F144" s="1871">
        <v>0</v>
      </c>
      <c r="G144" s="1871">
        <v>0</v>
      </c>
      <c r="H144" s="1871">
        <v>0</v>
      </c>
      <c r="I144" s="1871">
        <v>0</v>
      </c>
      <c r="J144" s="92">
        <v>4407</v>
      </c>
      <c r="K144" s="1871">
        <v>0</v>
      </c>
      <c r="L144" s="1871">
        <v>0</v>
      </c>
      <c r="M144" s="1886"/>
      <c r="N144" s="1873">
        <f t="shared" si="2"/>
        <v>4381</v>
      </c>
      <c r="O144" s="92">
        <v>26</v>
      </c>
      <c r="P144" s="92"/>
    </row>
    <row r="145" spans="1:16" ht="20.100000000000001" customHeight="1">
      <c r="A145" s="1868">
        <v>139</v>
      </c>
      <c r="B145" s="92" t="s">
        <v>2329</v>
      </c>
      <c r="C145" s="1975"/>
      <c r="D145" s="1974" t="s">
        <v>100</v>
      </c>
      <c r="E145" s="1919" t="s">
        <v>2330</v>
      </c>
      <c r="F145" s="1871">
        <v>0</v>
      </c>
      <c r="G145" s="1248">
        <v>302</v>
      </c>
      <c r="H145" s="1871">
        <v>0</v>
      </c>
      <c r="I145" s="1871">
        <v>0</v>
      </c>
      <c r="J145" s="1871">
        <v>0</v>
      </c>
      <c r="K145" s="1871">
        <v>0</v>
      </c>
      <c r="L145" s="1871">
        <v>0</v>
      </c>
      <c r="M145" s="1886"/>
      <c r="N145" s="1873">
        <f t="shared" si="2"/>
        <v>302</v>
      </c>
      <c r="O145" s="92"/>
      <c r="P145" s="92"/>
    </row>
    <row r="146" spans="1:16" ht="20.100000000000001" customHeight="1">
      <c r="A146" s="1877">
        <v>140</v>
      </c>
      <c r="B146" s="92" t="s">
        <v>2331</v>
      </c>
      <c r="C146" s="92"/>
      <c r="D146" s="1923"/>
      <c r="E146" s="1870" t="s">
        <v>32</v>
      </c>
      <c r="F146" s="1871">
        <v>0</v>
      </c>
      <c r="G146" s="1871">
        <v>0</v>
      </c>
      <c r="H146" s="92">
        <v>1</v>
      </c>
      <c r="I146" s="1871">
        <v>0</v>
      </c>
      <c r="J146" s="1871">
        <v>0</v>
      </c>
      <c r="K146" s="1871">
        <v>0</v>
      </c>
      <c r="L146" s="1871">
        <v>0</v>
      </c>
      <c r="M146" s="1886">
        <v>0.42</v>
      </c>
      <c r="N146" s="1873">
        <f t="shared" si="2"/>
        <v>1</v>
      </c>
      <c r="O146" s="92"/>
      <c r="P146" s="92"/>
    </row>
    <row r="147" spans="1:16" ht="20.100000000000001" customHeight="1">
      <c r="A147" s="1877">
        <v>141</v>
      </c>
      <c r="B147" s="92" t="s">
        <v>2331</v>
      </c>
      <c r="C147" s="1925"/>
      <c r="D147" s="1983" t="s">
        <v>2332</v>
      </c>
      <c r="E147" s="1905" t="s">
        <v>2333</v>
      </c>
      <c r="F147" s="1871">
        <v>0</v>
      </c>
      <c r="G147" s="1871">
        <v>0</v>
      </c>
      <c r="H147" s="1871">
        <v>0</v>
      </c>
      <c r="I147" s="1871">
        <v>0</v>
      </c>
      <c r="J147" s="1871">
        <v>0</v>
      </c>
      <c r="K147" s="1871">
        <v>0</v>
      </c>
      <c r="L147" s="92">
        <v>1</v>
      </c>
      <c r="M147" s="1886"/>
      <c r="N147" s="1873">
        <f t="shared" si="2"/>
        <v>0</v>
      </c>
      <c r="O147" s="92">
        <v>1</v>
      </c>
      <c r="P147" s="92"/>
    </row>
    <row r="148" spans="1:16" ht="20.100000000000001" customHeight="1">
      <c r="A148" s="1868">
        <v>142</v>
      </c>
      <c r="B148" s="92" t="s">
        <v>2331</v>
      </c>
      <c r="C148" s="1925"/>
      <c r="D148" s="1983" t="s">
        <v>100</v>
      </c>
      <c r="E148" s="1905" t="s">
        <v>2334</v>
      </c>
      <c r="F148" s="1871">
        <v>0</v>
      </c>
      <c r="G148" s="1871">
        <v>0</v>
      </c>
      <c r="H148" s="1871">
        <v>0</v>
      </c>
      <c r="I148" s="1871">
        <v>0</v>
      </c>
      <c r="J148" s="1871">
        <v>0</v>
      </c>
      <c r="K148" s="1871">
        <v>0</v>
      </c>
      <c r="L148" s="92">
        <v>1</v>
      </c>
      <c r="M148" s="1886">
        <v>50000</v>
      </c>
      <c r="N148" s="1873">
        <f t="shared" si="2"/>
        <v>0</v>
      </c>
      <c r="O148" s="92">
        <v>1</v>
      </c>
      <c r="P148" s="92"/>
    </row>
    <row r="149" spans="1:16" ht="20.100000000000001" customHeight="1">
      <c r="A149" s="1877">
        <v>143</v>
      </c>
      <c r="B149" s="92" t="s">
        <v>2331</v>
      </c>
      <c r="C149" s="1984"/>
      <c r="D149" s="1983" t="s">
        <v>100</v>
      </c>
      <c r="E149" s="1870" t="s">
        <v>35</v>
      </c>
      <c r="F149" s="1871">
        <v>0</v>
      </c>
      <c r="G149" s="1871">
        <v>0</v>
      </c>
      <c r="H149" s="1871">
        <v>0</v>
      </c>
      <c r="I149" s="1871">
        <v>0</v>
      </c>
      <c r="J149" s="92">
        <v>5318</v>
      </c>
      <c r="K149" s="1871">
        <v>0</v>
      </c>
      <c r="L149" s="1871">
        <v>0</v>
      </c>
      <c r="M149" s="1886"/>
      <c r="N149" s="1873">
        <f t="shared" si="2"/>
        <v>5243</v>
      </c>
      <c r="O149" s="92">
        <v>75</v>
      </c>
      <c r="P149" s="92"/>
    </row>
    <row r="150" spans="1:16" ht="20.100000000000001" customHeight="1">
      <c r="A150" s="1868">
        <v>145</v>
      </c>
      <c r="B150" s="92" t="s">
        <v>2331</v>
      </c>
      <c r="C150" s="1912"/>
      <c r="D150" s="1983" t="s">
        <v>100</v>
      </c>
      <c r="E150" s="1870" t="s">
        <v>2335</v>
      </c>
      <c r="F150" s="1871">
        <v>0</v>
      </c>
      <c r="G150" s="92">
        <v>1084</v>
      </c>
      <c r="H150" s="1871">
        <v>0</v>
      </c>
      <c r="I150" s="1871">
        <v>0</v>
      </c>
      <c r="J150" s="1871">
        <v>0</v>
      </c>
      <c r="K150" s="1871">
        <v>0</v>
      </c>
      <c r="L150" s="1871">
        <v>0</v>
      </c>
      <c r="M150" s="1886"/>
      <c r="N150" s="1873">
        <f t="shared" si="2"/>
        <v>1084</v>
      </c>
      <c r="O150" s="92"/>
      <c r="P150" s="92"/>
    </row>
    <row r="151" spans="1:16" ht="20.100000000000001" customHeight="1">
      <c r="A151" s="1877">
        <v>146</v>
      </c>
      <c r="B151" s="92" t="s">
        <v>2331</v>
      </c>
      <c r="C151" s="1912"/>
      <c r="D151" s="1983"/>
      <c r="E151" s="3403" t="s">
        <v>2336</v>
      </c>
      <c r="F151" s="1971">
        <v>14</v>
      </c>
      <c r="G151" s="1871">
        <v>0</v>
      </c>
      <c r="H151" s="1871">
        <v>0</v>
      </c>
      <c r="I151" s="1871">
        <v>0</v>
      </c>
      <c r="J151" s="1871">
        <v>0</v>
      </c>
      <c r="K151" s="1871">
        <v>0</v>
      </c>
      <c r="L151" s="1871">
        <v>0</v>
      </c>
      <c r="M151" s="1886"/>
      <c r="N151" s="1873">
        <f t="shared" si="2"/>
        <v>14</v>
      </c>
      <c r="O151" s="92"/>
      <c r="P151" s="92"/>
    </row>
    <row r="152" spans="1:16" ht="20.100000000000001" customHeight="1">
      <c r="A152" s="1877">
        <v>147</v>
      </c>
      <c r="B152" s="92" t="s">
        <v>2331</v>
      </c>
      <c r="C152" s="1912"/>
      <c r="D152" s="1924" t="s">
        <v>2337</v>
      </c>
      <c r="E152" s="3404" t="s">
        <v>2235</v>
      </c>
      <c r="F152" s="1871">
        <v>0</v>
      </c>
      <c r="G152" s="1871">
        <v>0</v>
      </c>
      <c r="H152" s="1871">
        <v>0</v>
      </c>
      <c r="I152" s="1871">
        <v>0</v>
      </c>
      <c r="J152" s="1871">
        <v>0</v>
      </c>
      <c r="K152" s="1871">
        <v>0</v>
      </c>
      <c r="L152" s="1248">
        <v>6</v>
      </c>
      <c r="M152" s="1886">
        <v>600000</v>
      </c>
      <c r="N152" s="1873">
        <f t="shared" si="2"/>
        <v>0</v>
      </c>
      <c r="O152" s="92">
        <v>6</v>
      </c>
      <c r="P152" s="92"/>
    </row>
    <row r="153" spans="1:16" ht="20.100000000000001" customHeight="1">
      <c r="A153" s="1868">
        <v>148</v>
      </c>
      <c r="B153" s="92" t="s">
        <v>2331</v>
      </c>
      <c r="C153" s="1912"/>
      <c r="D153" s="1924" t="s">
        <v>2338</v>
      </c>
      <c r="E153" s="3404" t="s">
        <v>2236</v>
      </c>
      <c r="F153" s="1871">
        <v>0</v>
      </c>
      <c r="G153" s="1871">
        <v>0</v>
      </c>
      <c r="H153" s="1871">
        <v>0</v>
      </c>
      <c r="I153" s="1871">
        <v>0</v>
      </c>
      <c r="J153" s="1871">
        <v>0</v>
      </c>
      <c r="K153" s="1871">
        <v>0</v>
      </c>
      <c r="L153" s="1248">
        <v>7</v>
      </c>
      <c r="M153" s="1886">
        <v>500000</v>
      </c>
      <c r="N153" s="1873">
        <f t="shared" si="2"/>
        <v>0</v>
      </c>
      <c r="O153" s="92">
        <v>7</v>
      </c>
      <c r="P153" s="92"/>
    </row>
    <row r="154" spans="1:16" ht="20.100000000000001" customHeight="1">
      <c r="A154" s="1877">
        <v>149</v>
      </c>
      <c r="B154" s="106" t="s">
        <v>2339</v>
      </c>
      <c r="C154" s="1891"/>
      <c r="D154" s="1891" t="s">
        <v>100</v>
      </c>
      <c r="E154" s="1926" t="s">
        <v>35</v>
      </c>
      <c r="F154" s="1871">
        <v>0</v>
      </c>
      <c r="G154" s="1871">
        <v>0</v>
      </c>
      <c r="H154" s="1871">
        <v>0</v>
      </c>
      <c r="I154" s="1871">
        <v>0</v>
      </c>
      <c r="J154" s="92">
        <v>1588</v>
      </c>
      <c r="K154" s="1871">
        <v>0</v>
      </c>
      <c r="L154" s="1871">
        <v>0</v>
      </c>
      <c r="M154" s="1886"/>
      <c r="N154" s="1873">
        <f t="shared" si="2"/>
        <v>1586</v>
      </c>
      <c r="O154" s="92">
        <v>2</v>
      </c>
      <c r="P154" s="92"/>
    </row>
    <row r="155" spans="1:16" ht="20.100000000000001" customHeight="1">
      <c r="A155" s="1877">
        <v>150</v>
      </c>
      <c r="B155" s="106" t="s">
        <v>2339</v>
      </c>
      <c r="C155" s="1985"/>
      <c r="D155" s="1912" t="s">
        <v>100</v>
      </c>
      <c r="E155" s="1926" t="s">
        <v>2221</v>
      </c>
      <c r="F155" s="1871">
        <v>0</v>
      </c>
      <c r="G155" s="92">
        <v>416</v>
      </c>
      <c r="H155" s="1871">
        <v>0</v>
      </c>
      <c r="I155" s="1871">
        <v>0</v>
      </c>
      <c r="J155" s="1871">
        <v>0</v>
      </c>
      <c r="K155" s="1871">
        <v>0</v>
      </c>
      <c r="L155" s="1871">
        <v>0</v>
      </c>
      <c r="M155" s="1886"/>
      <c r="N155" s="1873">
        <f t="shared" si="2"/>
        <v>416</v>
      </c>
      <c r="O155" s="92"/>
      <c r="P155" s="92"/>
    </row>
    <row r="156" spans="1:16" ht="20.100000000000001" customHeight="1">
      <c r="A156" s="1868">
        <v>151</v>
      </c>
      <c r="B156" s="106" t="s">
        <v>2340</v>
      </c>
      <c r="C156" s="92"/>
      <c r="D156" s="1986" t="s">
        <v>2341</v>
      </c>
      <c r="E156" s="1870" t="s">
        <v>2342</v>
      </c>
      <c r="F156" s="1871">
        <v>0</v>
      </c>
      <c r="G156" s="1871">
        <v>0</v>
      </c>
      <c r="H156" s="1871">
        <v>0</v>
      </c>
      <c r="I156" s="1871">
        <v>0</v>
      </c>
      <c r="J156" s="1871">
        <v>0</v>
      </c>
      <c r="K156" s="1871">
        <v>0</v>
      </c>
      <c r="L156" s="92">
        <v>1</v>
      </c>
      <c r="M156" s="1886">
        <v>5</v>
      </c>
      <c r="N156" s="1873">
        <f t="shared" si="2"/>
        <v>1</v>
      </c>
      <c r="O156" s="92"/>
      <c r="P156" s="92"/>
    </row>
    <row r="157" spans="1:16" ht="48.75" customHeight="1">
      <c r="A157" s="1877">
        <v>152</v>
      </c>
      <c r="B157" s="106" t="s">
        <v>2340</v>
      </c>
      <c r="C157" s="92"/>
      <c r="D157" s="1949" t="s">
        <v>2343</v>
      </c>
      <c r="E157" s="1906" t="s">
        <v>2344</v>
      </c>
      <c r="F157" s="1871">
        <v>0</v>
      </c>
      <c r="G157" s="1871">
        <v>0</v>
      </c>
      <c r="H157" s="1871">
        <v>0</v>
      </c>
      <c r="I157" s="1871">
        <v>0</v>
      </c>
      <c r="J157" s="1871">
        <v>0</v>
      </c>
      <c r="K157" s="92">
        <v>0</v>
      </c>
      <c r="L157" s="1871">
        <v>36</v>
      </c>
      <c r="M157" s="1886">
        <v>-1924.1</v>
      </c>
      <c r="N157" s="1873">
        <f t="shared" si="2"/>
        <v>0</v>
      </c>
      <c r="O157" s="92">
        <v>36</v>
      </c>
      <c r="P157" s="92"/>
    </row>
    <row r="158" spans="1:16" ht="20.100000000000001" customHeight="1">
      <c r="A158" s="1877">
        <v>153</v>
      </c>
      <c r="B158" s="106" t="s">
        <v>2340</v>
      </c>
      <c r="C158" s="92"/>
      <c r="D158" s="1949" t="s">
        <v>741</v>
      </c>
      <c r="E158" s="1931" t="s">
        <v>32</v>
      </c>
      <c r="F158" s="1871">
        <v>0</v>
      </c>
      <c r="G158" s="1871">
        <v>0</v>
      </c>
      <c r="H158" s="1248">
        <v>1</v>
      </c>
      <c r="I158" s="1871">
        <v>0</v>
      </c>
      <c r="J158" s="1871">
        <v>0</v>
      </c>
      <c r="K158" s="1871">
        <v>0</v>
      </c>
      <c r="L158" s="1871">
        <v>0</v>
      </c>
      <c r="M158" s="1899">
        <v>-10723.13</v>
      </c>
      <c r="N158" s="1873">
        <f t="shared" si="2"/>
        <v>1</v>
      </c>
      <c r="O158" s="92"/>
      <c r="P158" s="92"/>
    </row>
    <row r="159" spans="1:16" ht="20.100000000000001" customHeight="1">
      <c r="A159" s="1868">
        <v>154</v>
      </c>
      <c r="B159" s="106" t="s">
        <v>2340</v>
      </c>
      <c r="C159" s="92"/>
      <c r="D159" s="1949" t="s">
        <v>741</v>
      </c>
      <c r="E159" s="1931" t="s">
        <v>50</v>
      </c>
      <c r="F159" s="1871">
        <v>0</v>
      </c>
      <c r="G159" s="1871">
        <v>0</v>
      </c>
      <c r="H159" s="1248">
        <v>1</v>
      </c>
      <c r="I159" s="1871">
        <v>0</v>
      </c>
      <c r="J159" s="1871">
        <v>0</v>
      </c>
      <c r="K159" s="1871">
        <v>0</v>
      </c>
      <c r="L159" s="1871">
        <v>0</v>
      </c>
      <c r="M159" s="1987">
        <v>951.76</v>
      </c>
      <c r="N159" s="1873">
        <f t="shared" si="2"/>
        <v>1</v>
      </c>
      <c r="O159" s="92"/>
      <c r="P159" s="92"/>
    </row>
    <row r="160" spans="1:16" ht="20.100000000000001" customHeight="1">
      <c r="A160" s="1877">
        <v>155</v>
      </c>
      <c r="B160" s="106" t="s">
        <v>2340</v>
      </c>
      <c r="C160" s="92"/>
      <c r="D160" s="1949" t="s">
        <v>741</v>
      </c>
      <c r="E160" s="1988" t="s">
        <v>2345</v>
      </c>
      <c r="F160" s="1871">
        <v>0</v>
      </c>
      <c r="G160" s="1871">
        <v>0</v>
      </c>
      <c r="H160" s="1871">
        <v>0</v>
      </c>
      <c r="I160" s="1871">
        <v>0</v>
      </c>
      <c r="J160" s="1871">
        <v>0</v>
      </c>
      <c r="K160" s="1871">
        <v>0</v>
      </c>
      <c r="L160" s="1248">
        <v>1</v>
      </c>
      <c r="M160" s="1989">
        <v>63084.58</v>
      </c>
      <c r="N160" s="1873">
        <f t="shared" si="2"/>
        <v>1</v>
      </c>
      <c r="O160" s="92"/>
      <c r="P160" s="92"/>
    </row>
    <row r="161" spans="1:16" ht="20.100000000000001" customHeight="1">
      <c r="A161" s="1877">
        <v>156</v>
      </c>
      <c r="B161" s="106" t="s">
        <v>2340</v>
      </c>
      <c r="C161" s="92"/>
      <c r="D161" s="1949" t="s">
        <v>741</v>
      </c>
      <c r="E161" s="1925" t="s">
        <v>2346</v>
      </c>
      <c r="F161" s="1871">
        <v>0</v>
      </c>
      <c r="G161" s="1871">
        <v>0</v>
      </c>
      <c r="H161" s="1871">
        <v>0</v>
      </c>
      <c r="I161" s="1871">
        <v>0</v>
      </c>
      <c r="J161" s="1871">
        <v>0</v>
      </c>
      <c r="K161" s="1871">
        <v>0</v>
      </c>
      <c r="L161" s="1248">
        <v>1</v>
      </c>
      <c r="M161" s="1899">
        <v>468933.36</v>
      </c>
      <c r="N161" s="1873">
        <f t="shared" si="2"/>
        <v>0</v>
      </c>
      <c r="O161" s="92">
        <v>1</v>
      </c>
      <c r="P161" s="92"/>
    </row>
    <row r="162" spans="1:16" ht="20.100000000000001" customHeight="1">
      <c r="A162" s="1868">
        <v>157</v>
      </c>
      <c r="B162" s="106" t="s">
        <v>2340</v>
      </c>
      <c r="C162" s="92"/>
      <c r="D162" s="1949" t="s">
        <v>741</v>
      </c>
      <c r="E162" s="1905" t="s">
        <v>2226</v>
      </c>
      <c r="F162" s="1871">
        <v>0</v>
      </c>
      <c r="G162" s="1871">
        <v>0</v>
      </c>
      <c r="H162" s="1871">
        <v>0</v>
      </c>
      <c r="I162" s="1871">
        <v>0</v>
      </c>
      <c r="J162" s="1871">
        <v>0</v>
      </c>
      <c r="K162" s="1871">
        <v>0</v>
      </c>
      <c r="L162" s="1248">
        <v>1</v>
      </c>
      <c r="M162" s="1990">
        <v>51150.82</v>
      </c>
      <c r="N162" s="1873">
        <f t="shared" si="2"/>
        <v>1</v>
      </c>
      <c r="O162" s="92"/>
      <c r="P162" s="92"/>
    </row>
    <row r="163" spans="1:16" ht="20.100000000000001" customHeight="1">
      <c r="A163" s="1877">
        <v>158</v>
      </c>
      <c r="B163" s="106" t="s">
        <v>2340</v>
      </c>
      <c r="C163" s="1991"/>
      <c r="D163" s="1884" t="s">
        <v>741</v>
      </c>
      <c r="E163" s="1892" t="s">
        <v>35</v>
      </c>
      <c r="F163" s="1871">
        <v>0</v>
      </c>
      <c r="G163" s="1871">
        <v>0</v>
      </c>
      <c r="H163" s="1871">
        <v>0</v>
      </c>
      <c r="I163" s="1871">
        <v>0</v>
      </c>
      <c r="J163" s="92">
        <v>3800</v>
      </c>
      <c r="K163" s="1871">
        <v>0</v>
      </c>
      <c r="L163" s="1871">
        <v>0</v>
      </c>
      <c r="M163" s="1886"/>
      <c r="N163" s="1873">
        <f t="shared" si="2"/>
        <v>3800</v>
      </c>
      <c r="O163" s="92"/>
      <c r="P163" s="92"/>
    </row>
    <row r="164" spans="1:16" ht="20.100000000000001" customHeight="1">
      <c r="A164" s="1877">
        <v>159</v>
      </c>
      <c r="B164" s="106" t="s">
        <v>2340</v>
      </c>
      <c r="C164" s="1891"/>
      <c r="D164" s="1884" t="s">
        <v>741</v>
      </c>
      <c r="E164" s="1870" t="s">
        <v>2347</v>
      </c>
      <c r="F164" s="1871">
        <v>0</v>
      </c>
      <c r="G164" s="1898">
        <v>1590</v>
      </c>
      <c r="H164" s="1871">
        <v>0</v>
      </c>
      <c r="I164" s="1871">
        <v>0</v>
      </c>
      <c r="J164" s="1871">
        <v>0</v>
      </c>
      <c r="K164" s="1871">
        <v>0</v>
      </c>
      <c r="L164" s="1871">
        <v>0</v>
      </c>
      <c r="M164" s="1886"/>
      <c r="N164" s="1873">
        <f t="shared" si="2"/>
        <v>1590</v>
      </c>
      <c r="O164" s="92"/>
      <c r="P164" s="92"/>
    </row>
    <row r="165" spans="1:16" ht="20.100000000000001" customHeight="1">
      <c r="A165" s="1868">
        <v>160</v>
      </c>
      <c r="B165" s="106" t="s">
        <v>2340</v>
      </c>
      <c r="C165" s="1891"/>
      <c r="D165" s="1884"/>
      <c r="E165" s="3403" t="s">
        <v>2348</v>
      </c>
      <c r="F165" s="1992">
        <v>189</v>
      </c>
      <c r="G165" s="1871">
        <v>0</v>
      </c>
      <c r="H165" s="1871">
        <v>0</v>
      </c>
      <c r="I165" s="1871">
        <v>0</v>
      </c>
      <c r="J165" s="1871">
        <v>0</v>
      </c>
      <c r="K165" s="1871">
        <v>0</v>
      </c>
      <c r="L165" s="1871">
        <v>0</v>
      </c>
      <c r="M165" s="1886"/>
      <c r="N165" s="1873">
        <f t="shared" si="2"/>
        <v>189</v>
      </c>
      <c r="O165" s="92"/>
      <c r="P165" s="92"/>
    </row>
    <row r="166" spans="1:16" ht="20.100000000000001" customHeight="1">
      <c r="A166" s="1877">
        <v>161</v>
      </c>
      <c r="B166" s="106" t="s">
        <v>2340</v>
      </c>
      <c r="C166" s="1891"/>
      <c r="D166" s="1949" t="s">
        <v>100</v>
      </c>
      <c r="E166" s="1930" t="s">
        <v>2349</v>
      </c>
      <c r="F166" s="1871">
        <v>0</v>
      </c>
      <c r="G166" s="1871">
        <v>0</v>
      </c>
      <c r="H166" s="1871">
        <v>0</v>
      </c>
      <c r="I166" s="1871">
        <v>0</v>
      </c>
      <c r="J166" s="1871">
        <v>0</v>
      </c>
      <c r="K166" s="1871">
        <v>0</v>
      </c>
      <c r="L166" s="92">
        <v>2</v>
      </c>
      <c r="M166" s="1886">
        <v>250000</v>
      </c>
      <c r="N166" s="1873">
        <f t="shared" si="2"/>
        <v>0</v>
      </c>
      <c r="O166" s="92">
        <v>2</v>
      </c>
      <c r="P166" s="92"/>
    </row>
    <row r="167" spans="1:16" ht="20.100000000000001" customHeight="1">
      <c r="A167" s="1877">
        <v>162</v>
      </c>
      <c r="B167" s="1993" t="s">
        <v>2350</v>
      </c>
      <c r="C167" s="1912">
        <v>1</v>
      </c>
      <c r="D167" s="1994" t="s">
        <v>930</v>
      </c>
      <c r="E167" s="1905" t="s">
        <v>2351</v>
      </c>
      <c r="F167" s="1871">
        <v>0</v>
      </c>
      <c r="G167" s="1871">
        <v>0</v>
      </c>
      <c r="H167" s="1871">
        <v>0</v>
      </c>
      <c r="I167" s="1871">
        <v>0</v>
      </c>
      <c r="J167" s="1871">
        <v>0</v>
      </c>
      <c r="K167" s="1871">
        <v>0</v>
      </c>
      <c r="L167" s="1903">
        <v>1</v>
      </c>
      <c r="M167" s="1911">
        <v>31000</v>
      </c>
      <c r="N167" s="1873">
        <f t="shared" si="2"/>
        <v>0</v>
      </c>
      <c r="O167" s="92">
        <v>1</v>
      </c>
      <c r="P167" s="92"/>
    </row>
    <row r="168" spans="1:16" ht="20.100000000000001" customHeight="1">
      <c r="A168" s="1868">
        <v>163</v>
      </c>
      <c r="B168" s="1993" t="s">
        <v>2350</v>
      </c>
      <c r="C168" s="1912">
        <v>1</v>
      </c>
      <c r="D168" s="1994" t="s">
        <v>930</v>
      </c>
      <c r="E168" s="1870" t="s">
        <v>32</v>
      </c>
      <c r="F168" s="1871">
        <v>0</v>
      </c>
      <c r="G168" s="1871">
        <v>0</v>
      </c>
      <c r="H168" s="1903">
        <v>1</v>
      </c>
      <c r="I168" s="1871">
        <v>0</v>
      </c>
      <c r="J168" s="1871">
        <v>0</v>
      </c>
      <c r="K168" s="1871">
        <v>0</v>
      </c>
      <c r="L168" s="1871">
        <v>0</v>
      </c>
      <c r="M168" s="1995">
        <v>13784.58</v>
      </c>
      <c r="N168" s="1873">
        <f t="shared" si="2"/>
        <v>1</v>
      </c>
      <c r="O168" s="92"/>
      <c r="P168" s="92"/>
    </row>
    <row r="169" spans="1:16" ht="20.100000000000001" customHeight="1">
      <c r="A169" s="1877">
        <v>164</v>
      </c>
      <c r="B169" s="1993" t="s">
        <v>2350</v>
      </c>
      <c r="C169" s="1925">
        <v>1</v>
      </c>
      <c r="D169" s="1996" t="s">
        <v>408</v>
      </c>
      <c r="E169" s="1870" t="s">
        <v>2250</v>
      </c>
      <c r="F169" s="1871">
        <v>0</v>
      </c>
      <c r="G169" s="1871">
        <v>0</v>
      </c>
      <c r="H169" s="1903">
        <v>1</v>
      </c>
      <c r="I169" s="1871">
        <v>0</v>
      </c>
      <c r="J169" s="1871">
        <v>0</v>
      </c>
      <c r="K169" s="1871">
        <v>0</v>
      </c>
      <c r="L169" s="1871">
        <v>0</v>
      </c>
      <c r="M169" s="1977">
        <v>16</v>
      </c>
      <c r="N169" s="1873">
        <f t="shared" si="2"/>
        <v>1</v>
      </c>
      <c r="O169" s="92"/>
      <c r="P169" s="92"/>
    </row>
    <row r="170" spans="1:16" ht="20.100000000000001" customHeight="1">
      <c r="A170" s="1877">
        <v>165</v>
      </c>
      <c r="B170" s="1993" t="s">
        <v>2350</v>
      </c>
      <c r="C170" s="1925">
        <v>1</v>
      </c>
      <c r="D170" s="1997" t="s">
        <v>2352</v>
      </c>
      <c r="E170" s="1925" t="s">
        <v>2353</v>
      </c>
      <c r="F170" s="1871">
        <v>0</v>
      </c>
      <c r="G170" s="1871">
        <v>0</v>
      </c>
      <c r="H170" s="1871">
        <v>0</v>
      </c>
      <c r="I170" s="1871">
        <v>0</v>
      </c>
      <c r="J170" s="1871">
        <v>0</v>
      </c>
      <c r="K170" s="1871">
        <v>0</v>
      </c>
      <c r="L170" s="1903">
        <v>1</v>
      </c>
      <c r="M170" s="1998">
        <v>16100</v>
      </c>
      <c r="N170" s="1873">
        <f t="shared" si="2"/>
        <v>0</v>
      </c>
      <c r="O170" s="92">
        <v>1</v>
      </c>
      <c r="P170" s="92"/>
    </row>
    <row r="171" spans="1:16" ht="20.100000000000001" customHeight="1">
      <c r="A171" s="1868">
        <v>166</v>
      </c>
      <c r="B171" s="1993" t="s">
        <v>2350</v>
      </c>
      <c r="C171" s="1912"/>
      <c r="D171" s="1932" t="s">
        <v>741</v>
      </c>
      <c r="E171" s="1913" t="s">
        <v>2253</v>
      </c>
      <c r="F171" s="1871">
        <v>0</v>
      </c>
      <c r="G171" s="1871">
        <v>0</v>
      </c>
      <c r="H171" s="1871">
        <v>0</v>
      </c>
      <c r="I171" s="1871">
        <v>0</v>
      </c>
      <c r="J171" s="1903">
        <v>2641</v>
      </c>
      <c r="K171" s="1871">
        <v>0</v>
      </c>
      <c r="L171" s="1871">
        <v>0</v>
      </c>
      <c r="M171" s="1911"/>
      <c r="N171" s="1873">
        <f t="shared" si="2"/>
        <v>2604</v>
      </c>
      <c r="O171" s="92">
        <v>37</v>
      </c>
      <c r="P171" s="92"/>
    </row>
    <row r="172" spans="1:16" ht="20.100000000000001" customHeight="1">
      <c r="A172" s="1877">
        <v>167</v>
      </c>
      <c r="B172" s="1999" t="s">
        <v>2350</v>
      </c>
      <c r="C172" s="1924"/>
      <c r="D172" s="1932" t="s">
        <v>388</v>
      </c>
      <c r="E172" s="1870" t="s">
        <v>2354</v>
      </c>
      <c r="F172" s="1871">
        <v>0</v>
      </c>
      <c r="G172" s="1903">
        <v>1128</v>
      </c>
      <c r="H172" s="1871">
        <v>0</v>
      </c>
      <c r="I172" s="1871">
        <v>0</v>
      </c>
      <c r="J172" s="1871">
        <v>0</v>
      </c>
      <c r="K172" s="1871">
        <v>0</v>
      </c>
      <c r="L172" s="1871">
        <v>0</v>
      </c>
      <c r="M172" s="1911"/>
      <c r="N172" s="1873">
        <f t="shared" si="2"/>
        <v>1127</v>
      </c>
      <c r="O172" s="92">
        <v>1</v>
      </c>
      <c r="P172" s="92"/>
    </row>
    <row r="173" spans="1:16" ht="20.100000000000001" customHeight="1">
      <c r="A173" s="1877">
        <v>168</v>
      </c>
      <c r="B173" s="1999" t="s">
        <v>2350</v>
      </c>
      <c r="C173" s="1924"/>
      <c r="D173" s="1932"/>
      <c r="E173" s="3403" t="s">
        <v>2355</v>
      </c>
      <c r="F173" s="2000">
        <v>789</v>
      </c>
      <c r="G173" s="1871">
        <v>0</v>
      </c>
      <c r="H173" s="1871">
        <v>0</v>
      </c>
      <c r="I173" s="1871">
        <v>0</v>
      </c>
      <c r="J173" s="1871">
        <v>0</v>
      </c>
      <c r="K173" s="1871">
        <v>0</v>
      </c>
      <c r="L173" s="1871">
        <v>0</v>
      </c>
      <c r="M173" s="1911"/>
      <c r="N173" s="1873">
        <f t="shared" si="2"/>
        <v>788</v>
      </c>
      <c r="O173" s="92">
        <v>1</v>
      </c>
      <c r="P173" s="92"/>
    </row>
    <row r="174" spans="1:16" ht="20.100000000000001" customHeight="1">
      <c r="A174" s="1868">
        <v>169</v>
      </c>
      <c r="B174" s="1999" t="s">
        <v>2350</v>
      </c>
      <c r="C174" s="1912"/>
      <c r="D174" s="1996" t="s">
        <v>2356</v>
      </c>
      <c r="E174" s="2001" t="s">
        <v>2357</v>
      </c>
      <c r="F174" s="1871">
        <v>0</v>
      </c>
      <c r="G174" s="1871">
        <v>0</v>
      </c>
      <c r="H174" s="1871">
        <v>0</v>
      </c>
      <c r="I174" s="1871">
        <v>0</v>
      </c>
      <c r="J174" s="1871">
        <v>0</v>
      </c>
      <c r="K174" s="1871">
        <v>0</v>
      </c>
      <c r="L174" s="1903">
        <v>3</v>
      </c>
      <c r="M174" s="1911">
        <v>257000</v>
      </c>
      <c r="N174" s="1873">
        <f t="shared" si="2"/>
        <v>0</v>
      </c>
      <c r="O174" s="92">
        <v>3</v>
      </c>
      <c r="P174" s="92"/>
    </row>
    <row r="175" spans="1:16" ht="20.100000000000001" customHeight="1">
      <c r="A175" s="1877">
        <v>170</v>
      </c>
      <c r="B175" s="1999" t="s">
        <v>2350</v>
      </c>
      <c r="C175" s="1912"/>
      <c r="D175" s="1996" t="s">
        <v>2358</v>
      </c>
      <c r="E175" s="1930" t="s">
        <v>2236</v>
      </c>
      <c r="F175" s="1871">
        <v>0</v>
      </c>
      <c r="G175" s="1871">
        <v>0</v>
      </c>
      <c r="H175" s="1871">
        <v>0</v>
      </c>
      <c r="I175" s="1871">
        <v>0</v>
      </c>
      <c r="J175" s="1871">
        <v>0</v>
      </c>
      <c r="K175" s="1871">
        <v>0</v>
      </c>
      <c r="L175" s="1903">
        <v>2</v>
      </c>
      <c r="M175" s="1911">
        <v>70000</v>
      </c>
      <c r="N175" s="1873">
        <f t="shared" si="2"/>
        <v>0</v>
      </c>
      <c r="O175" s="92">
        <v>2</v>
      </c>
      <c r="P175" s="92"/>
    </row>
    <row r="176" spans="1:16" ht="20.100000000000001" customHeight="1">
      <c r="A176" s="1877">
        <v>171</v>
      </c>
      <c r="B176" s="1999" t="s">
        <v>2350</v>
      </c>
      <c r="C176" s="1912"/>
      <c r="D176" s="1932" t="s">
        <v>741</v>
      </c>
      <c r="E176" s="1905" t="s">
        <v>2359</v>
      </c>
      <c r="F176" s="1871">
        <v>0</v>
      </c>
      <c r="G176" s="1871">
        <v>0</v>
      </c>
      <c r="H176" s="1871">
        <v>0</v>
      </c>
      <c r="I176" s="1871">
        <v>0</v>
      </c>
      <c r="J176" s="1871">
        <v>0</v>
      </c>
      <c r="K176" s="1871">
        <v>0</v>
      </c>
      <c r="L176" s="1903">
        <v>1</v>
      </c>
      <c r="M176" s="1911">
        <v>42840</v>
      </c>
      <c r="N176" s="1873">
        <f t="shared" si="2"/>
        <v>1</v>
      </c>
      <c r="O176" s="92"/>
      <c r="P176" s="92"/>
    </row>
    <row r="177" spans="1:16" ht="20.100000000000001" customHeight="1">
      <c r="A177" s="1868">
        <v>172</v>
      </c>
      <c r="B177" s="92" t="s">
        <v>2360</v>
      </c>
      <c r="C177" s="1891"/>
      <c r="D177" s="1891" t="s">
        <v>741</v>
      </c>
      <c r="E177" s="1905" t="s">
        <v>2361</v>
      </c>
      <c r="F177" s="1871">
        <v>0</v>
      </c>
      <c r="G177" s="1871">
        <v>0</v>
      </c>
      <c r="H177" s="1871">
        <v>0</v>
      </c>
      <c r="I177" s="1871">
        <v>0</v>
      </c>
      <c r="J177" s="1871">
        <v>0</v>
      </c>
      <c r="K177" s="1871">
        <v>0</v>
      </c>
      <c r="L177" s="1898">
        <v>1</v>
      </c>
      <c r="M177" s="1899">
        <v>41255.19</v>
      </c>
      <c r="N177" s="1873">
        <f t="shared" si="2"/>
        <v>0</v>
      </c>
      <c r="O177" s="92">
        <v>1</v>
      </c>
      <c r="P177" s="92"/>
    </row>
    <row r="178" spans="1:16" ht="20.100000000000001" customHeight="1">
      <c r="A178" s="1877">
        <v>173</v>
      </c>
      <c r="B178" s="92" t="s">
        <v>2360</v>
      </c>
      <c r="C178" s="1891"/>
      <c r="D178" s="1891" t="s">
        <v>741</v>
      </c>
      <c r="E178" s="1907" t="s">
        <v>32</v>
      </c>
      <c r="F178" s="1871">
        <v>0</v>
      </c>
      <c r="G178" s="1871">
        <v>0</v>
      </c>
      <c r="H178" s="1248">
        <v>1</v>
      </c>
      <c r="I178" s="1871">
        <v>0</v>
      </c>
      <c r="J178" s="1871">
        <v>0</v>
      </c>
      <c r="K178" s="1871">
        <v>0</v>
      </c>
      <c r="L178" s="1871">
        <v>0</v>
      </c>
      <c r="M178" s="1899">
        <v>-7.06</v>
      </c>
      <c r="N178" s="1873">
        <f t="shared" si="2"/>
        <v>1</v>
      </c>
      <c r="O178" s="92"/>
      <c r="P178" s="92"/>
    </row>
    <row r="179" spans="1:16" ht="20.100000000000001" customHeight="1">
      <c r="A179" s="1877">
        <v>174</v>
      </c>
      <c r="B179" s="92" t="s">
        <v>2360</v>
      </c>
      <c r="C179" s="1090"/>
      <c r="D179" s="1891" t="s">
        <v>741</v>
      </c>
      <c r="E179" s="1907" t="s">
        <v>50</v>
      </c>
      <c r="F179" s="1871">
        <v>0</v>
      </c>
      <c r="G179" s="1871">
        <v>0</v>
      </c>
      <c r="H179" s="1248">
        <v>1</v>
      </c>
      <c r="I179" s="1871">
        <v>0</v>
      </c>
      <c r="J179" s="1871">
        <v>0</v>
      </c>
      <c r="K179" s="1871">
        <v>0</v>
      </c>
      <c r="L179" s="1871">
        <v>0</v>
      </c>
      <c r="M179" s="1091">
        <v>6.66</v>
      </c>
      <c r="N179" s="1873">
        <f t="shared" si="2"/>
        <v>1</v>
      </c>
      <c r="O179" s="92"/>
      <c r="P179" s="92"/>
    </row>
    <row r="180" spans="1:16" ht="20.100000000000001" customHeight="1">
      <c r="A180" s="1868">
        <v>175</v>
      </c>
      <c r="B180" s="92" t="s">
        <v>2360</v>
      </c>
      <c r="C180" s="1891"/>
      <c r="D180" s="1891" t="s">
        <v>741</v>
      </c>
      <c r="E180" s="1892" t="s">
        <v>35</v>
      </c>
      <c r="F180" s="1871">
        <v>0</v>
      </c>
      <c r="G180" s="1871">
        <v>0</v>
      </c>
      <c r="H180" s="1871">
        <v>0</v>
      </c>
      <c r="I180" s="1871">
        <v>0</v>
      </c>
      <c r="J180" s="92">
        <v>2366</v>
      </c>
      <c r="K180" s="1871">
        <v>0</v>
      </c>
      <c r="L180" s="1871">
        <v>0</v>
      </c>
      <c r="M180" s="1886"/>
      <c r="N180" s="1873">
        <f t="shared" si="2"/>
        <v>2327</v>
      </c>
      <c r="O180" s="92">
        <v>39</v>
      </c>
      <c r="P180" s="92"/>
    </row>
    <row r="181" spans="1:16" ht="20.100000000000001" customHeight="1">
      <c r="A181" s="1877">
        <v>176</v>
      </c>
      <c r="B181" s="92" t="s">
        <v>2360</v>
      </c>
      <c r="C181" s="1891"/>
      <c r="D181" s="1891" t="s">
        <v>741</v>
      </c>
      <c r="E181" s="1870" t="s">
        <v>2362</v>
      </c>
      <c r="F181" s="1871">
        <v>0</v>
      </c>
      <c r="G181" s="1898">
        <v>683</v>
      </c>
      <c r="H181" s="1871">
        <v>0</v>
      </c>
      <c r="I181" s="1871">
        <v>0</v>
      </c>
      <c r="J181" s="1871">
        <v>0</v>
      </c>
      <c r="K181" s="1871">
        <v>0</v>
      </c>
      <c r="L181" s="1871">
        <v>0</v>
      </c>
      <c r="M181" s="1886"/>
      <c r="N181" s="1873">
        <f t="shared" si="2"/>
        <v>683</v>
      </c>
      <c r="O181" s="92"/>
      <c r="P181" s="92"/>
    </row>
    <row r="182" spans="1:16" ht="20.100000000000001" customHeight="1">
      <c r="A182" s="1877">
        <v>177</v>
      </c>
      <c r="B182" s="92" t="s">
        <v>2360</v>
      </c>
      <c r="C182" s="92"/>
      <c r="D182" s="92"/>
      <c r="E182" s="3403" t="s">
        <v>2363</v>
      </c>
      <c r="F182" s="92">
        <v>273</v>
      </c>
      <c r="G182" s="1871">
        <v>0</v>
      </c>
      <c r="H182" s="1871">
        <v>0</v>
      </c>
      <c r="I182" s="1871">
        <v>0</v>
      </c>
      <c r="J182" s="1871">
        <v>0</v>
      </c>
      <c r="K182" s="1871">
        <v>0</v>
      </c>
      <c r="L182" s="1871">
        <v>0</v>
      </c>
      <c r="M182" s="1886"/>
      <c r="N182" s="1873">
        <f t="shared" si="2"/>
        <v>273</v>
      </c>
      <c r="O182" s="92"/>
      <c r="P182" s="92"/>
    </row>
    <row r="183" spans="1:16" ht="20.100000000000001" customHeight="1">
      <c r="A183" s="1868">
        <v>178</v>
      </c>
      <c r="B183" s="92" t="s">
        <v>2364</v>
      </c>
      <c r="C183" s="1891"/>
      <c r="D183" s="1891" t="s">
        <v>741</v>
      </c>
      <c r="E183" s="1905" t="s">
        <v>118</v>
      </c>
      <c r="F183" s="1871">
        <v>0</v>
      </c>
      <c r="G183" s="1871">
        <v>0</v>
      </c>
      <c r="H183" s="1871">
        <v>0</v>
      </c>
      <c r="I183" s="1871">
        <v>0</v>
      </c>
      <c r="J183" s="1871">
        <v>0</v>
      </c>
      <c r="K183" s="1871">
        <v>0</v>
      </c>
      <c r="L183" s="1248">
        <v>1</v>
      </c>
      <c r="M183" s="1915">
        <v>45100</v>
      </c>
      <c r="N183" s="1873">
        <f t="shared" si="2"/>
        <v>1</v>
      </c>
      <c r="O183" s="92"/>
      <c r="P183" s="92"/>
    </row>
    <row r="184" spans="1:16" ht="20.100000000000001" customHeight="1">
      <c r="A184" s="1877">
        <v>179</v>
      </c>
      <c r="B184" s="92" t="s">
        <v>2364</v>
      </c>
      <c r="C184" s="1891"/>
      <c r="D184" s="1891" t="s">
        <v>741</v>
      </c>
      <c r="E184" s="1870" t="s">
        <v>32</v>
      </c>
      <c r="F184" s="1871">
        <v>0</v>
      </c>
      <c r="G184" s="1871">
        <v>0</v>
      </c>
      <c r="H184" s="1248">
        <v>1</v>
      </c>
      <c r="I184" s="1871">
        <v>0</v>
      </c>
      <c r="J184" s="1871">
        <v>0</v>
      </c>
      <c r="K184" s="1871">
        <v>0</v>
      </c>
      <c r="L184" s="1871">
        <v>0</v>
      </c>
      <c r="M184" s="1915">
        <v>1.17</v>
      </c>
      <c r="N184" s="1873">
        <f t="shared" si="2"/>
        <v>1</v>
      </c>
      <c r="O184" s="92"/>
      <c r="P184" s="92"/>
    </row>
    <row r="185" spans="1:16" ht="20.100000000000001" customHeight="1">
      <c r="A185" s="1877">
        <v>180</v>
      </c>
      <c r="B185" s="92" t="s">
        <v>2364</v>
      </c>
      <c r="C185" s="1090"/>
      <c r="D185" s="1891" t="s">
        <v>741</v>
      </c>
      <c r="E185" s="1870" t="s">
        <v>50</v>
      </c>
      <c r="F185" s="1871">
        <v>0</v>
      </c>
      <c r="G185" s="1871">
        <v>0</v>
      </c>
      <c r="H185" s="1248">
        <v>1</v>
      </c>
      <c r="I185" s="1871">
        <v>0</v>
      </c>
      <c r="J185" s="1871">
        <v>0</v>
      </c>
      <c r="K185" s="1871">
        <v>0</v>
      </c>
      <c r="L185" s="1871">
        <v>0</v>
      </c>
      <c r="M185" s="970">
        <v>50.26</v>
      </c>
      <c r="N185" s="1873">
        <f t="shared" si="2"/>
        <v>1</v>
      </c>
      <c r="O185" s="92"/>
      <c r="P185" s="92"/>
    </row>
    <row r="186" spans="1:16" ht="20.100000000000001" customHeight="1">
      <c r="A186" s="1868">
        <v>181</v>
      </c>
      <c r="B186" s="92" t="s">
        <v>2364</v>
      </c>
      <c r="C186" s="1090"/>
      <c r="D186" s="1891" t="s">
        <v>741</v>
      </c>
      <c r="E186" s="1870" t="s">
        <v>2365</v>
      </c>
      <c r="F186" s="1871">
        <v>0</v>
      </c>
      <c r="G186" s="1871">
        <v>0</v>
      </c>
      <c r="H186" s="1898">
        <v>1</v>
      </c>
      <c r="I186" s="1871">
        <v>0</v>
      </c>
      <c r="J186" s="1871">
        <v>0</v>
      </c>
      <c r="K186" s="1871">
        <v>0</v>
      </c>
      <c r="L186" s="1871">
        <v>0</v>
      </c>
      <c r="M186" s="970">
        <v>76</v>
      </c>
      <c r="N186" s="1873">
        <f t="shared" si="2"/>
        <v>1</v>
      </c>
      <c r="O186" s="92"/>
      <c r="P186" s="92"/>
    </row>
    <row r="187" spans="1:16" ht="20.100000000000001" customHeight="1">
      <c r="A187" s="1877">
        <v>182</v>
      </c>
      <c r="B187" s="92" t="s">
        <v>2364</v>
      </c>
      <c r="C187" s="1947"/>
      <c r="D187" s="1891" t="s">
        <v>741</v>
      </c>
      <c r="E187" s="1892" t="s">
        <v>35</v>
      </c>
      <c r="F187" s="1871">
        <v>0</v>
      </c>
      <c r="G187" s="1871">
        <v>0</v>
      </c>
      <c r="H187" s="1871">
        <v>0</v>
      </c>
      <c r="I187" s="1871">
        <v>0</v>
      </c>
      <c r="J187" s="92">
        <v>4627</v>
      </c>
      <c r="K187" s="1871">
        <v>0</v>
      </c>
      <c r="L187" s="1871">
        <v>0</v>
      </c>
      <c r="M187" s="1886"/>
      <c r="N187" s="1873">
        <f t="shared" si="2"/>
        <v>4502</v>
      </c>
      <c r="O187" s="92">
        <v>125</v>
      </c>
      <c r="P187" s="92"/>
    </row>
    <row r="188" spans="1:16" ht="20.100000000000001" customHeight="1">
      <c r="A188" s="1877">
        <v>183</v>
      </c>
      <c r="B188" s="92" t="s">
        <v>2364</v>
      </c>
      <c r="C188" s="2002"/>
      <c r="D188" s="1891" t="s">
        <v>741</v>
      </c>
      <c r="E188" s="1870" t="s">
        <v>2366</v>
      </c>
      <c r="F188" s="1871">
        <v>0</v>
      </c>
      <c r="G188" s="1248">
        <v>801</v>
      </c>
      <c r="H188" s="1871">
        <v>0</v>
      </c>
      <c r="I188" s="1871">
        <v>0</v>
      </c>
      <c r="J188" s="1871">
        <v>0</v>
      </c>
      <c r="K188" s="1871">
        <v>0</v>
      </c>
      <c r="L188" s="1871">
        <v>0</v>
      </c>
      <c r="M188" s="1886"/>
      <c r="N188" s="1873">
        <f t="shared" si="2"/>
        <v>801</v>
      </c>
      <c r="O188" s="92"/>
      <c r="P188" s="92"/>
    </row>
    <row r="189" spans="1:16" ht="20.100000000000001" customHeight="1">
      <c r="A189" s="1868">
        <v>184</v>
      </c>
      <c r="B189" s="92" t="s">
        <v>2364</v>
      </c>
      <c r="C189" s="2002"/>
      <c r="D189" s="1891" t="s">
        <v>741</v>
      </c>
      <c r="E189" s="1870" t="s">
        <v>2367</v>
      </c>
      <c r="F189" s="1871">
        <v>0</v>
      </c>
      <c r="G189" s="1871">
        <v>0</v>
      </c>
      <c r="H189" s="1871">
        <v>0</v>
      </c>
      <c r="I189" s="1871">
        <v>0</v>
      </c>
      <c r="J189" s="1871">
        <v>0</v>
      </c>
      <c r="K189" s="1871">
        <v>0</v>
      </c>
      <c r="L189" s="1871">
        <v>0</v>
      </c>
      <c r="M189" s="1886"/>
      <c r="N189" s="1873">
        <f t="shared" si="2"/>
        <v>0</v>
      </c>
      <c r="O189" s="92"/>
      <c r="P189" s="92"/>
    </row>
    <row r="190" spans="1:16" ht="20.100000000000001" customHeight="1">
      <c r="A190" s="1877">
        <v>185</v>
      </c>
      <c r="B190" s="92" t="s">
        <v>2368</v>
      </c>
      <c r="C190" s="1090">
        <v>79</v>
      </c>
      <c r="D190" s="1090" t="s">
        <v>741</v>
      </c>
      <c r="E190" s="1926" t="s">
        <v>34</v>
      </c>
      <c r="F190" s="1871">
        <v>0</v>
      </c>
      <c r="G190" s="1871">
        <v>0</v>
      </c>
      <c r="H190" s="1871">
        <v>0</v>
      </c>
      <c r="I190" s="92">
        <v>79</v>
      </c>
      <c r="J190" s="1871">
        <v>0</v>
      </c>
      <c r="K190" s="1871">
        <v>0</v>
      </c>
      <c r="L190" s="1871">
        <v>0</v>
      </c>
      <c r="M190" s="1886"/>
      <c r="N190" s="1873">
        <f t="shared" si="2"/>
        <v>66</v>
      </c>
      <c r="O190" s="3397">
        <v>13</v>
      </c>
      <c r="P190" s="92"/>
    </row>
    <row r="191" spans="1:16" ht="20.100000000000001" customHeight="1">
      <c r="A191" s="1877">
        <v>186</v>
      </c>
      <c r="B191" s="92" t="s">
        <v>2368</v>
      </c>
      <c r="C191" s="1891">
        <v>1149</v>
      </c>
      <c r="D191" s="1090" t="s">
        <v>741</v>
      </c>
      <c r="E191" s="1926" t="s">
        <v>35</v>
      </c>
      <c r="F191" s="1871">
        <v>0</v>
      </c>
      <c r="G191" s="1871">
        <v>0</v>
      </c>
      <c r="H191" s="1871">
        <v>0</v>
      </c>
      <c r="I191" s="1871">
        <v>0</v>
      </c>
      <c r="J191" s="92">
        <v>1149</v>
      </c>
      <c r="K191" s="1871">
        <v>0</v>
      </c>
      <c r="L191" s="1871">
        <v>0</v>
      </c>
      <c r="M191" s="1886"/>
      <c r="N191" s="1873">
        <f t="shared" si="2"/>
        <v>970</v>
      </c>
      <c r="O191" s="92">
        <v>179</v>
      </c>
      <c r="P191" s="92"/>
    </row>
    <row r="192" spans="1:16" ht="20.100000000000001" customHeight="1">
      <c r="A192" s="1868">
        <v>187</v>
      </c>
      <c r="B192" s="92" t="s">
        <v>2368</v>
      </c>
      <c r="C192" s="2003">
        <v>2517</v>
      </c>
      <c r="D192" s="1090" t="s">
        <v>100</v>
      </c>
      <c r="E192" s="1926" t="s">
        <v>2369</v>
      </c>
      <c r="F192" s="1871">
        <v>0</v>
      </c>
      <c r="G192" s="92">
        <v>2517</v>
      </c>
      <c r="H192" s="1871">
        <v>0</v>
      </c>
      <c r="I192" s="1871">
        <v>0</v>
      </c>
      <c r="J192" s="1871">
        <v>0</v>
      </c>
      <c r="K192" s="1871">
        <v>0</v>
      </c>
      <c r="L192" s="1871">
        <v>0</v>
      </c>
      <c r="M192" s="1886"/>
      <c r="N192" s="1873">
        <f t="shared" si="2"/>
        <v>2517</v>
      </c>
      <c r="O192" s="92"/>
      <c r="P192" s="92"/>
    </row>
    <row r="193" spans="1:16" ht="20.100000000000001" customHeight="1">
      <c r="A193" s="1877">
        <v>188</v>
      </c>
      <c r="B193" s="92" t="s">
        <v>2368</v>
      </c>
      <c r="C193" s="92"/>
      <c r="D193" s="92"/>
      <c r="E193" s="1870" t="s">
        <v>2370</v>
      </c>
      <c r="F193" s="92">
        <v>413</v>
      </c>
      <c r="G193" s="1871">
        <v>0</v>
      </c>
      <c r="H193" s="1871">
        <v>0</v>
      </c>
      <c r="I193" s="1871">
        <v>0</v>
      </c>
      <c r="J193" s="1871">
        <v>0</v>
      </c>
      <c r="K193" s="1871">
        <v>0</v>
      </c>
      <c r="L193" s="1871">
        <v>0</v>
      </c>
      <c r="M193" s="92"/>
      <c r="N193" s="1873">
        <f t="shared" si="2"/>
        <v>413</v>
      </c>
      <c r="O193" s="92"/>
      <c r="P193" s="92"/>
    </row>
    <row r="194" spans="1:16" ht="20.100000000000001" customHeight="1">
      <c r="A194" s="1877">
        <v>189</v>
      </c>
      <c r="B194" s="92" t="s">
        <v>2371</v>
      </c>
      <c r="C194" s="2004">
        <v>1</v>
      </c>
      <c r="D194" s="1946" t="s">
        <v>2372</v>
      </c>
      <c r="E194" s="1870" t="s">
        <v>32</v>
      </c>
      <c r="F194" s="1871">
        <v>0</v>
      </c>
      <c r="G194" s="1871">
        <v>0</v>
      </c>
      <c r="H194" s="1898">
        <v>1</v>
      </c>
      <c r="I194" s="1871">
        <v>0</v>
      </c>
      <c r="J194" s="1871">
        <v>0</v>
      </c>
      <c r="K194" s="1871">
        <v>0</v>
      </c>
      <c r="L194" s="1871">
        <v>0</v>
      </c>
      <c r="M194" s="2005">
        <v>0.32</v>
      </c>
      <c r="N194" s="1873">
        <f t="shared" si="2"/>
        <v>1</v>
      </c>
      <c r="O194" s="92"/>
      <c r="P194" s="92"/>
    </row>
    <row r="195" spans="1:16" ht="20.100000000000001" customHeight="1">
      <c r="A195" s="1868">
        <v>190</v>
      </c>
      <c r="B195" s="92" t="s">
        <v>2371</v>
      </c>
      <c r="C195" s="2006">
        <v>1</v>
      </c>
      <c r="D195" s="2007" t="s">
        <v>2372</v>
      </c>
      <c r="E195" s="1925" t="s">
        <v>2373</v>
      </c>
      <c r="F195" s="1871">
        <v>0</v>
      </c>
      <c r="G195" s="1871">
        <v>0</v>
      </c>
      <c r="H195" s="1898">
        <v>1</v>
      </c>
      <c r="I195" s="1871">
        <v>0</v>
      </c>
      <c r="J195" s="1871">
        <v>0</v>
      </c>
      <c r="K195" s="1871">
        <v>0</v>
      </c>
      <c r="L195" s="1871">
        <v>0</v>
      </c>
      <c r="M195" s="2008">
        <v>51</v>
      </c>
      <c r="N195" s="1873">
        <f t="shared" si="2"/>
        <v>1</v>
      </c>
      <c r="O195" s="92"/>
      <c r="P195" s="92"/>
    </row>
    <row r="196" spans="1:16" ht="20.100000000000001" customHeight="1">
      <c r="A196" s="1877">
        <v>191</v>
      </c>
      <c r="B196" s="92" t="s">
        <v>2371</v>
      </c>
      <c r="C196" s="1982">
        <v>500</v>
      </c>
      <c r="D196" s="1946" t="s">
        <v>2372</v>
      </c>
      <c r="E196" s="1892" t="s">
        <v>2374</v>
      </c>
      <c r="F196" s="1871">
        <v>0</v>
      </c>
      <c r="G196" s="1871">
        <v>0</v>
      </c>
      <c r="H196" s="1871">
        <v>0</v>
      </c>
      <c r="I196" s="1871">
        <v>0</v>
      </c>
      <c r="J196" s="92">
        <v>412</v>
      </c>
      <c r="K196" s="1871">
        <v>0</v>
      </c>
      <c r="L196" s="1871">
        <v>0</v>
      </c>
      <c r="M196" s="2009"/>
      <c r="N196" s="1873">
        <f t="shared" si="2"/>
        <v>412</v>
      </c>
      <c r="O196" s="92"/>
      <c r="P196" s="92"/>
    </row>
    <row r="197" spans="1:16" ht="20.100000000000001" customHeight="1">
      <c r="A197" s="1877">
        <v>192</v>
      </c>
      <c r="B197" s="92" t="s">
        <v>2371</v>
      </c>
      <c r="C197" s="2004">
        <v>412</v>
      </c>
      <c r="D197" s="1946" t="s">
        <v>2375</v>
      </c>
      <c r="E197" s="2010" t="s">
        <v>52</v>
      </c>
      <c r="F197" s="1871">
        <v>0</v>
      </c>
      <c r="G197" s="92">
        <v>412</v>
      </c>
      <c r="H197" s="1871">
        <v>0</v>
      </c>
      <c r="I197" s="1871">
        <v>0</v>
      </c>
      <c r="J197" s="1871">
        <v>0</v>
      </c>
      <c r="K197" s="1871">
        <v>0</v>
      </c>
      <c r="L197" s="1871">
        <v>0</v>
      </c>
      <c r="M197" s="1091"/>
      <c r="N197" s="1873">
        <f t="shared" si="2"/>
        <v>412</v>
      </c>
      <c r="O197" s="92"/>
      <c r="P197" s="92"/>
    </row>
    <row r="198" spans="1:16" ht="20.100000000000001" customHeight="1">
      <c r="A198" s="1868">
        <v>193</v>
      </c>
      <c r="B198" s="92"/>
      <c r="C198" s="2004"/>
      <c r="D198" s="1946"/>
      <c r="E198" s="1870" t="s">
        <v>2376</v>
      </c>
      <c r="F198" s="2011">
        <v>51</v>
      </c>
      <c r="G198" s="1871">
        <v>0</v>
      </c>
      <c r="H198" s="1871">
        <v>0</v>
      </c>
      <c r="I198" s="1871">
        <v>0</v>
      </c>
      <c r="J198" s="1871">
        <v>0</v>
      </c>
      <c r="K198" s="1871">
        <v>0</v>
      </c>
      <c r="L198" s="1871">
        <v>0</v>
      </c>
      <c r="M198" s="1091"/>
      <c r="N198" s="1873">
        <f t="shared" si="2"/>
        <v>51</v>
      </c>
      <c r="O198" s="92"/>
      <c r="P198" s="92"/>
    </row>
    <row r="199" spans="1:16" ht="20.100000000000001" customHeight="1">
      <c r="A199" s="1877">
        <v>194</v>
      </c>
      <c r="B199" s="92" t="s">
        <v>2371</v>
      </c>
      <c r="C199" s="2004"/>
      <c r="D199" s="1923" t="s">
        <v>2375</v>
      </c>
      <c r="E199" s="3405" t="s">
        <v>2377</v>
      </c>
      <c r="F199" s="1871">
        <v>0</v>
      </c>
      <c r="G199" s="1871">
        <v>0</v>
      </c>
      <c r="H199" s="1871">
        <v>0</v>
      </c>
      <c r="I199" s="1871">
        <v>0</v>
      </c>
      <c r="J199" s="1871">
        <v>0</v>
      </c>
      <c r="K199" s="1871">
        <v>0</v>
      </c>
      <c r="L199" s="1898">
        <v>5</v>
      </c>
      <c r="M199" s="2005">
        <v>250000</v>
      </c>
      <c r="N199" s="1873">
        <f t="shared" si="2"/>
        <v>0</v>
      </c>
      <c r="O199" s="92">
        <v>5</v>
      </c>
      <c r="P199" s="92"/>
    </row>
    <row r="200" spans="1:16" ht="20.100000000000001" customHeight="1">
      <c r="A200" s="1877">
        <v>195</v>
      </c>
      <c r="B200" s="92" t="s">
        <v>2371</v>
      </c>
      <c r="C200" s="2004"/>
      <c r="D200" s="1923" t="s">
        <v>2375</v>
      </c>
      <c r="E200" s="1930" t="s">
        <v>2378</v>
      </c>
      <c r="F200" s="1871">
        <v>0</v>
      </c>
      <c r="G200" s="1871">
        <v>0</v>
      </c>
      <c r="H200" s="1871">
        <v>0</v>
      </c>
      <c r="I200" s="1871">
        <v>0</v>
      </c>
      <c r="J200" s="1871">
        <v>0</v>
      </c>
      <c r="K200" s="1871">
        <v>0</v>
      </c>
      <c r="L200" s="1898">
        <v>4</v>
      </c>
      <c r="M200" s="2005">
        <v>200000</v>
      </c>
      <c r="N200" s="1873">
        <f t="shared" ref="N200:N208" si="3">F200+G200+H200+I200+J200+K200+L200-O200</f>
        <v>0</v>
      </c>
      <c r="O200" s="92">
        <v>4</v>
      </c>
      <c r="P200" s="92"/>
    </row>
    <row r="201" spans="1:16" ht="20.100000000000001" customHeight="1">
      <c r="A201" s="1868">
        <v>196</v>
      </c>
      <c r="B201" s="92" t="s">
        <v>2379</v>
      </c>
      <c r="C201" s="1891"/>
      <c r="D201" s="1912" t="s">
        <v>100</v>
      </c>
      <c r="E201" s="1930" t="s">
        <v>2235</v>
      </c>
      <c r="F201" s="1871">
        <v>0</v>
      </c>
      <c r="G201" s="1871">
        <v>0</v>
      </c>
      <c r="H201" s="1871">
        <v>0</v>
      </c>
      <c r="I201" s="1871">
        <v>0</v>
      </c>
      <c r="J201" s="1871">
        <v>0</v>
      </c>
      <c r="K201" s="1871">
        <v>0</v>
      </c>
      <c r="L201" s="1898">
        <v>3</v>
      </c>
      <c r="M201" s="1899">
        <v>551000</v>
      </c>
      <c r="N201" s="1873">
        <f t="shared" si="3"/>
        <v>0</v>
      </c>
      <c r="O201" s="92">
        <v>3</v>
      </c>
      <c r="P201" s="92"/>
    </row>
    <row r="202" spans="1:16" ht="20.100000000000001" customHeight="1">
      <c r="A202" s="1877">
        <v>197</v>
      </c>
      <c r="B202" s="92" t="s">
        <v>2379</v>
      </c>
      <c r="C202" s="1891"/>
      <c r="D202" s="1912" t="s">
        <v>100</v>
      </c>
      <c r="E202" s="1930" t="s">
        <v>2236</v>
      </c>
      <c r="F202" s="1871">
        <v>0</v>
      </c>
      <c r="G202" s="1871">
        <v>0</v>
      </c>
      <c r="H202" s="1871">
        <v>0</v>
      </c>
      <c r="I202" s="1871">
        <v>0</v>
      </c>
      <c r="J202" s="1871">
        <v>0</v>
      </c>
      <c r="K202" s="1871">
        <v>0</v>
      </c>
      <c r="L202" s="1898">
        <v>1</v>
      </c>
      <c r="M202" s="1899">
        <v>23400</v>
      </c>
      <c r="N202" s="1873">
        <f t="shared" si="3"/>
        <v>0</v>
      </c>
      <c r="O202" s="92">
        <v>1</v>
      </c>
      <c r="P202" s="92"/>
    </row>
    <row r="203" spans="1:16" ht="20.100000000000001" customHeight="1">
      <c r="A203" s="1877">
        <v>198</v>
      </c>
      <c r="B203" s="106" t="s">
        <v>2380</v>
      </c>
      <c r="C203" s="1891"/>
      <c r="D203" s="1891" t="s">
        <v>100</v>
      </c>
      <c r="E203" s="1905" t="s">
        <v>2381</v>
      </c>
      <c r="F203" s="1871">
        <v>0</v>
      </c>
      <c r="G203" s="1871">
        <v>0</v>
      </c>
      <c r="H203" s="1871">
        <v>0</v>
      </c>
      <c r="I203" s="1871">
        <v>0</v>
      </c>
      <c r="J203" s="1871">
        <v>0</v>
      </c>
      <c r="K203" s="1871">
        <v>0</v>
      </c>
      <c r="L203" s="256">
        <v>1</v>
      </c>
      <c r="M203" s="2012">
        <v>24682.58</v>
      </c>
      <c r="N203" s="1873">
        <f t="shared" si="3"/>
        <v>1</v>
      </c>
      <c r="O203" s="92"/>
      <c r="P203" s="92"/>
    </row>
    <row r="204" spans="1:16" ht="20.100000000000001" customHeight="1">
      <c r="A204" s="1868">
        <v>199</v>
      </c>
      <c r="B204" s="106" t="s">
        <v>2380</v>
      </c>
      <c r="C204" s="1891"/>
      <c r="D204" s="1891" t="s">
        <v>100</v>
      </c>
      <c r="E204" s="1907" t="s">
        <v>32</v>
      </c>
      <c r="F204" s="1871">
        <v>0</v>
      </c>
      <c r="G204" s="1871">
        <v>0</v>
      </c>
      <c r="H204" s="1898">
        <v>1</v>
      </c>
      <c r="I204" s="1871">
        <v>0</v>
      </c>
      <c r="J204" s="1871">
        <v>0</v>
      </c>
      <c r="K204" s="1871">
        <v>0</v>
      </c>
      <c r="L204" s="1871">
        <v>0</v>
      </c>
      <c r="M204" s="1899">
        <v>20.420000000000002</v>
      </c>
      <c r="N204" s="1873">
        <f t="shared" si="3"/>
        <v>1</v>
      </c>
      <c r="O204" s="92"/>
      <c r="P204" s="92"/>
    </row>
    <row r="205" spans="1:16" ht="20.100000000000001" customHeight="1">
      <c r="A205" s="1877">
        <v>200</v>
      </c>
      <c r="B205" s="106" t="s">
        <v>2380</v>
      </c>
      <c r="C205" s="1090"/>
      <c r="D205" s="1887">
        <v>45879</v>
      </c>
      <c r="E205" s="1888" t="s">
        <v>2382</v>
      </c>
      <c r="F205" s="1871">
        <v>0</v>
      </c>
      <c r="G205" s="1871">
        <v>0</v>
      </c>
      <c r="H205" s="1871">
        <v>0</v>
      </c>
      <c r="I205" s="1871">
        <v>0</v>
      </c>
      <c r="J205" s="1871">
        <v>0</v>
      </c>
      <c r="K205" s="1871">
        <v>0</v>
      </c>
      <c r="L205" s="256">
        <v>1</v>
      </c>
      <c r="M205" s="1091">
        <v>3400</v>
      </c>
      <c r="N205" s="1873">
        <f t="shared" si="3"/>
        <v>1</v>
      </c>
      <c r="O205" s="92"/>
      <c r="P205" s="92"/>
    </row>
    <row r="206" spans="1:16" ht="20.100000000000001" customHeight="1">
      <c r="A206" s="1877">
        <v>201</v>
      </c>
      <c r="B206" s="106" t="s">
        <v>2380</v>
      </c>
      <c r="C206" s="1891"/>
      <c r="D206" s="1891" t="s">
        <v>100</v>
      </c>
      <c r="E206" s="1926" t="s">
        <v>2383</v>
      </c>
      <c r="F206" s="1871">
        <v>0</v>
      </c>
      <c r="G206" s="1871">
        <v>0</v>
      </c>
      <c r="H206" s="1871">
        <v>0</v>
      </c>
      <c r="I206" s="1871">
        <v>0</v>
      </c>
      <c r="J206" s="92">
        <v>7370</v>
      </c>
      <c r="K206" s="1871">
        <v>0</v>
      </c>
      <c r="L206" s="1871">
        <v>0</v>
      </c>
      <c r="M206" s="1886"/>
      <c r="N206" s="1873">
        <f t="shared" si="3"/>
        <v>7361</v>
      </c>
      <c r="O206" s="92">
        <v>9</v>
      </c>
      <c r="P206" s="92"/>
    </row>
    <row r="207" spans="1:16" ht="20.100000000000001" customHeight="1">
      <c r="A207" s="1868">
        <v>202</v>
      </c>
      <c r="B207" s="106" t="s">
        <v>2380</v>
      </c>
      <c r="C207" s="1891"/>
      <c r="D207" s="1891"/>
      <c r="E207" s="1870" t="s">
        <v>2384</v>
      </c>
      <c r="F207" s="1871">
        <v>0</v>
      </c>
      <c r="G207" s="1898">
        <v>1676</v>
      </c>
      <c r="H207" s="1871">
        <v>0</v>
      </c>
      <c r="I207" s="1871">
        <v>0</v>
      </c>
      <c r="J207" s="1871">
        <v>0</v>
      </c>
      <c r="K207" s="1871">
        <v>0</v>
      </c>
      <c r="L207" s="1871">
        <v>0</v>
      </c>
      <c r="M207" s="1886"/>
      <c r="N207" s="1873">
        <f t="shared" si="3"/>
        <v>1676</v>
      </c>
      <c r="O207" s="92"/>
      <c r="P207" s="1704"/>
    </row>
    <row r="208" spans="1:16" ht="20.100000000000001" customHeight="1">
      <c r="A208" s="1877">
        <v>203</v>
      </c>
      <c r="B208" s="106" t="s">
        <v>2380</v>
      </c>
      <c r="C208" s="92"/>
      <c r="D208" s="92"/>
      <c r="E208" s="3401" t="s">
        <v>2385</v>
      </c>
      <c r="F208" s="1898">
        <v>393</v>
      </c>
      <c r="G208" s="1871">
        <v>0</v>
      </c>
      <c r="H208" s="1871">
        <v>0</v>
      </c>
      <c r="I208" s="1871">
        <v>0</v>
      </c>
      <c r="J208" s="1871">
        <v>0</v>
      </c>
      <c r="K208" s="1871">
        <v>0</v>
      </c>
      <c r="L208" s="1871">
        <v>0</v>
      </c>
      <c r="M208" s="1886"/>
      <c r="N208" s="1873">
        <f t="shared" si="3"/>
        <v>393</v>
      </c>
      <c r="O208" s="92"/>
      <c r="P208" s="92"/>
    </row>
    <row r="209" spans="1:16" ht="20.100000000000001" customHeight="1">
      <c r="A209" s="2013"/>
      <c r="B209" s="1819"/>
      <c r="C209" s="1819"/>
      <c r="D209" s="1819"/>
      <c r="E209" s="1819" t="s">
        <v>2069</v>
      </c>
      <c r="F209" s="1819">
        <f t="shared" ref="F209:O209" si="4">SUM(F7:F208)</f>
        <v>5961</v>
      </c>
      <c r="G209" s="1819">
        <f t="shared" si="4"/>
        <v>47643</v>
      </c>
      <c r="H209" s="1819">
        <f t="shared" si="4"/>
        <v>40</v>
      </c>
      <c r="I209" s="1819">
        <f t="shared" si="4"/>
        <v>164</v>
      </c>
      <c r="J209" s="1819">
        <f t="shared" si="4"/>
        <v>121170</v>
      </c>
      <c r="K209" s="1819">
        <f t="shared" si="4"/>
        <v>1</v>
      </c>
      <c r="L209" s="1819">
        <f t="shared" si="4"/>
        <v>234</v>
      </c>
      <c r="M209" s="1819">
        <f t="shared" si="4"/>
        <v>22785826.309999999</v>
      </c>
      <c r="N209" s="1819">
        <f t="shared" si="4"/>
        <v>173932</v>
      </c>
      <c r="O209" s="1819">
        <f t="shared" si="4"/>
        <v>1281</v>
      </c>
      <c r="P209" s="1819"/>
    </row>
    <row r="210" spans="1:16" ht="20.100000000000001" customHeight="1">
      <c r="A210" s="2013"/>
      <c r="B210" s="1819"/>
      <c r="C210" s="1819"/>
      <c r="D210" s="1819"/>
      <c r="E210" s="1819"/>
      <c r="F210" s="1819" t="s">
        <v>779</v>
      </c>
      <c r="G210" s="1819" t="s">
        <v>780</v>
      </c>
      <c r="H210" s="1819" t="s">
        <v>781</v>
      </c>
      <c r="I210" s="1819" t="s">
        <v>782</v>
      </c>
      <c r="J210" s="1819" t="s">
        <v>10</v>
      </c>
      <c r="K210" s="1819" t="s">
        <v>1850</v>
      </c>
      <c r="L210" s="1819" t="s">
        <v>776</v>
      </c>
      <c r="M210" s="2014"/>
      <c r="N210" s="1819"/>
      <c r="O210" s="1819"/>
      <c r="P210" s="1819"/>
    </row>
    <row r="211" spans="1:16" ht="20.100000000000001" customHeight="1">
      <c r="A211" s="2015"/>
      <c r="M211" s="130"/>
    </row>
    <row r="212" spans="1:16" ht="20.100000000000001" customHeight="1">
      <c r="A212" s="2015"/>
      <c r="M212" s="130"/>
    </row>
    <row r="213" spans="1:16" ht="20.100000000000001" customHeight="1">
      <c r="A213" s="2015"/>
      <c r="E213" s="1819" t="s">
        <v>2386</v>
      </c>
      <c r="F213" s="1819" t="s">
        <v>2387</v>
      </c>
      <c r="G213" s="1819" t="s">
        <v>22</v>
      </c>
      <c r="H213" s="1819" t="s">
        <v>2388</v>
      </c>
      <c r="M213" s="130"/>
    </row>
    <row r="214" spans="1:16" ht="20.100000000000001" customHeight="1">
      <c r="A214" s="2015"/>
      <c r="E214" s="1819" t="str">
        <f>F210</f>
        <v>Mismatch</v>
      </c>
      <c r="F214" s="1819">
        <f>F208</f>
        <v>393</v>
      </c>
      <c r="G214" s="1819">
        <f>O13+O21+O28+O35+O43+O47+O56+O65+O70+O76+O86+O94+O104+O115+O121+O127+O139+O151+O165+O173+O182+O193+O198+O208</f>
        <v>1</v>
      </c>
      <c r="H214" s="1819">
        <f>F214-G214</f>
        <v>392</v>
      </c>
      <c r="M214" s="130"/>
    </row>
    <row r="215" spans="1:16" ht="20.100000000000001" customHeight="1">
      <c r="A215" s="2015"/>
      <c r="E215" s="1819" t="str">
        <f>G210</f>
        <v>Long O/S</v>
      </c>
      <c r="F215" s="1819">
        <f>G209</f>
        <v>47643</v>
      </c>
      <c r="G215" s="1819">
        <f>O8+O12+O20+O27+O34+O42+O46+O55+O62+O64+O69+O75+O78+O85+O93+O103+O114+O120+O126+O138+O142+O145+O150+O155+O164+O172+O181+O188+O192+O197+O207</f>
        <v>8</v>
      </c>
      <c r="H215" s="1819">
        <f t="shared" ref="H215:H221" si="5">F215-G215</f>
        <v>47635</v>
      </c>
      <c r="M215" s="130"/>
    </row>
    <row r="216" spans="1:16" ht="20.100000000000001" customHeight="1">
      <c r="A216" s="2015"/>
      <c r="E216" s="1819" t="str">
        <f>H210</f>
        <v>IT Cases</v>
      </c>
      <c r="F216" s="1819">
        <f>H209</f>
        <v>40</v>
      </c>
      <c r="G216" s="1819">
        <f>O16+O17+O18+O24+O31+O39+O40+O44+O50+O59+O60+O66+O67+O73+O79+O80+O81+O82+O90+O110+O111+O117+O124+O131+O132+O133+O143+O146+O158+O159+O168+O169+O178+O179+O184+O185+O186+O194+O195+O204</f>
        <v>0</v>
      </c>
      <c r="H216" s="1819">
        <f t="shared" si="5"/>
        <v>40</v>
      </c>
      <c r="M216" s="130"/>
    </row>
    <row r="217" spans="1:16" ht="20.100000000000001" customHeight="1">
      <c r="A217" s="2015"/>
      <c r="E217" s="1819" t="str">
        <f>I210</f>
        <v>Zero Bal.</v>
      </c>
      <c r="F217" s="1819">
        <f>I209</f>
        <v>164</v>
      </c>
      <c r="G217" s="1819">
        <f>O53+O190</f>
        <v>98</v>
      </c>
      <c r="H217" s="1819">
        <f t="shared" si="5"/>
        <v>66</v>
      </c>
      <c r="M217" s="130"/>
    </row>
    <row r="218" spans="1:16" ht="20.100000000000001" customHeight="1">
      <c r="A218" s="2015"/>
      <c r="E218" s="1819" t="str">
        <f>J210</f>
        <v>Dormant A/C</v>
      </c>
      <c r="F218" s="1819">
        <f>J209</f>
        <v>121170</v>
      </c>
      <c r="G218" s="1819">
        <f>O7+O11+O19+O26+O33+O45+O54+O61+O63+O68+O74+O84+O92+O102+O113+O119+O125+O137+O141+O144+O149+O154+O163+O171+O180+O187+O191+O196+O206</f>
        <v>968</v>
      </c>
      <c r="H218" s="1819">
        <f t="shared" si="5"/>
        <v>120202</v>
      </c>
      <c r="M218" s="130"/>
    </row>
    <row r="219" spans="1:16" ht="20.100000000000001" customHeight="1">
      <c r="A219" s="2015"/>
      <c r="E219" s="1819" t="str">
        <f>K210</f>
        <v>CK Book stock</v>
      </c>
      <c r="F219" s="1819">
        <f>K209</f>
        <v>1</v>
      </c>
      <c r="G219" s="1819">
        <f>O23</f>
        <v>1</v>
      </c>
      <c r="H219" s="1819">
        <f t="shared" si="5"/>
        <v>0</v>
      </c>
      <c r="M219" s="130"/>
    </row>
    <row r="220" spans="1:16" ht="20.100000000000001" customHeight="1">
      <c r="A220" s="2015"/>
      <c r="E220" s="1819" t="str">
        <f>L210</f>
        <v xml:space="preserve">Other Case No. </v>
      </c>
      <c r="F220" s="1819">
        <f>L209</f>
        <v>234</v>
      </c>
      <c r="G220" s="1819">
        <f>O9+O10+O15+O22+O25+O29+O30+O32+O36+O37+O38+O48+O51+O52+O57+O58+O71+O72+O77+O83+O87+O88+O89+O91+O95+O96+O97+O98+O99+O100+O101+O105+O106+O107+O108+O109+O112+O116+O118+O122+O123+O128+O129+O130+O131+O134+O135+O136+O140+O147+O148+O152+O153+O156+O160+O161+O162+O166+O167+O170+O174+O175+O176+O177+O183+O199+O200+O201+O202+O203+O205+O23+O49+O157</f>
        <v>206</v>
      </c>
      <c r="H220" s="1819">
        <f t="shared" si="5"/>
        <v>28</v>
      </c>
      <c r="J220">
        <f>O23+O49+O157</f>
        <v>38</v>
      </c>
      <c r="M220" s="130"/>
    </row>
    <row r="221" spans="1:16" ht="20.100000000000001" customHeight="1">
      <c r="A221" s="2015"/>
      <c r="E221" s="1819" t="s">
        <v>2069</v>
      </c>
      <c r="F221" s="1819">
        <f>SUM(F214:F220)</f>
        <v>169645</v>
      </c>
      <c r="G221" s="1819">
        <f>SUM(G214:G220)</f>
        <v>1282</v>
      </c>
      <c r="H221" s="1819">
        <f t="shared" si="5"/>
        <v>168363</v>
      </c>
      <c r="M221" s="130"/>
    </row>
    <row r="222" spans="1:16" ht="20.100000000000001" customHeight="1">
      <c r="A222" s="2015"/>
      <c r="M222" s="130"/>
    </row>
  </sheetData>
  <mergeCells count="12">
    <mergeCell ref="M5:M6"/>
    <mergeCell ref="N5:P5"/>
    <mergeCell ref="A1:Q1"/>
    <mergeCell ref="A2:Q2"/>
    <mergeCell ref="A3:Q3"/>
    <mergeCell ref="A4:Q4"/>
    <mergeCell ref="A5:A6"/>
    <mergeCell ref="B5:B6"/>
    <mergeCell ref="C5:C6"/>
    <mergeCell ref="E5:E6"/>
    <mergeCell ref="F5:G5"/>
    <mergeCell ref="L5:L6"/>
  </mergeCells>
  <conditionalFormatting sqref="E7:E8">
    <cfRule type="duplicateValues" dxfId="2" priority="3"/>
  </conditionalFormatting>
  <conditionalFormatting sqref="E10">
    <cfRule type="duplicateValues" dxfId="1" priority="2"/>
  </conditionalFormatting>
  <conditionalFormatting sqref="E11:E13">
    <cfRule type="duplicateValues" dxfId="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2"/>
  <sheetViews>
    <sheetView topLeftCell="A182" workbookViewId="0">
      <selection activeCell="D200" sqref="D200"/>
    </sheetView>
  </sheetViews>
  <sheetFormatPr defaultRowHeight="15"/>
  <sheetData>
    <row r="1" spans="1:18" ht="20.100000000000001" customHeight="1">
      <c r="A1" s="3406" t="s">
        <v>2546</v>
      </c>
      <c r="B1" s="3406"/>
      <c r="C1" s="3406"/>
      <c r="D1" s="3406"/>
      <c r="E1" s="3406"/>
      <c r="F1" s="3406"/>
      <c r="G1" s="3406"/>
      <c r="H1" s="3406"/>
      <c r="I1" s="3406"/>
      <c r="J1" s="3406"/>
      <c r="K1" s="3406"/>
      <c r="L1" s="3406"/>
      <c r="M1" s="3406"/>
      <c r="N1" s="3406"/>
      <c r="O1" s="3406"/>
      <c r="P1" s="3406"/>
      <c r="Q1" s="3406"/>
    </row>
    <row r="2" spans="1:18" ht="20.100000000000001" customHeight="1">
      <c r="A2" s="3406" t="s">
        <v>2547</v>
      </c>
      <c r="B2" s="3406"/>
      <c r="C2" s="3406"/>
      <c r="D2" s="3406"/>
      <c r="E2" s="3406"/>
      <c r="F2" s="3406"/>
      <c r="G2" s="3406"/>
      <c r="H2" s="3406"/>
      <c r="I2" s="3406"/>
      <c r="J2" s="3406"/>
      <c r="K2" s="3406"/>
      <c r="L2" s="3406"/>
      <c r="M2" s="3406"/>
      <c r="N2" s="3406"/>
      <c r="O2" s="3406"/>
      <c r="P2" s="3406"/>
      <c r="Q2" s="3406"/>
    </row>
    <row r="3" spans="1:18" ht="20.100000000000001" customHeight="1">
      <c r="A3" s="3406" t="s">
        <v>770</v>
      </c>
      <c r="B3" s="3406"/>
      <c r="C3" s="3406"/>
      <c r="D3" s="3406"/>
      <c r="E3" s="3406"/>
      <c r="F3" s="3406"/>
      <c r="G3" s="3406"/>
      <c r="H3" s="3406"/>
      <c r="I3" s="3406"/>
      <c r="J3" s="3406"/>
      <c r="K3" s="3406"/>
      <c r="L3" s="3406"/>
      <c r="M3" s="3406"/>
      <c r="N3" s="3406"/>
      <c r="O3" s="3406"/>
      <c r="P3" s="3406"/>
      <c r="Q3" s="3406"/>
    </row>
    <row r="4" spans="1:18" ht="20.100000000000001" customHeight="1">
      <c r="A4" s="3569" t="s">
        <v>1578</v>
      </c>
      <c r="B4" s="3569"/>
      <c r="C4" s="3569"/>
      <c r="D4" s="3569"/>
      <c r="E4" s="3569"/>
      <c r="F4" s="3569"/>
      <c r="G4" s="3569"/>
      <c r="H4" s="3569"/>
      <c r="I4" s="3569"/>
      <c r="J4" s="3569"/>
      <c r="K4" s="3569"/>
      <c r="L4" s="3569"/>
      <c r="M4" s="3569"/>
      <c r="N4" s="3569"/>
      <c r="O4" s="3569"/>
      <c r="P4" s="3569"/>
      <c r="Q4" s="3569"/>
    </row>
    <row r="5" spans="1:18" ht="20.100000000000001" customHeight="1">
      <c r="A5" s="1016" t="s">
        <v>1579</v>
      </c>
      <c r="B5" s="1016"/>
      <c r="C5" s="1016"/>
      <c r="D5" s="1344" t="s">
        <v>6</v>
      </c>
      <c r="E5" s="1339" t="s">
        <v>1580</v>
      </c>
      <c r="F5" s="1339"/>
      <c r="G5" s="1016" t="s">
        <v>1581</v>
      </c>
      <c r="H5" s="1016" t="s">
        <v>9</v>
      </c>
      <c r="I5" s="1016" t="s">
        <v>1582</v>
      </c>
      <c r="J5" s="1016" t="s">
        <v>1583</v>
      </c>
      <c r="K5" s="1016" t="s">
        <v>1584</v>
      </c>
      <c r="L5" s="1016" t="s">
        <v>1585</v>
      </c>
      <c r="M5" s="1021" t="s">
        <v>14</v>
      </c>
      <c r="N5" s="2122" t="s">
        <v>1022</v>
      </c>
      <c r="O5" s="3570" t="s">
        <v>16</v>
      </c>
      <c r="P5" s="3571"/>
      <c r="Q5" s="3572"/>
    </row>
    <row r="6" spans="1:18" ht="20.100000000000001" customHeight="1">
      <c r="A6" s="1017"/>
      <c r="B6" s="2123" t="s">
        <v>1837</v>
      </c>
      <c r="C6" s="1017"/>
      <c r="D6" s="1344"/>
      <c r="E6" s="1017" t="s">
        <v>779</v>
      </c>
      <c r="F6" s="1017" t="s">
        <v>1586</v>
      </c>
      <c r="G6" s="1017"/>
      <c r="H6" s="1017"/>
      <c r="I6" s="1017"/>
      <c r="J6" s="1017"/>
      <c r="K6" s="1017"/>
      <c r="L6" s="1017"/>
      <c r="M6" s="1021"/>
      <c r="N6" s="2124" t="s">
        <v>15</v>
      </c>
      <c r="O6" s="1020" t="s">
        <v>21</v>
      </c>
      <c r="P6" s="1020" t="s">
        <v>22</v>
      </c>
      <c r="Q6" s="1021" t="s">
        <v>23</v>
      </c>
    </row>
    <row r="7" spans="1:18" ht="20.100000000000001" customHeight="1">
      <c r="A7" s="1795">
        <v>1</v>
      </c>
      <c r="B7" s="2125" t="s">
        <v>2548</v>
      </c>
      <c r="C7" s="2125" t="s">
        <v>2549</v>
      </c>
      <c r="D7" s="2125" t="s">
        <v>1566</v>
      </c>
      <c r="E7" s="2126"/>
      <c r="F7" s="2126"/>
      <c r="G7" s="2126"/>
      <c r="H7" s="2126"/>
      <c r="I7" s="2126"/>
      <c r="J7" s="2126"/>
      <c r="K7" s="1262">
        <v>1</v>
      </c>
      <c r="L7" s="1205"/>
      <c r="M7" s="2038" t="s">
        <v>118</v>
      </c>
      <c r="N7" s="175">
        <v>32292.5</v>
      </c>
      <c r="O7" s="2127">
        <f>E7+F7+G7+H7+I7+J7+K7-P7</f>
        <v>1</v>
      </c>
      <c r="P7" s="1795"/>
      <c r="Q7" s="1795"/>
    </row>
    <row r="8" spans="1:18" ht="20.100000000000001" customHeight="1">
      <c r="A8" s="92">
        <v>2</v>
      </c>
      <c r="B8" s="1049" t="s">
        <v>2548</v>
      </c>
      <c r="C8" s="1049" t="s">
        <v>2549</v>
      </c>
      <c r="D8" s="3566" t="s">
        <v>29</v>
      </c>
      <c r="E8" s="3090"/>
      <c r="F8" s="3090"/>
      <c r="G8" s="3090">
        <v>1</v>
      </c>
      <c r="H8" s="3090"/>
      <c r="I8" s="3090"/>
      <c r="J8" s="3090"/>
      <c r="K8" s="1072"/>
      <c r="L8" s="1047"/>
      <c r="M8" s="1104" t="s">
        <v>32</v>
      </c>
      <c r="N8" s="155">
        <v>0.55000000000000004</v>
      </c>
      <c r="O8" s="2127">
        <f t="shared" ref="O8:O71" si="0">E8+F8+G8+H8+I8+J8+K8-P8</f>
        <v>1</v>
      </c>
      <c r="P8" s="92"/>
      <c r="Q8" s="92"/>
    </row>
    <row r="9" spans="1:18" ht="20.100000000000001" customHeight="1">
      <c r="A9" s="92">
        <v>3</v>
      </c>
      <c r="B9" s="1049" t="s">
        <v>2548</v>
      </c>
      <c r="C9" s="1049" t="s">
        <v>2549</v>
      </c>
      <c r="D9" s="3567"/>
      <c r="E9" s="3090"/>
      <c r="F9" s="3090"/>
      <c r="G9" s="3090">
        <v>1</v>
      </c>
      <c r="H9" s="3090"/>
      <c r="I9" s="3090"/>
      <c r="J9" s="3090"/>
      <c r="K9" s="1072"/>
      <c r="L9" s="1047"/>
      <c r="M9" s="1104" t="s">
        <v>2550</v>
      </c>
      <c r="N9" s="155">
        <v>4</v>
      </c>
      <c r="O9" s="2127">
        <f t="shared" si="0"/>
        <v>1</v>
      </c>
      <c r="P9" s="92"/>
      <c r="Q9" s="92"/>
    </row>
    <row r="10" spans="1:18" ht="20.100000000000001" customHeight="1">
      <c r="A10" s="1795">
        <v>4</v>
      </c>
      <c r="B10" s="1049"/>
      <c r="C10" s="1049"/>
      <c r="D10" s="3568"/>
      <c r="E10" s="3090"/>
      <c r="F10" s="3090"/>
      <c r="G10" s="3090"/>
      <c r="H10" s="3090"/>
      <c r="I10" s="3090">
        <v>229</v>
      </c>
      <c r="J10" s="3090"/>
      <c r="K10" s="1072"/>
      <c r="L10" s="1047"/>
      <c r="M10" s="1104" t="s">
        <v>2551</v>
      </c>
      <c r="N10" s="155"/>
      <c r="O10" s="2127">
        <f t="shared" si="0"/>
        <v>229</v>
      </c>
      <c r="P10" s="92"/>
      <c r="Q10" s="92"/>
    </row>
    <row r="11" spans="1:18" ht="20.100000000000001" customHeight="1">
      <c r="A11" s="92">
        <v>5</v>
      </c>
      <c r="B11" s="1049" t="s">
        <v>2548</v>
      </c>
      <c r="C11" s="1049" t="s">
        <v>2549</v>
      </c>
      <c r="D11" s="2125" t="s">
        <v>671</v>
      </c>
      <c r="E11" s="2126"/>
      <c r="F11" s="2126">
        <v>211</v>
      </c>
      <c r="G11" s="2126"/>
      <c r="H11" s="2126"/>
      <c r="I11" s="2126"/>
      <c r="J11" s="2126"/>
      <c r="K11" s="1262"/>
      <c r="L11" s="1205"/>
      <c r="M11" s="1200" t="s">
        <v>2552</v>
      </c>
      <c r="N11" s="175"/>
      <c r="O11" s="2127">
        <f t="shared" si="0"/>
        <v>211</v>
      </c>
      <c r="P11" s="1795"/>
      <c r="Q11" s="1795"/>
      <c r="R11" t="s">
        <v>3118</v>
      </c>
    </row>
    <row r="12" spans="1:18" ht="20.100000000000001" customHeight="1">
      <c r="A12" s="92">
        <v>6</v>
      </c>
      <c r="B12" s="1049" t="s">
        <v>2553</v>
      </c>
      <c r="C12" s="1049"/>
      <c r="D12" s="2125" t="s">
        <v>1566</v>
      </c>
      <c r="E12" s="2126"/>
      <c r="F12" s="2126"/>
      <c r="G12" s="2126"/>
      <c r="H12" s="2126"/>
      <c r="I12" s="2126"/>
      <c r="J12" s="2126"/>
      <c r="K12" s="1262">
        <v>1</v>
      </c>
      <c r="L12" s="1205"/>
      <c r="M12" s="2038" t="s">
        <v>118</v>
      </c>
      <c r="N12" s="175">
        <v>24197.94</v>
      </c>
      <c r="O12" s="2127">
        <f t="shared" si="0"/>
        <v>1</v>
      </c>
      <c r="P12" s="1795"/>
      <c r="Q12" s="1795"/>
    </row>
    <row r="13" spans="1:18" ht="20.100000000000001" customHeight="1">
      <c r="A13" s="1795">
        <v>7</v>
      </c>
      <c r="B13" s="1049" t="s">
        <v>2553</v>
      </c>
      <c r="C13" s="1049" t="s">
        <v>2549</v>
      </c>
      <c r="D13" s="3566" t="s">
        <v>29</v>
      </c>
      <c r="E13" s="3090"/>
      <c r="F13" s="3090"/>
      <c r="G13" s="3090">
        <v>1</v>
      </c>
      <c r="H13" s="3090"/>
      <c r="I13" s="3090"/>
      <c r="J13" s="3090"/>
      <c r="K13" s="1072"/>
      <c r="L13" s="1047"/>
      <c r="M13" s="1104" t="s">
        <v>2550</v>
      </c>
      <c r="N13" s="155">
        <v>21.25</v>
      </c>
      <c r="O13" s="2127">
        <f t="shared" si="0"/>
        <v>1</v>
      </c>
      <c r="P13" s="92"/>
      <c r="Q13" s="92"/>
    </row>
    <row r="14" spans="1:18" ht="20.100000000000001" customHeight="1">
      <c r="A14" s="92">
        <v>8</v>
      </c>
      <c r="B14" s="1049" t="s">
        <v>2553</v>
      </c>
      <c r="C14" s="1049" t="s">
        <v>2549</v>
      </c>
      <c r="D14" s="3567"/>
      <c r="E14" s="3090"/>
      <c r="F14" s="3090"/>
      <c r="G14" s="3090"/>
      <c r="H14" s="3090"/>
      <c r="I14" s="3090"/>
      <c r="J14" s="3090"/>
      <c r="K14" s="1072">
        <v>4</v>
      </c>
      <c r="L14" s="1047"/>
      <c r="M14" s="1244" t="s">
        <v>2554</v>
      </c>
      <c r="N14" s="155">
        <v>8553</v>
      </c>
      <c r="O14" s="2127">
        <f t="shared" si="0"/>
        <v>4</v>
      </c>
      <c r="P14" s="92"/>
      <c r="Q14" s="92"/>
    </row>
    <row r="15" spans="1:18" ht="20.100000000000001" customHeight="1">
      <c r="A15" s="92">
        <v>9</v>
      </c>
      <c r="B15" s="1049" t="s">
        <v>2553</v>
      </c>
      <c r="C15" s="1049" t="s">
        <v>2549</v>
      </c>
      <c r="D15" s="3567"/>
      <c r="E15" s="3090"/>
      <c r="F15" s="3090"/>
      <c r="G15" s="3090"/>
      <c r="H15" s="3090"/>
      <c r="I15" s="3090"/>
      <c r="J15" s="3090"/>
      <c r="K15" s="1072">
        <v>1</v>
      </c>
      <c r="L15" s="1047"/>
      <c r="M15" s="1244" t="s">
        <v>2555</v>
      </c>
      <c r="N15" s="155">
        <v>5420</v>
      </c>
      <c r="O15" s="2127">
        <f t="shared" si="0"/>
        <v>1</v>
      </c>
      <c r="P15" s="92"/>
      <c r="Q15" s="92"/>
    </row>
    <row r="16" spans="1:18" ht="20.100000000000001" customHeight="1">
      <c r="A16" s="1795">
        <v>10</v>
      </c>
      <c r="B16" s="1049" t="s">
        <v>2553</v>
      </c>
      <c r="C16" s="1049" t="s">
        <v>2549</v>
      </c>
      <c r="D16" s="3567"/>
      <c r="E16" s="3090"/>
      <c r="F16" s="3090"/>
      <c r="G16" s="3090"/>
      <c r="H16" s="3090">
        <v>28</v>
      </c>
      <c r="I16" s="3090"/>
      <c r="J16" s="3090"/>
      <c r="K16" s="1072"/>
      <c r="L16" s="1047"/>
      <c r="M16" s="1244" t="s">
        <v>435</v>
      </c>
      <c r="N16" s="155"/>
      <c r="O16" s="2127">
        <f t="shared" si="0"/>
        <v>28</v>
      </c>
      <c r="P16" s="92"/>
      <c r="Q16" s="92"/>
    </row>
    <row r="17" spans="1:17" ht="20.100000000000001" customHeight="1">
      <c r="A17" s="92">
        <v>11</v>
      </c>
      <c r="B17" s="1049" t="s">
        <v>2553</v>
      </c>
      <c r="C17" s="1049" t="s">
        <v>2549</v>
      </c>
      <c r="D17" s="3568"/>
      <c r="E17" s="3090"/>
      <c r="F17" s="3090"/>
      <c r="G17" s="3090"/>
      <c r="H17" s="3090"/>
      <c r="I17" s="3090">
        <v>125</v>
      </c>
      <c r="J17" s="3090"/>
      <c r="K17" s="2128"/>
      <c r="L17" s="2129"/>
      <c r="M17" s="1127" t="s">
        <v>35</v>
      </c>
      <c r="N17" s="2130"/>
      <c r="O17" s="2127">
        <f t="shared" si="0"/>
        <v>93</v>
      </c>
      <c r="P17" s="92">
        <v>32</v>
      </c>
      <c r="Q17" s="92"/>
    </row>
    <row r="18" spans="1:17" ht="20.100000000000001" customHeight="1">
      <c r="A18" s="92">
        <v>12</v>
      </c>
      <c r="B18" s="1049" t="s">
        <v>2553</v>
      </c>
      <c r="C18" s="1049" t="s">
        <v>2549</v>
      </c>
      <c r="D18" s="1049" t="s">
        <v>36</v>
      </c>
      <c r="E18" s="3090"/>
      <c r="F18" s="3090">
        <v>288</v>
      </c>
      <c r="G18" s="3090"/>
      <c r="H18" s="3090"/>
      <c r="I18" s="3090"/>
      <c r="J18" s="3090"/>
      <c r="K18" s="1072"/>
      <c r="L18" s="1047"/>
      <c r="M18" s="1200" t="s">
        <v>2556</v>
      </c>
      <c r="N18" s="155"/>
      <c r="O18" s="2127">
        <f t="shared" si="0"/>
        <v>288</v>
      </c>
      <c r="P18" s="92"/>
      <c r="Q18" s="92"/>
    </row>
    <row r="19" spans="1:17" ht="20.100000000000001" customHeight="1">
      <c r="A19" s="1795">
        <v>13</v>
      </c>
      <c r="B19" s="1049" t="s">
        <v>2557</v>
      </c>
      <c r="C19" s="1049" t="s">
        <v>2549</v>
      </c>
      <c r="D19" s="3566" t="s">
        <v>29</v>
      </c>
      <c r="E19" s="3090"/>
      <c r="F19" s="3090"/>
      <c r="G19" s="3090">
        <v>1</v>
      </c>
      <c r="H19" s="3090"/>
      <c r="I19" s="3090"/>
      <c r="J19" s="3090"/>
      <c r="K19" s="1072"/>
      <c r="L19" s="1047"/>
      <c r="M19" s="1130" t="s">
        <v>2558</v>
      </c>
      <c r="N19" s="2131">
        <v>-20341501.789999999</v>
      </c>
      <c r="O19" s="2127">
        <f t="shared" si="0"/>
        <v>1</v>
      </c>
      <c r="P19" s="92"/>
      <c r="Q19" s="92"/>
    </row>
    <row r="20" spans="1:17" ht="20.100000000000001" customHeight="1">
      <c r="A20" s="92">
        <v>14</v>
      </c>
      <c r="B20" s="1049" t="s">
        <v>2557</v>
      </c>
      <c r="C20" s="1049"/>
      <c r="D20" s="3567"/>
      <c r="E20" s="3090"/>
      <c r="F20" s="3090"/>
      <c r="G20" s="3090">
        <v>1</v>
      </c>
      <c r="H20" s="3090"/>
      <c r="I20" s="3090"/>
      <c r="J20" s="3090"/>
      <c r="K20" s="1072"/>
      <c r="L20" s="1047"/>
      <c r="M20" s="1119" t="s">
        <v>2559</v>
      </c>
      <c r="N20" s="186">
        <v>11586.25</v>
      </c>
      <c r="O20" s="2127">
        <f t="shared" si="0"/>
        <v>1</v>
      </c>
      <c r="P20" s="92"/>
      <c r="Q20" s="92"/>
    </row>
    <row r="21" spans="1:17" ht="20.100000000000001" customHeight="1">
      <c r="A21" s="92">
        <v>15</v>
      </c>
      <c r="B21" s="1049" t="s">
        <v>2557</v>
      </c>
      <c r="C21" s="1049" t="s">
        <v>2549</v>
      </c>
      <c r="D21" s="3568"/>
      <c r="E21" s="3090"/>
      <c r="F21" s="3090"/>
      <c r="G21" s="3090"/>
      <c r="H21" s="3090"/>
      <c r="I21" s="3090">
        <v>468</v>
      </c>
      <c r="J21" s="3090"/>
      <c r="K21" s="1072"/>
      <c r="L21" s="1047"/>
      <c r="M21" s="1034" t="s">
        <v>538</v>
      </c>
      <c r="N21" s="466">
        <v>135145.34</v>
      </c>
      <c r="O21" s="2127">
        <f t="shared" si="0"/>
        <v>468</v>
      </c>
      <c r="P21" s="92"/>
      <c r="Q21" s="92"/>
    </row>
    <row r="22" spans="1:17" ht="20.100000000000001" customHeight="1">
      <c r="A22" s="1795">
        <v>16</v>
      </c>
      <c r="B22" s="1049" t="s">
        <v>2557</v>
      </c>
      <c r="C22" s="1049" t="s">
        <v>2549</v>
      </c>
      <c r="D22" s="1049" t="s">
        <v>671</v>
      </c>
      <c r="E22" s="3090"/>
      <c r="F22" s="3090">
        <v>576</v>
      </c>
      <c r="G22" s="3090"/>
      <c r="H22" s="3090"/>
      <c r="I22" s="3090"/>
      <c r="J22" s="3090"/>
      <c r="K22" s="1072"/>
      <c r="L22" s="1047"/>
      <c r="M22" s="1200" t="s">
        <v>2560</v>
      </c>
      <c r="N22" s="2131"/>
      <c r="O22" s="2127">
        <f t="shared" si="0"/>
        <v>576</v>
      </c>
      <c r="P22" s="92"/>
      <c r="Q22" s="92"/>
    </row>
    <row r="23" spans="1:17" ht="20.100000000000001" customHeight="1">
      <c r="A23" s="92">
        <v>17</v>
      </c>
      <c r="B23" s="1049" t="s">
        <v>2561</v>
      </c>
      <c r="C23" s="1049" t="s">
        <v>2549</v>
      </c>
      <c r="D23" s="1049" t="s">
        <v>1566</v>
      </c>
      <c r="E23" s="3090"/>
      <c r="F23" s="3090"/>
      <c r="G23" s="3090"/>
      <c r="H23" s="3090"/>
      <c r="I23" s="3090"/>
      <c r="J23" s="3090"/>
      <c r="K23" s="1072">
        <v>1</v>
      </c>
      <c r="L23" s="1047"/>
      <c r="M23" s="2132" t="s">
        <v>2562</v>
      </c>
      <c r="N23" s="2133">
        <v>95142.36</v>
      </c>
      <c r="O23" s="2127">
        <f t="shared" si="0"/>
        <v>1</v>
      </c>
      <c r="P23" s="92"/>
      <c r="Q23" s="92"/>
    </row>
    <row r="24" spans="1:17" ht="20.100000000000001" customHeight="1">
      <c r="A24" s="92">
        <v>18</v>
      </c>
      <c r="B24" s="1049" t="s">
        <v>2561</v>
      </c>
      <c r="C24" s="1049" t="s">
        <v>2549</v>
      </c>
      <c r="D24" s="3566" t="s">
        <v>29</v>
      </c>
      <c r="E24" s="3090"/>
      <c r="F24" s="3090"/>
      <c r="G24" s="3090"/>
      <c r="H24" s="3090"/>
      <c r="I24" s="3090"/>
      <c r="J24" s="3090"/>
      <c r="K24" s="1072">
        <v>1</v>
      </c>
      <c r="L24" s="1047"/>
      <c r="M24" s="2134" t="s">
        <v>2563</v>
      </c>
      <c r="N24" s="2133">
        <v>3004.29</v>
      </c>
      <c r="O24" s="2127">
        <f t="shared" si="0"/>
        <v>1</v>
      </c>
      <c r="P24" s="92"/>
      <c r="Q24" s="92"/>
    </row>
    <row r="25" spans="1:17" ht="20.100000000000001" customHeight="1">
      <c r="A25" s="1795">
        <v>19</v>
      </c>
      <c r="B25" s="1049" t="s">
        <v>2561</v>
      </c>
      <c r="C25" s="1049" t="s">
        <v>2549</v>
      </c>
      <c r="D25" s="3567"/>
      <c r="E25" s="3090"/>
      <c r="F25" s="3090"/>
      <c r="G25" s="3090">
        <v>1</v>
      </c>
      <c r="H25" s="3090"/>
      <c r="I25" s="3090"/>
      <c r="J25" s="3090"/>
      <c r="K25" s="1072"/>
      <c r="L25" s="1047"/>
      <c r="M25" s="2132" t="s">
        <v>708</v>
      </c>
      <c r="N25" s="2131">
        <v>-99550.2</v>
      </c>
      <c r="O25" s="2127">
        <f t="shared" si="0"/>
        <v>1</v>
      </c>
      <c r="P25" s="92"/>
      <c r="Q25" s="92"/>
    </row>
    <row r="26" spans="1:17" ht="20.100000000000001" customHeight="1">
      <c r="A26" s="92">
        <v>20</v>
      </c>
      <c r="B26" s="1049" t="s">
        <v>2561</v>
      </c>
      <c r="C26" s="1049" t="s">
        <v>2549</v>
      </c>
      <c r="D26" s="3567"/>
      <c r="E26" s="3090"/>
      <c r="F26" s="3090"/>
      <c r="G26" s="3090">
        <v>1</v>
      </c>
      <c r="H26" s="3090"/>
      <c r="I26" s="3090"/>
      <c r="J26" s="3090"/>
      <c r="K26" s="1072"/>
      <c r="L26" s="1047"/>
      <c r="M26" s="2132" t="s">
        <v>32</v>
      </c>
      <c r="N26" s="2131">
        <v>7525.78</v>
      </c>
      <c r="O26" s="2127">
        <f t="shared" si="0"/>
        <v>1</v>
      </c>
      <c r="P26" s="92"/>
      <c r="Q26" s="92"/>
    </row>
    <row r="27" spans="1:17" ht="20.100000000000001" customHeight="1">
      <c r="A27" s="92">
        <v>21</v>
      </c>
      <c r="B27" s="1049" t="s">
        <v>2561</v>
      </c>
      <c r="C27" s="1049" t="s">
        <v>2549</v>
      </c>
      <c r="D27" s="3567"/>
      <c r="E27" s="3090"/>
      <c r="F27" s="3090"/>
      <c r="G27" s="3090">
        <v>1</v>
      </c>
      <c r="H27" s="3090"/>
      <c r="I27" s="3090"/>
      <c r="J27" s="3090"/>
      <c r="K27" s="1072"/>
      <c r="L27" s="1047"/>
      <c r="M27" s="2132" t="s">
        <v>2559</v>
      </c>
      <c r="N27" s="2135">
        <v>34.75</v>
      </c>
      <c r="O27" s="2127">
        <f t="shared" si="0"/>
        <v>1</v>
      </c>
      <c r="P27" s="92"/>
      <c r="Q27" s="92"/>
    </row>
    <row r="28" spans="1:17" ht="20.100000000000001" customHeight="1">
      <c r="A28" s="1795">
        <v>22</v>
      </c>
      <c r="B28" s="1049" t="s">
        <v>2561</v>
      </c>
      <c r="C28" s="1049" t="s">
        <v>2549</v>
      </c>
      <c r="D28" s="3567"/>
      <c r="E28" s="3090"/>
      <c r="F28" s="3090"/>
      <c r="G28" s="3090">
        <v>1</v>
      </c>
      <c r="H28" s="3090"/>
      <c r="I28" s="3090"/>
      <c r="J28" s="3090"/>
      <c r="K28" s="1072"/>
      <c r="L28" s="1047"/>
      <c r="M28" s="2132" t="s">
        <v>50</v>
      </c>
      <c r="N28" s="2131">
        <v>-8809.69</v>
      </c>
      <c r="O28" s="2127">
        <f t="shared" si="0"/>
        <v>1</v>
      </c>
      <c r="P28" s="92"/>
      <c r="Q28" s="92"/>
    </row>
    <row r="29" spans="1:17" ht="20.100000000000001" customHeight="1">
      <c r="A29" s="92">
        <v>23</v>
      </c>
      <c r="B29" s="1049" t="s">
        <v>2561</v>
      </c>
      <c r="C29" s="1049" t="s">
        <v>2549</v>
      </c>
      <c r="D29" s="3567"/>
      <c r="E29" s="3090"/>
      <c r="F29" s="3090"/>
      <c r="G29" s="3090"/>
      <c r="H29" s="3090"/>
      <c r="I29" s="3090"/>
      <c r="J29" s="3090"/>
      <c r="K29" s="1072">
        <v>1</v>
      </c>
      <c r="L29" s="1047"/>
      <c r="M29" s="2136" t="s">
        <v>2564</v>
      </c>
      <c r="N29" s="2135">
        <v>25416</v>
      </c>
      <c r="O29" s="2127">
        <f t="shared" si="0"/>
        <v>1</v>
      </c>
      <c r="P29" s="92"/>
      <c r="Q29" s="92"/>
    </row>
    <row r="30" spans="1:17" ht="20.100000000000001" customHeight="1">
      <c r="A30" s="92">
        <v>24</v>
      </c>
      <c r="B30" s="1049" t="s">
        <v>2561</v>
      </c>
      <c r="C30" s="1049" t="s">
        <v>2549</v>
      </c>
      <c r="D30" s="3567"/>
      <c r="E30" s="3090"/>
      <c r="F30" s="3090"/>
      <c r="G30" s="3090"/>
      <c r="H30" s="3090"/>
      <c r="I30" s="3090"/>
      <c r="J30" s="3090"/>
      <c r="K30" s="1072">
        <v>1</v>
      </c>
      <c r="L30" s="1047"/>
      <c r="M30" s="2136" t="s">
        <v>2565</v>
      </c>
      <c r="N30" s="2137">
        <v>102111.72</v>
      </c>
      <c r="O30" s="2127">
        <f t="shared" si="0"/>
        <v>1</v>
      </c>
      <c r="P30" s="92"/>
      <c r="Q30" s="92"/>
    </row>
    <row r="31" spans="1:17" ht="20.100000000000001" customHeight="1">
      <c r="A31" s="1795">
        <v>25</v>
      </c>
      <c r="B31" s="1049" t="s">
        <v>2561</v>
      </c>
      <c r="C31" s="1049" t="s">
        <v>2549</v>
      </c>
      <c r="D31" s="3567"/>
      <c r="E31" s="3090"/>
      <c r="F31" s="3090"/>
      <c r="G31" s="3090"/>
      <c r="H31" s="3090">
        <v>15</v>
      </c>
      <c r="I31" s="3090"/>
      <c r="J31" s="3090"/>
      <c r="K31" s="1072"/>
      <c r="L31" s="1047"/>
      <c r="M31" s="2138" t="s">
        <v>2566</v>
      </c>
      <c r="N31" s="2131"/>
      <c r="O31" s="2127">
        <f t="shared" si="0"/>
        <v>15</v>
      </c>
      <c r="P31" s="92"/>
      <c r="Q31" s="92"/>
    </row>
    <row r="32" spans="1:17" ht="20.100000000000001" customHeight="1">
      <c r="A32" s="92">
        <v>26</v>
      </c>
      <c r="B32" s="1049" t="s">
        <v>2561</v>
      </c>
      <c r="C32" s="1049" t="s">
        <v>2549</v>
      </c>
      <c r="D32" s="3568"/>
      <c r="E32" s="3090"/>
      <c r="F32" s="3090"/>
      <c r="G32" s="3090"/>
      <c r="H32" s="3090"/>
      <c r="I32" s="2139">
        <v>9077</v>
      </c>
      <c r="J32" s="3090"/>
      <c r="K32" s="1072"/>
      <c r="L32" s="1047"/>
      <c r="M32" s="1034" t="s">
        <v>35</v>
      </c>
      <c r="N32" s="2131">
        <v>135145.34</v>
      </c>
      <c r="O32" s="2127">
        <f t="shared" si="0"/>
        <v>9077</v>
      </c>
      <c r="P32" s="92"/>
      <c r="Q32" s="92"/>
    </row>
    <row r="33" spans="1:17" ht="20.100000000000001" customHeight="1">
      <c r="A33" s="92">
        <v>27</v>
      </c>
      <c r="B33" s="1049" t="s">
        <v>2561</v>
      </c>
      <c r="C33" s="1049" t="s">
        <v>2549</v>
      </c>
      <c r="D33" s="1049" t="s">
        <v>671</v>
      </c>
      <c r="E33" s="3090"/>
      <c r="F33" s="2139">
        <v>1059</v>
      </c>
      <c r="G33" s="3090"/>
      <c r="H33" s="3090"/>
      <c r="I33" s="3090"/>
      <c r="J33" s="3090"/>
      <c r="K33" s="1072"/>
      <c r="L33" s="1047"/>
      <c r="M33" s="1200" t="s">
        <v>2567</v>
      </c>
      <c r="N33" s="2131"/>
      <c r="O33" s="2127">
        <f t="shared" si="0"/>
        <v>1059</v>
      </c>
      <c r="P33" s="92"/>
      <c r="Q33" s="92"/>
    </row>
    <row r="34" spans="1:17" ht="20.100000000000001" customHeight="1">
      <c r="A34" s="1795">
        <v>28</v>
      </c>
      <c r="B34" s="1049" t="s">
        <v>2568</v>
      </c>
      <c r="C34" s="1049" t="s">
        <v>2549</v>
      </c>
      <c r="D34" s="1049" t="s">
        <v>1566</v>
      </c>
      <c r="E34" s="3090"/>
      <c r="F34" s="3090"/>
      <c r="G34" s="3090"/>
      <c r="H34" s="3090"/>
      <c r="I34" s="3090"/>
      <c r="J34" s="3090"/>
      <c r="K34" s="1246">
        <v>1</v>
      </c>
      <c r="L34" s="2140"/>
      <c r="M34" s="2141" t="s">
        <v>2569</v>
      </c>
      <c r="N34" s="181">
        <v>1000</v>
      </c>
      <c r="O34" s="2127">
        <f t="shared" si="0"/>
        <v>1</v>
      </c>
      <c r="P34" s="92"/>
      <c r="Q34" s="92"/>
    </row>
    <row r="35" spans="1:17" ht="20.100000000000001" customHeight="1">
      <c r="A35" s="92">
        <v>29</v>
      </c>
      <c r="B35" s="1049" t="s">
        <v>2568</v>
      </c>
      <c r="C35" s="1049" t="s">
        <v>2549</v>
      </c>
      <c r="D35" s="3566" t="s">
        <v>29</v>
      </c>
      <c r="E35" s="3090"/>
      <c r="F35" s="3090"/>
      <c r="G35" s="3090"/>
      <c r="H35" s="3090"/>
      <c r="I35" s="3090"/>
      <c r="J35" s="3090"/>
      <c r="K35" s="1246">
        <v>1</v>
      </c>
      <c r="L35" s="2140"/>
      <c r="M35" s="92" t="s">
        <v>2570</v>
      </c>
      <c r="N35" s="2142">
        <v>14.62</v>
      </c>
      <c r="O35" s="2127">
        <f t="shared" si="0"/>
        <v>1</v>
      </c>
      <c r="P35" s="92"/>
      <c r="Q35" s="92"/>
    </row>
    <row r="36" spans="1:17" ht="20.100000000000001" customHeight="1">
      <c r="A36" s="92">
        <v>30</v>
      </c>
      <c r="B36" s="1049" t="s">
        <v>2568</v>
      </c>
      <c r="C36" s="1049" t="s">
        <v>2549</v>
      </c>
      <c r="D36" s="3567"/>
      <c r="E36" s="3090"/>
      <c r="F36" s="3090"/>
      <c r="G36" s="3090">
        <v>1</v>
      </c>
      <c r="H36" s="3090"/>
      <c r="I36" s="3090"/>
      <c r="J36" s="3090"/>
      <c r="K36" s="1246"/>
      <c r="L36" s="2140"/>
      <c r="M36" s="92" t="s">
        <v>2571</v>
      </c>
      <c r="N36" s="2142">
        <v>0.71</v>
      </c>
      <c r="O36" s="2127">
        <f t="shared" si="0"/>
        <v>1</v>
      </c>
      <c r="P36" s="92"/>
      <c r="Q36" s="92"/>
    </row>
    <row r="37" spans="1:17" ht="20.100000000000001" customHeight="1">
      <c r="A37" s="1795">
        <v>31</v>
      </c>
      <c r="B37" s="1049" t="s">
        <v>2568</v>
      </c>
      <c r="C37" s="1049" t="s">
        <v>2549</v>
      </c>
      <c r="D37" s="3567"/>
      <c r="E37" s="3090"/>
      <c r="F37" s="3090"/>
      <c r="G37" s="3090"/>
      <c r="H37" s="3090"/>
      <c r="I37" s="3090"/>
      <c r="J37" s="3090"/>
      <c r="K37" s="1246">
        <v>1</v>
      </c>
      <c r="L37" s="2143" t="s">
        <v>2572</v>
      </c>
      <c r="M37" s="2144" t="s">
        <v>2573</v>
      </c>
      <c r="N37" s="2145">
        <v>1600</v>
      </c>
      <c r="O37" s="2127">
        <f t="shared" si="0"/>
        <v>1</v>
      </c>
      <c r="P37" s="92"/>
      <c r="Q37" s="92"/>
    </row>
    <row r="38" spans="1:17" ht="20.100000000000001" customHeight="1">
      <c r="A38" s="92">
        <v>32</v>
      </c>
      <c r="B38" s="1049" t="s">
        <v>2568</v>
      </c>
      <c r="C38" s="1049" t="s">
        <v>2549</v>
      </c>
      <c r="D38" s="3568"/>
      <c r="E38" s="3090"/>
      <c r="F38" s="3090"/>
      <c r="G38" s="3090"/>
      <c r="H38" s="3090"/>
      <c r="I38" s="3090">
        <v>138</v>
      </c>
      <c r="J38" s="3090"/>
      <c r="K38" s="1072"/>
      <c r="L38" s="1047"/>
      <c r="M38" s="1034" t="s">
        <v>35</v>
      </c>
      <c r="N38" s="2131">
        <v>19321</v>
      </c>
      <c r="O38" s="2127">
        <f t="shared" si="0"/>
        <v>138</v>
      </c>
      <c r="P38" s="92"/>
      <c r="Q38" s="92"/>
    </row>
    <row r="39" spans="1:17" ht="20.100000000000001" customHeight="1">
      <c r="A39" s="92">
        <v>33</v>
      </c>
      <c r="B39" s="1049" t="s">
        <v>2568</v>
      </c>
      <c r="C39" s="1049" t="s">
        <v>2549</v>
      </c>
      <c r="D39" s="1049" t="s">
        <v>671</v>
      </c>
      <c r="E39" s="3090"/>
      <c r="F39" s="3090">
        <v>343</v>
      </c>
      <c r="G39" s="3090"/>
      <c r="H39" s="3090"/>
      <c r="I39" s="3090"/>
      <c r="J39" s="3090"/>
      <c r="K39" s="1246"/>
      <c r="L39" s="2140"/>
      <c r="M39" s="1200" t="s">
        <v>2574</v>
      </c>
      <c r="N39" s="2142"/>
      <c r="O39" s="2127">
        <f t="shared" si="0"/>
        <v>343</v>
      </c>
      <c r="P39" s="92"/>
      <c r="Q39" s="92"/>
    </row>
    <row r="40" spans="1:17" ht="20.100000000000001" customHeight="1">
      <c r="A40" s="1795">
        <v>34</v>
      </c>
      <c r="B40" s="1049" t="s">
        <v>2575</v>
      </c>
      <c r="C40" s="1049" t="s">
        <v>2549</v>
      </c>
      <c r="D40" s="1049" t="s">
        <v>1566</v>
      </c>
      <c r="E40" s="3090"/>
      <c r="F40" s="3090"/>
      <c r="G40" s="3090"/>
      <c r="H40" s="3090"/>
      <c r="I40" s="3090"/>
      <c r="J40" s="3090"/>
      <c r="K40" s="1246">
        <v>1</v>
      </c>
      <c r="L40" s="2140"/>
      <c r="M40" s="2141" t="s">
        <v>2576</v>
      </c>
      <c r="N40" s="2142">
        <v>5127.29</v>
      </c>
      <c r="O40" s="2127">
        <f t="shared" si="0"/>
        <v>1</v>
      </c>
      <c r="P40" s="92"/>
      <c r="Q40" s="92"/>
    </row>
    <row r="41" spans="1:17" ht="20.100000000000001" customHeight="1">
      <c r="A41" s="92">
        <v>35</v>
      </c>
      <c r="B41" s="1049" t="s">
        <v>2575</v>
      </c>
      <c r="C41" s="1049" t="s">
        <v>2549</v>
      </c>
      <c r="D41" s="1049" t="s">
        <v>29</v>
      </c>
      <c r="E41" s="3090"/>
      <c r="F41" s="3090"/>
      <c r="G41" s="3090"/>
      <c r="H41" s="3090">
        <v>25</v>
      </c>
      <c r="I41" s="3090"/>
      <c r="J41" s="3090"/>
      <c r="K41" s="1246"/>
      <c r="L41" s="2140"/>
      <c r="M41" s="2138" t="s">
        <v>2566</v>
      </c>
      <c r="N41" s="2142"/>
      <c r="O41" s="2127">
        <f t="shared" si="0"/>
        <v>25</v>
      </c>
      <c r="P41" s="92"/>
      <c r="Q41" s="92"/>
    </row>
    <row r="42" spans="1:17" ht="20.100000000000001" customHeight="1">
      <c r="A42" s="92">
        <v>36</v>
      </c>
      <c r="B42" s="1049" t="s">
        <v>2575</v>
      </c>
      <c r="C42" s="1049" t="s">
        <v>2549</v>
      </c>
      <c r="D42" s="1049"/>
      <c r="E42" s="3090"/>
      <c r="F42" s="3090"/>
      <c r="G42" s="3090"/>
      <c r="H42" s="3090"/>
      <c r="I42" s="2139">
        <v>4658</v>
      </c>
      <c r="J42" s="3090"/>
      <c r="K42" s="1246"/>
      <c r="L42" s="2140"/>
      <c r="M42" s="1034" t="s">
        <v>35</v>
      </c>
      <c r="N42" s="2142"/>
      <c r="O42" s="2127">
        <f t="shared" si="0"/>
        <v>4655</v>
      </c>
      <c r="P42" s="92">
        <v>3</v>
      </c>
      <c r="Q42" s="92"/>
    </row>
    <row r="43" spans="1:17" ht="20.100000000000001" customHeight="1">
      <c r="A43" s="1795">
        <v>37</v>
      </c>
      <c r="B43" s="1049" t="s">
        <v>2575</v>
      </c>
      <c r="C43" s="1049" t="s">
        <v>2549</v>
      </c>
      <c r="D43" s="1049" t="s">
        <v>671</v>
      </c>
      <c r="E43" s="3090"/>
      <c r="F43" s="3090">
        <v>998</v>
      </c>
      <c r="G43" s="3090"/>
      <c r="H43" s="3090"/>
      <c r="I43" s="3090"/>
      <c r="J43" s="3090"/>
      <c r="K43" s="1246"/>
      <c r="L43" s="2140"/>
      <c r="M43" s="2023" t="s">
        <v>2577</v>
      </c>
      <c r="N43" s="2142"/>
      <c r="O43" s="2127">
        <f t="shared" si="0"/>
        <v>998</v>
      </c>
      <c r="P43" s="92"/>
      <c r="Q43" s="92"/>
    </row>
    <row r="44" spans="1:17" ht="20.100000000000001" customHeight="1">
      <c r="A44" s="92">
        <v>38</v>
      </c>
      <c r="B44" s="1049" t="s">
        <v>2575</v>
      </c>
      <c r="C44" s="1049" t="s">
        <v>2549</v>
      </c>
      <c r="D44" s="3557" t="s">
        <v>2578</v>
      </c>
      <c r="E44" s="3564"/>
      <c r="F44" s="3564"/>
      <c r="G44" s="3564"/>
      <c r="H44" s="3564"/>
      <c r="I44" s="3564"/>
      <c r="J44" s="3564"/>
      <c r="K44" s="3562">
        <v>1</v>
      </c>
      <c r="L44" s="3562"/>
      <c r="M44" s="2146" t="s">
        <v>2579</v>
      </c>
      <c r="N44" s="305"/>
      <c r="O44" s="2127">
        <f t="shared" si="0"/>
        <v>0</v>
      </c>
      <c r="P44" s="92">
        <v>1</v>
      </c>
      <c r="Q44" s="92"/>
    </row>
    <row r="45" spans="1:17" ht="20.100000000000001" customHeight="1">
      <c r="A45" s="92">
        <v>39</v>
      </c>
      <c r="B45" s="1049" t="s">
        <v>2575</v>
      </c>
      <c r="C45" s="1049" t="s">
        <v>2549</v>
      </c>
      <c r="D45" s="3558"/>
      <c r="E45" s="3565"/>
      <c r="F45" s="3565"/>
      <c r="G45" s="3565"/>
      <c r="H45" s="3565"/>
      <c r="I45" s="3565"/>
      <c r="J45" s="3565"/>
      <c r="K45" s="3563"/>
      <c r="L45" s="3563"/>
      <c r="M45" s="2147" t="s">
        <v>2580</v>
      </c>
      <c r="N45" s="305">
        <v>50000</v>
      </c>
      <c r="O45" s="2127">
        <f t="shared" si="0"/>
        <v>-1</v>
      </c>
      <c r="P45" s="92">
        <v>1</v>
      </c>
      <c r="Q45" s="92"/>
    </row>
    <row r="46" spans="1:17" ht="20.100000000000001" customHeight="1">
      <c r="A46" s="1795">
        <v>40</v>
      </c>
      <c r="B46" s="1049" t="s">
        <v>2575</v>
      </c>
      <c r="C46" s="1049" t="s">
        <v>2549</v>
      </c>
      <c r="D46" s="3558"/>
      <c r="E46" s="3090"/>
      <c r="F46" s="3090"/>
      <c r="G46" s="3090"/>
      <c r="H46" s="3090"/>
      <c r="I46" s="3090"/>
      <c r="J46" s="3090"/>
      <c r="K46" s="1072">
        <v>1</v>
      </c>
      <c r="L46" s="1047"/>
      <c r="M46" s="2147" t="s">
        <v>2581</v>
      </c>
      <c r="N46" s="305">
        <v>50000</v>
      </c>
      <c r="O46" s="2127">
        <f t="shared" si="0"/>
        <v>1</v>
      </c>
      <c r="P46" s="92"/>
      <c r="Q46" s="92"/>
    </row>
    <row r="47" spans="1:17" ht="20.100000000000001" customHeight="1">
      <c r="A47" s="92">
        <v>41</v>
      </c>
      <c r="B47" s="1049" t="s">
        <v>2575</v>
      </c>
      <c r="C47" s="1049" t="s">
        <v>2549</v>
      </c>
      <c r="D47" s="3558"/>
      <c r="E47" s="3090"/>
      <c r="F47" s="3090"/>
      <c r="G47" s="3090"/>
      <c r="H47" s="3090"/>
      <c r="I47" s="3090"/>
      <c r="J47" s="3090"/>
      <c r="K47" s="1072">
        <v>1</v>
      </c>
      <c r="L47" s="1047"/>
      <c r="M47" s="2147" t="s">
        <v>2582</v>
      </c>
      <c r="N47" s="305">
        <v>20000</v>
      </c>
      <c r="O47" s="2127">
        <f t="shared" si="0"/>
        <v>0</v>
      </c>
      <c r="P47" s="92">
        <v>1</v>
      </c>
      <c r="Q47" s="92"/>
    </row>
    <row r="48" spans="1:17" ht="20.100000000000001" customHeight="1">
      <c r="A48" s="92">
        <v>42</v>
      </c>
      <c r="B48" s="1049" t="s">
        <v>2575</v>
      </c>
      <c r="C48" s="1049" t="s">
        <v>2549</v>
      </c>
      <c r="D48" s="3558"/>
      <c r="E48" s="3090"/>
      <c r="F48" s="3090"/>
      <c r="G48" s="3090"/>
      <c r="H48" s="3090"/>
      <c r="I48" s="3090"/>
      <c r="J48" s="3090"/>
      <c r="K48" s="1072">
        <v>1</v>
      </c>
      <c r="L48" s="1047"/>
      <c r="M48" s="2147" t="s">
        <v>2583</v>
      </c>
      <c r="N48" s="305">
        <v>50000</v>
      </c>
      <c r="O48" s="2127">
        <f t="shared" si="0"/>
        <v>0</v>
      </c>
      <c r="P48" s="92">
        <v>1</v>
      </c>
      <c r="Q48" s="92"/>
    </row>
    <row r="49" spans="1:17" ht="20.100000000000001" customHeight="1">
      <c r="A49" s="1795">
        <v>43</v>
      </c>
      <c r="B49" s="1049" t="s">
        <v>2575</v>
      </c>
      <c r="C49" s="1049" t="s">
        <v>2549</v>
      </c>
      <c r="D49" s="3559"/>
      <c r="E49" s="3090"/>
      <c r="F49" s="3090"/>
      <c r="G49" s="3090"/>
      <c r="H49" s="3090"/>
      <c r="I49" s="3090"/>
      <c r="J49" s="3090"/>
      <c r="K49" s="1072">
        <v>1</v>
      </c>
      <c r="L49" s="1047"/>
      <c r="M49" s="2147" t="s">
        <v>2584</v>
      </c>
      <c r="N49" s="305">
        <v>50000</v>
      </c>
      <c r="O49" s="2127">
        <f t="shared" si="0"/>
        <v>0</v>
      </c>
      <c r="P49" s="92">
        <v>1</v>
      </c>
      <c r="Q49" s="92"/>
    </row>
    <row r="50" spans="1:17" ht="20.100000000000001" customHeight="1">
      <c r="A50" s="92">
        <v>44</v>
      </c>
      <c r="B50" s="1049" t="s">
        <v>2585</v>
      </c>
      <c r="C50" s="1049" t="s">
        <v>2549</v>
      </c>
      <c r="D50" s="1049" t="s">
        <v>351</v>
      </c>
      <c r="E50" s="3090"/>
      <c r="F50" s="3090"/>
      <c r="G50" s="3090"/>
      <c r="H50" s="3090"/>
      <c r="I50" s="3090"/>
      <c r="J50" s="3090"/>
      <c r="K50" s="1072">
        <v>1</v>
      </c>
      <c r="L50" s="1047"/>
      <c r="M50" s="2148" t="s">
        <v>2586</v>
      </c>
      <c r="N50" s="452"/>
      <c r="O50" s="2127">
        <f t="shared" si="0"/>
        <v>1</v>
      </c>
      <c r="P50" s="92"/>
      <c r="Q50" s="92"/>
    </row>
    <row r="51" spans="1:17" ht="20.100000000000001" customHeight="1">
      <c r="A51" s="92">
        <v>45</v>
      </c>
      <c r="B51" s="1049" t="s">
        <v>2585</v>
      </c>
      <c r="C51" s="1049" t="s">
        <v>2549</v>
      </c>
      <c r="D51" s="1049" t="s">
        <v>1566</v>
      </c>
      <c r="E51" s="3090"/>
      <c r="F51" s="3090"/>
      <c r="G51" s="3090"/>
      <c r="H51" s="3090"/>
      <c r="I51" s="3090"/>
      <c r="J51" s="3090"/>
      <c r="K51" s="1072">
        <v>1</v>
      </c>
      <c r="L51" s="1047"/>
      <c r="M51" s="2068" t="s">
        <v>118</v>
      </c>
      <c r="N51" s="2149">
        <v>52435</v>
      </c>
      <c r="O51" s="2127">
        <f t="shared" si="0"/>
        <v>1</v>
      </c>
      <c r="P51" s="92"/>
      <c r="Q51" s="92"/>
    </row>
    <row r="52" spans="1:17" ht="20.100000000000001" customHeight="1">
      <c r="A52" s="1795">
        <v>46</v>
      </c>
      <c r="B52" s="1049" t="s">
        <v>2585</v>
      </c>
      <c r="C52" s="1049" t="s">
        <v>2549</v>
      </c>
      <c r="D52" s="3557" t="s">
        <v>29</v>
      </c>
      <c r="E52" s="3090"/>
      <c r="F52" s="3090"/>
      <c r="G52" s="3090">
        <v>1</v>
      </c>
      <c r="H52" s="3090"/>
      <c r="I52" s="3090"/>
      <c r="J52" s="3090"/>
      <c r="K52" s="1072"/>
      <c r="L52" s="1047"/>
      <c r="M52" s="2121" t="s">
        <v>2587</v>
      </c>
      <c r="N52" s="452">
        <v>5485.76</v>
      </c>
      <c r="O52" s="2127">
        <f t="shared" si="0"/>
        <v>1</v>
      </c>
      <c r="P52" s="92"/>
      <c r="Q52" s="92"/>
    </row>
    <row r="53" spans="1:17" ht="20.100000000000001" customHeight="1">
      <c r="A53" s="92">
        <v>47</v>
      </c>
      <c r="B53" s="1049"/>
      <c r="C53" s="1049" t="s">
        <v>2549</v>
      </c>
      <c r="D53" s="3558"/>
      <c r="E53" s="3090"/>
      <c r="F53" s="3090"/>
      <c r="G53" s="3090"/>
      <c r="H53" s="3090"/>
      <c r="I53" s="3090"/>
      <c r="J53" s="3090"/>
      <c r="K53" s="1072"/>
      <c r="L53" s="1047"/>
      <c r="M53" s="2150" t="s">
        <v>2588</v>
      </c>
      <c r="N53" s="452"/>
      <c r="O53" s="2127">
        <f t="shared" si="0"/>
        <v>0</v>
      </c>
      <c r="P53" s="92"/>
      <c r="Q53" s="92"/>
    </row>
    <row r="54" spans="1:17" ht="20.100000000000001" customHeight="1">
      <c r="A54" s="92">
        <v>48</v>
      </c>
      <c r="B54" s="1049" t="s">
        <v>2585</v>
      </c>
      <c r="C54" s="1049" t="s">
        <v>2549</v>
      </c>
      <c r="D54" s="3558"/>
      <c r="E54" s="3090"/>
      <c r="F54" s="3090"/>
      <c r="G54" s="3090"/>
      <c r="H54" s="3090"/>
      <c r="I54" s="3090"/>
      <c r="J54" s="3090"/>
      <c r="K54" s="1072">
        <v>1</v>
      </c>
      <c r="L54" s="1047"/>
      <c r="M54" s="1047" t="s">
        <v>2589</v>
      </c>
      <c r="N54" s="2142">
        <v>64665.2</v>
      </c>
      <c r="O54" s="2127">
        <f t="shared" si="0"/>
        <v>1</v>
      </c>
      <c r="P54" s="92"/>
      <c r="Q54" s="92"/>
    </row>
    <row r="55" spans="1:17" ht="20.100000000000001" customHeight="1">
      <c r="A55" s="1795">
        <v>49</v>
      </c>
      <c r="B55" s="1049" t="s">
        <v>2585</v>
      </c>
      <c r="C55" s="1049" t="s">
        <v>2549</v>
      </c>
      <c r="D55" s="3558"/>
      <c r="E55" s="3090"/>
      <c r="F55" s="3090"/>
      <c r="G55" s="3090"/>
      <c r="H55" s="3090"/>
      <c r="I55" s="3090"/>
      <c r="J55" s="3090"/>
      <c r="K55" s="1072">
        <v>1</v>
      </c>
      <c r="L55" s="1047"/>
      <c r="M55" s="1047" t="s">
        <v>2590</v>
      </c>
      <c r="N55" s="2142">
        <v>13442.5</v>
      </c>
      <c r="O55" s="2127">
        <f t="shared" si="0"/>
        <v>1</v>
      </c>
      <c r="P55" s="92"/>
      <c r="Q55" s="92"/>
    </row>
    <row r="56" spans="1:17" ht="20.100000000000001" customHeight="1">
      <c r="A56" s="92">
        <v>50</v>
      </c>
      <c r="B56" s="1049" t="s">
        <v>2585</v>
      </c>
      <c r="C56" s="1049" t="s">
        <v>2549</v>
      </c>
      <c r="D56" s="3559"/>
      <c r="E56" s="3090"/>
      <c r="F56" s="3090"/>
      <c r="G56" s="3090"/>
      <c r="H56" s="3090"/>
      <c r="I56" s="3090">
        <v>7757</v>
      </c>
      <c r="J56" s="3090"/>
      <c r="K56" s="1072"/>
      <c r="L56" s="1047"/>
      <c r="M56" s="1047" t="s">
        <v>2591</v>
      </c>
      <c r="N56" s="2142"/>
      <c r="O56" s="2127">
        <f t="shared" si="0"/>
        <v>7757</v>
      </c>
      <c r="P56" s="92"/>
      <c r="Q56" s="92"/>
    </row>
    <row r="57" spans="1:17" ht="20.100000000000001" customHeight="1">
      <c r="A57" s="92">
        <v>51</v>
      </c>
      <c r="B57" s="1049" t="s">
        <v>2585</v>
      </c>
      <c r="C57" s="1049" t="s">
        <v>2549</v>
      </c>
      <c r="D57" s="1049" t="s">
        <v>671</v>
      </c>
      <c r="E57" s="3090"/>
      <c r="F57" s="3090">
        <v>794</v>
      </c>
      <c r="G57" s="3090"/>
      <c r="H57" s="3090"/>
      <c r="I57" s="3090"/>
      <c r="J57" s="3090"/>
      <c r="K57" s="1072"/>
      <c r="L57" s="1047"/>
      <c r="M57" s="1200" t="s">
        <v>2592</v>
      </c>
      <c r="N57" s="2142"/>
      <c r="O57" s="2127">
        <f t="shared" si="0"/>
        <v>794</v>
      </c>
      <c r="P57" s="92"/>
      <c r="Q57" s="92"/>
    </row>
    <row r="58" spans="1:17" ht="20.100000000000001" customHeight="1">
      <c r="A58" s="1795">
        <v>52</v>
      </c>
      <c r="B58" s="1049" t="s">
        <v>2585</v>
      </c>
      <c r="C58" s="1049" t="s">
        <v>2549</v>
      </c>
      <c r="D58" s="1049" t="s">
        <v>351</v>
      </c>
      <c r="E58" s="3090"/>
      <c r="F58" s="3090"/>
      <c r="G58" s="3090"/>
      <c r="H58" s="3090"/>
      <c r="I58" s="3090"/>
      <c r="J58" s="3090"/>
      <c r="K58" s="1072">
        <v>1</v>
      </c>
      <c r="L58" s="1047"/>
      <c r="M58" s="2151" t="s">
        <v>104</v>
      </c>
      <c r="N58" s="2142"/>
      <c r="O58" s="2127">
        <f t="shared" si="0"/>
        <v>1</v>
      </c>
      <c r="P58" s="92"/>
      <c r="Q58" s="92"/>
    </row>
    <row r="59" spans="1:17" ht="20.100000000000001" customHeight="1">
      <c r="A59" s="92">
        <v>53</v>
      </c>
      <c r="B59" s="1049" t="s">
        <v>2593</v>
      </c>
      <c r="C59" s="1049" t="s">
        <v>2549</v>
      </c>
      <c r="D59" s="3557" t="s">
        <v>29</v>
      </c>
      <c r="E59" s="3090"/>
      <c r="F59" s="3090"/>
      <c r="G59" s="3090"/>
      <c r="H59" s="3090"/>
      <c r="I59" s="3090"/>
      <c r="J59" s="3090"/>
      <c r="K59" s="1072"/>
      <c r="L59" s="1047"/>
      <c r="M59" s="1200" t="s">
        <v>2594</v>
      </c>
      <c r="N59" s="2142"/>
      <c r="O59" s="2127">
        <f t="shared" si="0"/>
        <v>0</v>
      </c>
      <c r="P59" s="92"/>
      <c r="Q59" s="92"/>
    </row>
    <row r="60" spans="1:17" ht="20.100000000000001" customHeight="1">
      <c r="A60" s="92">
        <v>54</v>
      </c>
      <c r="B60" s="1049" t="s">
        <v>2593</v>
      </c>
      <c r="C60" s="1049" t="s">
        <v>2549</v>
      </c>
      <c r="D60" s="3558"/>
      <c r="E60" s="3090"/>
      <c r="F60" s="3090"/>
      <c r="G60" s="3090">
        <v>1</v>
      </c>
      <c r="H60" s="3090"/>
      <c r="I60" s="3090"/>
      <c r="J60" s="3090"/>
      <c r="K60" s="1072"/>
      <c r="L60" s="1047"/>
      <c r="M60" s="1130" t="s">
        <v>32</v>
      </c>
      <c r="N60" s="2142">
        <v>1.23</v>
      </c>
      <c r="O60" s="2127">
        <f t="shared" si="0"/>
        <v>1</v>
      </c>
      <c r="P60" s="92"/>
      <c r="Q60" s="92"/>
    </row>
    <row r="61" spans="1:17" ht="20.100000000000001" customHeight="1">
      <c r="A61" s="1795">
        <v>55</v>
      </c>
      <c r="B61" s="1049" t="s">
        <v>2593</v>
      </c>
      <c r="C61" s="1049" t="s">
        <v>2549</v>
      </c>
      <c r="D61" s="3559"/>
      <c r="E61" s="3090"/>
      <c r="F61" s="3090"/>
      <c r="G61" s="3090"/>
      <c r="H61" s="3090"/>
      <c r="I61" s="3090">
        <v>1861</v>
      </c>
      <c r="J61" s="3090"/>
      <c r="K61" s="1072"/>
      <c r="L61" s="1047"/>
      <c r="M61" s="1130" t="s">
        <v>2595</v>
      </c>
      <c r="N61" s="401">
        <v>1085752.03</v>
      </c>
      <c r="O61" s="2127">
        <f t="shared" si="0"/>
        <v>1857</v>
      </c>
      <c r="P61" s="92">
        <v>4</v>
      </c>
      <c r="Q61" s="92"/>
    </row>
    <row r="62" spans="1:17" ht="20.100000000000001" customHeight="1">
      <c r="A62" s="92">
        <v>56</v>
      </c>
      <c r="B62" s="1049" t="s">
        <v>2593</v>
      </c>
      <c r="C62" s="1049" t="s">
        <v>2549</v>
      </c>
      <c r="D62" s="3557" t="s">
        <v>671</v>
      </c>
      <c r="E62" s="3090"/>
      <c r="F62" s="3090">
        <v>331</v>
      </c>
      <c r="G62" s="3090"/>
      <c r="H62" s="3090"/>
      <c r="I62" s="3090"/>
      <c r="J62" s="3090"/>
      <c r="K62" s="1072"/>
      <c r="L62" s="1047"/>
      <c r="M62" s="1200" t="s">
        <v>2596</v>
      </c>
      <c r="N62" s="2142"/>
      <c r="O62" s="2127">
        <f t="shared" si="0"/>
        <v>331</v>
      </c>
      <c r="P62" s="92"/>
      <c r="Q62" s="92"/>
    </row>
    <row r="63" spans="1:17" ht="20.100000000000001" customHeight="1">
      <c r="A63" s="92">
        <v>57</v>
      </c>
      <c r="B63" s="1049" t="s">
        <v>2593</v>
      </c>
      <c r="C63" s="1049" t="s">
        <v>2549</v>
      </c>
      <c r="D63" s="3559"/>
      <c r="E63" s="3090">
        <v>4</v>
      </c>
      <c r="F63" s="3090"/>
      <c r="G63" s="3090"/>
      <c r="H63" s="3090"/>
      <c r="I63" s="3090"/>
      <c r="J63" s="3090"/>
      <c r="K63" s="1072"/>
      <c r="L63" s="1047"/>
      <c r="M63" s="1200" t="s">
        <v>2597</v>
      </c>
      <c r="N63" s="2142"/>
      <c r="O63" s="2127">
        <f t="shared" si="0"/>
        <v>4</v>
      </c>
      <c r="P63" s="92"/>
      <c r="Q63" s="92"/>
    </row>
    <row r="64" spans="1:17" ht="20.100000000000001" customHeight="1">
      <c r="A64" s="1795">
        <v>58</v>
      </c>
      <c r="B64" s="1049" t="s">
        <v>2598</v>
      </c>
      <c r="C64" s="1049"/>
      <c r="D64" s="3093"/>
      <c r="E64" s="3090"/>
      <c r="F64" s="3090"/>
      <c r="G64" s="3090"/>
      <c r="H64" s="3090"/>
      <c r="I64" s="3090"/>
      <c r="J64" s="3090"/>
      <c r="K64" s="1072">
        <v>1</v>
      </c>
      <c r="L64" s="1047"/>
      <c r="M64" s="1104" t="s">
        <v>118</v>
      </c>
      <c r="N64" s="155">
        <v>29081.58</v>
      </c>
      <c r="O64" s="2127">
        <f t="shared" si="0"/>
        <v>1</v>
      </c>
      <c r="P64" s="92"/>
      <c r="Q64" s="92"/>
    </row>
    <row r="65" spans="1:17" ht="20.100000000000001" customHeight="1">
      <c r="A65" s="92">
        <v>59</v>
      </c>
      <c r="B65" s="1049" t="s">
        <v>2598</v>
      </c>
      <c r="C65" s="1049" t="s">
        <v>2549</v>
      </c>
      <c r="D65" s="3557" t="s">
        <v>29</v>
      </c>
      <c r="E65" s="3090"/>
      <c r="F65" s="3090"/>
      <c r="G65" s="3090">
        <v>1</v>
      </c>
      <c r="H65" s="3090"/>
      <c r="I65" s="3090"/>
      <c r="J65" s="3090"/>
      <c r="K65" s="1072"/>
      <c r="L65" s="1047"/>
      <c r="M65" s="1119" t="s">
        <v>32</v>
      </c>
      <c r="N65" s="155">
        <v>122826.39</v>
      </c>
      <c r="O65" s="2127">
        <f t="shared" si="0"/>
        <v>1</v>
      </c>
      <c r="P65" s="92"/>
      <c r="Q65" s="92"/>
    </row>
    <row r="66" spans="1:17" ht="20.100000000000001" customHeight="1">
      <c r="A66" s="92">
        <v>60</v>
      </c>
      <c r="B66" s="1049" t="s">
        <v>2598</v>
      </c>
      <c r="C66" s="1049" t="s">
        <v>2549</v>
      </c>
      <c r="D66" s="3558"/>
      <c r="E66" s="3090"/>
      <c r="F66" s="3090"/>
      <c r="G66" s="3090">
        <v>1</v>
      </c>
      <c r="H66" s="3090"/>
      <c r="I66" s="3090"/>
      <c r="J66" s="3090"/>
      <c r="K66" s="1072"/>
      <c r="L66" s="1047"/>
      <c r="M66" s="1119" t="s">
        <v>2559</v>
      </c>
      <c r="N66" s="155">
        <v>27.28</v>
      </c>
      <c r="O66" s="2127">
        <f t="shared" si="0"/>
        <v>1</v>
      </c>
      <c r="P66" s="92"/>
      <c r="Q66" s="92"/>
    </row>
    <row r="67" spans="1:17" ht="20.100000000000001" customHeight="1">
      <c r="A67" s="1795">
        <v>61</v>
      </c>
      <c r="B67" s="1049" t="s">
        <v>2598</v>
      </c>
      <c r="C67" s="1049" t="s">
        <v>2549</v>
      </c>
      <c r="D67" s="3558"/>
      <c r="E67" s="3090"/>
      <c r="F67" s="3090"/>
      <c r="G67" s="3090"/>
      <c r="H67" s="3090"/>
      <c r="I67" s="3090"/>
      <c r="J67" s="3090"/>
      <c r="K67" s="1072">
        <v>1</v>
      </c>
      <c r="L67" s="1047"/>
      <c r="M67" s="2152" t="s">
        <v>2599</v>
      </c>
      <c r="N67" s="2131">
        <v>122902.55</v>
      </c>
      <c r="O67" s="2127">
        <f t="shared" si="0"/>
        <v>1</v>
      </c>
      <c r="P67" s="92"/>
      <c r="Q67" s="92"/>
    </row>
    <row r="68" spans="1:17" ht="20.100000000000001" customHeight="1">
      <c r="A68" s="92">
        <v>62</v>
      </c>
      <c r="B68" s="1049" t="s">
        <v>2598</v>
      </c>
      <c r="C68" s="1049" t="s">
        <v>2549</v>
      </c>
      <c r="D68" s="3559"/>
      <c r="E68" s="3090"/>
      <c r="F68" s="3090"/>
      <c r="G68" s="3090"/>
      <c r="H68" s="3090"/>
      <c r="I68" s="3090">
        <v>589</v>
      </c>
      <c r="J68" s="3090"/>
      <c r="K68" s="1072"/>
      <c r="L68" s="1047"/>
      <c r="M68" s="1047" t="s">
        <v>2591</v>
      </c>
      <c r="N68" s="2142"/>
      <c r="O68" s="2127">
        <f t="shared" si="0"/>
        <v>589</v>
      </c>
      <c r="P68" s="92"/>
      <c r="Q68" s="92"/>
    </row>
    <row r="69" spans="1:17" ht="20.100000000000001" customHeight="1">
      <c r="A69" s="92">
        <v>63</v>
      </c>
      <c r="B69" s="1049" t="s">
        <v>2598</v>
      </c>
      <c r="C69" s="1049" t="s">
        <v>2549</v>
      </c>
      <c r="D69" s="1049" t="s">
        <v>671</v>
      </c>
      <c r="E69" s="3090"/>
      <c r="F69" s="3090">
        <v>1451</v>
      </c>
      <c r="G69" s="3090"/>
      <c r="H69" s="3090"/>
      <c r="I69" s="3090"/>
      <c r="J69" s="3090"/>
      <c r="K69" s="1072"/>
      <c r="L69" s="1047"/>
      <c r="M69" s="1200" t="s">
        <v>2600</v>
      </c>
      <c r="N69" s="2142"/>
      <c r="O69" s="2127">
        <f t="shared" si="0"/>
        <v>1451</v>
      </c>
      <c r="P69" s="92"/>
      <c r="Q69" s="92"/>
    </row>
    <row r="70" spans="1:17" ht="20.100000000000001" customHeight="1">
      <c r="A70" s="1795">
        <v>64</v>
      </c>
      <c r="B70" s="1049" t="s">
        <v>2598</v>
      </c>
      <c r="C70" s="1049" t="s">
        <v>2549</v>
      </c>
      <c r="D70" s="1049" t="s">
        <v>351</v>
      </c>
      <c r="E70" s="3090"/>
      <c r="F70" s="3090"/>
      <c r="G70" s="3090"/>
      <c r="H70" s="3090"/>
      <c r="I70" s="3090"/>
      <c r="J70" s="3090"/>
      <c r="K70" s="1072">
        <v>1</v>
      </c>
      <c r="L70" s="1047"/>
      <c r="M70" s="2147" t="s">
        <v>2601</v>
      </c>
      <c r="N70" s="2142"/>
      <c r="O70" s="2127">
        <f t="shared" si="0"/>
        <v>1</v>
      </c>
      <c r="P70" s="92"/>
      <c r="Q70" s="92"/>
    </row>
    <row r="71" spans="1:17" ht="20.100000000000001" customHeight="1">
      <c r="A71" s="92">
        <v>65</v>
      </c>
      <c r="B71" s="1049" t="s">
        <v>2602</v>
      </c>
      <c r="C71" s="1049" t="s">
        <v>2549</v>
      </c>
      <c r="D71" s="1049"/>
      <c r="E71" s="3090"/>
      <c r="F71" s="3090"/>
      <c r="G71" s="3090"/>
      <c r="H71" s="3090"/>
      <c r="I71" s="3090">
        <v>300</v>
      </c>
      <c r="J71" s="3090"/>
      <c r="K71" s="1246"/>
      <c r="L71" s="2140"/>
      <c r="M71" s="1047" t="s">
        <v>2591</v>
      </c>
      <c r="N71" s="181">
        <v>388219.85</v>
      </c>
      <c r="O71" s="2127">
        <f t="shared" si="0"/>
        <v>300</v>
      </c>
      <c r="P71" s="92"/>
      <c r="Q71" s="92"/>
    </row>
    <row r="72" spans="1:17" ht="20.100000000000001" customHeight="1">
      <c r="A72" s="92">
        <v>66</v>
      </c>
      <c r="B72" s="1049" t="s">
        <v>2602</v>
      </c>
      <c r="C72" s="1049" t="s">
        <v>2549</v>
      </c>
      <c r="D72" s="1049" t="s">
        <v>671</v>
      </c>
      <c r="E72" s="3090"/>
      <c r="F72" s="3090">
        <v>134</v>
      </c>
      <c r="G72" s="3090"/>
      <c r="H72" s="3090"/>
      <c r="I72" s="3090"/>
      <c r="J72" s="3090"/>
      <c r="K72" s="1246"/>
      <c r="L72" s="2140"/>
      <c r="M72" s="1200" t="s">
        <v>2603</v>
      </c>
      <c r="N72" s="181"/>
      <c r="O72" s="2127">
        <f t="shared" ref="O72:O135" si="1">E72+F72+G72+H72+I72+J72+K72-P72</f>
        <v>134</v>
      </c>
      <c r="P72" s="92"/>
      <c r="Q72" s="92"/>
    </row>
    <row r="73" spans="1:17" ht="20.100000000000001" customHeight="1">
      <c r="A73" s="1795">
        <v>67</v>
      </c>
      <c r="B73" s="1049" t="s">
        <v>2602</v>
      </c>
      <c r="C73" s="1049" t="s">
        <v>2549</v>
      </c>
      <c r="D73" s="3557" t="s">
        <v>351</v>
      </c>
      <c r="E73" s="3090"/>
      <c r="F73" s="3090"/>
      <c r="G73" s="3090"/>
      <c r="H73" s="3090"/>
      <c r="I73" s="3090"/>
      <c r="J73" s="3090"/>
      <c r="K73" s="1246">
        <v>1</v>
      </c>
      <c r="L73" s="2140"/>
      <c r="M73" s="2153" t="s">
        <v>2604</v>
      </c>
      <c r="N73" s="181"/>
      <c r="O73" s="2127">
        <f t="shared" si="1"/>
        <v>1</v>
      </c>
      <c r="P73" s="92"/>
      <c r="Q73" s="92"/>
    </row>
    <row r="74" spans="1:17" ht="20.100000000000001" customHeight="1">
      <c r="A74" s="92">
        <v>68</v>
      </c>
      <c r="B74" s="1049" t="s">
        <v>2602</v>
      </c>
      <c r="C74" s="1049" t="s">
        <v>2549</v>
      </c>
      <c r="D74" s="3558"/>
      <c r="E74" s="3090"/>
      <c r="F74" s="3090"/>
      <c r="G74" s="3090"/>
      <c r="H74" s="3090"/>
      <c r="I74" s="3090"/>
      <c r="J74" s="3090"/>
      <c r="K74" s="1246">
        <v>1</v>
      </c>
      <c r="L74" s="2140"/>
      <c r="M74" s="2153" t="s">
        <v>2605</v>
      </c>
      <c r="N74" s="181"/>
      <c r="O74" s="2127">
        <f t="shared" si="1"/>
        <v>0</v>
      </c>
      <c r="P74" s="92">
        <v>1</v>
      </c>
      <c r="Q74" s="92"/>
    </row>
    <row r="75" spans="1:17" ht="20.100000000000001" customHeight="1">
      <c r="A75" s="92">
        <v>69</v>
      </c>
      <c r="B75" s="1049" t="s">
        <v>2602</v>
      </c>
      <c r="C75" s="1049" t="s">
        <v>2549</v>
      </c>
      <c r="D75" s="3559"/>
      <c r="E75" s="3090"/>
      <c r="F75" s="3090"/>
      <c r="G75" s="3090"/>
      <c r="H75" s="3090"/>
      <c r="I75" s="3090"/>
      <c r="J75" s="3090"/>
      <c r="K75" s="1246">
        <v>1</v>
      </c>
      <c r="L75" s="2140"/>
      <c r="M75" s="2153" t="s">
        <v>2606</v>
      </c>
      <c r="N75" s="181"/>
      <c r="O75" s="2127">
        <f t="shared" si="1"/>
        <v>0</v>
      </c>
      <c r="P75" s="92">
        <v>1</v>
      </c>
      <c r="Q75" s="92"/>
    </row>
    <row r="76" spans="1:17" ht="20.100000000000001" customHeight="1">
      <c r="A76" s="1795">
        <v>70</v>
      </c>
      <c r="B76" s="1049" t="s">
        <v>2607</v>
      </c>
      <c r="C76" s="1049"/>
      <c r="D76" s="3094"/>
      <c r="E76" s="3090"/>
      <c r="F76" s="3090"/>
      <c r="G76" s="3090"/>
      <c r="H76" s="3090"/>
      <c r="I76" s="3090"/>
      <c r="J76" s="3090"/>
      <c r="K76" s="1246">
        <v>0</v>
      </c>
      <c r="L76" s="2140" t="s">
        <v>100</v>
      </c>
      <c r="M76" s="1104" t="s">
        <v>206</v>
      </c>
      <c r="N76" s="155">
        <v>0</v>
      </c>
      <c r="O76" s="2127">
        <f t="shared" si="1"/>
        <v>0</v>
      </c>
      <c r="P76" s="92"/>
      <c r="Q76" s="92"/>
    </row>
    <row r="77" spans="1:17" ht="20.100000000000001" customHeight="1">
      <c r="A77" s="92">
        <v>71</v>
      </c>
      <c r="B77" s="1049" t="s">
        <v>2607</v>
      </c>
      <c r="C77" s="1049" t="s">
        <v>2549</v>
      </c>
      <c r="D77" s="1049" t="s">
        <v>29</v>
      </c>
      <c r="E77" s="3090"/>
      <c r="F77" s="3090"/>
      <c r="G77" s="3090"/>
      <c r="H77" s="3090"/>
      <c r="I77" s="3090">
        <v>833</v>
      </c>
      <c r="J77" s="3090"/>
      <c r="K77" s="1246"/>
      <c r="L77" s="2140"/>
      <c r="M77" s="1047" t="s">
        <v>2591</v>
      </c>
      <c r="N77" s="181"/>
      <c r="O77" s="2127">
        <f t="shared" si="1"/>
        <v>833</v>
      </c>
      <c r="P77" s="92"/>
      <c r="Q77" s="92"/>
    </row>
    <row r="78" spans="1:17" ht="20.100000000000001" customHeight="1">
      <c r="A78" s="92">
        <v>72</v>
      </c>
      <c r="B78" s="1049" t="s">
        <v>2607</v>
      </c>
      <c r="C78" s="1049" t="s">
        <v>2549</v>
      </c>
      <c r="D78" s="3557" t="s">
        <v>671</v>
      </c>
      <c r="E78" s="3090"/>
      <c r="F78" s="3090">
        <v>246</v>
      </c>
      <c r="G78" s="3090"/>
      <c r="H78" s="3090"/>
      <c r="I78" s="3090"/>
      <c r="J78" s="3090"/>
      <c r="K78" s="1246"/>
      <c r="L78" s="2140"/>
      <c r="M78" s="1200" t="s">
        <v>2603</v>
      </c>
      <c r="N78" s="181"/>
      <c r="O78" s="2127">
        <f t="shared" si="1"/>
        <v>246</v>
      </c>
      <c r="P78" s="92"/>
      <c r="Q78" s="92"/>
    </row>
    <row r="79" spans="1:17" ht="20.100000000000001" customHeight="1">
      <c r="A79" s="1795">
        <v>73</v>
      </c>
      <c r="B79" s="1049" t="s">
        <v>2607</v>
      </c>
      <c r="C79" s="1049" t="s">
        <v>2549</v>
      </c>
      <c r="D79" s="3559"/>
      <c r="E79" s="3090">
        <v>93</v>
      </c>
      <c r="F79" s="3090"/>
      <c r="G79" s="3090"/>
      <c r="H79" s="3090"/>
      <c r="I79" s="3090"/>
      <c r="J79" s="3090"/>
      <c r="K79" s="1246"/>
      <c r="L79" s="2140"/>
      <c r="M79" s="2153" t="s">
        <v>2608</v>
      </c>
      <c r="N79" s="181"/>
      <c r="O79" s="2127">
        <f t="shared" si="1"/>
        <v>93</v>
      </c>
      <c r="P79" s="92"/>
      <c r="Q79" s="92"/>
    </row>
    <row r="80" spans="1:17" ht="20.100000000000001" customHeight="1">
      <c r="A80" s="92">
        <v>74</v>
      </c>
      <c r="B80" s="1049" t="s">
        <v>2609</v>
      </c>
      <c r="C80" s="1049" t="s">
        <v>2549</v>
      </c>
      <c r="D80" s="1049" t="s">
        <v>1566</v>
      </c>
      <c r="E80" s="3090"/>
      <c r="F80" s="3090"/>
      <c r="G80" s="3090"/>
      <c r="H80" s="3090"/>
      <c r="I80" s="3090"/>
      <c r="J80" s="3090"/>
      <c r="K80" s="92">
        <v>1</v>
      </c>
      <c r="M80" s="1104" t="s">
        <v>2610</v>
      </c>
      <c r="N80" s="162">
        <v>46646.13</v>
      </c>
      <c r="O80" s="2127">
        <f t="shared" si="1"/>
        <v>1</v>
      </c>
      <c r="P80" s="92"/>
      <c r="Q80" s="92"/>
    </row>
    <row r="81" spans="1:17" ht="20.100000000000001" customHeight="1">
      <c r="A81" s="92">
        <v>75</v>
      </c>
      <c r="B81" s="1049" t="s">
        <v>2609</v>
      </c>
      <c r="C81" s="1049" t="s">
        <v>2549</v>
      </c>
      <c r="D81" s="3557" t="s">
        <v>29</v>
      </c>
      <c r="E81" s="3090"/>
      <c r="F81" s="3090"/>
      <c r="G81" s="3090">
        <v>1</v>
      </c>
      <c r="H81" s="3090"/>
      <c r="I81" s="3090"/>
      <c r="J81" s="3090"/>
      <c r="K81" s="1246"/>
      <c r="L81" s="2140"/>
      <c r="M81" s="1119" t="s">
        <v>32</v>
      </c>
      <c r="N81" s="155">
        <v>231.06</v>
      </c>
      <c r="O81" s="2127">
        <f t="shared" si="1"/>
        <v>1</v>
      </c>
      <c r="P81" s="92"/>
      <c r="Q81" s="92"/>
    </row>
    <row r="82" spans="1:17" ht="20.100000000000001" customHeight="1">
      <c r="A82" s="1795">
        <v>76</v>
      </c>
      <c r="B82" s="1049" t="s">
        <v>2609</v>
      </c>
      <c r="C82" s="1049" t="s">
        <v>2549</v>
      </c>
      <c r="D82" s="3559"/>
      <c r="E82" s="3090"/>
      <c r="F82" s="3090"/>
      <c r="G82" s="3090"/>
      <c r="H82" s="3090"/>
      <c r="I82" s="3090">
        <v>328</v>
      </c>
      <c r="J82" s="3090"/>
      <c r="K82" s="1246"/>
      <c r="L82" s="2140"/>
      <c r="M82" s="2153" t="s">
        <v>1835</v>
      </c>
      <c r="N82" s="181"/>
      <c r="O82" s="2127">
        <f t="shared" si="1"/>
        <v>315</v>
      </c>
      <c r="P82" s="92">
        <v>13</v>
      </c>
      <c r="Q82" s="92"/>
    </row>
    <row r="83" spans="1:17" ht="20.100000000000001" customHeight="1">
      <c r="A83" s="92">
        <v>77</v>
      </c>
      <c r="B83" s="1049" t="s">
        <v>2609</v>
      </c>
      <c r="C83" s="1049" t="s">
        <v>2549</v>
      </c>
      <c r="D83" s="1049" t="s">
        <v>671</v>
      </c>
      <c r="E83" s="3090"/>
      <c r="F83" s="3090">
        <v>1166</v>
      </c>
      <c r="G83" s="3090"/>
      <c r="H83" s="3090"/>
      <c r="I83" s="3090"/>
      <c r="J83" s="3090"/>
      <c r="K83" s="1246"/>
      <c r="L83" s="2140"/>
      <c r="M83" s="2153" t="s">
        <v>2611</v>
      </c>
      <c r="N83" s="181"/>
      <c r="O83" s="2127">
        <f t="shared" si="1"/>
        <v>1164</v>
      </c>
      <c r="P83" s="92">
        <v>2</v>
      </c>
      <c r="Q83" s="92"/>
    </row>
    <row r="84" spans="1:17" ht="20.100000000000001" customHeight="1">
      <c r="A84" s="92">
        <v>78</v>
      </c>
      <c r="B84" s="1049" t="s">
        <v>2609</v>
      </c>
      <c r="C84" s="1049" t="s">
        <v>2549</v>
      </c>
      <c r="D84" s="1049" t="s">
        <v>2612</v>
      </c>
      <c r="E84" s="3090"/>
      <c r="F84" s="3090"/>
      <c r="G84" s="3090"/>
      <c r="H84" s="3090"/>
      <c r="I84" s="3090"/>
      <c r="J84" s="3090"/>
      <c r="K84" s="1246">
        <v>1</v>
      </c>
      <c r="L84" s="2140"/>
      <c r="M84" s="2154" t="s">
        <v>2613</v>
      </c>
      <c r="N84" s="181">
        <v>25000</v>
      </c>
      <c r="O84" s="2127">
        <f t="shared" si="1"/>
        <v>1</v>
      </c>
      <c r="P84" s="92"/>
      <c r="Q84" s="92"/>
    </row>
    <row r="85" spans="1:17" ht="20.100000000000001" customHeight="1">
      <c r="A85" s="1795">
        <v>79</v>
      </c>
      <c r="B85" s="1049" t="s">
        <v>2609</v>
      </c>
      <c r="C85" s="1049"/>
      <c r="D85" s="3092" t="s">
        <v>351</v>
      </c>
      <c r="E85" s="3090"/>
      <c r="F85" s="3090"/>
      <c r="G85" s="3090"/>
      <c r="H85" s="3090"/>
      <c r="I85" s="3090"/>
      <c r="J85" s="3090"/>
      <c r="K85" s="1246">
        <v>1</v>
      </c>
      <c r="L85" s="2140"/>
      <c r="M85" s="2153" t="s">
        <v>2614</v>
      </c>
      <c r="N85" s="181"/>
      <c r="O85" s="2127">
        <f t="shared" si="1"/>
        <v>1</v>
      </c>
      <c r="P85" s="92"/>
      <c r="Q85" s="92"/>
    </row>
    <row r="86" spans="1:17" ht="20.100000000000001" customHeight="1">
      <c r="A86" s="92">
        <v>80</v>
      </c>
      <c r="B86" s="1049" t="s">
        <v>2615</v>
      </c>
      <c r="C86" s="1049" t="s">
        <v>2549</v>
      </c>
      <c r="D86" s="3557" t="s">
        <v>29</v>
      </c>
      <c r="E86" s="3090"/>
      <c r="F86" s="3090"/>
      <c r="G86" s="3090">
        <v>1</v>
      </c>
      <c r="H86" s="3090"/>
      <c r="I86" s="3090"/>
      <c r="J86" s="3090"/>
      <c r="K86" s="1246"/>
      <c r="L86" s="2140"/>
      <c r="M86" s="2156" t="s">
        <v>49</v>
      </c>
      <c r="N86" s="2157">
        <v>411851.04</v>
      </c>
      <c r="O86" s="2127">
        <f t="shared" si="1"/>
        <v>1</v>
      </c>
      <c r="P86" s="92"/>
      <c r="Q86" s="92"/>
    </row>
    <row r="87" spans="1:17" ht="20.100000000000001" customHeight="1">
      <c r="A87" s="92">
        <v>81</v>
      </c>
      <c r="B87" s="1049" t="s">
        <v>2615</v>
      </c>
      <c r="C87" s="1049" t="s">
        <v>2549</v>
      </c>
      <c r="D87" s="3558"/>
      <c r="E87" s="3090"/>
      <c r="F87" s="3090"/>
      <c r="G87" s="3090">
        <v>1</v>
      </c>
      <c r="H87" s="3090"/>
      <c r="I87" s="3090"/>
      <c r="J87" s="3090"/>
      <c r="K87" s="1246"/>
      <c r="L87" s="2140"/>
      <c r="M87" s="2156" t="s">
        <v>32</v>
      </c>
      <c r="N87" s="2158">
        <v>3894.21</v>
      </c>
      <c r="O87" s="2127">
        <f t="shared" si="1"/>
        <v>1</v>
      </c>
      <c r="P87" s="92"/>
      <c r="Q87" s="92"/>
    </row>
    <row r="88" spans="1:17" ht="20.100000000000001" customHeight="1">
      <c r="A88" s="1795">
        <v>82</v>
      </c>
      <c r="B88" s="1049" t="s">
        <v>2615</v>
      </c>
      <c r="C88" s="1049" t="s">
        <v>2549</v>
      </c>
      <c r="D88" s="3558"/>
      <c r="E88" s="3090"/>
      <c r="F88" s="3090"/>
      <c r="G88" s="3090"/>
      <c r="H88" s="3090"/>
      <c r="I88" s="3090"/>
      <c r="J88" s="3090"/>
      <c r="K88" s="1246"/>
      <c r="L88" s="2140"/>
      <c r="M88" s="2159" t="s">
        <v>1029</v>
      </c>
      <c r="N88" s="2158"/>
      <c r="O88" s="2127">
        <f t="shared" si="1"/>
        <v>0</v>
      </c>
      <c r="P88" s="92"/>
      <c r="Q88" s="92"/>
    </row>
    <row r="89" spans="1:17" ht="20.100000000000001" customHeight="1">
      <c r="A89" s="92">
        <v>83</v>
      </c>
      <c r="B89" s="1049" t="s">
        <v>2615</v>
      </c>
      <c r="C89" s="1049" t="s">
        <v>2549</v>
      </c>
      <c r="D89" s="3558"/>
      <c r="E89" s="3090"/>
      <c r="F89" s="3090"/>
      <c r="G89" s="3090"/>
      <c r="H89" s="3090"/>
      <c r="I89" s="3090"/>
      <c r="J89" s="3090"/>
      <c r="K89" s="1246">
        <v>2</v>
      </c>
      <c r="L89" s="2140"/>
      <c r="M89" s="2160" t="s">
        <v>167</v>
      </c>
      <c r="N89" s="2161">
        <v>12598.2</v>
      </c>
      <c r="O89" s="2127">
        <f t="shared" si="1"/>
        <v>2</v>
      </c>
      <c r="P89" s="92"/>
      <c r="Q89" s="92"/>
    </row>
    <row r="90" spans="1:17" ht="20.100000000000001" customHeight="1">
      <c r="A90" s="92">
        <v>84</v>
      </c>
      <c r="B90" s="1049" t="s">
        <v>2615</v>
      </c>
      <c r="C90" s="1049" t="s">
        <v>2549</v>
      </c>
      <c r="D90" s="3559"/>
      <c r="E90" s="3090"/>
      <c r="F90" s="3090"/>
      <c r="G90" s="3090"/>
      <c r="H90" s="3090"/>
      <c r="I90" s="3090">
        <v>4112</v>
      </c>
      <c r="J90" s="3090"/>
      <c r="K90" s="1246"/>
      <c r="L90" s="2140"/>
      <c r="M90" s="2154" t="s">
        <v>1835</v>
      </c>
      <c r="N90" s="181"/>
      <c r="O90" s="2127">
        <f t="shared" si="1"/>
        <v>4102</v>
      </c>
      <c r="P90" s="92">
        <v>10</v>
      </c>
      <c r="Q90" s="92"/>
    </row>
    <row r="91" spans="1:17" ht="20.100000000000001" customHeight="1">
      <c r="A91" s="1795">
        <v>85</v>
      </c>
      <c r="B91" s="1049" t="s">
        <v>2615</v>
      </c>
      <c r="C91" s="1049" t="s">
        <v>2549</v>
      </c>
      <c r="D91" s="3557" t="s">
        <v>671</v>
      </c>
      <c r="E91" s="3090"/>
      <c r="F91" s="3090">
        <v>1381</v>
      </c>
      <c r="G91" s="3090"/>
      <c r="H91" s="3090"/>
      <c r="I91" s="3090"/>
      <c r="J91" s="3090"/>
      <c r="K91" s="1246"/>
      <c r="L91" s="2140"/>
      <c r="M91" s="2162" t="s">
        <v>2616</v>
      </c>
      <c r="N91" s="181"/>
      <c r="O91" s="2127">
        <f t="shared" si="1"/>
        <v>1373</v>
      </c>
      <c r="P91" s="92">
        <v>8</v>
      </c>
      <c r="Q91" s="92"/>
    </row>
    <row r="92" spans="1:17" ht="20.100000000000001" customHeight="1">
      <c r="A92" s="92">
        <v>86</v>
      </c>
      <c r="B92" s="1049" t="s">
        <v>2615</v>
      </c>
      <c r="C92" s="1049" t="s">
        <v>2549</v>
      </c>
      <c r="D92" s="3559"/>
      <c r="E92" s="3090">
        <v>39</v>
      </c>
      <c r="F92" s="3090"/>
      <c r="G92" s="3090"/>
      <c r="H92" s="3090"/>
      <c r="I92" s="3090"/>
      <c r="J92" s="3090"/>
      <c r="K92" s="1246"/>
      <c r="L92" s="2140"/>
      <c r="M92" s="2162" t="s">
        <v>2617</v>
      </c>
      <c r="N92" s="181"/>
      <c r="O92" s="2127">
        <f t="shared" si="1"/>
        <v>39</v>
      </c>
      <c r="P92" s="92"/>
      <c r="Q92" s="92"/>
    </row>
    <row r="93" spans="1:17" ht="20.100000000000001" customHeight="1">
      <c r="A93" s="92">
        <v>87</v>
      </c>
      <c r="B93" s="1049" t="s">
        <v>2618</v>
      </c>
      <c r="C93" s="1049"/>
      <c r="D93" s="3093"/>
      <c r="E93" s="3090"/>
      <c r="F93" s="3090"/>
      <c r="G93" s="3090"/>
      <c r="H93" s="3090"/>
      <c r="I93" s="3090"/>
      <c r="J93" s="3090"/>
      <c r="K93" s="1246">
        <v>1</v>
      </c>
      <c r="L93" s="2140"/>
      <c r="M93" s="1200" t="s">
        <v>2619</v>
      </c>
      <c r="N93" s="155">
        <v>246721.04</v>
      </c>
      <c r="O93" s="2127">
        <f t="shared" si="1"/>
        <v>1</v>
      </c>
      <c r="P93" s="92"/>
      <c r="Q93" s="92"/>
    </row>
    <row r="94" spans="1:17" ht="20.100000000000001" customHeight="1">
      <c r="A94" s="1795">
        <v>88</v>
      </c>
      <c r="B94" s="1049" t="s">
        <v>2618</v>
      </c>
      <c r="C94" s="1049" t="s">
        <v>2549</v>
      </c>
      <c r="D94" s="3557" t="s">
        <v>29</v>
      </c>
      <c r="E94" s="3090"/>
      <c r="F94" s="3090"/>
      <c r="G94" s="3090"/>
      <c r="H94" s="3090"/>
      <c r="I94" s="3090"/>
      <c r="J94" s="3090"/>
      <c r="K94" s="1246">
        <v>1</v>
      </c>
      <c r="L94" s="2140"/>
      <c r="M94" s="1244" t="s">
        <v>2620</v>
      </c>
      <c r="N94" s="186">
        <v>731914</v>
      </c>
      <c r="O94" s="2127">
        <f t="shared" si="1"/>
        <v>1</v>
      </c>
      <c r="P94" s="92"/>
      <c r="Q94" s="92"/>
    </row>
    <row r="95" spans="1:17" ht="20.100000000000001" customHeight="1">
      <c r="A95" s="92">
        <v>89</v>
      </c>
      <c r="B95" s="1049" t="s">
        <v>2618</v>
      </c>
      <c r="C95" s="1049"/>
      <c r="D95" s="3558"/>
      <c r="E95" s="3090"/>
      <c r="F95" s="3090"/>
      <c r="G95" s="3090"/>
      <c r="H95" s="3090"/>
      <c r="I95" s="3090"/>
      <c r="J95" s="3090"/>
      <c r="K95" s="1246">
        <v>1</v>
      </c>
      <c r="L95" s="2140"/>
      <c r="M95" s="1034" t="s">
        <v>2621</v>
      </c>
      <c r="N95" s="186">
        <v>54809</v>
      </c>
      <c r="O95" s="2127">
        <f t="shared" si="1"/>
        <v>1</v>
      </c>
      <c r="P95" s="92"/>
      <c r="Q95" s="92"/>
    </row>
    <row r="96" spans="1:17" ht="20.100000000000001" customHeight="1">
      <c r="A96" s="92">
        <v>90</v>
      </c>
      <c r="B96" s="1049" t="s">
        <v>2618</v>
      </c>
      <c r="C96" s="1049" t="s">
        <v>2549</v>
      </c>
      <c r="D96" s="3558"/>
      <c r="E96" s="3090"/>
      <c r="F96" s="3090"/>
      <c r="G96" s="3090"/>
      <c r="H96" s="3090">
        <v>115</v>
      </c>
      <c r="I96" s="3090"/>
      <c r="J96" s="3090"/>
      <c r="K96" s="1246"/>
      <c r="L96" s="2140"/>
      <c r="M96" s="2022" t="s">
        <v>34</v>
      </c>
      <c r="N96" s="181"/>
      <c r="O96" s="2127">
        <f t="shared" si="1"/>
        <v>22</v>
      </c>
      <c r="P96" s="92">
        <v>93</v>
      </c>
      <c r="Q96" s="92"/>
    </row>
    <row r="97" spans="1:17" ht="20.100000000000001" customHeight="1">
      <c r="A97" s="1795">
        <v>91</v>
      </c>
      <c r="B97" s="1049" t="s">
        <v>2618</v>
      </c>
      <c r="C97" s="1049" t="s">
        <v>2549</v>
      </c>
      <c r="D97" s="3559"/>
      <c r="E97" s="3090"/>
      <c r="F97" s="3090"/>
      <c r="G97" s="3090"/>
      <c r="H97" s="3090"/>
      <c r="I97" s="3090">
        <v>3469</v>
      </c>
      <c r="J97" s="3090"/>
      <c r="K97" s="1246"/>
      <c r="L97" s="2140"/>
      <c r="M97" s="2153" t="s">
        <v>1835</v>
      </c>
      <c r="N97" s="181"/>
      <c r="O97" s="2127">
        <f t="shared" si="1"/>
        <v>3469</v>
      </c>
      <c r="P97" s="92"/>
      <c r="Q97" s="92"/>
    </row>
    <row r="98" spans="1:17" ht="20.100000000000001" customHeight="1">
      <c r="A98" s="92">
        <v>92</v>
      </c>
      <c r="B98" s="1049" t="s">
        <v>2618</v>
      </c>
      <c r="C98" s="1049" t="s">
        <v>2549</v>
      </c>
      <c r="D98" s="1049" t="s">
        <v>671</v>
      </c>
      <c r="E98" s="3090"/>
      <c r="F98" s="3090">
        <v>503</v>
      </c>
      <c r="G98" s="3090"/>
      <c r="H98" s="3090"/>
      <c r="I98" s="3090"/>
      <c r="J98" s="3090"/>
      <c r="K98" s="1246"/>
      <c r="L98" s="2140"/>
      <c r="M98" s="1200" t="s">
        <v>2622</v>
      </c>
      <c r="N98" s="181"/>
      <c r="O98" s="2127">
        <f t="shared" si="1"/>
        <v>503</v>
      </c>
      <c r="P98" s="92"/>
      <c r="Q98" s="92"/>
    </row>
    <row r="99" spans="1:17" ht="20.100000000000001" customHeight="1">
      <c r="A99" s="92">
        <v>93</v>
      </c>
      <c r="B99" s="1049" t="s">
        <v>2623</v>
      </c>
      <c r="C99" s="1049"/>
      <c r="D99" s="3092"/>
      <c r="E99" s="3090"/>
      <c r="F99" s="3090"/>
      <c r="G99" s="3090"/>
      <c r="H99" s="3090"/>
      <c r="I99" s="3090"/>
      <c r="J99" s="3090"/>
      <c r="K99" s="1246">
        <v>1</v>
      </c>
      <c r="L99" s="2140"/>
      <c r="M99" s="1104" t="s">
        <v>118</v>
      </c>
      <c r="N99" s="155">
        <v>60095.9</v>
      </c>
      <c r="O99" s="2127">
        <f t="shared" si="1"/>
        <v>1</v>
      </c>
      <c r="P99" s="92"/>
      <c r="Q99" s="92"/>
    </row>
    <row r="100" spans="1:17" ht="20.100000000000001" customHeight="1">
      <c r="A100" s="1795">
        <v>94</v>
      </c>
      <c r="B100" s="1049" t="s">
        <v>2623</v>
      </c>
      <c r="C100" s="1049" t="s">
        <v>2549</v>
      </c>
      <c r="D100" s="3557" t="s">
        <v>29</v>
      </c>
      <c r="E100" s="3090"/>
      <c r="F100" s="3090"/>
      <c r="G100" s="3090">
        <v>1</v>
      </c>
      <c r="H100" s="3090"/>
      <c r="I100" s="3090"/>
      <c r="J100" s="3090"/>
      <c r="K100" s="1246"/>
      <c r="L100" s="2140"/>
      <c r="M100" s="1130" t="s">
        <v>119</v>
      </c>
      <c r="N100" s="155">
        <v>1436057.83</v>
      </c>
      <c r="O100" s="2127">
        <f t="shared" si="1"/>
        <v>1</v>
      </c>
      <c r="P100" s="92"/>
      <c r="Q100" s="92"/>
    </row>
    <row r="101" spans="1:17" ht="20.100000000000001" customHeight="1">
      <c r="A101" s="92">
        <v>95</v>
      </c>
      <c r="B101" s="1049" t="s">
        <v>2623</v>
      </c>
      <c r="C101" s="1049" t="s">
        <v>2549</v>
      </c>
      <c r="D101" s="3558"/>
      <c r="E101" s="3090"/>
      <c r="F101" s="3090"/>
      <c r="G101" s="3090">
        <v>1</v>
      </c>
      <c r="H101" s="3090"/>
      <c r="I101" s="3090"/>
      <c r="J101" s="3090"/>
      <c r="K101" s="1246"/>
      <c r="L101" s="2140"/>
      <c r="M101" s="1130" t="s">
        <v>49</v>
      </c>
      <c r="N101" s="2131">
        <v>1503732.89</v>
      </c>
      <c r="O101" s="2127">
        <f t="shared" si="1"/>
        <v>1</v>
      </c>
      <c r="P101" s="92"/>
      <c r="Q101" s="92"/>
    </row>
    <row r="102" spans="1:17" ht="20.100000000000001" customHeight="1">
      <c r="A102" s="92">
        <v>96</v>
      </c>
      <c r="B102" s="1049"/>
      <c r="C102" s="1049"/>
      <c r="D102" s="3558"/>
      <c r="E102" s="3090"/>
      <c r="F102" s="3090"/>
      <c r="G102" s="3090">
        <v>1</v>
      </c>
      <c r="H102" s="3090"/>
      <c r="I102" s="3090"/>
      <c r="J102" s="3090"/>
      <c r="K102" s="1246"/>
      <c r="L102" s="2140"/>
      <c r="M102" s="1130" t="s">
        <v>2624</v>
      </c>
      <c r="N102" s="2131">
        <v>16</v>
      </c>
      <c r="O102" s="2127">
        <f t="shared" si="1"/>
        <v>1</v>
      </c>
      <c r="P102" s="92"/>
      <c r="Q102" s="92"/>
    </row>
    <row r="103" spans="1:17" ht="20.100000000000001" customHeight="1">
      <c r="A103" s="1795">
        <v>97</v>
      </c>
      <c r="B103" s="1049" t="s">
        <v>2623</v>
      </c>
      <c r="C103" s="1049" t="s">
        <v>2549</v>
      </c>
      <c r="D103" s="3558"/>
      <c r="E103" s="3090"/>
      <c r="F103" s="3090"/>
      <c r="G103" s="3090"/>
      <c r="H103" s="3090"/>
      <c r="I103" s="3090"/>
      <c r="J103" s="3090"/>
      <c r="K103" s="1246">
        <v>1</v>
      </c>
      <c r="L103" s="2140"/>
      <c r="M103" s="1130" t="s">
        <v>2625</v>
      </c>
      <c r="N103" s="2131">
        <v>320</v>
      </c>
      <c r="O103" s="2127">
        <f t="shared" si="1"/>
        <v>1</v>
      </c>
      <c r="P103" s="92"/>
      <c r="Q103" s="92"/>
    </row>
    <row r="104" spans="1:17" ht="20.100000000000001" customHeight="1">
      <c r="A104" s="92">
        <v>98</v>
      </c>
      <c r="B104" s="1049" t="s">
        <v>2623</v>
      </c>
      <c r="C104" s="1049" t="s">
        <v>2549</v>
      </c>
      <c r="D104" s="3558"/>
      <c r="E104" s="3090"/>
      <c r="F104" s="3090"/>
      <c r="G104" s="3090"/>
      <c r="H104" s="3090"/>
      <c r="I104" s="3090"/>
      <c r="J104" s="3090"/>
      <c r="K104" s="1246">
        <v>1</v>
      </c>
      <c r="L104" s="2140"/>
      <c r="M104" s="2163" t="s">
        <v>167</v>
      </c>
      <c r="N104" s="2164">
        <v>189212.23</v>
      </c>
      <c r="O104" s="2127">
        <f t="shared" si="1"/>
        <v>1</v>
      </c>
      <c r="P104" s="92"/>
      <c r="Q104" s="92"/>
    </row>
    <row r="105" spans="1:17" ht="20.100000000000001" customHeight="1">
      <c r="A105" s="92">
        <v>99</v>
      </c>
      <c r="B105" s="1049" t="s">
        <v>2623</v>
      </c>
      <c r="C105" s="1049" t="s">
        <v>2549</v>
      </c>
      <c r="D105" s="3558"/>
      <c r="E105" s="3090"/>
      <c r="F105" s="3090"/>
      <c r="G105" s="3090"/>
      <c r="H105" s="3090"/>
      <c r="I105" s="3090"/>
      <c r="J105" s="3090"/>
      <c r="K105" s="1246">
        <v>1</v>
      </c>
      <c r="L105" s="2140"/>
      <c r="M105" s="2163" t="s">
        <v>51</v>
      </c>
      <c r="N105" s="2164">
        <v>825165.28</v>
      </c>
      <c r="O105" s="2127">
        <f t="shared" si="1"/>
        <v>1</v>
      </c>
      <c r="P105" s="92"/>
      <c r="Q105" s="92"/>
    </row>
    <row r="106" spans="1:17" ht="20.100000000000001" customHeight="1">
      <c r="A106" s="1795">
        <v>100</v>
      </c>
      <c r="B106" s="1049" t="s">
        <v>2623</v>
      </c>
      <c r="C106" s="1049" t="s">
        <v>2549</v>
      </c>
      <c r="D106" s="3558"/>
      <c r="E106" s="3090"/>
      <c r="F106" s="3090"/>
      <c r="G106" s="3090"/>
      <c r="H106" s="3090"/>
      <c r="I106" s="3090"/>
      <c r="J106" s="3090"/>
      <c r="K106" s="1246">
        <v>1</v>
      </c>
      <c r="L106" s="2140"/>
      <c r="M106" s="1863" t="s">
        <v>1105</v>
      </c>
      <c r="N106" s="2164">
        <v>179400</v>
      </c>
      <c r="O106" s="2127">
        <f t="shared" si="1"/>
        <v>1</v>
      </c>
      <c r="P106" s="92"/>
      <c r="Q106" s="92"/>
    </row>
    <row r="107" spans="1:17" ht="20.100000000000001" customHeight="1">
      <c r="A107" s="92">
        <v>101</v>
      </c>
      <c r="B107" s="1049" t="s">
        <v>2623</v>
      </c>
      <c r="C107" s="1049" t="s">
        <v>2549</v>
      </c>
      <c r="D107" s="3559"/>
      <c r="E107" s="3090"/>
      <c r="F107" s="3090"/>
      <c r="G107" s="3090"/>
      <c r="H107" s="3090"/>
      <c r="I107" s="3090">
        <v>3560</v>
      </c>
      <c r="J107" s="3090"/>
      <c r="K107" s="1246"/>
      <c r="L107" s="2140"/>
      <c r="M107" s="1130" t="s">
        <v>35</v>
      </c>
      <c r="N107" s="2131"/>
      <c r="O107" s="2127">
        <f t="shared" si="1"/>
        <v>3560</v>
      </c>
      <c r="P107" s="92"/>
      <c r="Q107" s="92"/>
    </row>
    <row r="108" spans="1:17" ht="20.100000000000001" customHeight="1">
      <c r="A108" s="92">
        <v>102</v>
      </c>
      <c r="B108" s="1049" t="s">
        <v>2623</v>
      </c>
      <c r="C108" s="1049" t="s">
        <v>2549</v>
      </c>
      <c r="D108" s="1049" t="s">
        <v>671</v>
      </c>
      <c r="E108" s="3090"/>
      <c r="F108" s="3090">
        <v>616</v>
      </c>
      <c r="G108" s="3090"/>
      <c r="H108" s="3090"/>
      <c r="I108" s="3090"/>
      <c r="J108" s="3090"/>
      <c r="K108" s="1246"/>
      <c r="L108" s="2140"/>
      <c r="M108" s="1200" t="s">
        <v>52</v>
      </c>
      <c r="N108" s="2131"/>
      <c r="O108" s="2127">
        <f t="shared" si="1"/>
        <v>616</v>
      </c>
      <c r="P108" s="92"/>
      <c r="Q108" s="92"/>
    </row>
    <row r="109" spans="1:17" ht="20.100000000000001" customHeight="1">
      <c r="A109" s="1795">
        <v>103</v>
      </c>
      <c r="B109" s="1049" t="s">
        <v>2623</v>
      </c>
      <c r="C109" s="1049" t="s">
        <v>2549</v>
      </c>
      <c r="D109" s="1049" t="s">
        <v>351</v>
      </c>
      <c r="E109" s="3090"/>
      <c r="F109" s="3090"/>
      <c r="G109" s="3090"/>
      <c r="H109" s="3090"/>
      <c r="I109" s="3090"/>
      <c r="J109" s="3090"/>
      <c r="K109" s="1246">
        <v>1</v>
      </c>
      <c r="L109" s="2140"/>
      <c r="M109" s="2045" t="s">
        <v>104</v>
      </c>
      <c r="N109" s="2131"/>
      <c r="O109" s="2127">
        <f t="shared" si="1"/>
        <v>1</v>
      </c>
      <c r="P109" s="92"/>
      <c r="Q109" s="92"/>
    </row>
    <row r="110" spans="1:17" ht="20.100000000000001" customHeight="1">
      <c r="A110" s="92">
        <v>104</v>
      </c>
      <c r="B110" s="1049" t="s">
        <v>2626</v>
      </c>
      <c r="C110" s="1049" t="s">
        <v>2549</v>
      </c>
      <c r="D110" s="3557" t="s">
        <v>29</v>
      </c>
      <c r="E110" s="3090"/>
      <c r="F110" s="3090"/>
      <c r="G110" s="3090">
        <v>1</v>
      </c>
      <c r="H110" s="3090"/>
      <c r="I110" s="3090"/>
      <c r="J110" s="3090"/>
      <c r="K110" s="1246"/>
      <c r="L110" s="2140"/>
      <c r="M110" s="1119" t="s">
        <v>49</v>
      </c>
      <c r="N110" s="155">
        <v>-22320062.699999999</v>
      </c>
      <c r="O110" s="2127">
        <f t="shared" si="1"/>
        <v>1</v>
      </c>
      <c r="P110" s="92"/>
      <c r="Q110" s="92"/>
    </row>
    <row r="111" spans="1:17" ht="20.100000000000001" customHeight="1">
      <c r="A111" s="92">
        <v>105</v>
      </c>
      <c r="B111" s="1049" t="s">
        <v>2626</v>
      </c>
      <c r="C111" s="1049" t="s">
        <v>2549</v>
      </c>
      <c r="D111" s="3558"/>
      <c r="E111" s="3090"/>
      <c r="F111" s="3090"/>
      <c r="G111" s="3090"/>
      <c r="H111" s="3090">
        <v>12</v>
      </c>
      <c r="I111" s="3090"/>
      <c r="J111" s="3090"/>
      <c r="K111" s="1246"/>
      <c r="L111" s="2140"/>
      <c r="M111" s="1034" t="s">
        <v>34</v>
      </c>
      <c r="N111" s="2131"/>
      <c r="O111" s="2127">
        <f t="shared" si="1"/>
        <v>1</v>
      </c>
      <c r="P111" s="92">
        <v>11</v>
      </c>
      <c r="Q111" s="92"/>
    </row>
    <row r="112" spans="1:17" ht="20.100000000000001" customHeight="1">
      <c r="A112" s="1795">
        <v>106</v>
      </c>
      <c r="B112" s="1049" t="s">
        <v>2626</v>
      </c>
      <c r="C112" s="1049" t="s">
        <v>2549</v>
      </c>
      <c r="D112" s="3559"/>
      <c r="E112" s="3090"/>
      <c r="F112" s="3090"/>
      <c r="G112" s="3090"/>
      <c r="H112" s="3090"/>
      <c r="I112" s="3090">
        <v>2478</v>
      </c>
      <c r="J112" s="3090"/>
      <c r="K112" s="1246"/>
      <c r="L112" s="2140"/>
      <c r="M112" s="1034" t="s">
        <v>2627</v>
      </c>
      <c r="N112" s="2131"/>
      <c r="O112" s="2127">
        <f t="shared" si="1"/>
        <v>2474</v>
      </c>
      <c r="P112" s="92">
        <v>4</v>
      </c>
      <c r="Q112" s="92"/>
    </row>
    <row r="113" spans="1:17" ht="20.100000000000001" customHeight="1">
      <c r="A113" s="92">
        <v>107</v>
      </c>
      <c r="B113" s="1049" t="s">
        <v>2626</v>
      </c>
      <c r="C113" s="1049" t="s">
        <v>2549</v>
      </c>
      <c r="D113" s="3557" t="s">
        <v>671</v>
      </c>
      <c r="E113" s="3090"/>
      <c r="F113" s="3090">
        <v>489</v>
      </c>
      <c r="G113" s="3090"/>
      <c r="H113" s="3090"/>
      <c r="I113" s="3090"/>
      <c r="J113" s="3090"/>
      <c r="K113" s="1246"/>
      <c r="L113" s="2140"/>
      <c r="M113" s="1200" t="s">
        <v>2628</v>
      </c>
      <c r="N113" s="2131"/>
      <c r="O113" s="2127">
        <f t="shared" si="1"/>
        <v>489</v>
      </c>
      <c r="P113" s="92"/>
      <c r="Q113" s="92"/>
    </row>
    <row r="114" spans="1:17" ht="20.100000000000001" customHeight="1">
      <c r="A114" s="92">
        <v>108</v>
      </c>
      <c r="B114" s="1049" t="s">
        <v>2626</v>
      </c>
      <c r="C114" s="1049" t="s">
        <v>2549</v>
      </c>
      <c r="D114" s="3559"/>
      <c r="E114" s="3090">
        <v>10</v>
      </c>
      <c r="F114" s="3090"/>
      <c r="G114" s="3090"/>
      <c r="H114" s="3090"/>
      <c r="I114" s="3090"/>
      <c r="J114" s="3090"/>
      <c r="K114" s="1246"/>
      <c r="L114" s="2140"/>
      <c r="M114" s="2045" t="s">
        <v>2629</v>
      </c>
      <c r="N114" s="2131"/>
      <c r="O114" s="2127">
        <f t="shared" si="1"/>
        <v>10</v>
      </c>
      <c r="P114" s="92"/>
      <c r="Q114" s="92"/>
    </row>
    <row r="115" spans="1:17" ht="20.100000000000001" customHeight="1">
      <c r="A115" s="1795">
        <v>109</v>
      </c>
      <c r="B115" s="1049" t="s">
        <v>2630</v>
      </c>
      <c r="C115" s="1049" t="s">
        <v>2549</v>
      </c>
      <c r="D115" s="3557" t="s">
        <v>1566</v>
      </c>
      <c r="E115" s="3090"/>
      <c r="F115" s="3090"/>
      <c r="G115" s="3090"/>
      <c r="H115" s="3090"/>
      <c r="I115" s="3090"/>
      <c r="J115" s="3090"/>
      <c r="K115" s="1246">
        <v>1</v>
      </c>
      <c r="L115" s="2140"/>
      <c r="M115" s="1200" t="s">
        <v>703</v>
      </c>
      <c r="N115" s="2165">
        <v>170</v>
      </c>
      <c r="O115" s="2127">
        <f t="shared" si="1"/>
        <v>1</v>
      </c>
      <c r="P115" s="92"/>
      <c r="Q115" s="92"/>
    </row>
    <row r="116" spans="1:17" ht="20.100000000000001" customHeight="1">
      <c r="A116" s="92">
        <v>110</v>
      </c>
      <c r="B116" s="1049" t="s">
        <v>2630</v>
      </c>
      <c r="C116" s="1049" t="s">
        <v>2549</v>
      </c>
      <c r="D116" s="3559"/>
      <c r="E116" s="3090"/>
      <c r="F116" s="3090"/>
      <c r="G116" s="3090"/>
      <c r="H116" s="3090"/>
      <c r="I116" s="3090"/>
      <c r="J116" s="3090"/>
      <c r="K116" s="1246">
        <v>1</v>
      </c>
      <c r="L116" s="2140"/>
      <c r="M116" s="1104" t="s">
        <v>118</v>
      </c>
      <c r="N116" s="1245">
        <v>16120</v>
      </c>
      <c r="O116" s="2127">
        <f t="shared" si="1"/>
        <v>1</v>
      </c>
      <c r="P116" s="92"/>
      <c r="Q116" s="92"/>
    </row>
    <row r="117" spans="1:17" ht="20.100000000000001" customHeight="1">
      <c r="A117" s="92">
        <v>111</v>
      </c>
      <c r="B117" s="1049" t="s">
        <v>2630</v>
      </c>
      <c r="C117" s="1049" t="s">
        <v>2549</v>
      </c>
      <c r="D117" s="3557" t="s">
        <v>29</v>
      </c>
      <c r="E117" s="3090"/>
      <c r="F117" s="3090"/>
      <c r="G117" s="3090">
        <v>1</v>
      </c>
      <c r="H117" s="3090"/>
      <c r="I117" s="3090"/>
      <c r="J117" s="3090"/>
      <c r="K117" s="1246"/>
      <c r="L117" s="2140"/>
      <c r="M117" s="1130" t="s">
        <v>31</v>
      </c>
      <c r="N117" s="155">
        <v>4.5999999999999996</v>
      </c>
      <c r="O117" s="2127">
        <f t="shared" si="1"/>
        <v>1</v>
      </c>
      <c r="P117" s="92"/>
      <c r="Q117" s="92"/>
    </row>
    <row r="118" spans="1:17" ht="20.100000000000001" customHeight="1">
      <c r="A118" s="1795">
        <v>112</v>
      </c>
      <c r="B118" s="1049" t="s">
        <v>2630</v>
      </c>
      <c r="C118" s="1049" t="s">
        <v>2549</v>
      </c>
      <c r="D118" s="3558"/>
      <c r="E118" s="3090"/>
      <c r="F118" s="3090"/>
      <c r="G118" s="3090">
        <v>1</v>
      </c>
      <c r="H118" s="3090"/>
      <c r="I118" s="3090"/>
      <c r="J118" s="3090"/>
      <c r="K118" s="1246"/>
      <c r="L118" s="2140"/>
      <c r="M118" s="1130" t="s">
        <v>32</v>
      </c>
      <c r="N118" s="2165">
        <v>-20038.71</v>
      </c>
      <c r="O118" s="2127">
        <f t="shared" si="1"/>
        <v>1</v>
      </c>
      <c r="P118" s="92"/>
      <c r="Q118" s="92"/>
    </row>
    <row r="119" spans="1:17" ht="20.100000000000001" customHeight="1">
      <c r="A119" s="92">
        <v>113</v>
      </c>
      <c r="B119" s="1049" t="s">
        <v>2630</v>
      </c>
      <c r="C119" s="1049"/>
      <c r="D119" s="3558"/>
      <c r="E119" s="3090"/>
      <c r="F119" s="3090"/>
      <c r="G119" s="3090">
        <v>1</v>
      </c>
      <c r="H119" s="3090"/>
      <c r="I119" s="3090"/>
      <c r="J119" s="3090"/>
      <c r="K119" s="1246"/>
      <c r="L119" s="2140"/>
      <c r="M119" s="1119" t="s">
        <v>2559</v>
      </c>
      <c r="N119" s="186">
        <v>14020.71</v>
      </c>
      <c r="O119" s="2127">
        <f t="shared" si="1"/>
        <v>1</v>
      </c>
      <c r="P119" s="92"/>
      <c r="Q119" s="92"/>
    </row>
    <row r="120" spans="1:17" ht="20.100000000000001" customHeight="1">
      <c r="A120" s="92">
        <v>114</v>
      </c>
      <c r="B120" s="1049" t="s">
        <v>2630</v>
      </c>
      <c r="C120" s="1049" t="s">
        <v>2549</v>
      </c>
      <c r="D120" s="3559"/>
      <c r="E120" s="3090"/>
      <c r="F120" s="3090"/>
      <c r="G120" s="3090"/>
      <c r="H120" s="3090"/>
      <c r="I120" s="3090">
        <v>977</v>
      </c>
      <c r="J120" s="3090"/>
      <c r="K120" s="1246"/>
      <c r="L120" s="2140"/>
      <c r="M120" s="1130" t="s">
        <v>35</v>
      </c>
      <c r="N120" s="2165"/>
      <c r="O120" s="2127">
        <f t="shared" si="1"/>
        <v>962</v>
      </c>
      <c r="P120" s="92">
        <v>15</v>
      </c>
      <c r="Q120" s="92"/>
    </row>
    <row r="121" spans="1:17" ht="20.100000000000001" customHeight="1">
      <c r="A121" s="1795">
        <v>115</v>
      </c>
      <c r="B121" s="1049" t="s">
        <v>2630</v>
      </c>
      <c r="C121" s="1049" t="s">
        <v>2549</v>
      </c>
      <c r="D121" s="1049" t="s">
        <v>671</v>
      </c>
      <c r="E121" s="3090"/>
      <c r="F121" s="3090">
        <v>838</v>
      </c>
      <c r="G121" s="3090"/>
      <c r="H121" s="3090"/>
      <c r="I121" s="3090"/>
      <c r="J121" s="3090"/>
      <c r="K121" s="1246"/>
      <c r="L121" s="2140"/>
      <c r="M121" s="1200" t="s">
        <v>2631</v>
      </c>
      <c r="N121" s="2165"/>
      <c r="O121" s="2127">
        <f t="shared" si="1"/>
        <v>838</v>
      </c>
      <c r="P121" s="92"/>
      <c r="Q121" s="92"/>
    </row>
    <row r="122" spans="1:17" ht="20.100000000000001" customHeight="1">
      <c r="A122" s="92">
        <v>116</v>
      </c>
      <c r="B122" s="1049" t="s">
        <v>2632</v>
      </c>
      <c r="C122" s="1049"/>
      <c r="D122" s="3092"/>
      <c r="E122" s="3090"/>
      <c r="F122" s="3090"/>
      <c r="G122" s="3090"/>
      <c r="H122" s="3090"/>
      <c r="I122" s="3090"/>
      <c r="J122" s="3090"/>
      <c r="K122" s="1246">
        <v>1</v>
      </c>
      <c r="L122" s="2140"/>
      <c r="M122" s="2166" t="s">
        <v>48</v>
      </c>
      <c r="N122" s="2165">
        <v>3900</v>
      </c>
      <c r="O122" s="2127">
        <f t="shared" si="1"/>
        <v>1</v>
      </c>
      <c r="P122" s="92"/>
      <c r="Q122" s="92"/>
    </row>
    <row r="123" spans="1:17" ht="20.100000000000001" customHeight="1">
      <c r="A123" s="92">
        <v>117</v>
      </c>
      <c r="B123" s="1049" t="s">
        <v>2632</v>
      </c>
      <c r="C123" s="1049" t="s">
        <v>2549</v>
      </c>
      <c r="D123" s="3557" t="s">
        <v>739</v>
      </c>
      <c r="E123" s="3090"/>
      <c r="F123" s="3090"/>
      <c r="G123" s="3090">
        <v>1</v>
      </c>
      <c r="H123" s="3090"/>
      <c r="I123" s="3090"/>
      <c r="J123" s="3090"/>
      <c r="K123" s="1246"/>
      <c r="L123" s="2140"/>
      <c r="M123" s="2167" t="s">
        <v>31</v>
      </c>
      <c r="N123" s="2168">
        <v>9.09</v>
      </c>
      <c r="O123" s="2127">
        <f t="shared" si="1"/>
        <v>1</v>
      </c>
      <c r="P123" s="92"/>
      <c r="Q123" s="92"/>
    </row>
    <row r="124" spans="1:17" ht="20.100000000000001" customHeight="1">
      <c r="A124" s="1795">
        <v>118</v>
      </c>
      <c r="B124" s="1049" t="s">
        <v>2632</v>
      </c>
      <c r="C124" s="1049" t="s">
        <v>2549</v>
      </c>
      <c r="D124" s="3558"/>
      <c r="E124" s="3090"/>
      <c r="F124" s="3090"/>
      <c r="G124" s="3090">
        <v>1</v>
      </c>
      <c r="H124" s="3090"/>
      <c r="I124" s="3090"/>
      <c r="J124" s="3090"/>
      <c r="K124" s="1246"/>
      <c r="L124" s="2140"/>
      <c r="M124" s="2167" t="s">
        <v>32</v>
      </c>
      <c r="N124" s="2169">
        <v>-12713.39</v>
      </c>
      <c r="O124" s="2127">
        <f t="shared" si="1"/>
        <v>1</v>
      </c>
      <c r="P124" s="92"/>
      <c r="Q124" s="92"/>
    </row>
    <row r="125" spans="1:17" ht="20.100000000000001" customHeight="1">
      <c r="A125" s="92">
        <v>119</v>
      </c>
      <c r="B125" s="1049" t="s">
        <v>2632</v>
      </c>
      <c r="C125" s="1049" t="s">
        <v>2549</v>
      </c>
      <c r="D125" s="3558"/>
      <c r="E125" s="3090"/>
      <c r="F125" s="3090"/>
      <c r="G125" s="3090">
        <v>1</v>
      </c>
      <c r="H125" s="3090"/>
      <c r="I125" s="3090"/>
      <c r="J125" s="3090"/>
      <c r="K125" s="1246"/>
      <c r="L125" s="2140"/>
      <c r="M125" s="2170" t="s">
        <v>2633</v>
      </c>
      <c r="N125" s="2171">
        <v>3183.55</v>
      </c>
      <c r="O125" s="2127">
        <f t="shared" si="1"/>
        <v>0</v>
      </c>
      <c r="P125" s="92">
        <v>1</v>
      </c>
      <c r="Q125" s="92"/>
    </row>
    <row r="126" spans="1:17" ht="20.100000000000001" customHeight="1">
      <c r="A126" s="92">
        <v>120</v>
      </c>
      <c r="B126" s="1049" t="s">
        <v>2632</v>
      </c>
      <c r="C126" s="1049" t="s">
        <v>2549</v>
      </c>
      <c r="D126" s="3558"/>
      <c r="E126" s="3090"/>
      <c r="F126" s="3090"/>
      <c r="G126" s="3090"/>
      <c r="H126" s="3090"/>
      <c r="I126" s="3090"/>
      <c r="J126" s="3090"/>
      <c r="K126" s="1246"/>
      <c r="L126" s="2140"/>
      <c r="M126" s="2172" t="s">
        <v>1029</v>
      </c>
      <c r="N126" s="2173"/>
      <c r="O126" s="2127">
        <f t="shared" si="1"/>
        <v>0</v>
      </c>
      <c r="P126" s="92"/>
      <c r="Q126" s="92"/>
    </row>
    <row r="127" spans="1:17" ht="20.100000000000001" customHeight="1">
      <c r="A127" s="1795">
        <v>121</v>
      </c>
      <c r="B127" s="1049" t="s">
        <v>2632</v>
      </c>
      <c r="C127" s="1049" t="s">
        <v>2549</v>
      </c>
      <c r="D127" s="3558"/>
      <c r="E127" s="3090"/>
      <c r="F127" s="3090"/>
      <c r="G127" s="3090"/>
      <c r="H127" s="3090"/>
      <c r="I127" s="3090"/>
      <c r="J127" s="3090"/>
      <c r="K127" s="1246">
        <v>1</v>
      </c>
      <c r="L127" s="2140"/>
      <c r="M127" s="2174" t="s">
        <v>167</v>
      </c>
      <c r="N127" s="2169">
        <v>3888.36</v>
      </c>
      <c r="O127" s="2127">
        <f t="shared" si="1"/>
        <v>1</v>
      </c>
      <c r="P127" s="92"/>
      <c r="Q127" s="92"/>
    </row>
    <row r="128" spans="1:17" ht="20.100000000000001" customHeight="1">
      <c r="A128" s="92">
        <v>122</v>
      </c>
      <c r="B128" s="1049" t="s">
        <v>2632</v>
      </c>
      <c r="C128" s="1049" t="s">
        <v>2549</v>
      </c>
      <c r="D128" s="3558"/>
      <c r="E128" s="3090"/>
      <c r="F128" s="3090"/>
      <c r="G128" s="3090"/>
      <c r="H128" s="3090"/>
      <c r="I128" s="3090"/>
      <c r="J128" s="3090"/>
      <c r="K128" s="1246">
        <v>1</v>
      </c>
      <c r="L128" s="2140"/>
      <c r="M128" s="2175" t="s">
        <v>2634</v>
      </c>
      <c r="N128" s="2171">
        <v>31250</v>
      </c>
      <c r="O128" s="2127">
        <f t="shared" si="1"/>
        <v>1</v>
      </c>
      <c r="P128" s="92"/>
      <c r="Q128" s="92"/>
    </row>
    <row r="129" spans="1:17" ht="20.100000000000001" customHeight="1">
      <c r="A129" s="92">
        <v>123</v>
      </c>
      <c r="B129" s="1049" t="s">
        <v>2632</v>
      </c>
      <c r="C129" s="1049" t="s">
        <v>2549</v>
      </c>
      <c r="D129" s="1049" t="s">
        <v>671</v>
      </c>
      <c r="E129" s="3090"/>
      <c r="F129" s="3090">
        <v>564</v>
      </c>
      <c r="G129" s="3090"/>
      <c r="H129" s="3090"/>
      <c r="I129" s="3090"/>
      <c r="J129" s="3090"/>
      <c r="K129" s="1246"/>
      <c r="L129" s="2140"/>
      <c r="M129" s="2176" t="s">
        <v>2635</v>
      </c>
      <c r="N129" s="2177"/>
      <c r="O129" s="2127">
        <f t="shared" si="1"/>
        <v>564</v>
      </c>
      <c r="P129" s="92"/>
      <c r="Q129" s="92"/>
    </row>
    <row r="130" spans="1:17" ht="20.100000000000001" customHeight="1">
      <c r="A130" s="1795">
        <v>124</v>
      </c>
      <c r="B130" s="1049" t="s">
        <v>2636</v>
      </c>
      <c r="C130" s="1049"/>
      <c r="D130" s="1049"/>
      <c r="E130" s="3090"/>
      <c r="F130" s="3090"/>
      <c r="G130" s="3090">
        <v>1</v>
      </c>
      <c r="H130" s="3090"/>
      <c r="I130" s="3090"/>
      <c r="J130" s="3090"/>
      <c r="K130" s="1246"/>
      <c r="L130" s="2140"/>
      <c r="M130" s="1119" t="s">
        <v>2559</v>
      </c>
      <c r="N130" s="2177">
        <v>7.5</v>
      </c>
      <c r="O130" s="2127">
        <f t="shared" si="1"/>
        <v>1</v>
      </c>
      <c r="P130" s="92"/>
      <c r="Q130" s="92"/>
    </row>
    <row r="131" spans="1:17" ht="20.100000000000001" customHeight="1">
      <c r="A131" s="92">
        <v>125</v>
      </c>
      <c r="B131" s="1049" t="s">
        <v>2636</v>
      </c>
      <c r="C131" s="1049" t="s">
        <v>2549</v>
      </c>
      <c r="D131" s="1049"/>
      <c r="E131" s="3090"/>
      <c r="F131" s="3090"/>
      <c r="G131" s="3090"/>
      <c r="H131" s="3090"/>
      <c r="I131" s="3090">
        <v>177</v>
      </c>
      <c r="J131" s="3090"/>
      <c r="K131" s="1246"/>
      <c r="L131" s="2140"/>
      <c r="M131" s="1130" t="s">
        <v>35</v>
      </c>
      <c r="N131" s="2177">
        <v>64902.14</v>
      </c>
      <c r="O131" s="2127">
        <f t="shared" si="1"/>
        <v>176</v>
      </c>
      <c r="P131" s="92">
        <v>1</v>
      </c>
      <c r="Q131" s="92"/>
    </row>
    <row r="132" spans="1:17" ht="20.100000000000001" customHeight="1">
      <c r="A132" s="92">
        <v>126</v>
      </c>
      <c r="B132" s="1049" t="s">
        <v>2636</v>
      </c>
      <c r="C132" s="1049" t="s">
        <v>2549</v>
      </c>
      <c r="D132" s="1049" t="s">
        <v>671</v>
      </c>
      <c r="E132" s="3090"/>
      <c r="F132" s="3090">
        <v>99</v>
      </c>
      <c r="G132" s="3090"/>
      <c r="H132" s="3090"/>
      <c r="I132" s="3090"/>
      <c r="J132" s="3090"/>
      <c r="K132" s="1246"/>
      <c r="L132" s="2140"/>
      <c r="M132" s="2178" t="s">
        <v>2637</v>
      </c>
      <c r="N132" s="2177"/>
      <c r="O132" s="2127">
        <f t="shared" si="1"/>
        <v>99</v>
      </c>
      <c r="P132" s="92"/>
      <c r="Q132" s="92"/>
    </row>
    <row r="133" spans="1:17" ht="20.100000000000001" customHeight="1">
      <c r="A133" s="1795">
        <v>127</v>
      </c>
      <c r="B133" s="1049" t="s">
        <v>2638</v>
      </c>
      <c r="C133" s="1049" t="s">
        <v>2549</v>
      </c>
      <c r="D133" s="3092" t="s">
        <v>29</v>
      </c>
      <c r="E133" s="3090"/>
      <c r="F133" s="3090"/>
      <c r="G133" s="3090"/>
      <c r="H133" s="3090"/>
      <c r="I133" s="3090">
        <v>252</v>
      </c>
      <c r="J133" s="3090"/>
      <c r="K133" s="1246"/>
      <c r="L133" s="2140"/>
      <c r="M133" s="1130" t="s">
        <v>35</v>
      </c>
      <c r="N133" s="2177"/>
      <c r="O133" s="2127">
        <f t="shared" si="1"/>
        <v>249</v>
      </c>
      <c r="P133" s="92">
        <v>3</v>
      </c>
      <c r="Q133" s="92"/>
    </row>
    <row r="134" spans="1:17" ht="20.100000000000001" customHeight="1">
      <c r="A134" s="92">
        <v>128</v>
      </c>
      <c r="B134" s="1049" t="s">
        <v>2638</v>
      </c>
      <c r="C134" s="1049" t="s">
        <v>2549</v>
      </c>
      <c r="D134" s="3092" t="s">
        <v>671</v>
      </c>
      <c r="E134" s="3090"/>
      <c r="F134" s="3090">
        <v>85</v>
      </c>
      <c r="G134" s="3090"/>
      <c r="H134" s="3090"/>
      <c r="I134" s="3090"/>
      <c r="J134" s="3090"/>
      <c r="K134" s="1246"/>
      <c r="L134" s="2140"/>
      <c r="M134" s="2178" t="s">
        <v>2639</v>
      </c>
      <c r="N134" s="2177"/>
      <c r="O134" s="2127">
        <f t="shared" si="1"/>
        <v>85</v>
      </c>
      <c r="P134" s="92"/>
      <c r="Q134" s="92"/>
    </row>
    <row r="135" spans="1:17" ht="20.100000000000001" customHeight="1">
      <c r="A135" s="92">
        <v>129</v>
      </c>
      <c r="B135" s="1049" t="s">
        <v>2640</v>
      </c>
      <c r="C135" s="1049"/>
      <c r="D135" s="3092"/>
      <c r="E135" s="3090"/>
      <c r="F135" s="3090"/>
      <c r="G135" s="3090"/>
      <c r="H135" s="3090"/>
      <c r="I135" s="3090"/>
      <c r="J135" s="3090"/>
      <c r="K135" s="1246">
        <v>1</v>
      </c>
      <c r="L135" s="2140"/>
      <c r="M135" s="1104" t="s">
        <v>118</v>
      </c>
      <c r="N135" s="2177">
        <v>4100</v>
      </c>
      <c r="O135" s="2127">
        <f t="shared" si="1"/>
        <v>1</v>
      </c>
      <c r="P135" s="92"/>
      <c r="Q135" s="92"/>
    </row>
    <row r="136" spans="1:17" ht="20.100000000000001" customHeight="1">
      <c r="A136" s="1795">
        <v>130</v>
      </c>
      <c r="B136" s="1049" t="s">
        <v>2640</v>
      </c>
      <c r="C136" s="1049"/>
      <c r="D136" s="3557" t="s">
        <v>29</v>
      </c>
      <c r="E136" s="3090"/>
      <c r="F136" s="3090"/>
      <c r="G136" s="3090"/>
      <c r="H136" s="3090"/>
      <c r="I136" s="3090"/>
      <c r="J136" s="3090"/>
      <c r="K136" s="1246">
        <v>1</v>
      </c>
      <c r="L136" s="2140"/>
      <c r="M136" s="2179" t="s">
        <v>2641</v>
      </c>
      <c r="N136" s="2180" t="s">
        <v>2642</v>
      </c>
      <c r="O136" s="2127">
        <f t="shared" ref="O136:O184" si="2">E136+F136+G136+H136+I136+J136+K136-P136</f>
        <v>1</v>
      </c>
      <c r="P136" s="92"/>
      <c r="Q136" s="92"/>
    </row>
    <row r="137" spans="1:17" ht="20.100000000000001" customHeight="1">
      <c r="A137" s="92">
        <v>131</v>
      </c>
      <c r="B137" s="1049" t="s">
        <v>2640</v>
      </c>
      <c r="C137" s="1049"/>
      <c r="D137" s="3558"/>
      <c r="E137" s="3090"/>
      <c r="F137" s="3090"/>
      <c r="G137" s="3090"/>
      <c r="H137" s="3090"/>
      <c r="I137" s="3090"/>
      <c r="J137" s="3090"/>
      <c r="K137" s="1246">
        <v>1</v>
      </c>
      <c r="L137" s="2140"/>
      <c r="M137" s="2179" t="s">
        <v>2643</v>
      </c>
      <c r="N137" s="162">
        <v>3630.84</v>
      </c>
      <c r="O137" s="2127">
        <f t="shared" si="2"/>
        <v>1</v>
      </c>
      <c r="P137" s="92"/>
      <c r="Q137" s="92"/>
    </row>
    <row r="138" spans="1:17" ht="20.100000000000001" customHeight="1">
      <c r="A138" s="92">
        <v>132</v>
      </c>
      <c r="B138" s="1049" t="s">
        <v>2640</v>
      </c>
      <c r="C138" s="1049"/>
      <c r="D138" s="3558"/>
      <c r="E138" s="3090"/>
      <c r="F138" s="3090"/>
      <c r="G138" s="3090"/>
      <c r="H138" s="3090"/>
      <c r="I138" s="3090"/>
      <c r="J138" s="3090"/>
      <c r="K138" s="1246">
        <v>1</v>
      </c>
      <c r="L138" s="2140"/>
      <c r="M138" s="2179" t="s">
        <v>677</v>
      </c>
      <c r="N138" s="162">
        <v>2076.58</v>
      </c>
      <c r="O138" s="2127">
        <f t="shared" si="2"/>
        <v>1</v>
      </c>
      <c r="P138" s="92"/>
      <c r="Q138" s="92"/>
    </row>
    <row r="139" spans="1:17" ht="20.100000000000001" customHeight="1">
      <c r="A139" s="1795">
        <v>133</v>
      </c>
      <c r="B139" s="1049" t="s">
        <v>2640</v>
      </c>
      <c r="C139" s="1049" t="s">
        <v>2549</v>
      </c>
      <c r="D139" s="3558"/>
      <c r="E139" s="3090"/>
      <c r="F139" s="3090"/>
      <c r="G139" s="3090">
        <v>1</v>
      </c>
      <c r="H139" s="3090"/>
      <c r="I139" s="3090"/>
      <c r="J139" s="3090"/>
      <c r="K139" s="1246"/>
      <c r="L139" s="2140"/>
      <c r="M139" s="1130" t="s">
        <v>49</v>
      </c>
      <c r="N139" s="155">
        <v>28283894.18</v>
      </c>
      <c r="O139" s="2127">
        <f t="shared" si="2"/>
        <v>1</v>
      </c>
      <c r="P139" s="92"/>
      <c r="Q139" s="92"/>
    </row>
    <row r="140" spans="1:17" ht="20.100000000000001" customHeight="1">
      <c r="A140" s="92">
        <v>134</v>
      </c>
      <c r="B140" s="1049" t="s">
        <v>2640</v>
      </c>
      <c r="C140" s="1049" t="s">
        <v>2549</v>
      </c>
      <c r="D140" s="3558"/>
      <c r="E140" s="3090"/>
      <c r="F140" s="3090"/>
      <c r="G140" s="3090">
        <v>1</v>
      </c>
      <c r="H140" s="3090"/>
      <c r="I140" s="3090"/>
      <c r="J140" s="3090"/>
      <c r="K140" s="1246"/>
      <c r="L140" s="2140"/>
      <c r="M140" s="1130" t="s">
        <v>2459</v>
      </c>
      <c r="N140" s="155">
        <v>0.04</v>
      </c>
      <c r="O140" s="2127">
        <f t="shared" si="2"/>
        <v>1</v>
      </c>
      <c r="P140" s="92"/>
      <c r="Q140" s="92"/>
    </row>
    <row r="141" spans="1:17" ht="20.100000000000001" customHeight="1">
      <c r="A141" s="92">
        <v>135</v>
      </c>
      <c r="B141" s="1049" t="s">
        <v>2640</v>
      </c>
      <c r="C141" s="1049" t="s">
        <v>2549</v>
      </c>
      <c r="D141" s="3558"/>
      <c r="E141" s="3090"/>
      <c r="F141" s="3090"/>
      <c r="G141" s="3090">
        <v>1</v>
      </c>
      <c r="H141" s="3090"/>
      <c r="I141" s="3090"/>
      <c r="J141" s="3090"/>
      <c r="K141" s="3091"/>
      <c r="L141" s="1059"/>
      <c r="M141" s="1130" t="s">
        <v>32</v>
      </c>
      <c r="N141" s="155">
        <v>-15144.41</v>
      </c>
      <c r="O141" s="2127">
        <f t="shared" si="2"/>
        <v>1</v>
      </c>
      <c r="P141" s="92"/>
      <c r="Q141" s="92"/>
    </row>
    <row r="142" spans="1:17" ht="20.100000000000001" customHeight="1">
      <c r="A142" s="1795">
        <v>136</v>
      </c>
      <c r="B142" s="1049" t="s">
        <v>2640</v>
      </c>
      <c r="C142" s="1049" t="s">
        <v>2549</v>
      </c>
      <c r="D142" s="3558"/>
      <c r="E142" s="3090"/>
      <c r="F142" s="3090"/>
      <c r="G142" s="3090"/>
      <c r="H142" s="3090"/>
      <c r="I142" s="3090"/>
      <c r="J142" s="3090"/>
      <c r="K142" s="3091">
        <v>1</v>
      </c>
      <c r="L142" s="1059"/>
      <c r="M142" s="2181" t="s">
        <v>2644</v>
      </c>
      <c r="N142" s="155">
        <v>2</v>
      </c>
      <c r="O142" s="2127">
        <f t="shared" si="2"/>
        <v>1</v>
      </c>
      <c r="P142" s="92"/>
      <c r="Q142" s="92"/>
    </row>
    <row r="143" spans="1:17" ht="20.100000000000001" customHeight="1">
      <c r="A143" s="92">
        <v>137</v>
      </c>
      <c r="B143" s="1049" t="s">
        <v>2640</v>
      </c>
      <c r="C143" s="1049" t="s">
        <v>2549</v>
      </c>
      <c r="D143" s="3558"/>
      <c r="E143" s="1914"/>
      <c r="F143" s="1914"/>
      <c r="G143" s="1914">
        <v>1</v>
      </c>
      <c r="H143" s="1914"/>
      <c r="I143" s="1914"/>
      <c r="J143" s="1914"/>
      <c r="K143" s="1914"/>
      <c r="L143" s="1159"/>
      <c r="M143" s="2182" t="s">
        <v>183</v>
      </c>
      <c r="N143" s="155">
        <v>247.62</v>
      </c>
      <c r="O143" s="2127">
        <f t="shared" si="2"/>
        <v>1</v>
      </c>
      <c r="P143" s="92"/>
      <c r="Q143" s="92"/>
    </row>
    <row r="144" spans="1:17" ht="20.100000000000001" customHeight="1">
      <c r="A144" s="92">
        <v>138</v>
      </c>
      <c r="B144" s="1049" t="s">
        <v>2640</v>
      </c>
      <c r="C144" s="1049" t="s">
        <v>2549</v>
      </c>
      <c r="D144" s="3558"/>
      <c r="E144" s="1914"/>
      <c r="F144" s="1914"/>
      <c r="G144" s="1914"/>
      <c r="H144" s="1914"/>
      <c r="I144" s="1914"/>
      <c r="J144" s="1914"/>
      <c r="K144" s="1914">
        <v>2</v>
      </c>
      <c r="L144" s="1159"/>
      <c r="M144" s="877" t="s">
        <v>2645</v>
      </c>
      <c r="N144" s="155">
        <v>19191.849999999999</v>
      </c>
      <c r="O144" s="2127">
        <f t="shared" si="2"/>
        <v>2</v>
      </c>
      <c r="P144" s="92"/>
      <c r="Q144" s="92"/>
    </row>
    <row r="145" spans="1:17" ht="20.100000000000001" customHeight="1">
      <c r="A145" s="1795">
        <v>139</v>
      </c>
      <c r="B145" s="1049" t="s">
        <v>2640</v>
      </c>
      <c r="C145" s="1049" t="s">
        <v>2549</v>
      </c>
      <c r="D145" s="3558"/>
      <c r="E145" s="1914"/>
      <c r="F145" s="1914"/>
      <c r="G145" s="1914"/>
      <c r="H145" s="1914"/>
      <c r="I145" s="1914"/>
      <c r="J145" s="1914"/>
      <c r="K145" s="1914">
        <v>2</v>
      </c>
      <c r="L145" s="1159"/>
      <c r="M145" s="2183" t="s">
        <v>2646</v>
      </c>
      <c r="N145" s="155">
        <v>81371.740000000005</v>
      </c>
      <c r="O145" s="2127">
        <f t="shared" si="2"/>
        <v>2</v>
      </c>
      <c r="P145" s="92"/>
      <c r="Q145" s="92"/>
    </row>
    <row r="146" spans="1:17" ht="20.100000000000001" customHeight="1">
      <c r="A146" s="92">
        <v>140</v>
      </c>
      <c r="B146" s="1049" t="s">
        <v>2640</v>
      </c>
      <c r="C146" s="1049" t="s">
        <v>2549</v>
      </c>
      <c r="D146" s="3559"/>
      <c r="E146" s="1914"/>
      <c r="F146" s="1914"/>
      <c r="G146" s="1914"/>
      <c r="H146" s="1914"/>
      <c r="I146" s="1914"/>
      <c r="J146" s="1914"/>
      <c r="K146" s="1914">
        <v>1</v>
      </c>
      <c r="L146" s="1159"/>
      <c r="M146" s="2184" t="s">
        <v>2647</v>
      </c>
      <c r="N146" s="186">
        <v>1800.46</v>
      </c>
      <c r="O146" s="2127">
        <f t="shared" si="2"/>
        <v>1</v>
      </c>
      <c r="P146" s="92"/>
      <c r="Q146" s="92"/>
    </row>
    <row r="147" spans="1:17" ht="20.100000000000001" customHeight="1">
      <c r="A147" s="92">
        <v>141</v>
      </c>
      <c r="B147" s="1049" t="s">
        <v>2640</v>
      </c>
      <c r="C147" s="1049" t="s">
        <v>2549</v>
      </c>
      <c r="D147" s="1049" t="s">
        <v>2648</v>
      </c>
      <c r="E147" s="1914"/>
      <c r="F147" s="1914">
        <v>373</v>
      </c>
      <c r="G147" s="1914"/>
      <c r="H147" s="1914"/>
      <c r="I147" s="1914"/>
      <c r="J147" s="1914"/>
      <c r="K147" s="1914"/>
      <c r="L147" s="1159"/>
      <c r="M147" s="1200" t="s">
        <v>2649</v>
      </c>
      <c r="N147" s="186"/>
      <c r="O147" s="2127">
        <f t="shared" si="2"/>
        <v>373</v>
      </c>
      <c r="P147" s="92"/>
      <c r="Q147" s="92"/>
    </row>
    <row r="148" spans="1:17" ht="20.100000000000001" customHeight="1">
      <c r="A148" s="1795">
        <v>142</v>
      </c>
      <c r="B148" s="1049" t="s">
        <v>2640</v>
      </c>
      <c r="C148" s="1049" t="s">
        <v>2549</v>
      </c>
      <c r="D148" s="3557" t="s">
        <v>351</v>
      </c>
      <c r="E148" s="3090"/>
      <c r="F148" s="3090"/>
      <c r="G148" s="3090"/>
      <c r="H148" s="3090"/>
      <c r="I148" s="3090"/>
      <c r="J148" s="3090"/>
      <c r="K148" s="1246">
        <v>1</v>
      </c>
      <c r="L148" s="2140"/>
      <c r="M148" s="1200" t="s">
        <v>2650</v>
      </c>
      <c r="N148" s="2177"/>
      <c r="O148" s="2127">
        <f t="shared" si="2"/>
        <v>1</v>
      </c>
      <c r="P148" s="92"/>
      <c r="Q148" s="92"/>
    </row>
    <row r="149" spans="1:17" ht="20.100000000000001" customHeight="1">
      <c r="A149" s="92">
        <v>143</v>
      </c>
      <c r="B149" s="1049" t="s">
        <v>2640</v>
      </c>
      <c r="C149" s="1049" t="s">
        <v>2549</v>
      </c>
      <c r="D149" s="3559"/>
      <c r="E149" s="1914"/>
      <c r="F149" s="1914"/>
      <c r="G149" s="1914"/>
      <c r="H149" s="1914"/>
      <c r="I149" s="1914"/>
      <c r="J149" s="1914"/>
      <c r="K149" s="1914">
        <v>1</v>
      </c>
      <c r="L149" s="1159"/>
      <c r="M149" s="2185" t="s">
        <v>2651</v>
      </c>
      <c r="N149" s="186"/>
      <c r="O149" s="2127">
        <f t="shared" si="2"/>
        <v>1</v>
      </c>
      <c r="P149" s="92"/>
      <c r="Q149" s="92"/>
    </row>
    <row r="150" spans="1:17" ht="20.100000000000001" customHeight="1">
      <c r="A150" s="92">
        <v>144</v>
      </c>
      <c r="B150" s="1049" t="s">
        <v>2549</v>
      </c>
      <c r="C150" s="1049"/>
      <c r="D150" s="3093" t="s">
        <v>1566</v>
      </c>
      <c r="E150" s="1914"/>
      <c r="F150" s="1914"/>
      <c r="G150" s="1914"/>
      <c r="H150" s="1914"/>
      <c r="I150" s="1914"/>
      <c r="J150" s="1914"/>
      <c r="K150" s="1914">
        <v>1</v>
      </c>
      <c r="L150" s="1159"/>
      <c r="M150" s="1119" t="s">
        <v>2652</v>
      </c>
      <c r="N150" s="2130">
        <v>10079.11</v>
      </c>
      <c r="O150" s="2127">
        <f t="shared" si="2"/>
        <v>1</v>
      </c>
      <c r="P150" s="92"/>
      <c r="Q150" s="92"/>
    </row>
    <row r="151" spans="1:17" ht="20.100000000000001" customHeight="1">
      <c r="A151" s="1795">
        <v>145</v>
      </c>
      <c r="B151" s="1049" t="s">
        <v>2549</v>
      </c>
      <c r="C151" s="1049" t="s">
        <v>2549</v>
      </c>
      <c r="D151" s="3557" t="s">
        <v>29</v>
      </c>
      <c r="E151" s="1914"/>
      <c r="F151" s="1914"/>
      <c r="G151" s="1914">
        <v>1</v>
      </c>
      <c r="H151" s="1914"/>
      <c r="I151" s="1914"/>
      <c r="J151" s="1914"/>
      <c r="K151" s="1914"/>
      <c r="L151" s="1159"/>
      <c r="M151" s="1119" t="s">
        <v>49</v>
      </c>
      <c r="N151" s="2130">
        <v>20645452.34</v>
      </c>
      <c r="O151" s="2127">
        <f t="shared" si="2"/>
        <v>1</v>
      </c>
      <c r="P151" s="92"/>
      <c r="Q151" s="92"/>
    </row>
    <row r="152" spans="1:17" ht="20.100000000000001" customHeight="1">
      <c r="A152" s="92">
        <v>146</v>
      </c>
      <c r="B152" s="1049" t="s">
        <v>2549</v>
      </c>
      <c r="C152" s="1049" t="s">
        <v>2549</v>
      </c>
      <c r="D152" s="3558"/>
      <c r="E152" s="1914"/>
      <c r="F152" s="1914"/>
      <c r="G152" s="1914">
        <v>1</v>
      </c>
      <c r="H152" s="1914"/>
      <c r="I152" s="1914"/>
      <c r="J152" s="1914"/>
      <c r="K152" s="1914"/>
      <c r="L152" s="1159"/>
      <c r="M152" s="1119" t="s">
        <v>32</v>
      </c>
      <c r="N152" s="2130">
        <v>3098.73</v>
      </c>
      <c r="O152" s="2127">
        <f t="shared" si="2"/>
        <v>1</v>
      </c>
      <c r="P152" s="92"/>
      <c r="Q152" s="92"/>
    </row>
    <row r="153" spans="1:17" ht="20.100000000000001" customHeight="1">
      <c r="A153" s="92">
        <v>147</v>
      </c>
      <c r="B153" s="1049" t="s">
        <v>2549</v>
      </c>
      <c r="C153" s="1049" t="s">
        <v>2549</v>
      </c>
      <c r="D153" s="3558"/>
      <c r="E153" s="1914"/>
      <c r="F153" s="1914"/>
      <c r="G153" s="1914">
        <v>1</v>
      </c>
      <c r="H153" s="1914"/>
      <c r="I153" s="1914"/>
      <c r="J153" s="1914"/>
      <c r="K153" s="1914"/>
      <c r="L153" s="1159"/>
      <c r="M153" s="1119" t="s">
        <v>1913</v>
      </c>
      <c r="N153" s="2130">
        <v>0.08</v>
      </c>
      <c r="O153" s="2127">
        <f t="shared" si="2"/>
        <v>1</v>
      </c>
      <c r="P153" s="92"/>
      <c r="Q153" s="92"/>
    </row>
    <row r="154" spans="1:17" ht="20.100000000000001" customHeight="1">
      <c r="A154" s="1795">
        <v>148</v>
      </c>
      <c r="B154" s="1049" t="s">
        <v>2549</v>
      </c>
      <c r="C154" s="1049" t="s">
        <v>2549</v>
      </c>
      <c r="D154" s="3558"/>
      <c r="E154" s="1914"/>
      <c r="F154" s="1914"/>
      <c r="G154" s="1914"/>
      <c r="H154" s="1914"/>
      <c r="I154" s="1914"/>
      <c r="J154" s="1914"/>
      <c r="K154" s="1914">
        <v>5</v>
      </c>
      <c r="L154" s="1189" t="s">
        <v>100</v>
      </c>
      <c r="M154" s="2186" t="s">
        <v>2653</v>
      </c>
      <c r="N154" s="2187">
        <v>18982.5</v>
      </c>
      <c r="O154" s="2127">
        <f t="shared" si="2"/>
        <v>5</v>
      </c>
      <c r="P154" s="92"/>
      <c r="Q154" s="92"/>
    </row>
    <row r="155" spans="1:17" ht="20.100000000000001" customHeight="1">
      <c r="A155" s="92">
        <v>149</v>
      </c>
      <c r="B155" s="1049" t="s">
        <v>2549</v>
      </c>
      <c r="C155" s="1049" t="s">
        <v>2549</v>
      </c>
      <c r="D155" s="3558"/>
      <c r="E155" s="1914"/>
      <c r="F155" s="1914"/>
      <c r="G155" s="1914"/>
      <c r="H155" s="1914"/>
      <c r="I155" s="1914"/>
      <c r="J155" s="1914"/>
      <c r="K155" s="1914">
        <v>1</v>
      </c>
      <c r="L155" s="1122" t="s">
        <v>100</v>
      </c>
      <c r="M155" s="1125" t="s">
        <v>2654</v>
      </c>
      <c r="N155" s="2188">
        <v>990</v>
      </c>
      <c r="O155" s="2127">
        <f t="shared" si="2"/>
        <v>1</v>
      </c>
      <c r="P155" s="92"/>
      <c r="Q155" s="92"/>
    </row>
    <row r="156" spans="1:17" ht="20.100000000000001" customHeight="1">
      <c r="A156" s="92">
        <v>150</v>
      </c>
      <c r="B156" s="1049" t="s">
        <v>2549</v>
      </c>
      <c r="C156" s="1049" t="s">
        <v>2549</v>
      </c>
      <c r="D156" s="3559"/>
      <c r="E156" s="1914"/>
      <c r="F156" s="1914"/>
      <c r="G156" s="1914"/>
      <c r="H156" s="1914"/>
      <c r="I156" s="1914">
        <v>6913</v>
      </c>
      <c r="J156" s="1914"/>
      <c r="K156" s="1914"/>
      <c r="L156" s="1159"/>
      <c r="M156" s="2189" t="s">
        <v>2655</v>
      </c>
      <c r="N156" s="2130"/>
      <c r="O156" s="2127">
        <f t="shared" si="2"/>
        <v>6895</v>
      </c>
      <c r="P156" s="92">
        <v>18</v>
      </c>
      <c r="Q156" s="92"/>
    </row>
    <row r="157" spans="1:17" ht="20.100000000000001" customHeight="1">
      <c r="A157" s="1795">
        <v>151</v>
      </c>
      <c r="B157" s="1049" t="s">
        <v>2549</v>
      </c>
      <c r="C157" s="1049" t="s">
        <v>2549</v>
      </c>
      <c r="D157" s="1049" t="s">
        <v>2656</v>
      </c>
      <c r="E157" s="1914"/>
      <c r="F157" s="1914">
        <v>513</v>
      </c>
      <c r="G157" s="1914"/>
      <c r="H157" s="1914"/>
      <c r="I157" s="1914"/>
      <c r="J157" s="1914"/>
      <c r="K157" s="1914"/>
      <c r="L157" s="1159"/>
      <c r="M157" s="1200" t="s">
        <v>2657</v>
      </c>
      <c r="N157" s="2130"/>
      <c r="O157" s="2127">
        <f t="shared" si="2"/>
        <v>513</v>
      </c>
      <c r="P157" s="92"/>
      <c r="Q157" s="92"/>
    </row>
    <row r="158" spans="1:17" ht="20.100000000000001" customHeight="1">
      <c r="A158" s="92">
        <v>152</v>
      </c>
      <c r="B158" s="1049" t="s">
        <v>2658</v>
      </c>
      <c r="C158" s="1049" t="s">
        <v>2549</v>
      </c>
      <c r="D158" s="3092" t="s">
        <v>29</v>
      </c>
      <c r="E158" s="1914"/>
      <c r="F158" s="1914"/>
      <c r="G158" s="1914">
        <v>1</v>
      </c>
      <c r="H158" s="1914"/>
      <c r="I158" s="1914"/>
      <c r="J158" s="1914"/>
      <c r="K158" s="1914"/>
      <c r="L158" s="1159"/>
      <c r="M158" s="1287" t="s">
        <v>49</v>
      </c>
      <c r="N158" s="434">
        <v>76656044.340000004</v>
      </c>
      <c r="O158" s="2127">
        <f t="shared" si="2"/>
        <v>1</v>
      </c>
      <c r="P158" s="92"/>
      <c r="Q158" s="92"/>
    </row>
    <row r="159" spans="1:17" ht="20.100000000000001" customHeight="1">
      <c r="A159" s="92">
        <v>153</v>
      </c>
      <c r="B159" s="1049" t="s">
        <v>2658</v>
      </c>
      <c r="C159" s="1049" t="s">
        <v>2549</v>
      </c>
      <c r="D159" s="3093"/>
      <c r="E159" s="1914"/>
      <c r="F159" s="1914"/>
      <c r="G159" s="1914">
        <v>1</v>
      </c>
      <c r="H159" s="1914"/>
      <c r="I159" s="1914"/>
      <c r="J159" s="1914"/>
      <c r="K159" s="1914"/>
      <c r="L159" s="1159"/>
      <c r="M159" s="1287" t="s">
        <v>32</v>
      </c>
      <c r="N159" s="434">
        <v>204.38</v>
      </c>
      <c r="O159" s="2127">
        <f t="shared" si="2"/>
        <v>1</v>
      </c>
      <c r="P159" s="92"/>
      <c r="Q159" s="92"/>
    </row>
    <row r="160" spans="1:17" ht="20.100000000000001" customHeight="1">
      <c r="A160" s="1795">
        <v>154</v>
      </c>
      <c r="B160" s="1049" t="s">
        <v>2658</v>
      </c>
      <c r="C160" s="1049"/>
      <c r="D160" s="3093"/>
      <c r="E160" s="1914"/>
      <c r="F160" s="1914"/>
      <c r="G160" s="1914"/>
      <c r="H160" s="1914">
        <v>94</v>
      </c>
      <c r="I160" s="1914"/>
      <c r="J160" s="1914"/>
      <c r="K160" s="1914"/>
      <c r="L160" s="1159"/>
      <c r="M160" s="1034" t="s">
        <v>34</v>
      </c>
      <c r="N160" s="434"/>
      <c r="O160" s="2127">
        <f t="shared" si="2"/>
        <v>73</v>
      </c>
      <c r="P160" s="92">
        <v>21</v>
      </c>
      <c r="Q160" s="92"/>
    </row>
    <row r="161" spans="1:17" ht="20.100000000000001" customHeight="1">
      <c r="A161" s="92">
        <v>155</v>
      </c>
      <c r="B161" s="1049" t="s">
        <v>2658</v>
      </c>
      <c r="C161" s="1049"/>
      <c r="D161" s="3093"/>
      <c r="E161" s="1914"/>
      <c r="F161" s="1914"/>
      <c r="G161" s="1914"/>
      <c r="H161" s="1914"/>
      <c r="I161" s="1914">
        <v>5473</v>
      </c>
      <c r="J161" s="1914"/>
      <c r="K161" s="1914"/>
      <c r="L161" s="1159"/>
      <c r="M161" s="1034" t="s">
        <v>35</v>
      </c>
      <c r="N161" s="434"/>
      <c r="O161" s="2127">
        <f t="shared" si="2"/>
        <v>5469</v>
      </c>
      <c r="P161" s="92">
        <v>4</v>
      </c>
      <c r="Q161" s="92"/>
    </row>
    <row r="162" spans="1:17" ht="20.100000000000001" customHeight="1">
      <c r="A162" s="92">
        <v>156</v>
      </c>
      <c r="B162" s="1049" t="s">
        <v>2658</v>
      </c>
      <c r="C162" s="1049" t="s">
        <v>2549</v>
      </c>
      <c r="D162" s="3093"/>
      <c r="E162" s="1914"/>
      <c r="F162" s="1914"/>
      <c r="G162" s="1914"/>
      <c r="H162" s="1914"/>
      <c r="I162" s="1914"/>
      <c r="J162" s="1914"/>
      <c r="K162" s="2190">
        <v>3</v>
      </c>
      <c r="L162" s="1155" t="s">
        <v>2659</v>
      </c>
      <c r="M162" s="1287" t="s">
        <v>2660</v>
      </c>
      <c r="N162" s="452">
        <v>38638.720000000001</v>
      </c>
      <c r="O162" s="2127">
        <f t="shared" si="2"/>
        <v>3</v>
      </c>
      <c r="P162" s="92"/>
      <c r="Q162" s="92"/>
    </row>
    <row r="163" spans="1:17" ht="20.100000000000001" customHeight="1">
      <c r="A163" s="1795">
        <v>157</v>
      </c>
      <c r="B163" s="1049" t="s">
        <v>2658</v>
      </c>
      <c r="C163" s="1049" t="s">
        <v>2549</v>
      </c>
      <c r="D163" s="3093"/>
      <c r="E163" s="1914"/>
      <c r="F163" s="1914"/>
      <c r="G163" s="1914"/>
      <c r="H163" s="1914"/>
      <c r="I163" s="1914"/>
      <c r="J163" s="1914"/>
      <c r="K163" s="2190">
        <v>13</v>
      </c>
      <c r="L163" s="2019" t="s">
        <v>2661</v>
      </c>
      <c r="M163" s="2191" t="s">
        <v>2662</v>
      </c>
      <c r="N163" s="434">
        <f>300+650</f>
        <v>950</v>
      </c>
      <c r="O163" s="2127">
        <f t="shared" si="2"/>
        <v>13</v>
      </c>
      <c r="P163" s="92"/>
      <c r="Q163" s="92"/>
    </row>
    <row r="164" spans="1:17" ht="20.100000000000001" customHeight="1">
      <c r="A164" s="92">
        <v>158</v>
      </c>
      <c r="B164" s="1049" t="s">
        <v>2658</v>
      </c>
      <c r="C164" s="1049" t="s">
        <v>2549</v>
      </c>
      <c r="D164" s="3093"/>
      <c r="E164" s="1914"/>
      <c r="F164" s="1914"/>
      <c r="G164" s="1914">
        <v>1</v>
      </c>
      <c r="H164" s="1914"/>
      <c r="I164" s="1914"/>
      <c r="J164" s="1914"/>
      <c r="K164" s="1914"/>
      <c r="L164" s="1159"/>
      <c r="M164" s="1287" t="s">
        <v>2559</v>
      </c>
      <c r="N164" s="567">
        <v>11391.63</v>
      </c>
      <c r="O164" s="2127">
        <f t="shared" si="2"/>
        <v>1</v>
      </c>
      <c r="P164" s="92"/>
      <c r="Q164" s="92"/>
    </row>
    <row r="165" spans="1:17" ht="20.100000000000001" customHeight="1">
      <c r="A165" s="92">
        <v>159</v>
      </c>
      <c r="B165" s="1049" t="s">
        <v>2658</v>
      </c>
      <c r="C165" s="1049" t="s">
        <v>2549</v>
      </c>
      <c r="D165" s="3093"/>
      <c r="E165" s="1914"/>
      <c r="F165" s="1914"/>
      <c r="G165" s="1914">
        <v>1</v>
      </c>
      <c r="H165" s="1914"/>
      <c r="I165" s="1914"/>
      <c r="J165" s="1914"/>
      <c r="K165" s="1914"/>
      <c r="L165" s="1159"/>
      <c r="M165" s="1287" t="s">
        <v>1484</v>
      </c>
      <c r="N165" s="437">
        <v>52.49</v>
      </c>
      <c r="O165" s="2127">
        <f t="shared" si="2"/>
        <v>1</v>
      </c>
      <c r="P165" s="92"/>
      <c r="Q165" s="92"/>
    </row>
    <row r="166" spans="1:17" ht="20.100000000000001" customHeight="1">
      <c r="A166" s="1795">
        <v>160</v>
      </c>
      <c r="B166" s="1049" t="s">
        <v>2658</v>
      </c>
      <c r="C166" s="1049" t="s">
        <v>2549</v>
      </c>
      <c r="D166" s="3093"/>
      <c r="E166" s="1914"/>
      <c r="F166" s="1914"/>
      <c r="G166" s="1914"/>
      <c r="H166" s="1914"/>
      <c r="I166" s="1914"/>
      <c r="J166" s="1914"/>
      <c r="K166" s="1914">
        <v>6</v>
      </c>
      <c r="L166" s="1159"/>
      <c r="M166" s="2192" t="s">
        <v>2663</v>
      </c>
      <c r="N166" s="567">
        <v>36317</v>
      </c>
      <c r="O166" s="2127">
        <f t="shared" si="2"/>
        <v>6</v>
      </c>
      <c r="P166" s="92"/>
      <c r="Q166" s="92"/>
    </row>
    <row r="167" spans="1:17" ht="20.100000000000001" customHeight="1">
      <c r="A167" s="92">
        <v>161</v>
      </c>
      <c r="B167" s="1049" t="s">
        <v>2658</v>
      </c>
      <c r="C167" s="1049" t="s">
        <v>2549</v>
      </c>
      <c r="D167" s="3094"/>
      <c r="E167" s="1914"/>
      <c r="F167" s="1914"/>
      <c r="G167" s="1914"/>
      <c r="H167" s="1914"/>
      <c r="I167" s="1914"/>
      <c r="J167" s="1914"/>
      <c r="K167" s="1301">
        <v>1</v>
      </c>
      <c r="L167" s="2095"/>
      <c r="M167" s="1038" t="s">
        <v>2664</v>
      </c>
      <c r="N167" s="437">
        <v>5.62</v>
      </c>
      <c r="O167" s="2127">
        <f t="shared" si="2"/>
        <v>1</v>
      </c>
      <c r="P167" s="92"/>
      <c r="Q167" s="92"/>
    </row>
    <row r="168" spans="1:17" ht="20.100000000000001" customHeight="1">
      <c r="A168" s="92">
        <v>162</v>
      </c>
      <c r="B168" s="1049" t="s">
        <v>2658</v>
      </c>
      <c r="C168" s="1049" t="s">
        <v>2549</v>
      </c>
      <c r="D168" s="1064" t="s">
        <v>442</v>
      </c>
      <c r="E168" s="1914"/>
      <c r="F168" s="1914"/>
      <c r="G168" s="1914"/>
      <c r="H168" s="1914"/>
      <c r="I168" s="1914"/>
      <c r="J168" s="1914"/>
      <c r="K168" s="2193"/>
      <c r="L168" s="1198">
        <v>20260630</v>
      </c>
      <c r="M168" s="2194" t="s">
        <v>2665</v>
      </c>
      <c r="N168" s="452"/>
      <c r="O168" s="2127">
        <f t="shared" si="2"/>
        <v>0</v>
      </c>
      <c r="P168" s="92"/>
      <c r="Q168" s="92"/>
    </row>
    <row r="169" spans="1:17" ht="20.100000000000001" customHeight="1">
      <c r="A169" s="1795">
        <v>163</v>
      </c>
      <c r="B169" s="1049" t="s">
        <v>2658</v>
      </c>
      <c r="C169" s="1049" t="s">
        <v>2549</v>
      </c>
      <c r="D169" s="1049"/>
      <c r="E169" s="1914"/>
      <c r="F169" s="1914"/>
      <c r="G169" s="1914"/>
      <c r="H169" s="1914"/>
      <c r="I169" s="1914"/>
      <c r="J169" s="1914"/>
      <c r="K169" s="2190">
        <v>1</v>
      </c>
      <c r="L169" s="1155" t="s">
        <v>221</v>
      </c>
      <c r="M169" s="1104" t="s">
        <v>2666</v>
      </c>
      <c r="N169" s="2195">
        <v>50000</v>
      </c>
      <c r="O169" s="2127">
        <f t="shared" si="2"/>
        <v>0</v>
      </c>
      <c r="P169" s="92">
        <v>1</v>
      </c>
      <c r="Q169" s="92"/>
    </row>
    <row r="170" spans="1:17" ht="20.100000000000001" customHeight="1">
      <c r="A170" s="92">
        <v>164</v>
      </c>
      <c r="B170" s="1049" t="s">
        <v>2658</v>
      </c>
      <c r="C170" s="1049" t="s">
        <v>2549</v>
      </c>
      <c r="D170" s="1049"/>
      <c r="E170" s="1914"/>
      <c r="F170" s="1914"/>
      <c r="G170" s="1914"/>
      <c r="H170" s="1914"/>
      <c r="I170" s="1914"/>
      <c r="J170" s="1914"/>
      <c r="K170" s="3554">
        <v>4</v>
      </c>
      <c r="L170" s="1155" t="s">
        <v>486</v>
      </c>
      <c r="M170" s="1201" t="s">
        <v>2667</v>
      </c>
      <c r="N170" s="2195">
        <v>60943</v>
      </c>
      <c r="O170" s="2127">
        <f>1-1</f>
        <v>0</v>
      </c>
      <c r="P170" s="92">
        <v>1</v>
      </c>
      <c r="Q170" s="92"/>
    </row>
    <row r="171" spans="1:17" ht="20.100000000000001" customHeight="1">
      <c r="A171" s="92">
        <v>165</v>
      </c>
      <c r="B171" s="1049" t="s">
        <v>2658</v>
      </c>
      <c r="C171" s="1049" t="s">
        <v>2549</v>
      </c>
      <c r="D171" s="1049"/>
      <c r="E171" s="1914"/>
      <c r="F171" s="1914"/>
      <c r="G171" s="1914"/>
      <c r="H171" s="1914"/>
      <c r="I171" s="1914"/>
      <c r="J171" s="1914"/>
      <c r="K171" s="3555"/>
      <c r="L171" s="1155" t="s">
        <v>98</v>
      </c>
      <c r="M171" s="1200" t="s">
        <v>2668</v>
      </c>
      <c r="N171" s="2195">
        <v>480000</v>
      </c>
      <c r="O171" s="2127">
        <f>2-P171</f>
        <v>1</v>
      </c>
      <c r="P171" s="92">
        <v>1</v>
      </c>
      <c r="Q171" s="92"/>
    </row>
    <row r="172" spans="1:17" ht="20.100000000000001" customHeight="1">
      <c r="A172" s="1795">
        <v>166</v>
      </c>
      <c r="B172" s="1049" t="s">
        <v>2658</v>
      </c>
      <c r="C172" s="1049" t="s">
        <v>2549</v>
      </c>
      <c r="D172" s="1049"/>
      <c r="E172" s="1914"/>
      <c r="F172" s="1914"/>
      <c r="G172" s="1914"/>
      <c r="H172" s="1914"/>
      <c r="I172" s="1914"/>
      <c r="J172" s="1914"/>
      <c r="K172" s="3556"/>
      <c r="L172" s="1155" t="s">
        <v>316</v>
      </c>
      <c r="M172" s="1200" t="s">
        <v>2669</v>
      </c>
      <c r="N172" s="2195">
        <v>50000</v>
      </c>
      <c r="O172" s="2127">
        <f>1-P172</f>
        <v>0</v>
      </c>
      <c r="P172" s="92">
        <v>1</v>
      </c>
      <c r="Q172" s="92"/>
    </row>
    <row r="173" spans="1:17" ht="20.100000000000001" customHeight="1">
      <c r="A173" s="92">
        <v>167</v>
      </c>
      <c r="B173" s="1049" t="s">
        <v>2658</v>
      </c>
      <c r="C173" s="1049" t="s">
        <v>2549</v>
      </c>
      <c r="D173" s="1049"/>
      <c r="E173" s="1914"/>
      <c r="F173" s="1914">
        <v>1587</v>
      </c>
      <c r="G173" s="1914"/>
      <c r="H173" s="1914"/>
      <c r="I173" s="1914"/>
      <c r="J173" s="1914"/>
      <c r="K173" s="2190"/>
      <c r="L173" s="1155"/>
      <c r="M173" s="1200" t="s">
        <v>2670</v>
      </c>
      <c r="N173" s="2195"/>
      <c r="O173" s="2127">
        <f t="shared" si="2"/>
        <v>1587</v>
      </c>
      <c r="P173" s="92"/>
      <c r="Q173" s="92"/>
    </row>
    <row r="174" spans="1:17" ht="20.100000000000001" customHeight="1">
      <c r="A174" s="92">
        <v>168</v>
      </c>
      <c r="B174" s="1049" t="s">
        <v>2658</v>
      </c>
      <c r="C174" s="1049" t="s">
        <v>2549</v>
      </c>
      <c r="D174" s="1049" t="s">
        <v>351</v>
      </c>
      <c r="E174" s="1914"/>
      <c r="F174" s="1914"/>
      <c r="G174" s="1914"/>
      <c r="H174" s="1914"/>
      <c r="I174" s="1914"/>
      <c r="J174" s="1914"/>
      <c r="K174" s="2190">
        <v>1</v>
      </c>
      <c r="L174" s="1155"/>
      <c r="M174" s="1200" t="s">
        <v>2671</v>
      </c>
      <c r="N174" s="2195"/>
      <c r="O174" s="2127">
        <f t="shared" si="2"/>
        <v>0</v>
      </c>
      <c r="P174" s="92">
        <v>1</v>
      </c>
      <c r="Q174" s="92"/>
    </row>
    <row r="175" spans="1:17" ht="20.100000000000001" customHeight="1">
      <c r="A175" s="1795">
        <v>169</v>
      </c>
      <c r="B175" s="1049" t="s">
        <v>2672</v>
      </c>
      <c r="C175" s="1049"/>
      <c r="D175" s="3092"/>
      <c r="E175" s="1914"/>
      <c r="F175" s="1914"/>
      <c r="G175" s="1914"/>
      <c r="H175" s="1914"/>
      <c r="I175" s="1914"/>
      <c r="J175" s="1914"/>
      <c r="K175" s="2190">
        <v>1</v>
      </c>
      <c r="L175" s="1155" t="s">
        <v>100</v>
      </c>
      <c r="M175" s="2038" t="s">
        <v>118</v>
      </c>
      <c r="N175" s="2195">
        <v>6636</v>
      </c>
      <c r="O175" s="2127">
        <f t="shared" si="2"/>
        <v>1</v>
      </c>
      <c r="P175" s="92"/>
      <c r="Q175" s="92"/>
    </row>
    <row r="176" spans="1:17" ht="20.100000000000001" customHeight="1">
      <c r="A176" s="92">
        <v>170</v>
      </c>
      <c r="B176" s="1049" t="s">
        <v>2672</v>
      </c>
      <c r="C176" s="1049" t="s">
        <v>2549</v>
      </c>
      <c r="D176" s="3557" t="s">
        <v>29</v>
      </c>
      <c r="E176" s="1914"/>
      <c r="F176" s="1914"/>
      <c r="G176" s="1914">
        <v>1</v>
      </c>
      <c r="H176" s="1914"/>
      <c r="I176" s="1914"/>
      <c r="J176" s="1914"/>
      <c r="K176" s="2190"/>
      <c r="L176" s="1155"/>
      <c r="M176" s="1119" t="s">
        <v>31</v>
      </c>
      <c r="N176" s="155">
        <v>44.13</v>
      </c>
      <c r="O176" s="2127">
        <f t="shared" si="2"/>
        <v>1</v>
      </c>
      <c r="P176" s="92"/>
      <c r="Q176" s="92"/>
    </row>
    <row r="177" spans="1:17" ht="20.100000000000001" customHeight="1">
      <c r="A177" s="92">
        <v>171</v>
      </c>
      <c r="B177" s="1049" t="s">
        <v>2672</v>
      </c>
      <c r="C177" s="1049" t="s">
        <v>2549</v>
      </c>
      <c r="D177" s="3558"/>
      <c r="E177" s="1914"/>
      <c r="F177" s="1914"/>
      <c r="G177" s="1914">
        <v>1</v>
      </c>
      <c r="H177" s="1914"/>
      <c r="I177" s="1914"/>
      <c r="J177" s="1914"/>
      <c r="K177" s="2190"/>
      <c r="L177" s="1155"/>
      <c r="M177" s="1119" t="s">
        <v>32</v>
      </c>
      <c r="N177" s="155">
        <v>68834.679999999993</v>
      </c>
      <c r="O177" s="2127">
        <f t="shared" si="2"/>
        <v>1</v>
      </c>
      <c r="P177" s="92"/>
      <c r="Q177" s="92"/>
    </row>
    <row r="178" spans="1:17" ht="20.100000000000001" customHeight="1">
      <c r="A178" s="1795">
        <v>172</v>
      </c>
      <c r="B178" s="1049" t="s">
        <v>2672</v>
      </c>
      <c r="C178" s="1049"/>
      <c r="D178" s="3558"/>
      <c r="E178" s="1914"/>
      <c r="F178" s="1914"/>
      <c r="G178" s="1914">
        <v>1</v>
      </c>
      <c r="H178" s="1914"/>
      <c r="I178" s="1914"/>
      <c r="J178" s="1914"/>
      <c r="K178" s="2190"/>
      <c r="L178" s="1155"/>
      <c r="M178" s="1119" t="s">
        <v>50</v>
      </c>
      <c r="N178" s="2196">
        <v>30401.46</v>
      </c>
      <c r="O178" s="2127">
        <f t="shared" si="2"/>
        <v>0</v>
      </c>
      <c r="P178" s="92">
        <v>1</v>
      </c>
      <c r="Q178" s="92"/>
    </row>
    <row r="179" spans="1:17" ht="20.100000000000001" customHeight="1">
      <c r="A179" s="92">
        <v>173</v>
      </c>
      <c r="B179" s="1049" t="s">
        <v>2672</v>
      </c>
      <c r="C179" s="1049" t="s">
        <v>2549</v>
      </c>
      <c r="D179" s="3558"/>
      <c r="E179" s="1914"/>
      <c r="F179" s="1914"/>
      <c r="G179" s="1914"/>
      <c r="H179" s="1914">
        <v>5</v>
      </c>
      <c r="I179" s="1914"/>
      <c r="J179" s="1914"/>
      <c r="K179" s="2190"/>
      <c r="L179" s="1155"/>
      <c r="M179" s="1034" t="s">
        <v>34</v>
      </c>
      <c r="N179" s="2195"/>
      <c r="O179" s="2127">
        <f t="shared" si="2"/>
        <v>5</v>
      </c>
      <c r="P179" s="92"/>
      <c r="Q179" s="92"/>
    </row>
    <row r="180" spans="1:17" ht="20.100000000000001" customHeight="1">
      <c r="A180" s="92">
        <v>174</v>
      </c>
      <c r="B180" s="1049" t="s">
        <v>2672</v>
      </c>
      <c r="C180" s="1049" t="s">
        <v>2549</v>
      </c>
      <c r="D180" s="3559"/>
      <c r="E180" s="1914"/>
      <c r="F180" s="1914"/>
      <c r="G180" s="1914"/>
      <c r="H180" s="1914"/>
      <c r="I180" s="1914">
        <v>152</v>
      </c>
      <c r="J180" s="1914"/>
      <c r="K180" s="2190"/>
      <c r="L180" s="1155"/>
      <c r="M180" s="1034" t="s">
        <v>35</v>
      </c>
      <c r="N180" s="2195"/>
      <c r="O180" s="2127">
        <f t="shared" si="2"/>
        <v>152</v>
      </c>
      <c r="P180" s="92"/>
      <c r="Q180" s="92"/>
    </row>
    <row r="181" spans="1:17" ht="20.100000000000001" customHeight="1">
      <c r="A181" s="1795">
        <v>175</v>
      </c>
      <c r="B181" s="1049" t="s">
        <v>2672</v>
      </c>
      <c r="C181" s="1049" t="s">
        <v>2549</v>
      </c>
      <c r="D181" s="3557" t="s">
        <v>439</v>
      </c>
      <c r="E181" s="1914"/>
      <c r="F181" s="1914">
        <v>1790</v>
      </c>
      <c r="G181" s="1914"/>
      <c r="H181" s="1914"/>
      <c r="I181" s="1914"/>
      <c r="J181" s="1914"/>
      <c r="K181" s="2190"/>
      <c r="L181" s="1155"/>
      <c r="M181" s="1200" t="s">
        <v>2673</v>
      </c>
      <c r="N181" s="2197"/>
      <c r="O181" s="2127">
        <f t="shared" si="2"/>
        <v>1790</v>
      </c>
      <c r="P181" s="92"/>
      <c r="Q181" s="92"/>
    </row>
    <row r="182" spans="1:17" ht="20.100000000000001" customHeight="1">
      <c r="A182" s="92">
        <v>176</v>
      </c>
      <c r="B182" s="1049" t="s">
        <v>2672</v>
      </c>
      <c r="C182" s="1049" t="s">
        <v>2549</v>
      </c>
      <c r="D182" s="3559"/>
      <c r="E182" s="1914">
        <v>79</v>
      </c>
      <c r="F182" s="1914"/>
      <c r="G182" s="1914"/>
      <c r="H182" s="1914"/>
      <c r="I182" s="1914"/>
      <c r="J182" s="1914"/>
      <c r="K182" s="1307"/>
      <c r="L182" s="1159"/>
      <c r="M182" s="2023" t="s">
        <v>2674</v>
      </c>
      <c r="N182" s="567"/>
      <c r="O182" s="2127">
        <f t="shared" si="2"/>
        <v>79</v>
      </c>
      <c r="P182" s="92"/>
      <c r="Q182" s="92"/>
    </row>
    <row r="183" spans="1:17" ht="20.100000000000001" customHeight="1">
      <c r="A183" s="92">
        <v>177</v>
      </c>
      <c r="B183" s="1049" t="s">
        <v>2672</v>
      </c>
      <c r="C183" s="1049" t="s">
        <v>2549</v>
      </c>
      <c r="D183" s="3560" t="s">
        <v>442</v>
      </c>
      <c r="E183" s="3090"/>
      <c r="F183" s="3090"/>
      <c r="G183" s="3090"/>
      <c r="H183" s="3090"/>
      <c r="I183" s="3090"/>
      <c r="J183" s="3090"/>
      <c r="K183" s="3091">
        <v>1</v>
      </c>
      <c r="L183" s="1059"/>
      <c r="M183" s="1216" t="s">
        <v>2675</v>
      </c>
      <c r="N183" s="457">
        <v>45000</v>
      </c>
      <c r="O183" s="2127">
        <f t="shared" si="2"/>
        <v>0</v>
      </c>
      <c r="P183" s="92">
        <v>1</v>
      </c>
      <c r="Q183" s="92"/>
    </row>
    <row r="184" spans="1:17" ht="20.100000000000001" customHeight="1">
      <c r="A184" s="1795">
        <v>178</v>
      </c>
      <c r="B184" s="1049" t="s">
        <v>2672</v>
      </c>
      <c r="C184" s="1049" t="s">
        <v>2549</v>
      </c>
      <c r="D184" s="3561"/>
      <c r="E184" s="3090"/>
      <c r="F184" s="3090"/>
      <c r="G184" s="3090"/>
      <c r="H184" s="3090"/>
      <c r="I184" s="3090"/>
      <c r="J184" s="3090"/>
      <c r="K184" s="2198">
        <v>1</v>
      </c>
      <c r="L184" s="1047" t="s">
        <v>2676</v>
      </c>
      <c r="M184" s="1215" t="s">
        <v>2677</v>
      </c>
      <c r="N184" s="2199">
        <v>125000</v>
      </c>
      <c r="O184" s="2127">
        <f t="shared" si="2"/>
        <v>0</v>
      </c>
      <c r="P184" s="92">
        <v>1</v>
      </c>
      <c r="Q184" s="92"/>
    </row>
    <row r="185" spans="1:17" ht="20.100000000000001" customHeight="1">
      <c r="A185" s="92"/>
      <c r="B185" s="68"/>
      <c r="C185" s="68"/>
      <c r="D185" s="2200"/>
      <c r="E185" s="2201">
        <f t="shared" ref="E185:K185" si="3">SUM(E7:E184)</f>
        <v>225</v>
      </c>
      <c r="F185" s="2201">
        <f t="shared" si="3"/>
        <v>16435</v>
      </c>
      <c r="G185" s="2201">
        <f t="shared" si="3"/>
        <v>42</v>
      </c>
      <c r="H185" s="2201">
        <f t="shared" si="3"/>
        <v>294</v>
      </c>
      <c r="I185" s="2201">
        <f t="shared" si="3"/>
        <v>53926</v>
      </c>
      <c r="J185" s="2201">
        <f t="shared" si="3"/>
        <v>0</v>
      </c>
      <c r="K185" s="2201">
        <f t="shared" si="3"/>
        <v>101</v>
      </c>
      <c r="L185" s="68"/>
      <c r="M185" s="68"/>
      <c r="N185" s="2202">
        <f>SUM(N7:N184)</f>
        <v>92500185.449999988</v>
      </c>
      <c r="O185" s="2127">
        <f t="shared" ref="O185" si="4">E185+F185+G185+H185+I185+J185+K185</f>
        <v>71023</v>
      </c>
      <c r="P185" s="2203">
        <f>SUM(P7:P184)</f>
        <v>258</v>
      </c>
      <c r="Q185" s="68"/>
    </row>
    <row r="186" spans="1:17" ht="20.100000000000001" customHeight="1">
      <c r="A186" s="2204" t="s">
        <v>1579</v>
      </c>
      <c r="B186" s="2204" t="s">
        <v>1837</v>
      </c>
      <c r="C186" s="2204" t="s">
        <v>5</v>
      </c>
      <c r="D186" s="2205" t="s">
        <v>6</v>
      </c>
      <c r="E186" s="2204"/>
      <c r="F186" s="2204"/>
      <c r="G186" s="2204"/>
      <c r="H186" s="2204"/>
      <c r="I186" s="2204"/>
      <c r="J186" s="2204"/>
      <c r="K186" s="2204"/>
      <c r="L186" s="2204" t="s">
        <v>1585</v>
      </c>
      <c r="M186" s="2204" t="s">
        <v>14</v>
      </c>
      <c r="N186" s="2206" t="s">
        <v>1022</v>
      </c>
      <c r="O186" s="1821"/>
      <c r="P186" s="2207"/>
      <c r="Q186" s="2207"/>
    </row>
    <row r="187" spans="1:17" ht="20.100000000000001" customHeight="1">
      <c r="A187" s="2208"/>
      <c r="B187" s="2208"/>
      <c r="C187" s="2208"/>
      <c r="D187" s="1334"/>
      <c r="E187" s="1339" t="s">
        <v>1580</v>
      </c>
      <c r="F187" s="1339"/>
      <c r="G187" s="2208" t="s">
        <v>1581</v>
      </c>
      <c r="H187" s="2208" t="s">
        <v>9</v>
      </c>
      <c r="I187" s="2208" t="s">
        <v>1582</v>
      </c>
      <c r="J187" s="2208" t="s">
        <v>1583</v>
      </c>
      <c r="K187" s="2208" t="s">
        <v>1584</v>
      </c>
      <c r="L187" s="2208"/>
      <c r="M187" s="2208"/>
      <c r="N187" s="2209" t="s">
        <v>15</v>
      </c>
      <c r="O187" s="1821" t="s">
        <v>21</v>
      </c>
      <c r="P187" s="2210" t="s">
        <v>22</v>
      </c>
      <c r="Q187" s="2208" t="s">
        <v>23</v>
      </c>
    </row>
    <row r="188" spans="1:17" ht="20.100000000000001" customHeight="1">
      <c r="A188" s="2208"/>
      <c r="B188" s="2208"/>
      <c r="C188" s="2208"/>
      <c r="D188" s="1334" t="s">
        <v>6</v>
      </c>
      <c r="E188" s="2208" t="s">
        <v>779</v>
      </c>
      <c r="F188" s="2208" t="s">
        <v>1586</v>
      </c>
      <c r="G188" s="2208"/>
      <c r="H188" s="2208"/>
      <c r="I188" s="2208"/>
      <c r="J188" s="2208"/>
      <c r="K188" s="2208"/>
      <c r="L188" s="2208"/>
      <c r="M188" s="2208" t="s">
        <v>20</v>
      </c>
      <c r="N188" s="2209"/>
      <c r="O188" s="1339"/>
      <c r="P188" s="2211"/>
      <c r="Q188" s="2208"/>
    </row>
    <row r="189" spans="1:17" ht="20.100000000000001" customHeight="1">
      <c r="A189" s="2212"/>
      <c r="B189" s="2212"/>
      <c r="C189" s="1336" t="s">
        <v>2549</v>
      </c>
      <c r="D189" s="2212"/>
      <c r="E189" s="2213">
        <f>E185</f>
        <v>225</v>
      </c>
      <c r="F189" s="2213">
        <f>F185</f>
        <v>16435</v>
      </c>
      <c r="G189" s="2213">
        <f t="shared" ref="G189:I189" si="5">G185</f>
        <v>42</v>
      </c>
      <c r="H189" s="2213">
        <f t="shared" si="5"/>
        <v>294</v>
      </c>
      <c r="I189" s="2213">
        <f t="shared" si="5"/>
        <v>53926</v>
      </c>
      <c r="J189" s="2213">
        <f>J185</f>
        <v>0</v>
      </c>
      <c r="K189" s="2213">
        <f>K185</f>
        <v>101</v>
      </c>
      <c r="L189" s="1337">
        <v>0</v>
      </c>
      <c r="M189" s="1337"/>
      <c r="N189" s="2214">
        <f>N185</f>
        <v>92500185.449999988</v>
      </c>
      <c r="O189" s="2215">
        <f>O185</f>
        <v>71023</v>
      </c>
      <c r="P189" s="1337">
        <f>P185</f>
        <v>258</v>
      </c>
      <c r="Q189" s="1337">
        <v>0</v>
      </c>
    </row>
    <row r="190" spans="1:17" ht="20.100000000000001" customHeight="1">
      <c r="A190" s="2216"/>
      <c r="B190" s="2216"/>
      <c r="C190" s="2216"/>
      <c r="D190" s="2216"/>
      <c r="E190" s="2217"/>
      <c r="F190" s="2217"/>
      <c r="G190" s="2217"/>
      <c r="H190" s="2217"/>
      <c r="I190" s="2217"/>
      <c r="J190" s="2217"/>
      <c r="K190" s="2217"/>
      <c r="L190" s="2216"/>
      <c r="M190" s="2216"/>
      <c r="N190" s="2216"/>
      <c r="O190" s="2216"/>
      <c r="P190" s="2216"/>
      <c r="Q190" s="2216"/>
    </row>
    <row r="191" spans="1:17" ht="20.100000000000001" customHeight="1">
      <c r="A191" s="2216"/>
      <c r="B191" s="2216"/>
      <c r="C191" s="2216"/>
      <c r="D191" s="2216"/>
      <c r="E191" s="2217"/>
      <c r="F191" s="2217"/>
      <c r="G191" s="2217"/>
      <c r="H191" s="2217"/>
      <c r="I191" s="2217"/>
      <c r="J191" s="2217"/>
      <c r="K191" s="2217"/>
      <c r="L191" s="2216"/>
      <c r="M191" s="2216"/>
      <c r="N191" s="2216"/>
      <c r="O191" s="2216"/>
      <c r="P191" s="2216"/>
      <c r="Q191" s="2216"/>
    </row>
    <row r="192" spans="1:17" ht="20.100000000000001" customHeight="1">
      <c r="A192" s="2216"/>
      <c r="B192" s="2216"/>
      <c r="C192" s="2216"/>
      <c r="D192" s="2216"/>
      <c r="E192" s="2217"/>
      <c r="F192" s="2217"/>
      <c r="G192" s="2217"/>
      <c r="H192" s="2217"/>
      <c r="I192" s="2217"/>
      <c r="J192" s="2217"/>
      <c r="K192" s="2217"/>
      <c r="L192" s="2216"/>
      <c r="M192" s="2216"/>
      <c r="N192" s="2216"/>
      <c r="O192" s="2216"/>
      <c r="P192" s="2216"/>
      <c r="Q192" s="2216"/>
    </row>
    <row r="193" spans="1:17" ht="20.100000000000001" customHeight="1">
      <c r="A193" s="2216"/>
      <c r="B193" s="2216"/>
      <c r="C193" s="2216"/>
      <c r="D193" s="2212"/>
      <c r="E193" s="2218"/>
      <c r="F193" s="1339" t="s">
        <v>22</v>
      </c>
      <c r="G193" s="1339" t="s">
        <v>1839</v>
      </c>
      <c r="H193" s="1339" t="s">
        <v>755</v>
      </c>
      <c r="I193" s="2217"/>
      <c r="J193" s="2217"/>
      <c r="K193" s="2217"/>
      <c r="L193" s="2216"/>
      <c r="M193" s="2216"/>
      <c r="N193" s="2216"/>
      <c r="O193" s="2216"/>
      <c r="P193" s="2216"/>
      <c r="Q193" s="2216"/>
    </row>
    <row r="194" spans="1:17" ht="20.100000000000001" customHeight="1">
      <c r="A194" s="2216"/>
      <c r="B194" s="2216"/>
      <c r="C194" s="2216"/>
      <c r="D194" s="1341" t="s">
        <v>7</v>
      </c>
      <c r="E194" s="1020" t="s">
        <v>17</v>
      </c>
      <c r="F194" s="2219">
        <v>3</v>
      </c>
      <c r="G194" s="2220">
        <f>E189</f>
        <v>225</v>
      </c>
      <c r="H194" s="2220">
        <f>G194-F194</f>
        <v>222</v>
      </c>
      <c r="I194" s="2217"/>
      <c r="J194" s="2217"/>
      <c r="K194" s="2217"/>
      <c r="L194" s="2216"/>
      <c r="M194" s="2216"/>
      <c r="N194" s="2216"/>
      <c r="O194" s="2216"/>
      <c r="P194" s="2216"/>
      <c r="Q194" s="2216"/>
    </row>
    <row r="195" spans="1:17" ht="20.100000000000001" customHeight="1">
      <c r="A195" s="2216"/>
      <c r="B195" s="2216"/>
      <c r="C195" s="2216"/>
      <c r="D195" s="1341"/>
      <c r="E195" s="1021" t="s">
        <v>18</v>
      </c>
      <c r="F195" s="2221">
        <f>P11+P18+P22+P33+P39+P43+P57+P62+P69+P72+P78+P83+P91+P98+P108+P113+P121+P129+P132+P134+P147+P157+P173+P181</f>
        <v>10</v>
      </c>
      <c r="G195" s="2220">
        <f>F189</f>
        <v>16435</v>
      </c>
      <c r="H195" s="2220">
        <f>G195-F195</f>
        <v>16425</v>
      </c>
      <c r="I195" s="2217"/>
      <c r="J195" s="2217"/>
      <c r="K195" s="2217"/>
      <c r="L195" s="2216"/>
      <c r="M195" s="2216"/>
      <c r="N195" s="2216"/>
      <c r="O195" s="2216"/>
      <c r="P195" s="2216"/>
      <c r="Q195" s="2216"/>
    </row>
    <row r="196" spans="1:17" ht="20.100000000000001" customHeight="1">
      <c r="A196" s="2216"/>
      <c r="B196" s="2216"/>
      <c r="C196" s="2216"/>
      <c r="D196" s="1341" t="s">
        <v>756</v>
      </c>
      <c r="E196" s="1020"/>
      <c r="F196" s="2221">
        <f>P8+P9+P13+P19+P20+P25+P26+P27+P28+P36+P52+P60+P65+P66+P81+P86+P87+P100+P101+P102+P110+P117+P118+P119+P124+P125+P130+P139+P140+P141+P143+P151+P152+P153+P158+P159+P164+P165+P176+P177+P178</f>
        <v>2</v>
      </c>
      <c r="G196" s="2220">
        <f>G189</f>
        <v>42</v>
      </c>
      <c r="H196" s="2220">
        <f t="shared" ref="H196:H200" si="6">G196-F196</f>
        <v>40</v>
      </c>
      <c r="I196" s="2217"/>
      <c r="J196" s="2217"/>
      <c r="K196" s="2217"/>
      <c r="L196" s="2216"/>
      <c r="M196" s="2216"/>
      <c r="N196" s="2216"/>
      <c r="O196" s="2216"/>
      <c r="P196" s="2216"/>
      <c r="Q196" s="2216"/>
    </row>
    <row r="197" spans="1:17" ht="20.100000000000001" customHeight="1">
      <c r="A197" s="2216"/>
      <c r="B197" s="2216"/>
      <c r="C197" s="2216"/>
      <c r="D197" s="1344" t="s">
        <v>1840</v>
      </c>
      <c r="E197" s="1020"/>
      <c r="F197" s="2221">
        <f>P16+P31+P41+P96+P111+P160+P179</f>
        <v>125</v>
      </c>
      <c r="G197" s="2220">
        <f>H189</f>
        <v>294</v>
      </c>
      <c r="H197" s="2220">
        <f t="shared" si="6"/>
        <v>169</v>
      </c>
      <c r="I197" s="2217"/>
      <c r="J197" s="2217"/>
      <c r="K197" s="2217"/>
      <c r="L197" s="2216"/>
      <c r="M197" s="2216"/>
      <c r="N197" s="2216"/>
      <c r="O197" s="2216"/>
      <c r="P197" s="2216"/>
      <c r="Q197" s="2216"/>
    </row>
    <row r="198" spans="1:17" ht="20.100000000000001" customHeight="1">
      <c r="A198" s="2216"/>
      <c r="B198" s="2216"/>
      <c r="C198" s="2216"/>
      <c r="D198" s="1344" t="s">
        <v>1841</v>
      </c>
      <c r="E198" s="1021"/>
      <c r="F198" s="2221">
        <f>P10+P17+P21+P32+P38+P42+P56+P61+P68+P71+P77+P82+P90+P97+P107+P112+P120+P131+P133+P156+P161+P180</f>
        <v>107</v>
      </c>
      <c r="G198" s="2220">
        <f>I189</f>
        <v>53926</v>
      </c>
      <c r="H198" s="2220">
        <f t="shared" si="6"/>
        <v>53819</v>
      </c>
      <c r="I198" s="2217"/>
      <c r="J198" s="2217"/>
      <c r="K198" s="2217"/>
      <c r="L198" s="2216"/>
      <c r="M198" s="2216"/>
      <c r="N198" s="2216"/>
      <c r="O198" s="2216"/>
      <c r="P198" s="2216"/>
      <c r="Q198" s="2216"/>
    </row>
    <row r="199" spans="1:17" ht="20.100000000000001" customHeight="1">
      <c r="A199" s="2216"/>
      <c r="B199" s="2216"/>
      <c r="C199" s="2216"/>
      <c r="D199" s="1344" t="s">
        <v>758</v>
      </c>
      <c r="E199" s="1021"/>
      <c r="F199" s="2221">
        <v>0</v>
      </c>
      <c r="G199" s="2220">
        <f>J189</f>
        <v>0</v>
      </c>
      <c r="H199" s="2220">
        <f t="shared" si="6"/>
        <v>0</v>
      </c>
      <c r="I199" s="2217"/>
      <c r="J199" s="2217"/>
      <c r="K199" s="2217"/>
      <c r="L199" s="2216"/>
      <c r="M199" s="2216"/>
      <c r="N199" s="2216"/>
      <c r="O199" s="2216"/>
      <c r="P199" s="2216"/>
      <c r="Q199" s="2216"/>
    </row>
    <row r="200" spans="1:17" ht="20.100000000000001" customHeight="1">
      <c r="A200" s="2216"/>
      <c r="B200" s="2216"/>
      <c r="C200" s="2216"/>
      <c r="D200" s="1346" t="s">
        <v>1842</v>
      </c>
      <c r="E200" s="2222"/>
      <c r="F200" s="2221">
        <f>P7+P12+P14+P15+P23+P24+P29+P30+P34+P35+P37+P40+P44+P46+P47+P48+P49+P50+P51+P54+P55+P58+P64+P67+P70+P73+P74+P75+P76+P80+P84+P80+P89+P193+P94+P95+P103+P104+P105+P106+P109+P115+P116+P122+P127+P128+P135+P136+P137+P138+P142+P144+P145+P146+P148+P149+P150++P155+P162+P163+P166+P167+P169+P170+P174+P175+P183+P184</f>
        <v>11</v>
      </c>
      <c r="G200" s="2220">
        <f>K189</f>
        <v>101</v>
      </c>
      <c r="H200" s="2220">
        <f t="shared" si="6"/>
        <v>90</v>
      </c>
      <c r="I200" s="2217"/>
      <c r="J200" s="2217"/>
      <c r="K200" s="2217"/>
      <c r="L200" s="2216"/>
      <c r="M200" s="2216"/>
      <c r="N200" s="2216"/>
      <c r="O200" s="2216"/>
      <c r="P200" s="2216"/>
      <c r="Q200" s="2216"/>
    </row>
    <row r="201" spans="1:17" ht="20.100000000000001" customHeight="1">
      <c r="D201" s="1816"/>
      <c r="E201" s="73"/>
      <c r="F201" s="2223">
        <f>SUM(F194:F200)</f>
        <v>258</v>
      </c>
      <c r="G201" s="2223">
        <f>SUM(G194:G200)</f>
        <v>71023</v>
      </c>
      <c r="H201" s="2223">
        <f>SUM(H194:H200)</f>
        <v>70765</v>
      </c>
      <c r="I201" s="73"/>
      <c r="J201" s="73"/>
      <c r="K201" s="73"/>
      <c r="M201" s="2216"/>
      <c r="N201" s="1816"/>
    </row>
    <row r="202" spans="1:17" ht="20.100000000000001" customHeight="1">
      <c r="D202" s="1816"/>
      <c r="E202" s="73"/>
      <c r="F202" s="73"/>
      <c r="G202" s="73"/>
      <c r="H202" s="73"/>
      <c r="I202" s="73"/>
      <c r="J202" s="73"/>
      <c r="K202" s="73"/>
      <c r="M202" s="2216"/>
      <c r="N202" s="1816"/>
    </row>
  </sheetData>
  <mergeCells count="42">
    <mergeCell ref="D8:D10"/>
    <mergeCell ref="A1:Q1"/>
    <mergeCell ref="A2:Q2"/>
    <mergeCell ref="A3:Q3"/>
    <mergeCell ref="A4:Q4"/>
    <mergeCell ref="O5:Q5"/>
    <mergeCell ref="D78:D79"/>
    <mergeCell ref="D81:D82"/>
    <mergeCell ref="D13:D17"/>
    <mergeCell ref="D19:D21"/>
    <mergeCell ref="D24:D32"/>
    <mergeCell ref="D35:D38"/>
    <mergeCell ref="D44:D49"/>
    <mergeCell ref="D73:D75"/>
    <mergeCell ref="L44:L45"/>
    <mergeCell ref="D52:D56"/>
    <mergeCell ref="D59:D61"/>
    <mergeCell ref="D62:D63"/>
    <mergeCell ref="D65:D68"/>
    <mergeCell ref="J44:J45"/>
    <mergeCell ref="K44:K45"/>
    <mergeCell ref="F44:F45"/>
    <mergeCell ref="G44:G45"/>
    <mergeCell ref="H44:H45"/>
    <mergeCell ref="I44:I45"/>
    <mergeCell ref="E44:E45"/>
    <mergeCell ref="D183:D184"/>
    <mergeCell ref="D110:D112"/>
    <mergeCell ref="D113:D114"/>
    <mergeCell ref="D115:D116"/>
    <mergeCell ref="D117:D120"/>
    <mergeCell ref="D123:D128"/>
    <mergeCell ref="D136:D146"/>
    <mergeCell ref="D148:D149"/>
    <mergeCell ref="D151:D156"/>
    <mergeCell ref="K170:K172"/>
    <mergeCell ref="D176:D180"/>
    <mergeCell ref="D181:D182"/>
    <mergeCell ref="D86:D90"/>
    <mergeCell ref="D91:D92"/>
    <mergeCell ref="D94:D97"/>
    <mergeCell ref="D100:D10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5"/>
  <sheetViews>
    <sheetView topLeftCell="A86" workbookViewId="0">
      <selection activeCell="A7" sqref="A7:A91"/>
    </sheetView>
  </sheetViews>
  <sheetFormatPr defaultRowHeight="15"/>
  <cols>
    <col min="14" max="14" width="20.85546875" bestFit="1" customWidth="1"/>
    <col min="16" max="16" width="11.28515625" customWidth="1"/>
  </cols>
  <sheetData>
    <row r="1" spans="1:18" ht="20.100000000000001" customHeight="1">
      <c r="A1" s="3587" t="s">
        <v>0</v>
      </c>
      <c r="B1" s="3587"/>
      <c r="C1" s="3587"/>
      <c r="D1" s="3587"/>
      <c r="E1" s="3587"/>
      <c r="F1" s="3587"/>
      <c r="G1" s="3587"/>
      <c r="H1" s="3587"/>
      <c r="I1" s="3587"/>
      <c r="J1" s="3587"/>
      <c r="K1" s="3587"/>
      <c r="L1" s="3587"/>
      <c r="M1" s="3587"/>
      <c r="N1" s="3587"/>
      <c r="O1" s="3587"/>
      <c r="P1" s="3587"/>
      <c r="Q1" s="3587"/>
      <c r="R1" s="2224"/>
    </row>
    <row r="2" spans="1:18" ht="20.100000000000001" customHeight="1">
      <c r="A2" s="3587" t="s">
        <v>2682</v>
      </c>
      <c r="B2" s="3587"/>
      <c r="C2" s="3587"/>
      <c r="D2" s="3587"/>
      <c r="E2" s="3587"/>
      <c r="F2" s="3587"/>
      <c r="G2" s="3587"/>
      <c r="H2" s="3587"/>
      <c r="I2" s="3587"/>
      <c r="J2" s="3587"/>
      <c r="K2" s="3587"/>
      <c r="L2" s="3587"/>
      <c r="M2" s="3587"/>
      <c r="N2" s="3587"/>
      <c r="O2" s="3587"/>
      <c r="P2" s="3587"/>
      <c r="Q2" s="3587"/>
      <c r="R2" s="2224"/>
    </row>
    <row r="3" spans="1:18" ht="20.100000000000001" customHeight="1">
      <c r="A3" s="3587" t="s">
        <v>770</v>
      </c>
      <c r="B3" s="3587"/>
      <c r="C3" s="3587"/>
      <c r="D3" s="3587"/>
      <c r="E3" s="3587"/>
      <c r="F3" s="3587"/>
      <c r="G3" s="3587"/>
      <c r="H3" s="3587"/>
      <c r="I3" s="3587"/>
      <c r="J3" s="3587"/>
      <c r="K3" s="3587"/>
      <c r="L3" s="3587"/>
      <c r="M3" s="3587"/>
      <c r="N3" s="3587"/>
      <c r="O3" s="3587"/>
      <c r="P3" s="3587"/>
      <c r="Q3" s="3587"/>
      <c r="R3" s="2224"/>
    </row>
    <row r="4" spans="1:18" ht="20.100000000000001" customHeight="1">
      <c r="A4" s="3587" t="s">
        <v>2683</v>
      </c>
      <c r="B4" s="3587"/>
      <c r="C4" s="3587"/>
      <c r="D4" s="3587" t="s">
        <v>1846</v>
      </c>
      <c r="E4" s="3587"/>
      <c r="F4" s="3587"/>
      <c r="G4" s="3587"/>
      <c r="H4" s="3587"/>
      <c r="I4" s="3587"/>
      <c r="J4" s="3587"/>
      <c r="K4" s="3587"/>
      <c r="L4" s="3587"/>
      <c r="M4" s="3587"/>
      <c r="N4" s="3587"/>
      <c r="O4" s="3587"/>
      <c r="P4" s="3587"/>
      <c r="Q4" s="3587"/>
      <c r="R4" s="2224"/>
    </row>
    <row r="5" spans="1:18" ht="20.100000000000001" customHeight="1">
      <c r="A5" s="3573" t="s">
        <v>764</v>
      </c>
      <c r="B5" s="3573" t="s">
        <v>4</v>
      </c>
      <c r="C5" s="3573" t="s">
        <v>5</v>
      </c>
      <c r="D5" s="3573" t="s">
        <v>6</v>
      </c>
      <c r="E5" s="3583" t="s">
        <v>7</v>
      </c>
      <c r="F5" s="3584"/>
      <c r="G5" s="3575" t="s">
        <v>8</v>
      </c>
      <c r="H5" s="3575" t="s">
        <v>9</v>
      </c>
      <c r="I5" s="3575" t="s">
        <v>10</v>
      </c>
      <c r="J5" s="3577" t="s">
        <v>11</v>
      </c>
      <c r="K5" s="3577" t="s">
        <v>12</v>
      </c>
      <c r="L5" s="3578" t="s">
        <v>1585</v>
      </c>
      <c r="M5" s="3579" t="s">
        <v>14</v>
      </c>
      <c r="N5" s="3581" t="s">
        <v>1022</v>
      </c>
      <c r="O5" s="3573" t="s">
        <v>16</v>
      </c>
      <c r="P5" s="3573"/>
      <c r="Q5" s="3573"/>
      <c r="R5" s="2224"/>
    </row>
    <row r="6" spans="1:18" ht="20.100000000000001" customHeight="1">
      <c r="A6" s="3573"/>
      <c r="B6" s="3573"/>
      <c r="C6" s="3573"/>
      <c r="D6" s="3573" t="s">
        <v>6</v>
      </c>
      <c r="E6" s="2225" t="s">
        <v>17</v>
      </c>
      <c r="F6" s="2225" t="s">
        <v>18</v>
      </c>
      <c r="G6" s="3576"/>
      <c r="H6" s="3576"/>
      <c r="I6" s="3576"/>
      <c r="J6" s="3577"/>
      <c r="K6" s="3577" t="s">
        <v>19</v>
      </c>
      <c r="L6" s="3578"/>
      <c r="M6" s="3580" t="s">
        <v>20</v>
      </c>
      <c r="N6" s="3582"/>
      <c r="O6" s="2226" t="s">
        <v>21</v>
      </c>
      <c r="P6" s="2227" t="s">
        <v>22</v>
      </c>
      <c r="Q6" s="2225" t="s">
        <v>23</v>
      </c>
      <c r="R6" s="2224"/>
    </row>
    <row r="7" spans="1:18" ht="20.100000000000001" customHeight="1">
      <c r="A7" s="2228">
        <v>1</v>
      </c>
      <c r="B7" s="2229" t="s">
        <v>2684</v>
      </c>
      <c r="C7" s="2229" t="s">
        <v>2685</v>
      </c>
      <c r="D7" s="2229" t="s">
        <v>33</v>
      </c>
      <c r="E7" s="2230"/>
      <c r="F7" s="2231"/>
      <c r="G7" s="2232"/>
      <c r="H7" s="2231">
        <v>31</v>
      </c>
      <c r="I7" s="2231"/>
      <c r="J7" s="2233"/>
      <c r="K7" s="2233"/>
      <c r="L7" s="2234"/>
      <c r="M7" s="2235" t="s">
        <v>2686</v>
      </c>
      <c r="N7" s="2234"/>
      <c r="O7" s="2236">
        <v>31</v>
      </c>
      <c r="P7" s="382"/>
      <c r="Q7" s="382"/>
      <c r="R7" s="2224"/>
    </row>
    <row r="8" spans="1:18" ht="20.100000000000001" customHeight="1">
      <c r="A8" s="2228">
        <v>2</v>
      </c>
      <c r="B8" s="2229" t="s">
        <v>2684</v>
      </c>
      <c r="C8" s="2229" t="s">
        <v>2685</v>
      </c>
      <c r="D8" s="2229" t="s">
        <v>33</v>
      </c>
      <c r="E8" s="2230"/>
      <c r="F8" s="2231"/>
      <c r="G8" s="2231"/>
      <c r="H8" s="2232"/>
      <c r="I8" s="2231">
        <v>803</v>
      </c>
      <c r="J8" s="2231"/>
      <c r="K8" s="2231"/>
      <c r="L8" s="2237"/>
      <c r="M8" s="2235" t="s">
        <v>2687</v>
      </c>
      <c r="N8" s="2238">
        <v>54219.43</v>
      </c>
      <c r="O8" s="2236">
        <v>803</v>
      </c>
      <c r="P8" s="382"/>
      <c r="Q8" s="382"/>
      <c r="R8" s="2224"/>
    </row>
    <row r="9" spans="1:18" ht="20.100000000000001" customHeight="1">
      <c r="A9" s="2228">
        <v>3</v>
      </c>
      <c r="B9" s="2229" t="s">
        <v>2684</v>
      </c>
      <c r="C9" s="2229" t="s">
        <v>2685</v>
      </c>
      <c r="D9" s="2229" t="s">
        <v>36</v>
      </c>
      <c r="E9" s="2232"/>
      <c r="F9" s="2232">
        <v>555</v>
      </c>
      <c r="G9" s="2232"/>
      <c r="H9" s="2232"/>
      <c r="I9" s="2232"/>
      <c r="J9" s="2232"/>
      <c r="K9" s="2232"/>
      <c r="L9" s="2237"/>
      <c r="M9" s="2235" t="s">
        <v>2688</v>
      </c>
      <c r="N9" s="2239"/>
      <c r="O9" s="2236">
        <v>555</v>
      </c>
      <c r="P9" s="382"/>
      <c r="Q9" s="382"/>
      <c r="R9" s="2224"/>
    </row>
    <row r="10" spans="1:18" ht="20.100000000000001" customHeight="1">
      <c r="A10" s="2228">
        <v>4</v>
      </c>
      <c r="B10" s="2229" t="s">
        <v>2684</v>
      </c>
      <c r="C10" s="2229" t="s">
        <v>2685</v>
      </c>
      <c r="D10" s="2229" t="s">
        <v>36</v>
      </c>
      <c r="E10" s="3371">
        <v>366</v>
      </c>
      <c r="F10" s="3371"/>
      <c r="G10" s="3371"/>
      <c r="H10" s="3371"/>
      <c r="I10" s="3371"/>
      <c r="J10" s="3371"/>
      <c r="K10" s="3371"/>
      <c r="L10" s="3372"/>
      <c r="M10" s="3373" t="s">
        <v>2692</v>
      </c>
      <c r="N10" s="3374"/>
      <c r="O10" s="3375">
        <f>E10+F10+G10+H10+I10+J10+K10-P10</f>
        <v>366</v>
      </c>
      <c r="P10" s="3376"/>
      <c r="Q10" s="3376"/>
      <c r="R10" s="2244"/>
    </row>
    <row r="11" spans="1:18" ht="20.100000000000001" customHeight="1">
      <c r="A11" s="2228">
        <v>5</v>
      </c>
      <c r="B11" s="2229" t="s">
        <v>2684</v>
      </c>
      <c r="C11" s="2229" t="s">
        <v>2685</v>
      </c>
      <c r="D11" s="3377" t="s">
        <v>3119</v>
      </c>
      <c r="E11" s="3371"/>
      <c r="F11" s="3371"/>
      <c r="G11" s="3371"/>
      <c r="H11" s="3371"/>
      <c r="I11" s="3371"/>
      <c r="J11" s="3371"/>
      <c r="K11" s="3371">
        <v>1</v>
      </c>
      <c r="L11" s="3372"/>
      <c r="M11" s="3373" t="s">
        <v>3120</v>
      </c>
      <c r="N11" s="3374"/>
      <c r="O11" s="3375">
        <f t="shared" ref="O11:O72" si="0">E11+F11+G11+H11+I11+J11+K11-P11</f>
        <v>1</v>
      </c>
      <c r="P11" s="3376"/>
      <c r="Q11" s="3376"/>
      <c r="R11" s="2224"/>
    </row>
    <row r="12" spans="1:18" ht="20.100000000000001" customHeight="1">
      <c r="A12" s="2228">
        <v>6</v>
      </c>
      <c r="B12" s="2229" t="s">
        <v>2684</v>
      </c>
      <c r="C12" s="2229" t="s">
        <v>2685</v>
      </c>
      <c r="D12" s="3377" t="s">
        <v>26</v>
      </c>
      <c r="E12" s="3371"/>
      <c r="F12" s="3371"/>
      <c r="G12" s="3371"/>
      <c r="H12" s="3371"/>
      <c r="I12" s="3371"/>
      <c r="J12" s="3371"/>
      <c r="K12" s="3371">
        <v>1</v>
      </c>
      <c r="L12" s="3372"/>
      <c r="M12" s="3378" t="s">
        <v>3121</v>
      </c>
      <c r="N12" s="3374"/>
      <c r="O12" s="3375">
        <f t="shared" si="0"/>
        <v>1</v>
      </c>
      <c r="P12" s="3376"/>
      <c r="Q12" s="3376"/>
      <c r="R12" s="2224"/>
    </row>
    <row r="13" spans="1:18" ht="20.100000000000001" customHeight="1">
      <c r="A13" s="2228">
        <v>7</v>
      </c>
      <c r="B13" s="2229" t="s">
        <v>2684</v>
      </c>
      <c r="C13" s="2229" t="s">
        <v>2685</v>
      </c>
      <c r="D13" s="3377" t="s">
        <v>26</v>
      </c>
      <c r="E13" s="3371"/>
      <c r="F13" s="3371"/>
      <c r="G13" s="3371"/>
      <c r="H13" s="3371"/>
      <c r="I13" s="3371"/>
      <c r="J13" s="3371"/>
      <c r="K13" s="3371">
        <v>1</v>
      </c>
      <c r="L13" s="3372"/>
      <c r="M13" s="3373" t="s">
        <v>3122</v>
      </c>
      <c r="N13" s="3374"/>
      <c r="O13" s="3375">
        <f t="shared" si="0"/>
        <v>1</v>
      </c>
      <c r="P13" s="3376"/>
      <c r="Q13" s="3376"/>
      <c r="R13" s="2224"/>
    </row>
    <row r="14" spans="1:18" ht="20.100000000000001" customHeight="1">
      <c r="A14" s="2228">
        <v>8</v>
      </c>
      <c r="B14" s="2229" t="s">
        <v>2684</v>
      </c>
      <c r="C14" s="2229" t="s">
        <v>2685</v>
      </c>
      <c r="D14" s="3377" t="s">
        <v>29</v>
      </c>
      <c r="E14" s="3371"/>
      <c r="F14" s="3371"/>
      <c r="G14" s="3371"/>
      <c r="H14" s="3371"/>
      <c r="I14" s="3371"/>
      <c r="J14" s="3371"/>
      <c r="K14" s="3371">
        <v>1</v>
      </c>
      <c r="L14" s="3372"/>
      <c r="M14" s="3373" t="s">
        <v>3123</v>
      </c>
      <c r="N14" s="3374"/>
      <c r="O14" s="3375">
        <f t="shared" si="0"/>
        <v>1</v>
      </c>
      <c r="P14" s="3376"/>
      <c r="Q14" s="3376"/>
      <c r="R14" s="2224"/>
    </row>
    <row r="15" spans="1:18" ht="20.100000000000001" customHeight="1">
      <c r="A15" s="2228">
        <v>9</v>
      </c>
      <c r="B15" s="2229" t="s">
        <v>2684</v>
      </c>
      <c r="C15" s="2229" t="s">
        <v>2685</v>
      </c>
      <c r="D15" s="3377" t="s">
        <v>29</v>
      </c>
      <c r="E15" s="3371"/>
      <c r="F15" s="3371"/>
      <c r="G15" s="3371"/>
      <c r="H15" s="3371"/>
      <c r="I15" s="3371"/>
      <c r="J15" s="3371"/>
      <c r="K15" s="3371">
        <v>1</v>
      </c>
      <c r="L15" s="3372"/>
      <c r="M15" s="3373" t="s">
        <v>3124</v>
      </c>
      <c r="N15" s="3374"/>
      <c r="O15" s="3375">
        <f t="shared" si="0"/>
        <v>1</v>
      </c>
      <c r="P15" s="3376"/>
      <c r="Q15" s="3376"/>
      <c r="R15" s="2224"/>
    </row>
    <row r="16" spans="1:18" ht="20.100000000000001" customHeight="1">
      <c r="A16" s="2228">
        <v>10</v>
      </c>
      <c r="B16" s="2229" t="s">
        <v>2684</v>
      </c>
      <c r="C16" s="2229" t="s">
        <v>2685</v>
      </c>
      <c r="D16" s="3377" t="s">
        <v>29</v>
      </c>
      <c r="E16" s="3371"/>
      <c r="F16" s="3371"/>
      <c r="G16" s="3371"/>
      <c r="H16" s="3371"/>
      <c r="I16" s="3371"/>
      <c r="J16" s="3371"/>
      <c r="K16" s="3371">
        <v>1</v>
      </c>
      <c r="L16" s="3372"/>
      <c r="M16" s="3373" t="s">
        <v>3125</v>
      </c>
      <c r="N16" s="3374"/>
      <c r="O16" s="3375">
        <f t="shared" si="0"/>
        <v>1</v>
      </c>
      <c r="P16" s="3376"/>
      <c r="Q16" s="3376"/>
      <c r="R16" s="2224"/>
    </row>
    <row r="17" spans="1:18" ht="20.100000000000001" customHeight="1">
      <c r="A17" s="2228">
        <v>11</v>
      </c>
      <c r="B17" s="2229" t="s">
        <v>2684</v>
      </c>
      <c r="C17" s="2229" t="s">
        <v>2685</v>
      </c>
      <c r="D17" s="3377" t="s">
        <v>29</v>
      </c>
      <c r="E17" s="3371"/>
      <c r="F17" s="3371"/>
      <c r="G17" s="3371"/>
      <c r="H17" s="3371"/>
      <c r="I17" s="3371"/>
      <c r="J17" s="3371"/>
      <c r="K17" s="3371">
        <v>1</v>
      </c>
      <c r="L17" s="3372"/>
      <c r="M17" s="3373" t="s">
        <v>3126</v>
      </c>
      <c r="N17" s="3374"/>
      <c r="O17" s="3375">
        <f t="shared" si="0"/>
        <v>1</v>
      </c>
      <c r="P17" s="3376"/>
      <c r="Q17" s="3376"/>
      <c r="R17" s="2224"/>
    </row>
    <row r="18" spans="1:18" ht="20.100000000000001" customHeight="1">
      <c r="A18" s="2228">
        <v>12</v>
      </c>
      <c r="B18" s="2229" t="s">
        <v>2684</v>
      </c>
      <c r="C18" s="2229" t="s">
        <v>2685</v>
      </c>
      <c r="D18" s="3377" t="s">
        <v>3127</v>
      </c>
      <c r="E18" s="3371"/>
      <c r="F18" s="3371"/>
      <c r="G18" s="3371"/>
      <c r="H18" s="3371"/>
      <c r="I18" s="3371"/>
      <c r="J18" s="3371"/>
      <c r="K18" s="3371">
        <v>3</v>
      </c>
      <c r="L18" s="3379" t="s">
        <v>3128</v>
      </c>
      <c r="M18" s="3373" t="s">
        <v>3129</v>
      </c>
      <c r="N18" s="3372">
        <v>167000</v>
      </c>
      <c r="O18" s="3375">
        <f t="shared" si="0"/>
        <v>3</v>
      </c>
      <c r="P18" s="3376"/>
      <c r="Q18" s="3376"/>
      <c r="R18" s="2224"/>
    </row>
    <row r="19" spans="1:18" ht="20.100000000000001" customHeight="1">
      <c r="A19" s="2228">
        <v>13</v>
      </c>
      <c r="B19" s="2229" t="s">
        <v>2684</v>
      </c>
      <c r="C19" s="2229" t="s">
        <v>2685</v>
      </c>
      <c r="D19" s="3377" t="s">
        <v>3127</v>
      </c>
      <c r="E19" s="3371"/>
      <c r="F19" s="3371"/>
      <c r="G19" s="3371"/>
      <c r="H19" s="3371"/>
      <c r="I19" s="3371"/>
      <c r="J19" s="3371"/>
      <c r="K19" s="3371">
        <v>3</v>
      </c>
      <c r="L19" s="3380" t="s">
        <v>3130</v>
      </c>
      <c r="M19" s="3373" t="s">
        <v>3131</v>
      </c>
      <c r="N19" s="3374">
        <v>10000</v>
      </c>
      <c r="O19" s="3375">
        <f t="shared" si="0"/>
        <v>3</v>
      </c>
      <c r="P19" s="3376"/>
      <c r="Q19" s="3376"/>
      <c r="R19" s="2224"/>
    </row>
    <row r="20" spans="1:18" ht="20.100000000000001" customHeight="1">
      <c r="A20" s="2228">
        <v>14</v>
      </c>
      <c r="B20" s="2229" t="s">
        <v>2684</v>
      </c>
      <c r="C20" s="2229" t="s">
        <v>2685</v>
      </c>
      <c r="D20" s="3377" t="s">
        <v>3127</v>
      </c>
      <c r="E20" s="3371"/>
      <c r="F20" s="3371"/>
      <c r="G20" s="3371"/>
      <c r="H20" s="3371"/>
      <c r="I20" s="3371"/>
      <c r="J20" s="3371"/>
      <c r="K20" s="3371">
        <v>1</v>
      </c>
      <c r="L20" s="3372"/>
      <c r="M20" s="3373" t="s">
        <v>3132</v>
      </c>
      <c r="N20" s="3374"/>
      <c r="O20" s="3375">
        <f t="shared" si="0"/>
        <v>1</v>
      </c>
      <c r="P20" s="3376"/>
      <c r="Q20" s="3376"/>
      <c r="R20" s="2224"/>
    </row>
    <row r="21" spans="1:18" ht="20.100000000000001" customHeight="1">
      <c r="A21" s="2228">
        <v>15</v>
      </c>
      <c r="B21" s="2229" t="s">
        <v>2684</v>
      </c>
      <c r="C21" s="2229" t="s">
        <v>2685</v>
      </c>
      <c r="D21" s="3377" t="s">
        <v>3127</v>
      </c>
      <c r="E21" s="3371"/>
      <c r="F21" s="3371"/>
      <c r="G21" s="3371"/>
      <c r="H21" s="3371"/>
      <c r="I21" s="3371"/>
      <c r="J21" s="3371"/>
      <c r="K21" s="3371">
        <v>1</v>
      </c>
      <c r="L21" s="3372"/>
      <c r="M21" s="3373" t="s">
        <v>3133</v>
      </c>
      <c r="N21" s="3374"/>
      <c r="O21" s="3375">
        <f t="shared" si="0"/>
        <v>1</v>
      </c>
      <c r="P21" s="3376"/>
      <c r="Q21" s="3376"/>
      <c r="R21" s="2224"/>
    </row>
    <row r="22" spans="1:18" ht="20.100000000000001" customHeight="1">
      <c r="A22" s="2228">
        <v>16</v>
      </c>
      <c r="B22" s="2229" t="s">
        <v>2684</v>
      </c>
      <c r="C22" s="2229" t="s">
        <v>2685</v>
      </c>
      <c r="D22" s="3377" t="s">
        <v>3127</v>
      </c>
      <c r="E22" s="3371"/>
      <c r="F22" s="3371"/>
      <c r="G22" s="3371"/>
      <c r="H22" s="3371"/>
      <c r="I22" s="3371"/>
      <c r="J22" s="3371"/>
      <c r="K22" s="3371">
        <v>1</v>
      </c>
      <c r="L22" s="3372"/>
      <c r="M22" s="3373" t="s">
        <v>3134</v>
      </c>
      <c r="N22" s="3374"/>
      <c r="O22" s="3375">
        <f t="shared" si="0"/>
        <v>1</v>
      </c>
      <c r="P22" s="3376"/>
      <c r="Q22" s="3376"/>
      <c r="R22" s="2224"/>
    </row>
    <row r="23" spans="1:18" ht="20.100000000000001" customHeight="1">
      <c r="A23" s="2228">
        <v>17</v>
      </c>
      <c r="B23" s="2229" t="s">
        <v>2684</v>
      </c>
      <c r="C23" s="2229" t="s">
        <v>2685</v>
      </c>
      <c r="D23" s="3377" t="s">
        <v>29</v>
      </c>
      <c r="E23" s="3371"/>
      <c r="F23" s="3371"/>
      <c r="G23" s="3371"/>
      <c r="H23" s="3371"/>
      <c r="I23" s="3371"/>
      <c r="J23" s="3371"/>
      <c r="K23" s="3371">
        <v>3</v>
      </c>
      <c r="L23" s="3372"/>
      <c r="M23" s="3373" t="s">
        <v>3135</v>
      </c>
      <c r="N23" s="3374">
        <v>302185.11</v>
      </c>
      <c r="O23" s="3375">
        <f t="shared" si="0"/>
        <v>3</v>
      </c>
      <c r="P23" s="3376"/>
      <c r="Q23" s="3376"/>
      <c r="R23" s="2224"/>
    </row>
    <row r="24" spans="1:18" ht="20.100000000000001" customHeight="1">
      <c r="A24" s="2228">
        <v>18</v>
      </c>
      <c r="B24" s="2229" t="s">
        <v>2684</v>
      </c>
      <c r="C24" s="2229" t="s">
        <v>2685</v>
      </c>
      <c r="D24" s="3377" t="s">
        <v>3119</v>
      </c>
      <c r="E24" s="3371"/>
      <c r="F24" s="3371"/>
      <c r="G24" s="3371"/>
      <c r="H24" s="3371"/>
      <c r="I24" s="3371"/>
      <c r="J24" s="3371"/>
      <c r="K24" s="3371">
        <v>1</v>
      </c>
      <c r="L24" s="3372"/>
      <c r="M24" s="3373" t="s">
        <v>3136</v>
      </c>
      <c r="N24" s="3374"/>
      <c r="O24" s="3375">
        <f t="shared" si="0"/>
        <v>1</v>
      </c>
      <c r="P24" s="3376"/>
      <c r="Q24" s="3376"/>
      <c r="R24" s="2224"/>
    </row>
    <row r="25" spans="1:18" ht="20.100000000000001" customHeight="1">
      <c r="A25" s="2228">
        <v>19</v>
      </c>
      <c r="B25" s="2229" t="s">
        <v>2684</v>
      </c>
      <c r="C25" s="2229" t="s">
        <v>2685</v>
      </c>
      <c r="D25" s="3377" t="s">
        <v>3119</v>
      </c>
      <c r="E25" s="3371"/>
      <c r="F25" s="3371"/>
      <c r="G25" s="3371"/>
      <c r="H25" s="3371"/>
      <c r="I25" s="3371"/>
      <c r="J25" s="3371"/>
      <c r="K25" s="3371">
        <v>1</v>
      </c>
      <c r="L25" s="3372"/>
      <c r="M25" s="3373" t="s">
        <v>3137</v>
      </c>
      <c r="N25" s="3374"/>
      <c r="O25" s="3375">
        <f t="shared" si="0"/>
        <v>1</v>
      </c>
      <c r="P25" s="3376"/>
      <c r="Q25" s="3376"/>
      <c r="R25" s="2224"/>
    </row>
    <row r="26" spans="1:18" ht="20.100000000000001" customHeight="1">
      <c r="A26" s="2228">
        <v>20</v>
      </c>
      <c r="B26" s="2229" t="s">
        <v>2684</v>
      </c>
      <c r="C26" s="2229" t="s">
        <v>2685</v>
      </c>
      <c r="D26" s="3377" t="s">
        <v>172</v>
      </c>
      <c r="E26" s="3371"/>
      <c r="F26" s="3371"/>
      <c r="G26" s="3371"/>
      <c r="H26" s="3371"/>
      <c r="I26" s="3371"/>
      <c r="J26" s="3371"/>
      <c r="K26" s="3371">
        <v>1</v>
      </c>
      <c r="L26" s="3372"/>
      <c r="M26" s="3373" t="s">
        <v>3138</v>
      </c>
      <c r="N26" s="3374"/>
      <c r="O26" s="3375">
        <f t="shared" si="0"/>
        <v>1</v>
      </c>
      <c r="P26" s="3376"/>
      <c r="Q26" s="3376"/>
      <c r="R26" s="2224"/>
    </row>
    <row r="27" spans="1:18" ht="20.100000000000001" customHeight="1">
      <c r="A27" s="2228">
        <v>21</v>
      </c>
      <c r="B27" s="2229" t="s">
        <v>2684</v>
      </c>
      <c r="C27" s="2229" t="s">
        <v>2685</v>
      </c>
      <c r="D27" s="3377" t="s">
        <v>3119</v>
      </c>
      <c r="E27" s="3371"/>
      <c r="F27" s="3371"/>
      <c r="G27" s="3371"/>
      <c r="H27" s="3371"/>
      <c r="I27" s="3371"/>
      <c r="J27" s="3371"/>
      <c r="K27" s="3371">
        <v>1</v>
      </c>
      <c r="L27" s="3372"/>
      <c r="M27" s="3373" t="s">
        <v>3139</v>
      </c>
      <c r="N27" s="3374"/>
      <c r="O27" s="3375">
        <f t="shared" si="0"/>
        <v>1</v>
      </c>
      <c r="P27" s="3376"/>
      <c r="Q27" s="3376"/>
      <c r="R27" s="2224"/>
    </row>
    <row r="28" spans="1:18" ht="20.100000000000001" customHeight="1">
      <c r="A28" s="2228">
        <v>22</v>
      </c>
      <c r="B28" s="2229" t="s">
        <v>2684</v>
      </c>
      <c r="C28" s="2229" t="s">
        <v>2685</v>
      </c>
      <c r="D28" s="3377" t="s">
        <v>29</v>
      </c>
      <c r="E28" s="3371"/>
      <c r="F28" s="3371"/>
      <c r="G28" s="3371"/>
      <c r="H28" s="3371"/>
      <c r="I28" s="3371"/>
      <c r="J28" s="3371"/>
      <c r="K28" s="3371">
        <v>1</v>
      </c>
      <c r="L28" s="3372"/>
      <c r="M28" s="3373" t="s">
        <v>3140</v>
      </c>
      <c r="N28" s="3374"/>
      <c r="O28" s="3375">
        <f t="shared" si="0"/>
        <v>1</v>
      </c>
      <c r="P28" s="3376"/>
      <c r="Q28" s="3376"/>
      <c r="R28" s="2224"/>
    </row>
    <row r="29" spans="1:18" ht="20.100000000000001" customHeight="1">
      <c r="A29" s="2228">
        <v>23</v>
      </c>
      <c r="B29" s="2240" t="s">
        <v>2689</v>
      </c>
      <c r="C29" s="2229" t="s">
        <v>2685</v>
      </c>
      <c r="D29" s="2229" t="s">
        <v>26</v>
      </c>
      <c r="E29" s="2232"/>
      <c r="F29" s="2232"/>
      <c r="G29" s="2232"/>
      <c r="H29" s="2232"/>
      <c r="I29" s="2232"/>
      <c r="J29" s="2232"/>
      <c r="K29" s="2232">
        <v>1</v>
      </c>
      <c r="L29" s="2241"/>
      <c r="M29" s="2242" t="s">
        <v>2690</v>
      </c>
      <c r="N29" s="2237">
        <v>10469.44</v>
      </c>
      <c r="O29" s="2236">
        <f t="shared" si="0"/>
        <v>1</v>
      </c>
      <c r="P29" s="2243"/>
      <c r="Q29" s="2243"/>
      <c r="R29" s="2224"/>
    </row>
    <row r="30" spans="1:18" ht="20.100000000000001" customHeight="1">
      <c r="A30" s="2228">
        <v>24</v>
      </c>
      <c r="B30" s="2229" t="s">
        <v>2689</v>
      </c>
      <c r="C30" s="2229" t="s">
        <v>2685</v>
      </c>
      <c r="D30" s="2229" t="s">
        <v>33</v>
      </c>
      <c r="E30" s="2232"/>
      <c r="F30" s="2232"/>
      <c r="G30" s="2232"/>
      <c r="H30" s="2232">
        <v>177</v>
      </c>
      <c r="I30" s="2232"/>
      <c r="J30" s="2232"/>
      <c r="K30" s="2232"/>
      <c r="L30" s="2234"/>
      <c r="M30" s="2235" t="s">
        <v>34</v>
      </c>
      <c r="N30" s="2237"/>
      <c r="O30" s="2236">
        <f t="shared" si="0"/>
        <v>177</v>
      </c>
      <c r="P30" s="382"/>
      <c r="Q30" s="382"/>
      <c r="R30" s="2224"/>
    </row>
    <row r="31" spans="1:18" ht="20.100000000000001" customHeight="1">
      <c r="A31" s="2228">
        <v>25</v>
      </c>
      <c r="B31" s="2229" t="s">
        <v>2689</v>
      </c>
      <c r="C31" s="2229" t="s">
        <v>2685</v>
      </c>
      <c r="D31" s="2229" t="s">
        <v>33</v>
      </c>
      <c r="E31" s="2232"/>
      <c r="F31" s="2232"/>
      <c r="G31" s="2232"/>
      <c r="H31" s="2232"/>
      <c r="I31" s="2232">
        <v>5230</v>
      </c>
      <c r="J31" s="2232"/>
      <c r="K31" s="2232"/>
      <c r="L31" s="2237"/>
      <c r="M31" s="2235" t="s">
        <v>35</v>
      </c>
      <c r="N31" s="2237"/>
      <c r="O31" s="2236">
        <v>5230</v>
      </c>
      <c r="P31" s="382"/>
      <c r="Q31" s="382"/>
      <c r="R31" s="2224"/>
    </row>
    <row r="32" spans="1:18" ht="20.100000000000001" customHeight="1">
      <c r="A32" s="2228">
        <v>26</v>
      </c>
      <c r="B32" s="2229" t="s">
        <v>2689</v>
      </c>
      <c r="C32" s="2229" t="s">
        <v>2685</v>
      </c>
      <c r="D32" s="2229" t="s">
        <v>36</v>
      </c>
      <c r="E32" s="2232"/>
      <c r="F32" s="2232">
        <v>269</v>
      </c>
      <c r="G32" s="2232"/>
      <c r="H32" s="2232"/>
      <c r="I32" s="2232"/>
      <c r="J32" s="2232"/>
      <c r="K32" s="2232"/>
      <c r="L32" s="2237"/>
      <c r="M32" s="2235" t="s">
        <v>2691</v>
      </c>
      <c r="N32" s="2245"/>
      <c r="O32" s="2236">
        <f t="shared" si="0"/>
        <v>269</v>
      </c>
      <c r="P32" s="382"/>
      <c r="Q32" s="382"/>
      <c r="R32" s="2224"/>
    </row>
    <row r="33" spans="1:18" ht="20.100000000000001" customHeight="1">
      <c r="A33" s="2228">
        <v>27</v>
      </c>
      <c r="B33" s="2229" t="s">
        <v>2689</v>
      </c>
      <c r="C33" s="2229" t="s">
        <v>2685</v>
      </c>
      <c r="D33" s="2229" t="s">
        <v>36</v>
      </c>
      <c r="E33" s="2232">
        <v>15</v>
      </c>
      <c r="F33" s="2232"/>
      <c r="G33" s="2232"/>
      <c r="H33" s="2232"/>
      <c r="I33" s="2232"/>
      <c r="J33" s="2232"/>
      <c r="K33" s="2232"/>
      <c r="L33" s="2237"/>
      <c r="M33" s="2235" t="s">
        <v>2692</v>
      </c>
      <c r="N33" s="2237"/>
      <c r="O33" s="2236">
        <f t="shared" si="0"/>
        <v>15</v>
      </c>
      <c r="P33" s="382"/>
      <c r="Q33" s="382"/>
      <c r="R33" s="2224"/>
    </row>
    <row r="34" spans="1:18" ht="20.100000000000001" customHeight="1">
      <c r="A34" s="2228">
        <v>28</v>
      </c>
      <c r="B34" s="2229" t="s">
        <v>2693</v>
      </c>
      <c r="C34" s="2229" t="s">
        <v>2685</v>
      </c>
      <c r="D34" s="2229" t="s">
        <v>26</v>
      </c>
      <c r="E34" s="2232"/>
      <c r="F34" s="2232"/>
      <c r="G34" s="2232"/>
      <c r="H34" s="2232"/>
      <c r="I34" s="2232"/>
      <c r="J34" s="2232"/>
      <c r="K34" s="2232">
        <v>1</v>
      </c>
      <c r="L34" s="2237"/>
      <c r="M34" s="2235" t="s">
        <v>2694</v>
      </c>
      <c r="N34" s="2246">
        <v>455972.98</v>
      </c>
      <c r="O34" s="2236">
        <f t="shared" si="0"/>
        <v>1</v>
      </c>
      <c r="P34" s="382"/>
      <c r="Q34" s="382"/>
      <c r="R34" s="2224"/>
    </row>
    <row r="35" spans="1:18" ht="20.100000000000001" customHeight="1">
      <c r="A35" s="2228">
        <v>29</v>
      </c>
      <c r="B35" s="2229" t="s">
        <v>2695</v>
      </c>
      <c r="C35" s="2229" t="s">
        <v>2685</v>
      </c>
      <c r="D35" s="2229" t="s">
        <v>29</v>
      </c>
      <c r="E35" s="2232"/>
      <c r="F35" s="2232"/>
      <c r="G35" s="2232"/>
      <c r="H35" s="2232"/>
      <c r="I35" s="2232"/>
      <c r="J35" s="2232"/>
      <c r="K35" s="2232">
        <v>1</v>
      </c>
      <c r="L35" s="2237"/>
      <c r="M35" s="2235" t="s">
        <v>49</v>
      </c>
      <c r="N35" s="2235">
        <v>-218262384.5</v>
      </c>
      <c r="O35" s="2236">
        <f t="shared" si="0"/>
        <v>1</v>
      </c>
      <c r="P35" s="382"/>
      <c r="Q35" s="382"/>
      <c r="R35" s="2224"/>
    </row>
    <row r="36" spans="1:18" ht="20.100000000000001" customHeight="1">
      <c r="A36" s="2228">
        <v>30</v>
      </c>
      <c r="B36" s="2229" t="s">
        <v>2695</v>
      </c>
      <c r="C36" s="2229" t="s">
        <v>2685</v>
      </c>
      <c r="D36" s="2229" t="s">
        <v>29</v>
      </c>
      <c r="E36" s="2232"/>
      <c r="F36" s="2232"/>
      <c r="G36" s="2232"/>
      <c r="H36" s="2232"/>
      <c r="I36" s="2232"/>
      <c r="J36" s="2232"/>
      <c r="K36" s="2232">
        <v>1</v>
      </c>
      <c r="L36" s="2237"/>
      <c r="M36" s="2235" t="s">
        <v>32</v>
      </c>
      <c r="N36" s="2235">
        <v>-138857.29999999999</v>
      </c>
      <c r="O36" s="2236">
        <f t="shared" si="0"/>
        <v>1</v>
      </c>
      <c r="P36" s="382"/>
      <c r="Q36" s="382"/>
      <c r="R36" s="2224"/>
    </row>
    <row r="37" spans="1:18" ht="20.100000000000001" customHeight="1">
      <c r="A37" s="2228">
        <v>31</v>
      </c>
      <c r="B37" s="2229" t="s">
        <v>2695</v>
      </c>
      <c r="C37" s="2229" t="s">
        <v>2685</v>
      </c>
      <c r="D37" s="2229" t="s">
        <v>29</v>
      </c>
      <c r="E37" s="2232"/>
      <c r="F37" s="2232"/>
      <c r="G37" s="2232"/>
      <c r="H37" s="2232"/>
      <c r="I37" s="2232"/>
      <c r="J37" s="2232"/>
      <c r="K37" s="2232">
        <v>1</v>
      </c>
      <c r="L37" s="2237"/>
      <c r="M37" s="2235" t="s">
        <v>2696</v>
      </c>
      <c r="N37" s="2235">
        <v>-32000</v>
      </c>
      <c r="O37" s="2236">
        <f t="shared" si="0"/>
        <v>1</v>
      </c>
      <c r="P37" s="382"/>
      <c r="Q37" s="382"/>
      <c r="R37" s="2224"/>
    </row>
    <row r="38" spans="1:18" ht="20.100000000000001" customHeight="1">
      <c r="A38" s="2228">
        <v>32</v>
      </c>
      <c r="B38" s="2229" t="s">
        <v>2695</v>
      </c>
      <c r="C38" s="2229" t="s">
        <v>2685</v>
      </c>
      <c r="D38" s="2229" t="s">
        <v>29</v>
      </c>
      <c r="E38" s="2232"/>
      <c r="F38" s="2232"/>
      <c r="G38" s="2232"/>
      <c r="H38" s="2232"/>
      <c r="I38" s="2232"/>
      <c r="J38" s="2232"/>
      <c r="K38" s="2232">
        <v>1</v>
      </c>
      <c r="L38" s="2237"/>
      <c r="M38" s="2235" t="s">
        <v>2697</v>
      </c>
      <c r="N38" s="2235">
        <v>-19666</v>
      </c>
      <c r="O38" s="2236">
        <f t="shared" si="0"/>
        <v>1</v>
      </c>
      <c r="P38" s="382"/>
      <c r="Q38" s="382"/>
      <c r="R38" s="2224"/>
    </row>
    <row r="39" spans="1:18" ht="20.100000000000001" customHeight="1">
      <c r="A39" s="2228">
        <v>33</v>
      </c>
      <c r="B39" s="2229" t="s">
        <v>2695</v>
      </c>
      <c r="C39" s="2229" t="s">
        <v>2685</v>
      </c>
      <c r="D39" s="2229" t="s">
        <v>29</v>
      </c>
      <c r="E39" s="2232"/>
      <c r="F39" s="2232"/>
      <c r="G39" s="2232"/>
      <c r="H39" s="2232"/>
      <c r="I39" s="2232"/>
      <c r="J39" s="2232"/>
      <c r="K39" s="2232">
        <v>1</v>
      </c>
      <c r="L39" s="2237"/>
      <c r="M39" s="2235" t="s">
        <v>2698</v>
      </c>
      <c r="N39" s="2235">
        <v>-532</v>
      </c>
      <c r="O39" s="2236">
        <f t="shared" si="0"/>
        <v>1</v>
      </c>
      <c r="P39" s="382"/>
      <c r="Q39" s="382"/>
      <c r="R39" s="2224"/>
    </row>
    <row r="40" spans="1:18" ht="20.100000000000001" customHeight="1">
      <c r="A40" s="2228">
        <v>34</v>
      </c>
      <c r="B40" s="2229" t="s">
        <v>2695</v>
      </c>
      <c r="C40" s="2229" t="s">
        <v>2685</v>
      </c>
      <c r="D40" s="2229" t="s">
        <v>29</v>
      </c>
      <c r="E40" s="2232"/>
      <c r="F40" s="2232"/>
      <c r="G40" s="2232"/>
      <c r="H40" s="2232"/>
      <c r="I40" s="2232"/>
      <c r="J40" s="2232"/>
      <c r="K40" s="2232">
        <v>1</v>
      </c>
      <c r="L40" s="2237"/>
      <c r="M40" s="2235" t="s">
        <v>2699</v>
      </c>
      <c r="N40" s="2235">
        <v>-3955</v>
      </c>
      <c r="O40" s="2236">
        <v>1</v>
      </c>
      <c r="P40" s="382"/>
      <c r="Q40" s="382"/>
      <c r="R40" s="2224"/>
    </row>
    <row r="41" spans="1:18" ht="20.100000000000001" customHeight="1">
      <c r="A41" s="2228">
        <v>35</v>
      </c>
      <c r="B41" s="2229" t="s">
        <v>2695</v>
      </c>
      <c r="C41" s="2229" t="s">
        <v>2685</v>
      </c>
      <c r="D41" s="2229" t="s">
        <v>29</v>
      </c>
      <c r="E41" s="2232"/>
      <c r="F41" s="2232"/>
      <c r="G41" s="2232"/>
      <c r="H41" s="2232"/>
      <c r="I41" s="2232"/>
      <c r="J41" s="2232"/>
      <c r="K41" s="2232">
        <v>149</v>
      </c>
      <c r="L41" s="2237"/>
      <c r="M41" s="2235" t="s">
        <v>2700</v>
      </c>
      <c r="N41" s="2235">
        <v>2017881.45</v>
      </c>
      <c r="O41" s="2236">
        <f t="shared" si="0"/>
        <v>149</v>
      </c>
      <c r="P41" s="382"/>
      <c r="Q41" s="382"/>
      <c r="R41" s="2224"/>
    </row>
    <row r="42" spans="1:18" ht="20.100000000000001" customHeight="1">
      <c r="A42" s="2228">
        <v>36</v>
      </c>
      <c r="B42" s="2229" t="s">
        <v>2695</v>
      </c>
      <c r="C42" s="2229" t="s">
        <v>2685</v>
      </c>
      <c r="D42" s="2229" t="s">
        <v>36</v>
      </c>
      <c r="E42" s="2232"/>
      <c r="F42" s="2232">
        <v>550</v>
      </c>
      <c r="G42" s="2232"/>
      <c r="H42" s="2232"/>
      <c r="I42" s="2232"/>
      <c r="J42" s="2232"/>
      <c r="K42" s="2232"/>
      <c r="L42" s="2234"/>
      <c r="M42" s="2247" t="s">
        <v>52</v>
      </c>
      <c r="N42" s="2248"/>
      <c r="O42" s="2236">
        <f t="shared" si="0"/>
        <v>550</v>
      </c>
      <c r="P42" s="382"/>
      <c r="Q42" s="382"/>
      <c r="R42" s="2224"/>
    </row>
    <row r="43" spans="1:18" ht="20.100000000000001" customHeight="1">
      <c r="A43" s="2228">
        <v>37</v>
      </c>
      <c r="B43" s="2229" t="s">
        <v>2695</v>
      </c>
      <c r="C43" s="2229" t="s">
        <v>2685</v>
      </c>
      <c r="D43" s="2229" t="s">
        <v>33</v>
      </c>
      <c r="E43" s="2232"/>
      <c r="F43" s="2232"/>
      <c r="G43" s="2232"/>
      <c r="H43" s="2232"/>
      <c r="I43" s="2232">
        <v>8060</v>
      </c>
      <c r="J43" s="2232"/>
      <c r="K43" s="2232"/>
      <c r="L43" s="2237"/>
      <c r="M43" s="2235" t="s">
        <v>35</v>
      </c>
      <c r="N43" s="2237"/>
      <c r="O43" s="2236">
        <v>8060</v>
      </c>
      <c r="P43" s="382"/>
      <c r="Q43" s="382"/>
      <c r="R43" s="2224"/>
    </row>
    <row r="44" spans="1:18" ht="20.100000000000001" customHeight="1">
      <c r="A44" s="2228">
        <v>38</v>
      </c>
      <c r="B44" s="2229" t="s">
        <v>2701</v>
      </c>
      <c r="C44" s="2229" t="s">
        <v>2685</v>
      </c>
      <c r="D44" s="2229" t="s">
        <v>26</v>
      </c>
      <c r="E44" s="2232"/>
      <c r="F44" s="2232"/>
      <c r="G44" s="2232"/>
      <c r="H44" s="2232"/>
      <c r="I44" s="2232"/>
      <c r="J44" s="2232"/>
      <c r="K44" s="2232">
        <v>1</v>
      </c>
      <c r="L44" s="2237"/>
      <c r="M44" s="2235" t="s">
        <v>2702</v>
      </c>
      <c r="N44" s="2237">
        <v>156154.71</v>
      </c>
      <c r="O44" s="2236">
        <f t="shared" si="0"/>
        <v>1</v>
      </c>
      <c r="P44" s="382"/>
      <c r="Q44" s="382"/>
      <c r="R44" s="2224"/>
    </row>
    <row r="45" spans="1:18" ht="20.100000000000001" customHeight="1">
      <c r="A45" s="2228">
        <v>39</v>
      </c>
      <c r="B45" s="2229" t="s">
        <v>2701</v>
      </c>
      <c r="C45" s="2229" t="s">
        <v>2685</v>
      </c>
      <c r="D45" s="2229" t="s">
        <v>29</v>
      </c>
      <c r="E45" s="2232"/>
      <c r="F45" s="2232"/>
      <c r="G45" s="2232"/>
      <c r="H45" s="2232"/>
      <c r="I45" s="2232"/>
      <c r="J45" s="2232"/>
      <c r="K45" s="2232">
        <v>1</v>
      </c>
      <c r="L45" s="2237"/>
      <c r="M45" s="2235" t="s">
        <v>2703</v>
      </c>
      <c r="N45" s="2237">
        <v>1489978.18</v>
      </c>
      <c r="O45" s="2236">
        <f t="shared" si="0"/>
        <v>1</v>
      </c>
      <c r="P45" s="382"/>
      <c r="Q45" s="382"/>
      <c r="R45" s="2244"/>
    </row>
    <row r="46" spans="1:18" ht="20.100000000000001" customHeight="1">
      <c r="A46" s="2228">
        <v>40</v>
      </c>
      <c r="B46" s="2229" t="s">
        <v>2701</v>
      </c>
      <c r="C46" s="2229" t="s">
        <v>2685</v>
      </c>
      <c r="D46" s="2229" t="s">
        <v>29</v>
      </c>
      <c r="E46" s="2232"/>
      <c r="F46" s="2232"/>
      <c r="G46" s="2232"/>
      <c r="H46" s="2232"/>
      <c r="I46" s="2232"/>
      <c r="J46" s="2232"/>
      <c r="K46" s="2232">
        <v>1</v>
      </c>
      <c r="L46" s="2237"/>
      <c r="M46" s="2249" t="s">
        <v>119</v>
      </c>
      <c r="N46" s="2237">
        <v>5855470.4400000004</v>
      </c>
      <c r="O46" s="2236">
        <f t="shared" si="0"/>
        <v>1</v>
      </c>
      <c r="P46" s="382"/>
      <c r="Q46" s="382"/>
      <c r="R46" s="2224"/>
    </row>
    <row r="47" spans="1:18" ht="20.100000000000001" customHeight="1">
      <c r="A47" s="2228">
        <v>41</v>
      </c>
      <c r="B47" s="2229" t="s">
        <v>2701</v>
      </c>
      <c r="C47" s="2229" t="s">
        <v>2685</v>
      </c>
      <c r="D47" s="2229" t="s">
        <v>29</v>
      </c>
      <c r="E47" s="2232"/>
      <c r="F47" s="2232"/>
      <c r="G47" s="2232"/>
      <c r="H47" s="2232"/>
      <c r="I47" s="2232"/>
      <c r="J47" s="2232"/>
      <c r="K47" s="2232">
        <v>1</v>
      </c>
      <c r="L47" s="2234"/>
      <c r="M47" s="2235" t="s">
        <v>49</v>
      </c>
      <c r="N47" s="2237">
        <v>71059852.159999996</v>
      </c>
      <c r="O47" s="2236">
        <f t="shared" si="0"/>
        <v>1</v>
      </c>
      <c r="P47" s="382"/>
      <c r="Q47" s="382"/>
      <c r="R47" s="2224"/>
    </row>
    <row r="48" spans="1:18" ht="20.100000000000001" customHeight="1">
      <c r="A48" s="2228">
        <v>42</v>
      </c>
      <c r="B48" s="2229" t="s">
        <v>2701</v>
      </c>
      <c r="C48" s="2229" t="s">
        <v>2685</v>
      </c>
      <c r="D48" s="2229" t="s">
        <v>29</v>
      </c>
      <c r="E48" s="2232"/>
      <c r="F48" s="2232"/>
      <c r="G48" s="2232"/>
      <c r="H48" s="2232"/>
      <c r="I48" s="2232"/>
      <c r="J48" s="2232"/>
      <c r="K48" s="2232">
        <v>4</v>
      </c>
      <c r="L48" s="2234"/>
      <c r="M48" s="2235" t="s">
        <v>2704</v>
      </c>
      <c r="N48" s="2237">
        <v>52005</v>
      </c>
      <c r="O48" s="2236">
        <f t="shared" si="0"/>
        <v>4</v>
      </c>
      <c r="P48" s="382"/>
      <c r="Q48" s="382"/>
      <c r="R48" s="2224"/>
    </row>
    <row r="49" spans="1:18" ht="20.100000000000001" customHeight="1">
      <c r="A49" s="2228">
        <v>43</v>
      </c>
      <c r="B49" s="2229" t="s">
        <v>2701</v>
      </c>
      <c r="C49" s="2229" t="s">
        <v>2685</v>
      </c>
      <c r="D49" s="2229" t="s">
        <v>29</v>
      </c>
      <c r="E49" s="2232"/>
      <c r="F49" s="2232"/>
      <c r="G49" s="2232"/>
      <c r="H49" s="2232"/>
      <c r="I49" s="2232"/>
      <c r="J49" s="2232"/>
      <c r="K49" s="2232">
        <v>3</v>
      </c>
      <c r="L49" s="2234"/>
      <c r="M49" s="2235" t="s">
        <v>2699</v>
      </c>
      <c r="N49" s="2250">
        <v>151211.35999999999</v>
      </c>
      <c r="O49" s="2236">
        <f t="shared" si="0"/>
        <v>3</v>
      </c>
      <c r="P49" s="382"/>
      <c r="Q49" s="382"/>
      <c r="R49" s="2224"/>
    </row>
    <row r="50" spans="1:18" ht="20.100000000000001" customHeight="1">
      <c r="A50" s="2228">
        <v>44</v>
      </c>
      <c r="B50" s="2229" t="s">
        <v>2701</v>
      </c>
      <c r="C50" s="2229" t="s">
        <v>2685</v>
      </c>
      <c r="D50" s="2229" t="s">
        <v>29</v>
      </c>
      <c r="E50" s="2232"/>
      <c r="F50" s="2232"/>
      <c r="G50" s="2232"/>
      <c r="H50" s="2232"/>
      <c r="I50" s="2232"/>
      <c r="J50" s="2232"/>
      <c r="K50" s="2232">
        <v>2</v>
      </c>
      <c r="L50" s="2234"/>
      <c r="M50" s="2235" t="s">
        <v>2705</v>
      </c>
      <c r="N50" s="2234">
        <v>4000</v>
      </c>
      <c r="O50" s="2236">
        <f t="shared" si="0"/>
        <v>2</v>
      </c>
      <c r="P50" s="382"/>
      <c r="Q50" s="382"/>
      <c r="R50" s="2224"/>
    </row>
    <row r="51" spans="1:18" ht="20.100000000000001" customHeight="1">
      <c r="A51" s="2228">
        <v>45</v>
      </c>
      <c r="B51" s="2229" t="s">
        <v>2701</v>
      </c>
      <c r="C51" s="2229" t="s">
        <v>2685</v>
      </c>
      <c r="D51" s="2229" t="s">
        <v>29</v>
      </c>
      <c r="E51" s="2232"/>
      <c r="F51" s="2232"/>
      <c r="G51" s="2232"/>
      <c r="H51" s="2232"/>
      <c r="I51" s="2232"/>
      <c r="J51" s="2232"/>
      <c r="K51" s="2232">
        <v>14</v>
      </c>
      <c r="L51" s="2234"/>
      <c r="M51" s="2235" t="s">
        <v>2706</v>
      </c>
      <c r="N51" s="2250">
        <v>112650</v>
      </c>
      <c r="O51" s="2236">
        <f t="shared" si="0"/>
        <v>14</v>
      </c>
      <c r="P51" s="382"/>
      <c r="Q51" s="382"/>
      <c r="R51" s="2224"/>
    </row>
    <row r="52" spans="1:18" ht="20.100000000000001" customHeight="1">
      <c r="A52" s="2228">
        <v>46</v>
      </c>
      <c r="B52" s="2229" t="s">
        <v>2701</v>
      </c>
      <c r="C52" s="2229" t="s">
        <v>2685</v>
      </c>
      <c r="D52" s="2229" t="s">
        <v>29</v>
      </c>
      <c r="E52" s="2232"/>
      <c r="F52" s="2232"/>
      <c r="G52" s="2232"/>
      <c r="H52" s="2232">
        <v>409</v>
      </c>
      <c r="I52" s="2232"/>
      <c r="J52" s="2232"/>
      <c r="K52" s="2232"/>
      <c r="L52" s="2234"/>
      <c r="M52" s="2247" t="s">
        <v>34</v>
      </c>
      <c r="N52" s="2248"/>
      <c r="O52" s="2236">
        <v>409</v>
      </c>
      <c r="P52" s="382"/>
      <c r="Q52" s="382"/>
      <c r="R52" s="2224"/>
    </row>
    <row r="53" spans="1:18" ht="20.100000000000001" customHeight="1">
      <c r="A53" s="2228">
        <v>47</v>
      </c>
      <c r="B53" s="2229" t="s">
        <v>2701</v>
      </c>
      <c r="C53" s="2229" t="s">
        <v>2685</v>
      </c>
      <c r="D53" s="2229" t="s">
        <v>33</v>
      </c>
      <c r="E53" s="2232"/>
      <c r="F53" s="2232"/>
      <c r="G53" s="2232"/>
      <c r="H53" s="2232"/>
      <c r="I53" s="2232">
        <v>8769</v>
      </c>
      <c r="J53" s="2232"/>
      <c r="K53" s="2232"/>
      <c r="L53" s="2237"/>
      <c r="M53" s="2247" t="s">
        <v>2707</v>
      </c>
      <c r="N53" s="2248"/>
      <c r="O53" s="2236">
        <f t="shared" si="0"/>
        <v>8769</v>
      </c>
      <c r="P53" s="382"/>
      <c r="Q53" s="382"/>
      <c r="R53" s="2224"/>
    </row>
    <row r="54" spans="1:18" ht="20.100000000000001" customHeight="1">
      <c r="A54" s="2228">
        <v>48</v>
      </c>
      <c r="B54" s="2229" t="s">
        <v>2701</v>
      </c>
      <c r="C54" s="2229" t="s">
        <v>2685</v>
      </c>
      <c r="D54" s="2229" t="s">
        <v>36</v>
      </c>
      <c r="E54" s="2232"/>
      <c r="F54" s="2232">
        <v>2274</v>
      </c>
      <c r="G54" s="2232"/>
      <c r="H54" s="2232"/>
      <c r="I54" s="2232"/>
      <c r="J54" s="2232"/>
      <c r="K54" s="2232"/>
      <c r="L54" s="2237"/>
      <c r="M54" s="2251" t="s">
        <v>2708</v>
      </c>
      <c r="N54" s="2237"/>
      <c r="O54" s="2236">
        <f t="shared" si="0"/>
        <v>2274</v>
      </c>
      <c r="P54" s="382"/>
      <c r="Q54" s="382"/>
      <c r="R54" s="2224"/>
    </row>
    <row r="55" spans="1:18" ht="20.100000000000001" customHeight="1">
      <c r="A55" s="2228">
        <v>49</v>
      </c>
      <c r="B55" s="2229" t="s">
        <v>2701</v>
      </c>
      <c r="C55" s="2229" t="s">
        <v>2685</v>
      </c>
      <c r="D55" s="2229" t="s">
        <v>36</v>
      </c>
      <c r="E55" s="2232">
        <v>563</v>
      </c>
      <c r="F55" s="2232"/>
      <c r="G55" s="2232"/>
      <c r="H55" s="2232"/>
      <c r="I55" s="2232"/>
      <c r="J55" s="2232"/>
      <c r="K55" s="2232"/>
      <c r="L55" s="2237"/>
      <c r="M55" s="2235" t="s">
        <v>2709</v>
      </c>
      <c r="N55" s="2235"/>
      <c r="O55" s="2236">
        <f t="shared" si="0"/>
        <v>563</v>
      </c>
      <c r="P55" s="382"/>
      <c r="Q55" s="382"/>
      <c r="R55" s="2224"/>
    </row>
    <row r="56" spans="1:18" ht="20.100000000000001" customHeight="1">
      <c r="A56" s="2228">
        <v>50</v>
      </c>
      <c r="B56" s="2229" t="s">
        <v>2710</v>
      </c>
      <c r="C56" s="2229" t="s">
        <v>2685</v>
      </c>
      <c r="D56" s="2229" t="s">
        <v>26</v>
      </c>
      <c r="E56" s="2232"/>
      <c r="F56" s="2232"/>
      <c r="G56" s="2232"/>
      <c r="H56" s="2232"/>
      <c r="I56" s="2232"/>
      <c r="J56" s="2232"/>
      <c r="K56" s="2232">
        <v>1</v>
      </c>
      <c r="L56" s="2237"/>
      <c r="M56" s="2235" t="s">
        <v>2711</v>
      </c>
      <c r="N56" s="2252">
        <v>675154.06</v>
      </c>
      <c r="O56" s="2236">
        <f t="shared" si="0"/>
        <v>1</v>
      </c>
      <c r="P56" s="382"/>
      <c r="Q56" s="382"/>
      <c r="R56" s="2224"/>
    </row>
    <row r="57" spans="1:18" ht="20.100000000000001" customHeight="1">
      <c r="A57" s="2228">
        <v>51</v>
      </c>
      <c r="B57" s="2229" t="s">
        <v>2710</v>
      </c>
      <c r="C57" s="2229" t="s">
        <v>2685</v>
      </c>
      <c r="D57" s="2229" t="s">
        <v>29</v>
      </c>
      <c r="E57" s="2232"/>
      <c r="F57" s="2232"/>
      <c r="G57" s="2232">
        <v>1</v>
      </c>
      <c r="H57" s="2232"/>
      <c r="I57" s="2232"/>
      <c r="J57" s="2232"/>
      <c r="K57" s="2232"/>
      <c r="L57" s="2237"/>
      <c r="M57" s="2235" t="s">
        <v>32</v>
      </c>
      <c r="N57" s="2252">
        <v>-0.35</v>
      </c>
      <c r="O57" s="2236">
        <f t="shared" si="0"/>
        <v>1</v>
      </c>
      <c r="P57" s="382"/>
      <c r="Q57" s="382"/>
      <c r="R57" s="2224"/>
    </row>
    <row r="58" spans="1:18" ht="20.100000000000001" customHeight="1">
      <c r="A58" s="2228">
        <v>52</v>
      </c>
      <c r="B58" s="2229" t="s">
        <v>2710</v>
      </c>
      <c r="C58" s="2229" t="s">
        <v>2685</v>
      </c>
      <c r="D58" s="2229" t="s">
        <v>29</v>
      </c>
      <c r="E58" s="2232"/>
      <c r="F58" s="2232"/>
      <c r="G58" s="2232">
        <v>1</v>
      </c>
      <c r="H58" s="2232"/>
      <c r="I58" s="2232"/>
      <c r="J58" s="2232"/>
      <c r="K58" s="2232"/>
      <c r="L58" s="2234"/>
      <c r="M58" s="2235" t="s">
        <v>50</v>
      </c>
      <c r="N58" s="2253">
        <v>-1278.93</v>
      </c>
      <c r="O58" s="2236">
        <f t="shared" si="0"/>
        <v>1</v>
      </c>
      <c r="P58" s="382"/>
      <c r="Q58" s="382"/>
      <c r="R58" s="2224"/>
    </row>
    <row r="59" spans="1:18" ht="20.100000000000001" customHeight="1">
      <c r="A59" s="2228">
        <v>53</v>
      </c>
      <c r="B59" s="2229" t="s">
        <v>2710</v>
      </c>
      <c r="C59" s="2229" t="s">
        <v>2685</v>
      </c>
      <c r="D59" s="2229" t="s">
        <v>33</v>
      </c>
      <c r="E59" s="2232"/>
      <c r="F59" s="2232"/>
      <c r="G59" s="2232"/>
      <c r="H59" s="2232">
        <v>320</v>
      </c>
      <c r="I59" s="2232"/>
      <c r="J59" s="2232"/>
      <c r="K59" s="2232"/>
      <c r="L59" s="2234"/>
      <c r="M59" s="2235" t="s">
        <v>152</v>
      </c>
      <c r="N59" s="2237"/>
      <c r="O59" s="2236">
        <v>320</v>
      </c>
      <c r="P59" s="382"/>
      <c r="Q59" s="382"/>
      <c r="R59" s="2224"/>
    </row>
    <row r="60" spans="1:18" ht="20.100000000000001" customHeight="1">
      <c r="A60" s="2228">
        <v>54</v>
      </c>
      <c r="B60" s="2229" t="s">
        <v>2710</v>
      </c>
      <c r="C60" s="2229" t="s">
        <v>2685</v>
      </c>
      <c r="D60" s="2229" t="s">
        <v>33</v>
      </c>
      <c r="E60" s="2232"/>
      <c r="F60" s="2232"/>
      <c r="G60" s="2232"/>
      <c r="H60" s="2232"/>
      <c r="I60" s="2232">
        <v>122</v>
      </c>
      <c r="J60" s="2232"/>
      <c r="K60" s="2232"/>
      <c r="L60" s="2237"/>
      <c r="M60" s="2235" t="s">
        <v>35</v>
      </c>
      <c r="N60" s="2237"/>
      <c r="O60" s="2236">
        <f t="shared" si="0"/>
        <v>122</v>
      </c>
      <c r="P60" s="382"/>
      <c r="Q60" s="382"/>
      <c r="R60" s="2224"/>
    </row>
    <row r="61" spans="1:18" ht="20.100000000000001" customHeight="1">
      <c r="A61" s="2228">
        <v>55</v>
      </c>
      <c r="B61" s="2229" t="s">
        <v>2710</v>
      </c>
      <c r="C61" s="2229" t="s">
        <v>2685</v>
      </c>
      <c r="D61" s="2229" t="s">
        <v>29</v>
      </c>
      <c r="E61" s="2232"/>
      <c r="F61" s="2232"/>
      <c r="G61" s="2232"/>
      <c r="H61" s="2232"/>
      <c r="I61" s="2232"/>
      <c r="J61" s="2232"/>
      <c r="K61" s="2232">
        <v>4</v>
      </c>
      <c r="L61" s="2237"/>
      <c r="M61" s="2242" t="s">
        <v>2712</v>
      </c>
      <c r="N61" s="2253">
        <v>230450</v>
      </c>
      <c r="O61" s="2236">
        <f t="shared" si="0"/>
        <v>4</v>
      </c>
      <c r="P61" s="382"/>
      <c r="Q61" s="382"/>
      <c r="R61" s="2224"/>
    </row>
    <row r="62" spans="1:18" ht="20.100000000000001" customHeight="1">
      <c r="A62" s="2228">
        <v>56</v>
      </c>
      <c r="B62" s="2229" t="s">
        <v>2710</v>
      </c>
      <c r="C62" s="2229" t="s">
        <v>2685</v>
      </c>
      <c r="D62" s="2229" t="s">
        <v>36</v>
      </c>
      <c r="E62" s="2232"/>
      <c r="F62" s="2232">
        <v>1597</v>
      </c>
      <c r="G62" s="2232"/>
      <c r="H62" s="2232"/>
      <c r="I62" s="2232"/>
      <c r="J62" s="2232"/>
      <c r="K62" s="2232"/>
      <c r="L62" s="2237"/>
      <c r="M62" s="2235" t="s">
        <v>2713</v>
      </c>
      <c r="N62" s="2237"/>
      <c r="O62" s="2236">
        <v>1597</v>
      </c>
      <c r="P62" s="382"/>
      <c r="Q62" s="382"/>
      <c r="R62" s="2224"/>
    </row>
    <row r="63" spans="1:18" ht="20.100000000000001" customHeight="1">
      <c r="A63" s="2228">
        <v>57</v>
      </c>
      <c r="B63" s="2229" t="s">
        <v>2710</v>
      </c>
      <c r="C63" s="2229" t="s">
        <v>2685</v>
      </c>
      <c r="D63" s="2229" t="s">
        <v>36</v>
      </c>
      <c r="E63" s="2232">
        <v>102</v>
      </c>
      <c r="F63" s="2232"/>
      <c r="G63" s="2232"/>
      <c r="H63" s="2232"/>
      <c r="I63" s="2232"/>
      <c r="J63" s="2232"/>
      <c r="K63" s="2232"/>
      <c r="L63" s="2237"/>
      <c r="M63" s="2235" t="s">
        <v>2714</v>
      </c>
      <c r="N63" s="2237"/>
      <c r="O63" s="2236">
        <v>102</v>
      </c>
      <c r="P63" s="382"/>
      <c r="Q63" s="382"/>
      <c r="R63" s="2224"/>
    </row>
    <row r="64" spans="1:18" ht="20.100000000000001" customHeight="1">
      <c r="A64" s="2228">
        <v>58</v>
      </c>
      <c r="B64" s="2240" t="s">
        <v>2715</v>
      </c>
      <c r="C64" s="2240" t="s">
        <v>2685</v>
      </c>
      <c r="D64" s="2240" t="s">
        <v>26</v>
      </c>
      <c r="E64" s="2232"/>
      <c r="F64" s="2232"/>
      <c r="G64" s="2232"/>
      <c r="H64" s="2232"/>
      <c r="I64" s="2232"/>
      <c r="J64" s="2232"/>
      <c r="K64" s="2232">
        <v>1</v>
      </c>
      <c r="L64" s="2241"/>
      <c r="M64" s="2242" t="s">
        <v>2716</v>
      </c>
      <c r="N64" s="2254">
        <v>1447.09</v>
      </c>
      <c r="O64" s="2236">
        <f t="shared" si="0"/>
        <v>1</v>
      </c>
      <c r="P64" s="2243"/>
      <c r="Q64" s="2243"/>
      <c r="R64" s="2224"/>
    </row>
    <row r="65" spans="1:18" ht="20.100000000000001" customHeight="1">
      <c r="A65" s="2228">
        <v>59</v>
      </c>
      <c r="B65" s="2229" t="s">
        <v>2715</v>
      </c>
      <c r="C65" s="2229" t="s">
        <v>2685</v>
      </c>
      <c r="D65" s="2229" t="s">
        <v>29</v>
      </c>
      <c r="E65" s="2232"/>
      <c r="F65" s="2232"/>
      <c r="G65" s="2232">
        <v>1</v>
      </c>
      <c r="H65" s="2232"/>
      <c r="I65" s="2232"/>
      <c r="J65" s="2232"/>
      <c r="K65" s="2232"/>
      <c r="L65" s="2237"/>
      <c r="M65" s="2235" t="s">
        <v>32</v>
      </c>
      <c r="N65" s="2255">
        <v>75.23</v>
      </c>
      <c r="O65" s="2236">
        <f t="shared" si="0"/>
        <v>1</v>
      </c>
      <c r="P65" s="382"/>
      <c r="Q65" s="382"/>
      <c r="R65" s="2224"/>
    </row>
    <row r="66" spans="1:18" ht="20.100000000000001" customHeight="1">
      <c r="A66" s="2228">
        <v>60</v>
      </c>
      <c r="B66" s="2229" t="s">
        <v>2715</v>
      </c>
      <c r="C66" s="2229" t="s">
        <v>2685</v>
      </c>
      <c r="D66" s="2229" t="s">
        <v>33</v>
      </c>
      <c r="E66" s="2232"/>
      <c r="F66" s="2232"/>
      <c r="G66" s="2232"/>
      <c r="H66" s="2232">
        <v>234</v>
      </c>
      <c r="I66" s="2232"/>
      <c r="J66" s="2232"/>
      <c r="K66" s="2232"/>
      <c r="L66" s="2234"/>
      <c r="M66" s="2235" t="s">
        <v>34</v>
      </c>
      <c r="N66" s="2234"/>
      <c r="O66" s="2236">
        <f t="shared" si="0"/>
        <v>234</v>
      </c>
      <c r="P66" s="382"/>
      <c r="Q66" s="382"/>
      <c r="R66" s="2224"/>
    </row>
    <row r="67" spans="1:18" ht="20.100000000000001" customHeight="1">
      <c r="A67" s="2228">
        <v>61</v>
      </c>
      <c r="B67" s="2229" t="s">
        <v>2715</v>
      </c>
      <c r="C67" s="2229" t="s">
        <v>2685</v>
      </c>
      <c r="D67" s="2229" t="s">
        <v>33</v>
      </c>
      <c r="E67" s="2232"/>
      <c r="F67" s="2232"/>
      <c r="G67" s="2232"/>
      <c r="H67" s="2232"/>
      <c r="I67" s="2232">
        <v>890</v>
      </c>
      <c r="J67" s="2232"/>
      <c r="K67" s="2232"/>
      <c r="L67" s="2237"/>
      <c r="M67" s="2235" t="s">
        <v>35</v>
      </c>
      <c r="N67" s="2237"/>
      <c r="O67" s="2236">
        <v>890</v>
      </c>
      <c r="P67" s="382"/>
      <c r="Q67" s="382"/>
      <c r="R67" s="2224"/>
    </row>
    <row r="68" spans="1:18" ht="20.100000000000001" customHeight="1">
      <c r="A68" s="2228">
        <v>62</v>
      </c>
      <c r="B68" s="2229" t="s">
        <v>2715</v>
      </c>
      <c r="C68" s="2229" t="s">
        <v>2685</v>
      </c>
      <c r="D68" s="2229" t="s">
        <v>36</v>
      </c>
      <c r="E68" s="2232"/>
      <c r="F68" s="2232">
        <v>559</v>
      </c>
      <c r="G68" s="2232"/>
      <c r="H68" s="2232"/>
      <c r="I68" s="2232"/>
      <c r="J68" s="2232"/>
      <c r="K68" s="2232"/>
      <c r="L68" s="2237"/>
      <c r="M68" s="2235" t="s">
        <v>2717</v>
      </c>
      <c r="N68" s="2248"/>
      <c r="O68" s="2236">
        <v>559</v>
      </c>
      <c r="P68" s="382"/>
      <c r="Q68" s="382"/>
      <c r="R68" s="2224"/>
    </row>
    <row r="69" spans="1:18" ht="20.100000000000001" customHeight="1">
      <c r="A69" s="2228">
        <v>63</v>
      </c>
      <c r="B69" s="2229" t="s">
        <v>2718</v>
      </c>
      <c r="C69" s="2229" t="s">
        <v>2685</v>
      </c>
      <c r="D69" s="2229" t="s">
        <v>26</v>
      </c>
      <c r="E69" s="2232"/>
      <c r="F69" s="2232"/>
      <c r="G69" s="2232"/>
      <c r="H69" s="2232"/>
      <c r="I69" s="2232"/>
      <c r="J69" s="2232"/>
      <c r="K69" s="2232">
        <v>1</v>
      </c>
      <c r="L69" s="2237"/>
      <c r="M69" s="2235" t="s">
        <v>2719</v>
      </c>
      <c r="N69" s="2237">
        <v>27700</v>
      </c>
      <c r="O69" s="2236">
        <f t="shared" si="0"/>
        <v>1</v>
      </c>
      <c r="P69" s="382"/>
      <c r="Q69" s="382"/>
      <c r="R69" s="2224"/>
    </row>
    <row r="70" spans="1:18" ht="20.100000000000001" customHeight="1">
      <c r="A70" s="2228">
        <v>64</v>
      </c>
      <c r="B70" s="2229" t="s">
        <v>2718</v>
      </c>
      <c r="C70" s="2229" t="s">
        <v>2685</v>
      </c>
      <c r="D70" s="2229" t="s">
        <v>29</v>
      </c>
      <c r="E70" s="2232"/>
      <c r="F70" s="2232"/>
      <c r="G70" s="2232">
        <v>1</v>
      </c>
      <c r="H70" s="2232"/>
      <c r="I70" s="2232"/>
      <c r="J70" s="2232"/>
      <c r="K70" s="2232"/>
      <c r="L70" s="2237"/>
      <c r="M70" s="2235" t="s">
        <v>32</v>
      </c>
      <c r="N70" s="2237">
        <v>829.64</v>
      </c>
      <c r="O70" s="2236">
        <f t="shared" si="0"/>
        <v>1</v>
      </c>
      <c r="P70" s="382"/>
      <c r="Q70" s="382"/>
      <c r="R70" s="2224"/>
    </row>
    <row r="71" spans="1:18" ht="20.100000000000001" customHeight="1">
      <c r="A71" s="2228">
        <v>65</v>
      </c>
      <c r="B71" s="2229" t="s">
        <v>2718</v>
      </c>
      <c r="C71" s="2229" t="s">
        <v>2685</v>
      </c>
      <c r="D71" s="2229" t="s">
        <v>36</v>
      </c>
      <c r="E71" s="2232"/>
      <c r="F71" s="2232">
        <v>1374</v>
      </c>
      <c r="G71" s="2232"/>
      <c r="H71" s="2232"/>
      <c r="I71" s="2232"/>
      <c r="J71" s="2232"/>
      <c r="K71" s="2232"/>
      <c r="L71" s="2237"/>
      <c r="M71" s="2235" t="s">
        <v>2720</v>
      </c>
      <c r="N71" s="2256"/>
      <c r="O71" s="2236">
        <f t="shared" si="0"/>
        <v>1374</v>
      </c>
      <c r="P71" s="382"/>
      <c r="Q71" s="382"/>
      <c r="R71" s="2224"/>
    </row>
    <row r="72" spans="1:18" ht="20.100000000000001" customHeight="1">
      <c r="A72" s="2228">
        <v>66</v>
      </c>
      <c r="B72" s="2229" t="s">
        <v>2721</v>
      </c>
      <c r="C72" s="2229" t="s">
        <v>2685</v>
      </c>
      <c r="D72" s="2229" t="s">
        <v>26</v>
      </c>
      <c r="E72" s="2232"/>
      <c r="F72" s="2232"/>
      <c r="G72" s="2232"/>
      <c r="H72" s="2232"/>
      <c r="I72" s="2232"/>
      <c r="J72" s="2232"/>
      <c r="K72" s="2232">
        <v>1</v>
      </c>
      <c r="L72" s="2237"/>
      <c r="M72" s="2235" t="s">
        <v>2722</v>
      </c>
      <c r="N72" s="2257">
        <v>56674.52</v>
      </c>
      <c r="O72" s="2236">
        <f t="shared" si="0"/>
        <v>1</v>
      </c>
      <c r="P72" s="382"/>
      <c r="Q72" s="382"/>
      <c r="R72" s="2224"/>
    </row>
    <row r="73" spans="1:18" ht="20.100000000000001" customHeight="1">
      <c r="A73" s="2228">
        <v>67</v>
      </c>
      <c r="B73" s="2229" t="s">
        <v>2721</v>
      </c>
      <c r="C73" s="2229" t="s">
        <v>2685</v>
      </c>
      <c r="D73" s="2229" t="s">
        <v>33</v>
      </c>
      <c r="E73" s="2232"/>
      <c r="F73" s="2232"/>
      <c r="G73" s="2232"/>
      <c r="H73" s="2232"/>
      <c r="I73" s="2232">
        <v>130</v>
      </c>
      <c r="J73" s="2232"/>
      <c r="K73" s="2232"/>
      <c r="L73" s="2237"/>
      <c r="M73" s="2235" t="s">
        <v>35</v>
      </c>
      <c r="N73" s="2237"/>
      <c r="O73" s="2236">
        <v>130</v>
      </c>
      <c r="P73" s="382"/>
      <c r="Q73" s="382"/>
      <c r="R73" s="2224"/>
    </row>
    <row r="74" spans="1:18" ht="20.100000000000001" customHeight="1">
      <c r="A74" s="2228">
        <v>68</v>
      </c>
      <c r="B74" s="2229" t="s">
        <v>2721</v>
      </c>
      <c r="C74" s="2229" t="s">
        <v>2685</v>
      </c>
      <c r="D74" s="2229" t="s">
        <v>36</v>
      </c>
      <c r="E74" s="2232"/>
      <c r="F74" s="2232">
        <v>863</v>
      </c>
      <c r="G74" s="2232"/>
      <c r="H74" s="2232"/>
      <c r="I74" s="2232"/>
      <c r="J74" s="2232"/>
      <c r="K74" s="2232"/>
      <c r="L74" s="2237"/>
      <c r="M74" s="2235" t="s">
        <v>52</v>
      </c>
      <c r="N74" s="2237"/>
      <c r="O74" s="2236">
        <v>863</v>
      </c>
      <c r="P74" s="382"/>
      <c r="Q74" s="382"/>
      <c r="R74" s="2224"/>
    </row>
    <row r="75" spans="1:18" ht="20.100000000000001" customHeight="1">
      <c r="A75" s="2228">
        <v>69</v>
      </c>
      <c r="B75" s="2229" t="s">
        <v>2721</v>
      </c>
      <c r="C75" s="2229" t="s">
        <v>2685</v>
      </c>
      <c r="D75" s="2229" t="s">
        <v>36</v>
      </c>
      <c r="E75" s="2232">
        <v>320</v>
      </c>
      <c r="F75" s="2232"/>
      <c r="G75" s="2232"/>
      <c r="H75" s="2232"/>
      <c r="I75" s="2232"/>
      <c r="J75" s="2232"/>
      <c r="K75" s="2232"/>
      <c r="L75" s="2237"/>
      <c r="M75" s="2235" t="s">
        <v>2723</v>
      </c>
      <c r="N75" s="2237"/>
      <c r="O75" s="2236">
        <v>320</v>
      </c>
      <c r="P75" s="382"/>
      <c r="Q75" s="382"/>
      <c r="R75" s="2224"/>
    </row>
    <row r="76" spans="1:18" ht="20.100000000000001" customHeight="1">
      <c r="A76" s="2228">
        <v>70</v>
      </c>
      <c r="B76" s="2229" t="s">
        <v>2721</v>
      </c>
      <c r="C76" s="2229" t="s">
        <v>2685</v>
      </c>
      <c r="D76" s="3377" t="s">
        <v>26</v>
      </c>
      <c r="E76" s="3371"/>
      <c r="F76" s="3371"/>
      <c r="G76" s="3371"/>
      <c r="H76" s="3371"/>
      <c r="I76" s="3371"/>
      <c r="J76" s="3371"/>
      <c r="K76" s="3371">
        <v>1</v>
      </c>
      <c r="L76" s="3372"/>
      <c r="M76" s="3373" t="s">
        <v>3141</v>
      </c>
      <c r="N76" s="3372"/>
      <c r="O76" s="3375">
        <f>E76+F76+G76+H76+I76+J76+K76-P76</f>
        <v>1</v>
      </c>
      <c r="P76" s="3376"/>
      <c r="Q76" s="3376"/>
      <c r="R76" s="2224"/>
    </row>
    <row r="77" spans="1:18" ht="20.100000000000001" customHeight="1">
      <c r="A77" s="2228">
        <v>71</v>
      </c>
      <c r="B77" s="2229" t="s">
        <v>2721</v>
      </c>
      <c r="C77" s="2229" t="s">
        <v>2685</v>
      </c>
      <c r="D77" s="3377" t="s">
        <v>26</v>
      </c>
      <c r="E77" s="3371"/>
      <c r="F77" s="3371"/>
      <c r="G77" s="3371"/>
      <c r="H77" s="3371"/>
      <c r="I77" s="3371"/>
      <c r="J77" s="3371"/>
      <c r="K77" s="3371">
        <v>1</v>
      </c>
      <c r="L77" s="3372"/>
      <c r="M77" s="3373" t="s">
        <v>3142</v>
      </c>
      <c r="N77" s="3372"/>
      <c r="O77" s="3375">
        <f t="shared" ref="O77:O91" si="1">E77+F77+G77+H77+I77+J77+K77-P77</f>
        <v>1</v>
      </c>
      <c r="P77" s="3376"/>
      <c r="Q77" s="3376"/>
      <c r="R77" s="2224"/>
    </row>
    <row r="78" spans="1:18" ht="20.100000000000001" customHeight="1">
      <c r="A78" s="2228">
        <v>72</v>
      </c>
      <c r="B78" s="2229" t="s">
        <v>2721</v>
      </c>
      <c r="C78" s="2229" t="s">
        <v>2685</v>
      </c>
      <c r="D78" s="3377" t="s">
        <v>3143</v>
      </c>
      <c r="E78" s="3371"/>
      <c r="F78" s="3371"/>
      <c r="G78" s="3371"/>
      <c r="H78" s="3371"/>
      <c r="I78" s="3371"/>
      <c r="J78" s="3371"/>
      <c r="K78" s="3371">
        <v>1</v>
      </c>
      <c r="L78" s="3372"/>
      <c r="M78" s="3373" t="s">
        <v>3144</v>
      </c>
      <c r="N78" s="3372"/>
      <c r="O78" s="3375">
        <f t="shared" si="1"/>
        <v>1</v>
      </c>
      <c r="P78" s="3376"/>
      <c r="Q78" s="3376"/>
      <c r="R78" s="2224"/>
    </row>
    <row r="79" spans="1:18" ht="20.100000000000001" customHeight="1">
      <c r="A79" s="2228">
        <v>73</v>
      </c>
      <c r="B79" s="2229" t="s">
        <v>2721</v>
      </c>
      <c r="C79" s="2229" t="s">
        <v>2685</v>
      </c>
      <c r="D79" s="3377" t="s">
        <v>26</v>
      </c>
      <c r="E79" s="3371"/>
      <c r="F79" s="3371"/>
      <c r="G79" s="3371"/>
      <c r="H79" s="3371"/>
      <c r="I79" s="3371"/>
      <c r="J79" s="3371"/>
      <c r="K79" s="3371">
        <v>1</v>
      </c>
      <c r="L79" s="3372"/>
      <c r="M79" s="3373" t="s">
        <v>3145</v>
      </c>
      <c r="N79" s="3372"/>
      <c r="O79" s="3375">
        <f t="shared" si="1"/>
        <v>1</v>
      </c>
      <c r="P79" s="3376"/>
      <c r="Q79" s="3376"/>
      <c r="R79" s="2224"/>
    </row>
    <row r="80" spans="1:18" ht="20.100000000000001" customHeight="1">
      <c r="A80" s="2228">
        <v>74</v>
      </c>
      <c r="B80" s="2229" t="s">
        <v>2721</v>
      </c>
      <c r="C80" s="2229" t="s">
        <v>2685</v>
      </c>
      <c r="D80" s="3377" t="s">
        <v>29</v>
      </c>
      <c r="E80" s="3371"/>
      <c r="F80" s="3371"/>
      <c r="G80" s="3371"/>
      <c r="H80" s="3371"/>
      <c r="I80" s="3371"/>
      <c r="J80" s="3371"/>
      <c r="K80" s="3371">
        <v>1</v>
      </c>
      <c r="L80" s="3372"/>
      <c r="M80" s="3373" t="s">
        <v>3146</v>
      </c>
      <c r="N80" s="3372"/>
      <c r="O80" s="3375">
        <f t="shared" si="1"/>
        <v>1</v>
      </c>
      <c r="P80" s="3376"/>
      <c r="Q80" s="3376"/>
      <c r="R80" s="2224"/>
    </row>
    <row r="81" spans="1:18" ht="20.100000000000001" customHeight="1">
      <c r="A81" s="2228">
        <v>75</v>
      </c>
      <c r="B81" s="2229" t="s">
        <v>2721</v>
      </c>
      <c r="C81" s="2229" t="s">
        <v>2685</v>
      </c>
      <c r="D81" s="3377" t="s">
        <v>29</v>
      </c>
      <c r="E81" s="3371"/>
      <c r="F81" s="3371"/>
      <c r="G81" s="3371"/>
      <c r="H81" s="3371"/>
      <c r="I81" s="3371"/>
      <c r="J81" s="3371"/>
      <c r="K81" s="3371">
        <v>1</v>
      </c>
      <c r="L81" s="3372"/>
      <c r="M81" s="3373" t="s">
        <v>3147</v>
      </c>
      <c r="N81" s="3372"/>
      <c r="O81" s="3375">
        <f t="shared" si="1"/>
        <v>1</v>
      </c>
      <c r="P81" s="3376"/>
      <c r="Q81" s="3376"/>
      <c r="R81" s="2224"/>
    </row>
    <row r="82" spans="1:18" ht="20.100000000000001" customHeight="1">
      <c r="A82" s="2228">
        <v>76</v>
      </c>
      <c r="B82" s="2229" t="s">
        <v>2721</v>
      </c>
      <c r="C82" s="2229" t="s">
        <v>2685</v>
      </c>
      <c r="D82" s="3377" t="s">
        <v>3127</v>
      </c>
      <c r="E82" s="3371"/>
      <c r="F82" s="3371"/>
      <c r="G82" s="3371"/>
      <c r="H82" s="3371"/>
      <c r="I82" s="3371"/>
      <c r="J82" s="3371"/>
      <c r="K82" s="3371">
        <v>5</v>
      </c>
      <c r="L82" s="3380" t="s">
        <v>3148</v>
      </c>
      <c r="M82" s="3373" t="s">
        <v>3149</v>
      </c>
      <c r="N82" s="3372">
        <v>1180000</v>
      </c>
      <c r="O82" s="3375">
        <f t="shared" si="1"/>
        <v>5</v>
      </c>
      <c r="P82" s="3376"/>
      <c r="Q82" s="3376"/>
      <c r="R82" s="2224"/>
    </row>
    <row r="83" spans="1:18" ht="20.100000000000001" customHeight="1">
      <c r="A83" s="2228">
        <v>77</v>
      </c>
      <c r="B83" s="2229" t="s">
        <v>2721</v>
      </c>
      <c r="C83" s="2229" t="s">
        <v>2685</v>
      </c>
      <c r="D83" s="3377" t="s">
        <v>3127</v>
      </c>
      <c r="E83" s="3371"/>
      <c r="F83" s="3371"/>
      <c r="G83" s="3371"/>
      <c r="H83" s="3371"/>
      <c r="I83" s="3371"/>
      <c r="J83" s="3371"/>
      <c r="K83" s="3371">
        <v>5</v>
      </c>
      <c r="L83" s="3380" t="s">
        <v>3150</v>
      </c>
      <c r="M83" s="3373" t="s">
        <v>3151</v>
      </c>
      <c r="N83" s="3372">
        <v>123000</v>
      </c>
      <c r="O83" s="3375">
        <f t="shared" si="1"/>
        <v>5</v>
      </c>
      <c r="P83" s="3376"/>
      <c r="Q83" s="3376"/>
      <c r="R83" s="2224"/>
    </row>
    <row r="84" spans="1:18" ht="20.100000000000001" customHeight="1">
      <c r="A84" s="2228">
        <v>78</v>
      </c>
      <c r="B84" s="2229" t="s">
        <v>2721</v>
      </c>
      <c r="C84" s="2229" t="s">
        <v>2685</v>
      </c>
      <c r="D84" s="3377" t="s">
        <v>3127</v>
      </c>
      <c r="E84" s="3371"/>
      <c r="F84" s="3371"/>
      <c r="G84" s="3371"/>
      <c r="H84" s="3371"/>
      <c r="I84" s="3371"/>
      <c r="J84" s="3371"/>
      <c r="K84" s="3371">
        <v>1</v>
      </c>
      <c r="L84" s="3372"/>
      <c r="M84" s="3373" t="s">
        <v>3152</v>
      </c>
      <c r="N84" s="3372"/>
      <c r="O84" s="3375">
        <f t="shared" si="1"/>
        <v>1</v>
      </c>
      <c r="P84" s="3376"/>
      <c r="Q84" s="3376"/>
      <c r="R84" s="2224"/>
    </row>
    <row r="85" spans="1:18" ht="20.100000000000001" customHeight="1">
      <c r="A85" s="2228">
        <v>79</v>
      </c>
      <c r="B85" s="2229" t="s">
        <v>2721</v>
      </c>
      <c r="C85" s="2229" t="s">
        <v>2685</v>
      </c>
      <c r="D85" s="3377" t="s">
        <v>3127</v>
      </c>
      <c r="E85" s="3371"/>
      <c r="F85" s="3371"/>
      <c r="G85" s="3371"/>
      <c r="H85" s="3371"/>
      <c r="I85" s="3371"/>
      <c r="J85" s="3371"/>
      <c r="K85" s="3371">
        <v>1</v>
      </c>
      <c r="L85" s="3372"/>
      <c r="M85" s="3373" t="s">
        <v>3153</v>
      </c>
      <c r="N85" s="3372"/>
      <c r="O85" s="3375">
        <f t="shared" si="1"/>
        <v>1</v>
      </c>
      <c r="P85" s="3376"/>
      <c r="Q85" s="3376"/>
      <c r="R85" s="2224"/>
    </row>
    <row r="86" spans="1:18" ht="20.100000000000001" customHeight="1">
      <c r="A86" s="2228">
        <v>80</v>
      </c>
      <c r="B86" s="2229" t="s">
        <v>2721</v>
      </c>
      <c r="C86" s="2229" t="s">
        <v>2685</v>
      </c>
      <c r="D86" s="3377" t="s">
        <v>3119</v>
      </c>
      <c r="E86" s="3371"/>
      <c r="F86" s="3371"/>
      <c r="G86" s="3371"/>
      <c r="H86" s="3371"/>
      <c r="I86" s="3371"/>
      <c r="J86" s="3371"/>
      <c r="K86" s="3371">
        <v>1</v>
      </c>
      <c r="L86" s="3372"/>
      <c r="M86" s="3373" t="s">
        <v>3154</v>
      </c>
      <c r="N86" s="3372"/>
      <c r="O86" s="3375">
        <f t="shared" si="1"/>
        <v>1</v>
      </c>
      <c r="P86" s="3376"/>
      <c r="Q86" s="3376"/>
      <c r="R86" s="2224"/>
    </row>
    <row r="87" spans="1:18" ht="20.100000000000001" customHeight="1">
      <c r="A87" s="2228">
        <v>81</v>
      </c>
      <c r="B87" s="2229" t="s">
        <v>2721</v>
      </c>
      <c r="C87" s="2229" t="s">
        <v>2685</v>
      </c>
      <c r="D87" s="3377" t="s">
        <v>3119</v>
      </c>
      <c r="E87" s="3371"/>
      <c r="F87" s="3371"/>
      <c r="G87" s="3371"/>
      <c r="H87" s="3371"/>
      <c r="I87" s="3371"/>
      <c r="J87" s="3371"/>
      <c r="K87" s="3371">
        <v>1</v>
      </c>
      <c r="L87" s="3372"/>
      <c r="M87" s="3373" t="s">
        <v>3155</v>
      </c>
      <c r="N87" s="3372"/>
      <c r="O87" s="3375">
        <f t="shared" si="1"/>
        <v>1</v>
      </c>
      <c r="P87" s="3376"/>
      <c r="Q87" s="3376"/>
      <c r="R87" s="2224"/>
    </row>
    <row r="88" spans="1:18" ht="20.100000000000001" customHeight="1">
      <c r="A88" s="2228">
        <v>82</v>
      </c>
      <c r="B88" s="2229" t="s">
        <v>2721</v>
      </c>
      <c r="C88" s="2229" t="s">
        <v>2685</v>
      </c>
      <c r="D88" s="3377" t="s">
        <v>3119</v>
      </c>
      <c r="E88" s="3371"/>
      <c r="F88" s="3371"/>
      <c r="G88" s="3371"/>
      <c r="H88" s="3371"/>
      <c r="I88" s="3371"/>
      <c r="J88" s="3371"/>
      <c r="K88" s="3371">
        <v>1</v>
      </c>
      <c r="L88" s="3372"/>
      <c r="M88" s="3373" t="s">
        <v>3156</v>
      </c>
      <c r="N88" s="3372"/>
      <c r="O88" s="3375">
        <f t="shared" si="1"/>
        <v>1</v>
      </c>
      <c r="P88" s="3376"/>
      <c r="Q88" s="3376"/>
      <c r="R88" s="2224"/>
    </row>
    <row r="89" spans="1:18" ht="20.100000000000001" customHeight="1">
      <c r="A89" s="2228">
        <v>83</v>
      </c>
      <c r="B89" s="2229" t="s">
        <v>2721</v>
      </c>
      <c r="C89" s="2229" t="s">
        <v>2685</v>
      </c>
      <c r="D89" s="3377" t="s">
        <v>3119</v>
      </c>
      <c r="E89" s="3371"/>
      <c r="F89" s="3371"/>
      <c r="G89" s="3371"/>
      <c r="H89" s="3371"/>
      <c r="I89" s="3371"/>
      <c r="J89" s="3371"/>
      <c r="K89" s="3371">
        <v>1</v>
      </c>
      <c r="L89" s="3372"/>
      <c r="M89" s="3381" t="s">
        <v>196</v>
      </c>
      <c r="N89" s="3372"/>
      <c r="O89" s="3375">
        <f t="shared" si="1"/>
        <v>1</v>
      </c>
      <c r="P89" s="3376"/>
      <c r="Q89" s="3376"/>
      <c r="R89" s="2224"/>
    </row>
    <row r="90" spans="1:18" ht="20.100000000000001" customHeight="1">
      <c r="A90" s="2228">
        <v>84</v>
      </c>
      <c r="B90" s="2229" t="s">
        <v>2721</v>
      </c>
      <c r="C90" s="2229" t="s">
        <v>2685</v>
      </c>
      <c r="D90" s="3377" t="s">
        <v>3119</v>
      </c>
      <c r="E90" s="3371"/>
      <c r="F90" s="3371"/>
      <c r="G90" s="3371"/>
      <c r="H90" s="3371"/>
      <c r="I90" s="3371"/>
      <c r="J90" s="3371"/>
      <c r="K90" s="3371">
        <v>1</v>
      </c>
      <c r="L90" s="3372"/>
      <c r="M90" s="3373" t="s">
        <v>3157</v>
      </c>
      <c r="N90" s="3372"/>
      <c r="O90" s="3375">
        <f t="shared" si="1"/>
        <v>1</v>
      </c>
      <c r="P90" s="3376"/>
      <c r="Q90" s="3376"/>
      <c r="R90" s="2224"/>
    </row>
    <row r="91" spans="1:18" ht="20.100000000000001" customHeight="1">
      <c r="A91" s="2228">
        <v>85</v>
      </c>
      <c r="B91" s="2229" t="s">
        <v>2721</v>
      </c>
      <c r="C91" s="2229" t="s">
        <v>2685</v>
      </c>
      <c r="D91" s="3377" t="s">
        <v>29</v>
      </c>
      <c r="E91" s="3371"/>
      <c r="F91" s="3371"/>
      <c r="G91" s="3371"/>
      <c r="H91" s="3371"/>
      <c r="I91" s="3371"/>
      <c r="J91" s="3371"/>
      <c r="K91" s="3371">
        <v>1</v>
      </c>
      <c r="L91" s="3372"/>
      <c r="M91" s="3373" t="s">
        <v>3158</v>
      </c>
      <c r="N91" s="3372"/>
      <c r="O91" s="3375">
        <f t="shared" si="1"/>
        <v>1</v>
      </c>
      <c r="P91" s="3376"/>
      <c r="Q91" s="3376"/>
      <c r="R91" s="2224"/>
    </row>
    <row r="92" spans="1:18" ht="20.100000000000001" customHeight="1">
      <c r="A92" s="2258"/>
      <c r="B92" s="3585" t="s">
        <v>753</v>
      </c>
      <c r="C92" s="3586"/>
      <c r="D92" s="2259" t="s">
        <v>2724</v>
      </c>
      <c r="E92" s="2260">
        <f>SUM(E7:E91)</f>
        <v>1366</v>
      </c>
      <c r="F92" s="2260">
        <f t="shared" ref="F92:K92" si="2">SUM(F7:F91)</f>
        <v>8041</v>
      </c>
      <c r="G92" s="2260">
        <f t="shared" si="2"/>
        <v>4</v>
      </c>
      <c r="H92" s="2260">
        <f t="shared" si="2"/>
        <v>1171</v>
      </c>
      <c r="I92" s="2260">
        <f t="shared" si="2"/>
        <v>24004</v>
      </c>
      <c r="J92" s="2260">
        <f t="shared" si="2"/>
        <v>0</v>
      </c>
      <c r="K92" s="2260">
        <f t="shared" si="2"/>
        <v>240</v>
      </c>
      <c r="L92" s="2261"/>
      <c r="M92" s="2261">
        <f>SUM(M7:M56)</f>
        <v>0</v>
      </c>
      <c r="N92" s="2261">
        <f>SUM(N7:N91)</f>
        <v>-134264293.28</v>
      </c>
      <c r="O92" s="2261">
        <f t="shared" ref="O92:Q92" si="3">SUM(O7:O91)</f>
        <v>34826</v>
      </c>
      <c r="P92" s="2261">
        <f t="shared" si="3"/>
        <v>0</v>
      </c>
      <c r="Q92" s="2261">
        <f t="shared" si="3"/>
        <v>0</v>
      </c>
      <c r="R92" s="2262"/>
    </row>
    <row r="93" spans="1:18" ht="20.100000000000001" customHeight="1">
      <c r="A93" s="3573" t="s">
        <v>764</v>
      </c>
      <c r="B93" s="3573" t="s">
        <v>4</v>
      </c>
      <c r="C93" s="3573" t="s">
        <v>5</v>
      </c>
      <c r="D93" s="3573" t="s">
        <v>6</v>
      </c>
      <c r="E93" s="3583" t="s">
        <v>7</v>
      </c>
      <c r="F93" s="3584"/>
      <c r="G93" s="3575" t="s">
        <v>8</v>
      </c>
      <c r="H93" s="3575" t="s">
        <v>9</v>
      </c>
      <c r="I93" s="3575" t="s">
        <v>10</v>
      </c>
      <c r="J93" s="3577" t="s">
        <v>11</v>
      </c>
      <c r="K93" s="3577" t="s">
        <v>12</v>
      </c>
      <c r="L93" s="3578" t="s">
        <v>1585</v>
      </c>
      <c r="M93" s="3579" t="s">
        <v>14</v>
      </c>
      <c r="N93" s="3581" t="s">
        <v>1022</v>
      </c>
      <c r="O93" s="3573" t="s">
        <v>16</v>
      </c>
      <c r="P93" s="3573"/>
      <c r="Q93" s="3573"/>
      <c r="R93" s="2224"/>
    </row>
    <row r="94" spans="1:18" ht="20.100000000000001" customHeight="1">
      <c r="A94" s="3573"/>
      <c r="B94" s="3573"/>
      <c r="C94" s="3573"/>
      <c r="D94" s="3573" t="s">
        <v>6</v>
      </c>
      <c r="E94" s="2225" t="s">
        <v>17</v>
      </c>
      <c r="F94" s="2225" t="s">
        <v>18</v>
      </c>
      <c r="G94" s="3576"/>
      <c r="H94" s="3576"/>
      <c r="I94" s="3576"/>
      <c r="J94" s="3577"/>
      <c r="K94" s="3577" t="s">
        <v>19</v>
      </c>
      <c r="L94" s="3578"/>
      <c r="M94" s="3580" t="s">
        <v>20</v>
      </c>
      <c r="N94" s="3582"/>
      <c r="O94" s="2226" t="s">
        <v>21</v>
      </c>
      <c r="P94" s="2227" t="s">
        <v>22</v>
      </c>
      <c r="Q94" s="2225" t="s">
        <v>23</v>
      </c>
      <c r="R94" s="2224"/>
    </row>
    <row r="95" spans="1:18" ht="20.100000000000001" customHeight="1">
      <c r="A95" s="2263"/>
      <c r="B95" s="2263"/>
      <c r="C95" s="2263"/>
      <c r="D95" s="2263"/>
      <c r="E95" s="70">
        <f>E92</f>
        <v>1366</v>
      </c>
      <c r="F95" s="70">
        <f t="shared" ref="F95:K95" si="4">F92</f>
        <v>8041</v>
      </c>
      <c r="G95" s="70">
        <f t="shared" si="4"/>
        <v>4</v>
      </c>
      <c r="H95" s="70">
        <f t="shared" si="4"/>
        <v>1171</v>
      </c>
      <c r="I95" s="70">
        <f t="shared" si="4"/>
        <v>24004</v>
      </c>
      <c r="J95" s="70">
        <f t="shared" si="4"/>
        <v>0</v>
      </c>
      <c r="K95" s="70">
        <f t="shared" si="4"/>
        <v>240</v>
      </c>
      <c r="L95" s="2263"/>
      <c r="M95" s="2264"/>
      <c r="N95" s="2265"/>
      <c r="O95" s="2266"/>
      <c r="P95" s="2263"/>
      <c r="Q95" s="2267"/>
      <c r="R95" s="2263"/>
    </row>
    <row r="96" spans="1:18" ht="20.100000000000001" customHeight="1">
      <c r="A96" s="2224"/>
      <c r="B96" s="2224"/>
      <c r="C96" s="2224"/>
      <c r="D96" s="2224"/>
      <c r="E96" s="2224"/>
      <c r="F96" s="2224"/>
      <c r="G96" s="2268"/>
      <c r="H96" s="2224"/>
      <c r="I96" s="2224"/>
      <c r="J96" s="2224"/>
      <c r="K96" s="1"/>
      <c r="L96" s="2224"/>
      <c r="M96" s="2269"/>
      <c r="N96" s="2270"/>
      <c r="O96" s="2271"/>
      <c r="P96" s="2224"/>
      <c r="Q96" s="2268"/>
      <c r="R96" s="2224"/>
    </row>
    <row r="97" spans="1:18" ht="20.100000000000001" customHeight="1">
      <c r="A97" s="2224"/>
      <c r="B97" s="2224"/>
      <c r="C97" s="2224"/>
      <c r="D97" s="2224"/>
      <c r="E97" s="2224"/>
      <c r="F97" s="2224"/>
      <c r="G97" s="2268"/>
      <c r="H97" s="2224"/>
      <c r="I97" s="2224"/>
      <c r="J97" s="2224"/>
      <c r="K97" s="1"/>
      <c r="L97" s="2224"/>
      <c r="M97" s="74"/>
      <c r="N97" s="75"/>
      <c r="O97" s="76" t="s">
        <v>22</v>
      </c>
      <c r="P97" s="2272" t="s">
        <v>754</v>
      </c>
      <c r="Q97" s="2272" t="s">
        <v>755</v>
      </c>
      <c r="R97" s="2224"/>
    </row>
    <row r="98" spans="1:18" ht="20.100000000000001" customHeight="1">
      <c r="A98" s="2224"/>
      <c r="B98" s="2224"/>
      <c r="C98" s="2224"/>
      <c r="D98" s="2224"/>
      <c r="E98" s="2224"/>
      <c r="F98" s="2224"/>
      <c r="G98" s="2224"/>
      <c r="H98" s="2224"/>
      <c r="I98" s="2273"/>
      <c r="J98" s="2224"/>
      <c r="K98" s="1"/>
      <c r="L98" s="2224"/>
      <c r="M98" s="3574" t="s">
        <v>7</v>
      </c>
      <c r="N98" s="2274" t="s">
        <v>17</v>
      </c>
      <c r="O98" s="1009">
        <f>P56+P44+P36+P14</f>
        <v>0</v>
      </c>
      <c r="P98" s="2275">
        <f>E95</f>
        <v>1366</v>
      </c>
      <c r="Q98" s="2275">
        <f>P98-O98</f>
        <v>1366</v>
      </c>
      <c r="R98" s="2224"/>
    </row>
    <row r="99" spans="1:18" ht="20.100000000000001" customHeight="1">
      <c r="A99" s="2224"/>
      <c r="B99" s="2224"/>
      <c r="C99" s="2224"/>
      <c r="D99" s="2224"/>
      <c r="E99" s="2224"/>
      <c r="F99" s="2224"/>
      <c r="G99" s="2224"/>
      <c r="H99" s="2224"/>
      <c r="I99" s="2224"/>
      <c r="J99" s="2224"/>
      <c r="K99" s="1"/>
      <c r="L99" s="2224"/>
      <c r="M99" s="3574"/>
      <c r="N99" s="2276" t="s">
        <v>18</v>
      </c>
      <c r="O99" s="1009">
        <f>P55+P52+P49+P43+P35+P23+P13+P9</f>
        <v>0</v>
      </c>
      <c r="P99" s="2275">
        <f>F95</f>
        <v>8041</v>
      </c>
      <c r="Q99" s="2275">
        <f t="shared" ref="Q99:Q104" si="5">P99-O99</f>
        <v>8041</v>
      </c>
      <c r="R99" s="2224"/>
    </row>
    <row r="100" spans="1:18" ht="20.100000000000001" customHeight="1">
      <c r="A100" s="2224"/>
      <c r="B100" s="2224"/>
      <c r="C100" s="2224"/>
      <c r="D100" s="2224"/>
      <c r="E100" s="2224"/>
      <c r="F100" s="2224"/>
      <c r="G100" s="2224"/>
      <c r="H100" s="2224"/>
      <c r="I100" s="2273"/>
      <c r="J100" s="2224"/>
      <c r="K100" s="1"/>
      <c r="L100" s="2224"/>
      <c r="M100" s="2274" t="s">
        <v>756</v>
      </c>
      <c r="N100" s="2274"/>
      <c r="O100" s="1009">
        <f>P51+P46+P39+P38</f>
        <v>0</v>
      </c>
      <c r="P100" s="2275">
        <f>G95</f>
        <v>4</v>
      </c>
      <c r="Q100" s="2275">
        <f t="shared" si="5"/>
        <v>4</v>
      </c>
      <c r="R100" s="2224"/>
    </row>
    <row r="101" spans="1:18" ht="20.100000000000001" customHeight="1">
      <c r="A101" s="2224"/>
      <c r="B101" s="2224"/>
      <c r="C101" s="2224"/>
      <c r="D101" s="2224"/>
      <c r="E101" s="2224"/>
      <c r="F101" s="2224"/>
      <c r="G101" s="2224"/>
      <c r="H101" s="2224"/>
      <c r="I101" s="2224"/>
      <c r="J101" s="2224"/>
      <c r="K101" s="1"/>
      <c r="L101" s="2224"/>
      <c r="M101" s="2277" t="s">
        <v>757</v>
      </c>
      <c r="N101" s="2274"/>
      <c r="O101" s="1009">
        <f>P54+P48+P41+P34+P24+P12+P8</f>
        <v>0</v>
      </c>
      <c r="P101" s="2275">
        <f>I95</f>
        <v>24004</v>
      </c>
      <c r="Q101" s="2275">
        <f t="shared" si="5"/>
        <v>24004</v>
      </c>
      <c r="R101" s="2224"/>
    </row>
    <row r="102" spans="1:18" ht="20.100000000000001" customHeight="1">
      <c r="A102" s="2224"/>
      <c r="B102" s="2224"/>
      <c r="C102" s="2224"/>
      <c r="D102" s="2224"/>
      <c r="E102" s="2224"/>
      <c r="F102" s="2224"/>
      <c r="G102" s="2224"/>
      <c r="H102" s="2224"/>
      <c r="I102" s="2224"/>
      <c r="J102" s="2224"/>
      <c r="K102" s="1"/>
      <c r="L102" s="2224"/>
      <c r="M102" s="2278" t="s">
        <v>2725</v>
      </c>
      <c r="N102" s="2278"/>
      <c r="O102" s="1009">
        <f>P47+P40+P33+P11+P7</f>
        <v>0</v>
      </c>
      <c r="P102" s="2275">
        <f>H95</f>
        <v>1171</v>
      </c>
      <c r="Q102" s="2275">
        <f t="shared" si="5"/>
        <v>1171</v>
      </c>
      <c r="R102" s="2224"/>
    </row>
    <row r="103" spans="1:18" ht="20.100000000000001" customHeight="1">
      <c r="A103" s="2224"/>
      <c r="B103" s="2224"/>
      <c r="C103" s="2224"/>
      <c r="D103" s="2224"/>
      <c r="E103" s="2224"/>
      <c r="F103" s="2224"/>
      <c r="G103" s="2224"/>
      <c r="H103" s="2224"/>
      <c r="I103" s="2224"/>
      <c r="J103" s="2224"/>
      <c r="K103" s="1"/>
      <c r="L103" s="2224"/>
      <c r="M103" s="2276" t="s">
        <v>758</v>
      </c>
      <c r="N103" s="2276"/>
      <c r="O103" s="1009"/>
      <c r="P103" s="2275"/>
      <c r="Q103" s="2275">
        <f t="shared" si="5"/>
        <v>0</v>
      </c>
      <c r="R103" s="2224"/>
    </row>
    <row r="104" spans="1:18" ht="20.100000000000001" customHeight="1">
      <c r="A104" s="2224"/>
      <c r="B104" s="2224"/>
      <c r="C104" s="2224"/>
      <c r="D104" s="2224"/>
      <c r="E104" s="2224"/>
      <c r="F104" s="2224"/>
      <c r="G104" s="2224"/>
      <c r="H104" s="2224"/>
      <c r="I104" s="2224"/>
      <c r="J104" s="2224"/>
      <c r="K104" s="1"/>
      <c r="L104" s="2224"/>
      <c r="M104" s="2279" t="s">
        <v>1842</v>
      </c>
      <c r="N104" s="2279"/>
      <c r="O104" s="1009">
        <f>P53+P50+P45+P42+P37+P32+P31+P30+P29+P28+P27+P26+P25+P22+P21+P20+P19+P18+P17+P16+P15+P10</f>
        <v>0</v>
      </c>
      <c r="P104" s="2275">
        <f>K95</f>
        <v>240</v>
      </c>
      <c r="Q104" s="2275">
        <f t="shared" si="5"/>
        <v>240</v>
      </c>
      <c r="R104" s="2224"/>
    </row>
    <row r="105" spans="1:18" ht="20.100000000000001" customHeight="1">
      <c r="A105" s="2224"/>
      <c r="B105" s="2224"/>
      <c r="C105" s="2224"/>
      <c r="D105" s="2224"/>
      <c r="E105" s="2224"/>
      <c r="F105" s="2224"/>
      <c r="G105" s="2224"/>
      <c r="H105" s="2224"/>
      <c r="I105" s="2224"/>
      <c r="J105" s="2224"/>
      <c r="K105" s="1"/>
      <c r="L105" s="2224"/>
      <c r="M105" s="2280" t="s">
        <v>760</v>
      </c>
      <c r="N105" s="2281"/>
      <c r="O105" s="2282"/>
      <c r="P105" s="2283">
        <f>SUM(P98:P104)</f>
        <v>34826</v>
      </c>
      <c r="Q105" s="2283">
        <f>SUM(Q98:Q104)</f>
        <v>34826</v>
      </c>
      <c r="R105" s="2224"/>
    </row>
  </sheetData>
  <mergeCells count="34">
    <mergeCell ref="A1:Q1"/>
    <mergeCell ref="A2:Q2"/>
    <mergeCell ref="A3:Q3"/>
    <mergeCell ref="A4:Q4"/>
    <mergeCell ref="A5:A6"/>
    <mergeCell ref="B5:B6"/>
    <mergeCell ref="C5:C6"/>
    <mergeCell ref="D5:D6"/>
    <mergeCell ref="E5:F5"/>
    <mergeCell ref="G5:G6"/>
    <mergeCell ref="N5:N6"/>
    <mergeCell ref="O5:Q5"/>
    <mergeCell ref="J5:J6"/>
    <mergeCell ref="K5:K6"/>
    <mergeCell ref="L5:L6"/>
    <mergeCell ref="M5:M6"/>
    <mergeCell ref="B92:C92"/>
    <mergeCell ref="A93:A94"/>
    <mergeCell ref="B93:B94"/>
    <mergeCell ref="C93:C94"/>
    <mergeCell ref="D93:D94"/>
    <mergeCell ref="E93:F93"/>
    <mergeCell ref="G93:G94"/>
    <mergeCell ref="H93:H94"/>
    <mergeCell ref="H5:H6"/>
    <mergeCell ref="I5:I6"/>
    <mergeCell ref="O93:Q93"/>
    <mergeCell ref="M98:M99"/>
    <mergeCell ref="I93:I94"/>
    <mergeCell ref="J93:J94"/>
    <mergeCell ref="K93:K94"/>
    <mergeCell ref="L93:L94"/>
    <mergeCell ref="M93:M94"/>
    <mergeCell ref="N93:N9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
  <sheetViews>
    <sheetView topLeftCell="A24" workbookViewId="0">
      <selection activeCell="A8" sqref="A8:A25"/>
    </sheetView>
  </sheetViews>
  <sheetFormatPr defaultRowHeight="15"/>
  <cols>
    <col min="13" max="13" width="16.140625" customWidth="1"/>
    <col min="14" max="14" width="14.140625" customWidth="1"/>
  </cols>
  <sheetData>
    <row r="1" spans="1:17" ht="20.100000000000001" customHeight="1">
      <c r="A1" s="3512" t="s">
        <v>0</v>
      </c>
      <c r="B1" s="3512"/>
      <c r="C1" s="3512"/>
      <c r="D1" s="3512"/>
      <c r="E1" s="3512"/>
      <c r="F1" s="3512"/>
      <c r="G1" s="3512"/>
      <c r="H1" s="3512"/>
      <c r="I1" s="3512"/>
      <c r="J1" s="3512"/>
      <c r="K1" s="3512"/>
      <c r="L1" s="3512"/>
      <c r="M1" s="3512"/>
      <c r="N1" s="3512"/>
      <c r="O1" s="3512"/>
      <c r="P1" s="3512"/>
      <c r="Q1" s="3512"/>
    </row>
    <row r="2" spans="1:17" ht="20.100000000000001" customHeight="1">
      <c r="A2" s="3512" t="s">
        <v>2959</v>
      </c>
      <c r="B2" s="3512"/>
      <c r="C2" s="3512"/>
      <c r="D2" s="3512"/>
      <c r="E2" s="3512"/>
      <c r="F2" s="3512"/>
      <c r="G2" s="3512"/>
      <c r="H2" s="3512"/>
      <c r="I2" s="3512"/>
      <c r="J2" s="3512"/>
      <c r="K2" s="3512"/>
      <c r="L2" s="3512"/>
      <c r="M2" s="3512"/>
      <c r="N2" s="3512"/>
      <c r="O2" s="3512"/>
      <c r="P2" s="3512"/>
      <c r="Q2" s="3512"/>
    </row>
    <row r="3" spans="1:17" ht="20.100000000000001" customHeight="1">
      <c r="A3" s="3512" t="s">
        <v>770</v>
      </c>
      <c r="B3" s="3512"/>
      <c r="C3" s="3512"/>
      <c r="D3" s="3512"/>
      <c r="E3" s="3512"/>
      <c r="F3" s="3512"/>
      <c r="G3" s="3512"/>
      <c r="H3" s="3512"/>
      <c r="I3" s="3512"/>
      <c r="J3" s="3512"/>
      <c r="K3" s="3512"/>
      <c r="L3" s="3512"/>
      <c r="M3" s="3512"/>
      <c r="N3" s="3512"/>
      <c r="O3" s="3512"/>
      <c r="P3" s="3512"/>
      <c r="Q3" s="3512"/>
    </row>
    <row r="4" spans="1:17" ht="20.100000000000001" customHeight="1">
      <c r="A4" s="3513" t="s">
        <v>1578</v>
      </c>
      <c r="B4" s="3513"/>
      <c r="C4" s="3513"/>
      <c r="D4" s="3513"/>
      <c r="E4" s="3513"/>
      <c r="F4" s="3513"/>
      <c r="G4" s="3513"/>
      <c r="H4" s="3513"/>
      <c r="I4" s="3513"/>
      <c r="J4" s="3513"/>
      <c r="K4" s="3513"/>
      <c r="L4" s="3513"/>
      <c r="M4" s="3513"/>
      <c r="N4" s="3513"/>
      <c r="O4" s="3513"/>
      <c r="P4" s="3513"/>
      <c r="Q4" s="3513"/>
    </row>
    <row r="5" spans="1:17" ht="20.100000000000001" customHeight="1">
      <c r="A5" s="3506" t="s">
        <v>1579</v>
      </c>
      <c r="B5" s="1016"/>
      <c r="C5" s="1016"/>
      <c r="D5" s="3505" t="s">
        <v>6</v>
      </c>
      <c r="E5" s="3501" t="s">
        <v>1580</v>
      </c>
      <c r="F5" s="3501"/>
      <c r="G5" s="3506" t="s">
        <v>1581</v>
      </c>
      <c r="H5" s="3506" t="s">
        <v>9</v>
      </c>
      <c r="I5" s="3506" t="s">
        <v>1582</v>
      </c>
      <c r="J5" s="3506" t="s">
        <v>1583</v>
      </c>
      <c r="K5" s="3515" t="s">
        <v>1584</v>
      </c>
      <c r="L5" s="3506" t="s">
        <v>1585</v>
      </c>
      <c r="M5" s="3505" t="s">
        <v>14</v>
      </c>
      <c r="N5" s="3507" t="s">
        <v>1022</v>
      </c>
      <c r="O5" s="3509" t="s">
        <v>16</v>
      </c>
      <c r="P5" s="3510"/>
      <c r="Q5" s="3511"/>
    </row>
    <row r="6" spans="1:17" ht="20.100000000000001" customHeight="1">
      <c r="A6" s="3514"/>
      <c r="B6" s="1017"/>
      <c r="C6" s="1017"/>
      <c r="D6" s="3505"/>
      <c r="E6" s="1019" t="s">
        <v>779</v>
      </c>
      <c r="F6" s="1019" t="s">
        <v>1586</v>
      </c>
      <c r="G6" s="3514"/>
      <c r="H6" s="3514"/>
      <c r="I6" s="3514"/>
      <c r="J6" s="3514"/>
      <c r="K6" s="3516"/>
      <c r="L6" s="3514"/>
      <c r="M6" s="3505"/>
      <c r="N6" s="3508" t="s">
        <v>15</v>
      </c>
      <c r="O6" s="1340" t="s">
        <v>21</v>
      </c>
      <c r="P6" s="1340" t="s">
        <v>22</v>
      </c>
      <c r="Q6" s="1021" t="s">
        <v>23</v>
      </c>
    </row>
    <row r="7" spans="1:17" ht="20.100000000000001" customHeight="1">
      <c r="A7" s="3514"/>
      <c r="B7" s="1017" t="s">
        <v>4</v>
      </c>
      <c r="C7" s="1017" t="s">
        <v>5</v>
      </c>
      <c r="D7" s="3506" t="s">
        <v>6</v>
      </c>
      <c r="E7" s="1022"/>
      <c r="F7" s="1022"/>
      <c r="G7" s="1022"/>
      <c r="H7" s="1022"/>
      <c r="I7" s="1022"/>
      <c r="J7" s="1022"/>
      <c r="K7" s="3516" t="s">
        <v>19</v>
      </c>
      <c r="L7" s="3514"/>
      <c r="M7" s="3506" t="s">
        <v>20</v>
      </c>
      <c r="N7" s="3508"/>
      <c r="O7" s="1023"/>
      <c r="P7" s="1024"/>
      <c r="Q7" s="1025"/>
    </row>
    <row r="8" spans="1:17" ht="20.100000000000001" customHeight="1">
      <c r="A8" s="92">
        <v>1</v>
      </c>
      <c r="B8" s="1066" t="s">
        <v>2831</v>
      </c>
      <c r="C8" s="1066" t="s">
        <v>2831</v>
      </c>
      <c r="D8" s="1064"/>
      <c r="E8" s="92"/>
      <c r="F8" s="92"/>
      <c r="G8" s="92"/>
      <c r="H8" s="92"/>
      <c r="I8" s="92"/>
      <c r="J8" s="92"/>
      <c r="K8" s="1056">
        <v>1</v>
      </c>
      <c r="L8" s="1056" t="s">
        <v>2832</v>
      </c>
      <c r="M8" s="2102" t="s">
        <v>2833</v>
      </c>
      <c r="N8" s="447">
        <v>4146</v>
      </c>
      <c r="O8" s="92">
        <f>E8+F8+G8+H8+I8+J8+K8-P8</f>
        <v>0</v>
      </c>
      <c r="P8" s="1330">
        <v>1</v>
      </c>
      <c r="Q8" s="92"/>
    </row>
    <row r="9" spans="1:17" ht="20.100000000000001" customHeight="1">
      <c r="A9" s="92">
        <v>2</v>
      </c>
      <c r="B9" s="1066" t="s">
        <v>2831</v>
      </c>
      <c r="C9" s="1066" t="s">
        <v>2831</v>
      </c>
      <c r="D9" s="2372"/>
      <c r="E9" s="92"/>
      <c r="F9" s="92"/>
      <c r="G9" s="92"/>
      <c r="H9" s="92"/>
      <c r="I9" s="92">
        <v>5099</v>
      </c>
      <c r="J9" s="92"/>
      <c r="K9" s="2095"/>
      <c r="L9" s="2095" t="s">
        <v>1862</v>
      </c>
      <c r="M9" s="2108" t="s">
        <v>35</v>
      </c>
      <c r="N9" s="2096">
        <v>5722020.1299999999</v>
      </c>
      <c r="O9" s="92">
        <f t="shared" ref="O9:O25" si="0">E9+F9+G9+H9+I9+J9+K9-P9</f>
        <v>5099</v>
      </c>
      <c r="P9" s="1330"/>
      <c r="Q9" s="92"/>
    </row>
    <row r="10" spans="1:17" ht="20.100000000000001" customHeight="1">
      <c r="A10" s="92">
        <v>3</v>
      </c>
      <c r="B10" s="2373" t="s">
        <v>2834</v>
      </c>
      <c r="C10" s="1066" t="s">
        <v>2831</v>
      </c>
      <c r="D10" s="1330"/>
      <c r="E10" s="92"/>
      <c r="F10" s="92"/>
      <c r="G10" s="92"/>
      <c r="H10" s="92"/>
      <c r="I10" s="92"/>
      <c r="J10" s="92"/>
      <c r="K10" s="2374">
        <v>1</v>
      </c>
      <c r="L10" s="2375" t="s">
        <v>2835</v>
      </c>
      <c r="M10" s="2376" t="s">
        <v>2836</v>
      </c>
      <c r="N10" s="2377" t="s">
        <v>2837</v>
      </c>
      <c r="O10" s="92">
        <f t="shared" si="0"/>
        <v>1</v>
      </c>
      <c r="P10" s="1330"/>
      <c r="Q10" s="92"/>
    </row>
    <row r="11" spans="1:17" ht="20.100000000000001" customHeight="1">
      <c r="A11" s="92">
        <v>4</v>
      </c>
      <c r="B11" s="2373" t="s">
        <v>2834</v>
      </c>
      <c r="C11" s="1066" t="s">
        <v>2831</v>
      </c>
      <c r="D11" s="1330"/>
      <c r="E11" s="92"/>
      <c r="F11" s="92"/>
      <c r="G11" s="92"/>
      <c r="H11" s="92"/>
      <c r="I11" s="92">
        <v>247</v>
      </c>
      <c r="J11" s="92"/>
      <c r="K11" s="1330"/>
      <c r="L11" s="2378" t="s">
        <v>741</v>
      </c>
      <c r="M11" s="2379" t="s">
        <v>2838</v>
      </c>
      <c r="N11" s="1327">
        <v>11928486.82</v>
      </c>
      <c r="O11" s="92">
        <f t="shared" si="0"/>
        <v>247</v>
      </c>
      <c r="P11" s="1330"/>
      <c r="Q11" s="92"/>
    </row>
    <row r="12" spans="1:17" ht="20.100000000000001" customHeight="1">
      <c r="A12" s="92">
        <v>5</v>
      </c>
      <c r="B12" s="2373" t="s">
        <v>2834</v>
      </c>
      <c r="C12" s="1066" t="s">
        <v>2831</v>
      </c>
      <c r="D12" s="2380" t="s">
        <v>36</v>
      </c>
      <c r="E12" s="92"/>
      <c r="F12" s="92">
        <v>628</v>
      </c>
      <c r="G12" s="92"/>
      <c r="H12" s="92"/>
      <c r="I12" s="92"/>
      <c r="J12" s="92"/>
      <c r="K12" s="2381"/>
      <c r="L12" s="2382"/>
      <c r="M12" s="2383" t="s">
        <v>2839</v>
      </c>
      <c r="N12" s="2384">
        <v>0</v>
      </c>
      <c r="O12" s="92">
        <f t="shared" si="0"/>
        <v>628</v>
      </c>
      <c r="P12" s="1330"/>
      <c r="Q12" s="92"/>
    </row>
    <row r="13" spans="1:17" ht="20.100000000000001" customHeight="1">
      <c r="A13" s="92">
        <v>6</v>
      </c>
      <c r="B13" s="2373" t="s">
        <v>2834</v>
      </c>
      <c r="C13" s="1066" t="s">
        <v>2831</v>
      </c>
      <c r="D13" s="2385" t="s">
        <v>38</v>
      </c>
      <c r="E13" s="92"/>
      <c r="F13" s="92"/>
      <c r="G13" s="92"/>
      <c r="H13" s="92"/>
      <c r="I13" s="92"/>
      <c r="J13" s="92"/>
      <c r="K13" s="1330">
        <v>1</v>
      </c>
      <c r="L13" s="1330" t="s">
        <v>2840</v>
      </c>
      <c r="M13" s="2385" t="s">
        <v>2841</v>
      </c>
      <c r="N13" s="2377">
        <v>350000</v>
      </c>
      <c r="O13" s="92">
        <f t="shared" si="0"/>
        <v>0</v>
      </c>
      <c r="P13" s="1330">
        <v>1</v>
      </c>
      <c r="Q13" s="92"/>
    </row>
    <row r="14" spans="1:17" ht="20.100000000000001" customHeight="1">
      <c r="A14" s="92">
        <v>7</v>
      </c>
      <c r="B14" s="2373" t="s">
        <v>2842</v>
      </c>
      <c r="C14" s="1066" t="s">
        <v>2831</v>
      </c>
      <c r="D14" s="2385"/>
      <c r="E14" s="92"/>
      <c r="F14" s="92">
        <v>90</v>
      </c>
      <c r="G14" s="92"/>
      <c r="H14" s="92"/>
      <c r="I14" s="92"/>
      <c r="J14" s="92"/>
      <c r="K14" s="1330"/>
      <c r="L14" s="1330"/>
      <c r="M14" s="2385" t="s">
        <v>3053</v>
      </c>
      <c r="N14" s="2377"/>
      <c r="O14" s="92">
        <f t="shared" si="0"/>
        <v>88</v>
      </c>
      <c r="P14" s="1330">
        <v>2</v>
      </c>
      <c r="Q14" s="92"/>
    </row>
    <row r="15" spans="1:17" ht="20.100000000000001" customHeight="1">
      <c r="A15" s="92">
        <v>8</v>
      </c>
      <c r="B15" s="2373" t="s">
        <v>2842</v>
      </c>
      <c r="C15" s="1066" t="s">
        <v>2831</v>
      </c>
      <c r="D15" s="2386"/>
      <c r="E15" s="92"/>
      <c r="F15" s="92"/>
      <c r="G15" s="92"/>
      <c r="H15" s="92"/>
      <c r="I15" s="92"/>
      <c r="J15" s="92"/>
      <c r="K15" s="2387">
        <v>1</v>
      </c>
      <c r="L15" s="2388" t="s">
        <v>2843</v>
      </c>
      <c r="M15" s="2389" t="s">
        <v>2844</v>
      </c>
      <c r="N15" s="2384">
        <v>450000</v>
      </c>
      <c r="O15" s="92">
        <f t="shared" si="0"/>
        <v>0</v>
      </c>
      <c r="P15" s="1330">
        <v>1</v>
      </c>
      <c r="Q15" s="92"/>
    </row>
    <row r="16" spans="1:17" ht="20.100000000000001" customHeight="1">
      <c r="A16" s="92">
        <v>9</v>
      </c>
      <c r="B16" s="2373" t="s">
        <v>2842</v>
      </c>
      <c r="C16" s="1066" t="s">
        <v>2831</v>
      </c>
      <c r="D16" s="2803"/>
      <c r="E16" s="1330"/>
      <c r="F16" s="1330"/>
      <c r="G16" s="1330"/>
      <c r="H16" s="1330"/>
      <c r="I16" s="1330"/>
      <c r="J16" s="1330"/>
      <c r="K16" s="2387">
        <v>1</v>
      </c>
      <c r="L16" s="2786" t="s">
        <v>3054</v>
      </c>
      <c r="M16" s="2389" t="s">
        <v>3055</v>
      </c>
      <c r="N16" s="2787">
        <v>2000000</v>
      </c>
      <c r="O16" s="92">
        <f t="shared" si="0"/>
        <v>1</v>
      </c>
      <c r="P16" s="1330"/>
      <c r="Q16" s="92"/>
    </row>
    <row r="17" spans="1:17" ht="20.100000000000001" customHeight="1">
      <c r="A17" s="92">
        <v>10</v>
      </c>
      <c r="B17" s="2373" t="s">
        <v>2845</v>
      </c>
      <c r="C17" s="1066" t="s">
        <v>2831</v>
      </c>
      <c r="D17" s="1064" t="s">
        <v>365</v>
      </c>
      <c r="E17" s="92"/>
      <c r="F17" s="92"/>
      <c r="G17" s="92"/>
      <c r="H17" s="92"/>
      <c r="I17" s="92"/>
      <c r="J17" s="92"/>
      <c r="K17" s="1155">
        <v>1</v>
      </c>
      <c r="L17" s="1155"/>
      <c r="M17" s="2390" t="s">
        <v>2846</v>
      </c>
      <c r="N17" s="92"/>
      <c r="O17" s="92">
        <f t="shared" si="0"/>
        <v>1</v>
      </c>
      <c r="P17" s="1330"/>
      <c r="Q17" s="92"/>
    </row>
    <row r="18" spans="1:17" ht="20.100000000000001" customHeight="1">
      <c r="A18" s="92">
        <v>11</v>
      </c>
      <c r="B18" s="2373" t="s">
        <v>2847</v>
      </c>
      <c r="C18" s="1066" t="s">
        <v>2831</v>
      </c>
      <c r="D18" s="2391"/>
      <c r="E18" s="92"/>
      <c r="F18" s="92"/>
      <c r="G18" s="92"/>
      <c r="H18" s="92"/>
      <c r="I18" s="92">
        <v>41</v>
      </c>
      <c r="J18" s="92"/>
      <c r="K18" s="2392"/>
      <c r="L18" s="2392"/>
      <c r="M18" s="2393" t="s">
        <v>35</v>
      </c>
      <c r="N18" s="1327">
        <v>568169.22</v>
      </c>
      <c r="O18" s="92">
        <f t="shared" si="0"/>
        <v>41</v>
      </c>
      <c r="P18" s="1330"/>
      <c r="Q18" s="92"/>
    </row>
    <row r="19" spans="1:17" ht="20.100000000000001" customHeight="1">
      <c r="A19" s="92">
        <v>12</v>
      </c>
      <c r="B19" s="2373" t="s">
        <v>2848</v>
      </c>
      <c r="C19" s="1066" t="s">
        <v>2831</v>
      </c>
      <c r="D19" s="2394"/>
      <c r="E19" s="92"/>
      <c r="F19" s="92">
        <v>168</v>
      </c>
      <c r="G19" s="92"/>
      <c r="H19" s="92"/>
      <c r="I19" s="92"/>
      <c r="J19" s="92"/>
      <c r="K19" s="2395"/>
      <c r="L19" s="2395"/>
      <c r="M19" s="2396" t="s">
        <v>2849</v>
      </c>
      <c r="N19" s="2397"/>
      <c r="O19" s="92">
        <f t="shared" si="0"/>
        <v>168</v>
      </c>
      <c r="P19" s="1330"/>
      <c r="Q19" s="92"/>
    </row>
    <row r="20" spans="1:17" ht="20.100000000000001" customHeight="1">
      <c r="A20" s="92">
        <v>13</v>
      </c>
      <c r="B20" s="2373" t="s">
        <v>2848</v>
      </c>
      <c r="C20" s="1066" t="s">
        <v>2831</v>
      </c>
      <c r="D20" s="2394"/>
      <c r="E20" s="92"/>
      <c r="F20" s="92"/>
      <c r="G20" s="92"/>
      <c r="H20" s="92"/>
      <c r="I20" s="92">
        <v>43</v>
      </c>
      <c r="J20" s="92"/>
      <c r="K20" s="2398"/>
      <c r="L20" s="2398"/>
      <c r="M20" s="2396" t="s">
        <v>35</v>
      </c>
      <c r="N20" s="2399">
        <v>63993.25</v>
      </c>
      <c r="O20" s="92">
        <f t="shared" si="0"/>
        <v>43</v>
      </c>
      <c r="P20" s="1330"/>
      <c r="Q20" s="92"/>
    </row>
    <row r="21" spans="1:17" ht="20.100000000000001" customHeight="1">
      <c r="A21" s="92">
        <v>14</v>
      </c>
      <c r="B21" s="2373" t="s">
        <v>2850</v>
      </c>
      <c r="C21" s="1066" t="s">
        <v>2831</v>
      </c>
      <c r="D21" s="2400"/>
      <c r="E21" s="92"/>
      <c r="F21" s="92"/>
      <c r="G21" s="92"/>
      <c r="H21" s="92"/>
      <c r="I21" s="92">
        <v>264</v>
      </c>
      <c r="J21" s="92"/>
      <c r="K21" s="2401"/>
      <c r="L21" s="2401"/>
      <c r="M21" s="2402" t="s">
        <v>35</v>
      </c>
      <c r="N21" s="2401">
        <v>547049.17000000004</v>
      </c>
      <c r="O21" s="92">
        <f t="shared" si="0"/>
        <v>177</v>
      </c>
      <c r="P21" s="1330">
        <v>87</v>
      </c>
      <c r="Q21" s="92"/>
    </row>
    <row r="22" spans="1:17" ht="20.100000000000001" customHeight="1">
      <c r="A22" s="92">
        <v>15</v>
      </c>
      <c r="B22" s="2373" t="s">
        <v>2850</v>
      </c>
      <c r="C22" s="1066" t="s">
        <v>2831</v>
      </c>
      <c r="D22" s="2400"/>
      <c r="E22" s="92"/>
      <c r="F22" s="92">
        <v>223</v>
      </c>
      <c r="G22" s="92"/>
      <c r="H22" s="92"/>
      <c r="I22" s="92"/>
      <c r="J22" s="92"/>
      <c r="K22" s="2401"/>
      <c r="L22" s="2401"/>
      <c r="M22" s="2403" t="s">
        <v>2851</v>
      </c>
      <c r="N22" s="2401"/>
      <c r="O22" s="92">
        <f t="shared" si="0"/>
        <v>223</v>
      </c>
      <c r="P22" s="1330"/>
      <c r="Q22" s="92"/>
    </row>
    <row r="23" spans="1:17" ht="20.100000000000001" customHeight="1">
      <c r="A23" s="92">
        <v>16</v>
      </c>
      <c r="B23" s="2373" t="s">
        <v>2852</v>
      </c>
      <c r="C23" s="1066" t="s">
        <v>2831</v>
      </c>
      <c r="D23" s="2404"/>
      <c r="E23" s="92"/>
      <c r="F23" s="92"/>
      <c r="G23" s="92"/>
      <c r="H23" s="92"/>
      <c r="I23" s="92"/>
      <c r="J23" s="92">
        <v>13</v>
      </c>
      <c r="K23" s="1071"/>
      <c r="L23" s="1071"/>
      <c r="M23" s="2405" t="s">
        <v>2853</v>
      </c>
      <c r="N23" s="2406"/>
      <c r="O23" s="92">
        <f t="shared" si="0"/>
        <v>13</v>
      </c>
      <c r="P23" s="1330"/>
      <c r="Q23" s="92"/>
    </row>
    <row r="24" spans="1:17" ht="20.100000000000001" customHeight="1">
      <c r="A24" s="92">
        <v>17</v>
      </c>
      <c r="B24" s="2373" t="s">
        <v>2852</v>
      </c>
      <c r="C24" s="1066" t="s">
        <v>2831</v>
      </c>
      <c r="D24" s="1290"/>
      <c r="E24" s="92"/>
      <c r="F24" s="92"/>
      <c r="G24" s="92"/>
      <c r="H24" s="92"/>
      <c r="I24" s="92">
        <v>663</v>
      </c>
      <c r="J24" s="92"/>
      <c r="K24" s="2407"/>
      <c r="L24" s="1071"/>
      <c r="M24" s="2408" t="s">
        <v>35</v>
      </c>
      <c r="N24" s="2406"/>
      <c r="O24" s="92">
        <f t="shared" si="0"/>
        <v>663</v>
      </c>
      <c r="P24" s="1330"/>
      <c r="Q24" s="92"/>
    </row>
    <row r="25" spans="1:17" ht="20.100000000000001" customHeight="1">
      <c r="A25" s="92">
        <v>18</v>
      </c>
      <c r="B25" s="2373" t="s">
        <v>2852</v>
      </c>
      <c r="C25" s="1066" t="s">
        <v>2831</v>
      </c>
      <c r="D25" s="92"/>
      <c r="E25" s="92"/>
      <c r="F25" s="92">
        <v>427</v>
      </c>
      <c r="G25" s="92"/>
      <c r="H25" s="92"/>
      <c r="I25" s="92"/>
      <c r="J25" s="92"/>
      <c r="K25" s="92"/>
      <c r="L25" s="92"/>
      <c r="M25" s="2409" t="s">
        <v>2854</v>
      </c>
      <c r="N25" s="92"/>
      <c r="O25" s="92">
        <f t="shared" si="0"/>
        <v>427</v>
      </c>
      <c r="P25" s="1330"/>
      <c r="Q25" s="92"/>
    </row>
    <row r="26" spans="1:17" ht="20.100000000000001" customHeight="1">
      <c r="A26" s="1332"/>
      <c r="B26" s="1332"/>
      <c r="C26" s="1332"/>
      <c r="D26" s="1332"/>
      <c r="E26" s="1332">
        <f t="shared" ref="E26:K26" si="1">SUM(E8:E25)</f>
        <v>0</v>
      </c>
      <c r="F26" s="1332">
        <f t="shared" si="1"/>
        <v>1536</v>
      </c>
      <c r="G26" s="1332">
        <f t="shared" si="1"/>
        <v>0</v>
      </c>
      <c r="H26" s="1332">
        <f t="shared" si="1"/>
        <v>0</v>
      </c>
      <c r="I26" s="1332">
        <f t="shared" si="1"/>
        <v>6357</v>
      </c>
      <c r="J26" s="1332">
        <f t="shared" si="1"/>
        <v>13</v>
      </c>
      <c r="K26" s="1332">
        <f t="shared" si="1"/>
        <v>6</v>
      </c>
      <c r="L26" s="1332"/>
      <c r="M26" s="1332"/>
      <c r="N26" s="1332">
        <f>SUM(N8:N25)</f>
        <v>21633864.59</v>
      </c>
      <c r="O26" s="1332">
        <f>SUM(O8:O25)</f>
        <v>7820</v>
      </c>
      <c r="P26" s="1330"/>
      <c r="Q26" s="1332">
        <f>SUM(Q8:Q25)</f>
        <v>0</v>
      </c>
    </row>
    <row r="27" spans="1:17" ht="20.100000000000001" customHeight="1">
      <c r="P27" s="1330">
        <f>SUM(P8:P26)</f>
        <v>92</v>
      </c>
    </row>
    <row r="28" spans="1:17" ht="20.100000000000001" customHeight="1">
      <c r="A28" s="3502" t="s">
        <v>1579</v>
      </c>
      <c r="B28" s="3502" t="s">
        <v>1837</v>
      </c>
      <c r="C28" s="3502" t="s">
        <v>5</v>
      </c>
      <c r="D28" s="3502" t="s">
        <v>6</v>
      </c>
      <c r="E28" s="3502"/>
      <c r="F28" s="3502"/>
      <c r="G28" s="3502"/>
      <c r="H28" s="3502"/>
      <c r="I28" s="3502"/>
      <c r="J28" s="3502"/>
      <c r="K28" s="3502"/>
      <c r="L28" s="3502" t="s">
        <v>1585</v>
      </c>
      <c r="M28" s="3502" t="s">
        <v>14</v>
      </c>
      <c r="N28" s="3504" t="s">
        <v>1022</v>
      </c>
      <c r="O28" s="3501" t="s">
        <v>16</v>
      </c>
      <c r="P28" s="3501"/>
      <c r="Q28" s="3501"/>
    </row>
    <row r="29" spans="1:17" ht="20.100000000000001" customHeight="1">
      <c r="A29" s="3502"/>
      <c r="B29" s="3502"/>
      <c r="C29" s="3502"/>
      <c r="D29" s="3502"/>
      <c r="E29" s="3501" t="s">
        <v>1580</v>
      </c>
      <c r="F29" s="3501"/>
      <c r="G29" s="3502" t="s">
        <v>1581</v>
      </c>
      <c r="H29" s="3502" t="s">
        <v>9</v>
      </c>
      <c r="I29" s="3502" t="s">
        <v>1582</v>
      </c>
      <c r="J29" s="3502" t="s">
        <v>1583</v>
      </c>
      <c r="K29" s="3502" t="s">
        <v>1584</v>
      </c>
      <c r="L29" s="3502"/>
      <c r="M29" s="3502"/>
      <c r="N29" s="3504" t="s">
        <v>15</v>
      </c>
      <c r="O29" s="3501" t="s">
        <v>21</v>
      </c>
      <c r="P29" s="3501" t="s">
        <v>22</v>
      </c>
      <c r="Q29" s="3502" t="s">
        <v>23</v>
      </c>
    </row>
    <row r="30" spans="1:17" ht="20.100000000000001" customHeight="1">
      <c r="A30" s="3502"/>
      <c r="B30" s="3502"/>
      <c r="C30" s="3502"/>
      <c r="D30" s="3502" t="s">
        <v>6</v>
      </c>
      <c r="E30" s="1334" t="s">
        <v>779</v>
      </c>
      <c r="F30" s="1334" t="s">
        <v>1586</v>
      </c>
      <c r="G30" s="3502"/>
      <c r="H30" s="3502"/>
      <c r="I30" s="3502"/>
      <c r="J30" s="3502"/>
      <c r="K30" s="3502"/>
      <c r="L30" s="3502"/>
      <c r="M30" s="3502" t="s">
        <v>20</v>
      </c>
      <c r="N30" s="3504"/>
      <c r="O30" s="3501"/>
      <c r="P30" s="3501"/>
      <c r="Q30" s="3502"/>
    </row>
    <row r="31" spans="1:17" ht="20.100000000000001" customHeight="1">
      <c r="A31" s="1335"/>
      <c r="B31" s="1335"/>
      <c r="C31" s="1336" t="s">
        <v>2831</v>
      </c>
      <c r="D31" s="1335"/>
      <c r="E31" s="1337">
        <f t="shared" ref="E31:K31" si="2">E26</f>
        <v>0</v>
      </c>
      <c r="F31" s="1337">
        <f t="shared" si="2"/>
        <v>1536</v>
      </c>
      <c r="G31" s="1337">
        <f t="shared" si="2"/>
        <v>0</v>
      </c>
      <c r="H31" s="1337">
        <f t="shared" si="2"/>
        <v>0</v>
      </c>
      <c r="I31" s="1337">
        <f t="shared" si="2"/>
        <v>6357</v>
      </c>
      <c r="J31" s="1337">
        <f t="shared" si="2"/>
        <v>13</v>
      </c>
      <c r="K31" s="1337">
        <f t="shared" si="2"/>
        <v>6</v>
      </c>
      <c r="L31" s="1337">
        <v>0</v>
      </c>
      <c r="M31" s="1337"/>
      <c r="N31" s="1337">
        <f>N26</f>
        <v>21633864.59</v>
      </c>
      <c r="O31" s="1337">
        <f>O26</f>
        <v>7820</v>
      </c>
      <c r="P31" s="1337">
        <f>P26</f>
        <v>0</v>
      </c>
      <c r="Q31" s="1337">
        <f>Q26</f>
        <v>0</v>
      </c>
    </row>
    <row r="32" spans="1:17" ht="20.100000000000001" customHeight="1">
      <c r="A32" s="1338"/>
      <c r="B32" s="1338"/>
      <c r="C32" s="1338"/>
      <c r="D32" s="1338"/>
      <c r="E32" s="1338"/>
      <c r="F32" s="1338"/>
      <c r="G32" s="1338"/>
      <c r="H32" s="1338"/>
      <c r="I32" s="1338"/>
      <c r="J32" s="1338"/>
      <c r="K32" s="1338"/>
      <c r="L32" s="1338"/>
      <c r="M32" s="1338"/>
      <c r="N32" s="1338"/>
      <c r="O32" s="1338"/>
      <c r="P32" s="1338"/>
      <c r="Q32" s="1338"/>
    </row>
    <row r="33" spans="1:17" ht="20.100000000000001" customHeight="1">
      <c r="A33" s="1338"/>
      <c r="B33" s="1338"/>
      <c r="C33" s="1338"/>
      <c r="D33" s="1338"/>
      <c r="E33" s="1338"/>
      <c r="F33" s="1338"/>
      <c r="G33" s="1338"/>
      <c r="H33" s="1338"/>
      <c r="I33" s="1338"/>
      <c r="J33" s="1338"/>
      <c r="K33" s="1338"/>
      <c r="L33" s="1338"/>
      <c r="M33" s="1338"/>
      <c r="N33" s="1338"/>
      <c r="O33" s="1338"/>
      <c r="P33" s="1338"/>
      <c r="Q33" s="1338"/>
    </row>
    <row r="34" spans="1:17" ht="20.100000000000001" customHeight="1">
      <c r="A34" s="1338"/>
      <c r="B34" s="1338"/>
      <c r="C34" s="1338"/>
      <c r="D34" s="1338"/>
      <c r="E34" s="1338"/>
      <c r="F34" s="1338"/>
      <c r="G34" s="1338"/>
      <c r="H34" s="1338"/>
      <c r="I34" s="1338"/>
      <c r="J34" s="1338"/>
      <c r="K34" s="1338"/>
      <c r="L34" s="1338"/>
      <c r="M34" s="1338"/>
      <c r="N34" s="1338"/>
      <c r="O34" s="1338"/>
      <c r="P34" s="1338"/>
      <c r="Q34" s="1338"/>
    </row>
    <row r="35" spans="1:17" ht="20.100000000000001" customHeight="1">
      <c r="A35" s="1338"/>
      <c r="B35" s="1338"/>
      <c r="C35" s="1338"/>
      <c r="D35" s="1335"/>
      <c r="E35" s="1335"/>
      <c r="F35" s="1339" t="s">
        <v>22</v>
      </c>
      <c r="G35" s="1339" t="s">
        <v>1839</v>
      </c>
      <c r="H35" s="1339" t="s">
        <v>755</v>
      </c>
      <c r="I35" s="1338"/>
      <c r="J35" s="1338"/>
      <c r="K35" s="1338"/>
      <c r="L35" s="1338"/>
      <c r="M35" s="1338"/>
      <c r="N35" s="1338"/>
      <c r="O35" s="1338"/>
      <c r="P35" s="1338"/>
      <c r="Q35" s="1338"/>
    </row>
    <row r="36" spans="1:17" ht="20.100000000000001" customHeight="1">
      <c r="A36" s="1338"/>
      <c r="B36" s="1338"/>
      <c r="C36" s="1338"/>
      <c r="D36" s="3503" t="s">
        <v>7</v>
      </c>
      <c r="E36" s="1341" t="s">
        <v>17</v>
      </c>
      <c r="F36" s="1342"/>
      <c r="G36" s="1343">
        <f>E31</f>
        <v>0</v>
      </c>
      <c r="H36" s="1343">
        <f>G36-F36</f>
        <v>0</v>
      </c>
      <c r="I36" s="1338"/>
      <c r="J36" s="1338"/>
      <c r="K36" s="1338"/>
      <c r="L36" s="1338"/>
      <c r="M36" s="1338"/>
      <c r="N36" s="1338"/>
      <c r="O36" s="1338"/>
      <c r="P36" s="1338"/>
      <c r="Q36" s="1338"/>
    </row>
    <row r="37" spans="1:17" ht="20.100000000000001" customHeight="1">
      <c r="A37" s="1338"/>
      <c r="B37" s="1338"/>
      <c r="C37" s="1338"/>
      <c r="D37" s="3503"/>
      <c r="E37" s="1344" t="s">
        <v>18</v>
      </c>
      <c r="F37" s="1345">
        <f>P11+P14+P19+P22+P25</f>
        <v>2</v>
      </c>
      <c r="G37" s="1343">
        <f>F31</f>
        <v>1536</v>
      </c>
      <c r="H37" s="1343">
        <f t="shared" ref="H37:H42" si="3">G37-F37</f>
        <v>1534</v>
      </c>
      <c r="I37" s="1338"/>
      <c r="J37" s="1338"/>
      <c r="K37" s="1338"/>
      <c r="L37" s="1338"/>
      <c r="M37" s="1338"/>
      <c r="N37" s="1338"/>
      <c r="O37" s="1338"/>
      <c r="P37" s="1338"/>
      <c r="Q37" s="1338"/>
    </row>
    <row r="38" spans="1:17" ht="20.100000000000001" customHeight="1">
      <c r="A38" s="1338"/>
      <c r="B38" s="1338"/>
      <c r="C38" s="1338"/>
      <c r="D38" s="1341" t="s">
        <v>756</v>
      </c>
      <c r="E38" s="1341"/>
      <c r="F38" s="1345"/>
      <c r="G38" s="1343">
        <f>G31</f>
        <v>0</v>
      </c>
      <c r="H38" s="1343">
        <f t="shared" si="3"/>
        <v>0</v>
      </c>
      <c r="I38" s="1338"/>
      <c r="J38" s="1338"/>
      <c r="K38" s="1338"/>
      <c r="L38" s="1338"/>
      <c r="M38" s="1338"/>
      <c r="N38" s="1338"/>
      <c r="O38" s="1338">
        <v>108502</v>
      </c>
      <c r="P38" s="1338"/>
      <c r="Q38" s="1338"/>
    </row>
    <row r="39" spans="1:17" ht="20.100000000000001" customHeight="1">
      <c r="A39" s="1338"/>
      <c r="B39" s="1338"/>
      <c r="C39" s="1338"/>
      <c r="D39" s="1344" t="s">
        <v>1840</v>
      </c>
      <c r="E39" s="1341"/>
      <c r="F39" s="1345"/>
      <c r="G39" s="1343">
        <f>H31</f>
        <v>0</v>
      </c>
      <c r="H39" s="1343">
        <f t="shared" si="3"/>
        <v>0</v>
      </c>
      <c r="I39" s="1338"/>
      <c r="J39" s="1338"/>
      <c r="K39" s="1338"/>
      <c r="L39" s="1338"/>
      <c r="M39" s="1338"/>
      <c r="N39" s="1338"/>
      <c r="O39" s="1338">
        <v>109377</v>
      </c>
      <c r="P39" s="1338"/>
      <c r="Q39" s="1338"/>
    </row>
    <row r="40" spans="1:17" ht="20.100000000000001" customHeight="1">
      <c r="A40" s="1338"/>
      <c r="B40" s="1338"/>
      <c r="C40" s="1338"/>
      <c r="D40" s="1344" t="s">
        <v>1841</v>
      </c>
      <c r="E40" s="1344"/>
      <c r="F40" s="1345">
        <f>P9+P11+P18+P20+P21+P24</f>
        <v>87</v>
      </c>
      <c r="G40" s="1343">
        <f>I31</f>
        <v>6357</v>
      </c>
      <c r="H40" s="1343">
        <f t="shared" si="3"/>
        <v>6270</v>
      </c>
      <c r="I40" s="1338"/>
      <c r="J40" s="1338"/>
      <c r="K40" s="1338"/>
      <c r="L40" s="1338"/>
      <c r="M40" s="1338"/>
      <c r="N40" s="1338"/>
      <c r="O40" s="1338">
        <f>O39-O38</f>
        <v>875</v>
      </c>
      <c r="P40" s="1338"/>
      <c r="Q40" s="1338"/>
    </row>
    <row r="41" spans="1:17" ht="20.100000000000001" customHeight="1">
      <c r="A41" s="1338"/>
      <c r="B41" s="1338"/>
      <c r="C41" s="1338"/>
      <c r="D41" s="1344" t="s">
        <v>758</v>
      </c>
      <c r="E41" s="1344"/>
      <c r="F41" s="1345">
        <f>P23</f>
        <v>0</v>
      </c>
      <c r="G41" s="1343">
        <f>J31</f>
        <v>13</v>
      </c>
      <c r="H41" s="1343">
        <f t="shared" si="3"/>
        <v>13</v>
      </c>
      <c r="I41" s="1338"/>
      <c r="J41" s="1338"/>
      <c r="K41" s="1338"/>
      <c r="L41" s="1338"/>
      <c r="M41" s="1338"/>
      <c r="N41" s="1338"/>
      <c r="O41" s="1338"/>
      <c r="P41" s="1338"/>
      <c r="Q41" s="1338"/>
    </row>
    <row r="42" spans="1:17" ht="20.100000000000001" customHeight="1">
      <c r="A42" s="1338"/>
      <c r="B42" s="1338"/>
      <c r="C42" s="1338"/>
      <c r="D42" s="1346" t="s">
        <v>1842</v>
      </c>
      <c r="E42" s="1346"/>
      <c r="F42" s="1345">
        <f>P8+P10+P13+P15+P17</f>
        <v>3</v>
      </c>
      <c r="G42" s="1343">
        <f>K31</f>
        <v>6</v>
      </c>
      <c r="H42" s="1343">
        <f t="shared" si="3"/>
        <v>3</v>
      </c>
      <c r="I42" s="1338"/>
      <c r="J42" s="1338"/>
      <c r="K42" s="1338"/>
      <c r="L42" s="1338"/>
      <c r="M42" s="1338"/>
      <c r="N42" s="1338"/>
      <c r="O42" s="1338"/>
      <c r="P42" s="1338"/>
      <c r="Q42" s="1338"/>
    </row>
    <row r="43" spans="1:17" ht="20.100000000000001" customHeight="1">
      <c r="A43" s="1338"/>
      <c r="B43" s="1338"/>
      <c r="C43" s="1338"/>
      <c r="D43" s="1347" t="s">
        <v>760</v>
      </c>
      <c r="E43" s="1335"/>
      <c r="F43" s="1348">
        <f>SUM(F36:F42)</f>
        <v>92</v>
      </c>
      <c r="G43" s="1343">
        <f>SUM(G36:G42)</f>
        <v>7912</v>
      </c>
      <c r="H43" s="1343">
        <f>SUM(H36:H42)</f>
        <v>7820</v>
      </c>
      <c r="I43" s="1338"/>
      <c r="J43" s="1338"/>
      <c r="K43" s="1338"/>
      <c r="L43" s="1338"/>
      <c r="M43" s="1338"/>
      <c r="N43" s="1338"/>
      <c r="O43" s="1338"/>
      <c r="P43" s="1338"/>
      <c r="Q43" s="1338"/>
    </row>
    <row r="47" spans="1:17" ht="192">
      <c r="E47" s="2786" t="s">
        <v>3054</v>
      </c>
      <c r="F47" s="2389" t="s">
        <v>3055</v>
      </c>
      <c r="G47" s="2787">
        <v>2000000</v>
      </c>
      <c r="H47" s="2389" t="s">
        <v>3055</v>
      </c>
      <c r="I47" s="2788" t="s">
        <v>3056</v>
      </c>
      <c r="J47" s="2789" t="s">
        <v>3057</v>
      </c>
      <c r="K47" s="2790" t="s">
        <v>3058</v>
      </c>
    </row>
  </sheetData>
  <mergeCells count="35">
    <mergeCell ref="P29:P30"/>
    <mergeCell ref="Q29:Q30"/>
    <mergeCell ref="D36:D37"/>
    <mergeCell ref="M28:M30"/>
    <mergeCell ref="N28:N30"/>
    <mergeCell ref="O28:Q28"/>
    <mergeCell ref="E29:F29"/>
    <mergeCell ref="G29:G30"/>
    <mergeCell ref="H29:H30"/>
    <mergeCell ref="I29:I30"/>
    <mergeCell ref="J29:J30"/>
    <mergeCell ref="K29:K30"/>
    <mergeCell ref="O29:O30"/>
    <mergeCell ref="L28:L30"/>
    <mergeCell ref="A28:A30"/>
    <mergeCell ref="B28:B30"/>
    <mergeCell ref="C28:C30"/>
    <mergeCell ref="D28:D30"/>
    <mergeCell ref="E28:K28"/>
    <mergeCell ref="O5:Q5"/>
    <mergeCell ref="A1:Q1"/>
    <mergeCell ref="A2:Q2"/>
    <mergeCell ref="A3:Q3"/>
    <mergeCell ref="A4:Q4"/>
    <mergeCell ref="A5:A7"/>
    <mergeCell ref="D5:D7"/>
    <mergeCell ref="E5:F5"/>
    <mergeCell ref="G5:G6"/>
    <mergeCell ref="H5:H6"/>
    <mergeCell ref="I5:I6"/>
    <mergeCell ref="J5:J6"/>
    <mergeCell ref="K5:K7"/>
    <mergeCell ref="L5:L7"/>
    <mergeCell ref="M5:M7"/>
    <mergeCell ref="N5:N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3"/>
  <sheetViews>
    <sheetView topLeftCell="A124" workbookViewId="0">
      <selection activeCell="K139" sqref="K139"/>
    </sheetView>
  </sheetViews>
  <sheetFormatPr defaultRowHeight="15"/>
  <cols>
    <col min="10" max="10" width="13.7109375" customWidth="1"/>
    <col min="11" max="11" width="19" customWidth="1"/>
    <col min="12" max="12" width="14.28515625" customWidth="1"/>
    <col min="13" max="13" width="16.28515625" customWidth="1"/>
  </cols>
  <sheetData>
    <row r="1" spans="1:17" ht="20.100000000000001" customHeight="1">
      <c r="A1" s="3588" t="s">
        <v>0</v>
      </c>
      <c r="B1" s="3588"/>
      <c r="C1" s="3588"/>
      <c r="D1" s="3588"/>
      <c r="E1" s="3588"/>
      <c r="F1" s="3588"/>
      <c r="G1" s="3588"/>
      <c r="H1" s="3588"/>
      <c r="I1" s="3588"/>
      <c r="J1" s="3588"/>
      <c r="K1" s="3588"/>
      <c r="L1" s="3588"/>
      <c r="M1" s="3588"/>
      <c r="N1" s="3588"/>
      <c r="O1" s="3588"/>
      <c r="P1" s="3588"/>
      <c r="Q1" s="3588"/>
    </row>
    <row r="2" spans="1:17" ht="20.100000000000001" customHeight="1">
      <c r="A2" s="3588" t="s">
        <v>2737</v>
      </c>
      <c r="B2" s="3588"/>
      <c r="C2" s="3588"/>
      <c r="D2" s="3588"/>
      <c r="E2" s="3588"/>
      <c r="F2" s="3588"/>
      <c r="G2" s="3588"/>
      <c r="H2" s="3588"/>
      <c r="I2" s="3588"/>
      <c r="J2" s="3588"/>
      <c r="K2" s="3588"/>
      <c r="L2" s="3588"/>
      <c r="M2" s="3588"/>
      <c r="N2" s="3588"/>
      <c r="O2" s="3588"/>
      <c r="P2" s="3588"/>
      <c r="Q2" s="3588"/>
    </row>
    <row r="3" spans="1:17" ht="20.100000000000001" customHeight="1">
      <c r="A3" s="3588" t="s">
        <v>1</v>
      </c>
      <c r="B3" s="3588"/>
      <c r="C3" s="3588"/>
      <c r="D3" s="3588"/>
      <c r="E3" s="3588"/>
      <c r="F3" s="3588"/>
      <c r="G3" s="3588"/>
      <c r="H3" s="3588"/>
      <c r="I3" s="3588"/>
      <c r="J3" s="3588"/>
      <c r="K3" s="3588"/>
      <c r="L3" s="3588"/>
      <c r="M3" s="3588"/>
      <c r="N3" s="3588"/>
      <c r="O3" s="3588"/>
      <c r="P3" s="3588"/>
      <c r="Q3" s="3588"/>
    </row>
    <row r="4" spans="1:17" ht="20.100000000000001" customHeight="1">
      <c r="A4" s="3589" t="s">
        <v>1021</v>
      </c>
      <c r="B4" s="3589"/>
      <c r="C4" s="3589"/>
      <c r="D4" s="3589"/>
      <c r="E4" s="3589"/>
      <c r="F4" s="3589"/>
      <c r="G4" s="3589"/>
      <c r="H4" s="3589"/>
      <c r="I4" s="3589"/>
      <c r="J4" s="3589"/>
      <c r="K4" s="3589"/>
      <c r="L4" s="3589"/>
      <c r="M4" s="3589"/>
      <c r="N4" s="3589"/>
      <c r="O4" s="3589"/>
      <c r="P4" s="3589"/>
      <c r="Q4" s="3589"/>
    </row>
    <row r="5" spans="1:17" ht="20.100000000000001" customHeight="1">
      <c r="A5" s="3590" t="s">
        <v>764</v>
      </c>
      <c r="B5" s="3590" t="s">
        <v>4</v>
      </c>
      <c r="C5" s="3590" t="s">
        <v>5</v>
      </c>
      <c r="D5" s="3590" t="s">
        <v>6</v>
      </c>
      <c r="E5" s="3591" t="s">
        <v>1585</v>
      </c>
      <c r="F5" s="3591" t="s">
        <v>14</v>
      </c>
      <c r="G5" s="3605" t="s">
        <v>7</v>
      </c>
      <c r="H5" s="3606"/>
      <c r="I5" s="3595" t="s">
        <v>8</v>
      </c>
      <c r="J5" s="3595" t="s">
        <v>9</v>
      </c>
      <c r="K5" s="3595" t="s">
        <v>10</v>
      </c>
      <c r="L5" s="3597" t="s">
        <v>11</v>
      </c>
      <c r="M5" s="3598" t="s">
        <v>12</v>
      </c>
      <c r="N5" s="3593" t="s">
        <v>1022</v>
      </c>
      <c r="O5" s="3590" t="s">
        <v>16</v>
      </c>
      <c r="P5" s="3590"/>
      <c r="Q5" s="3590"/>
    </row>
    <row r="6" spans="1:17" ht="20.100000000000001" customHeight="1">
      <c r="A6" s="3590"/>
      <c r="B6" s="3590"/>
      <c r="C6" s="3590"/>
      <c r="D6" s="3590" t="s">
        <v>6</v>
      </c>
      <c r="E6" s="3592"/>
      <c r="F6" s="3592" t="s">
        <v>20</v>
      </c>
      <c r="G6" s="2286" t="s">
        <v>17</v>
      </c>
      <c r="H6" s="2286" t="s">
        <v>18</v>
      </c>
      <c r="I6" s="3596"/>
      <c r="J6" s="3596"/>
      <c r="K6" s="3596"/>
      <c r="L6" s="3597"/>
      <c r="M6" s="3598" t="s">
        <v>19</v>
      </c>
      <c r="N6" s="3594"/>
      <c r="O6" s="2287" t="s">
        <v>21</v>
      </c>
      <c r="P6" s="2288" t="s">
        <v>22</v>
      </c>
      <c r="Q6" s="2289" t="s">
        <v>23</v>
      </c>
    </row>
    <row r="7" spans="1:17" ht="20.100000000000001" customHeight="1">
      <c r="A7" s="2290">
        <v>1</v>
      </c>
      <c r="B7" s="2291" t="s">
        <v>2738</v>
      </c>
      <c r="C7" s="2291" t="s">
        <v>2739</v>
      </c>
      <c r="D7" s="2292" t="s">
        <v>26</v>
      </c>
      <c r="E7" s="2291"/>
      <c r="F7" s="2293" t="s">
        <v>118</v>
      </c>
      <c r="G7" s="2294">
        <v>0</v>
      </c>
      <c r="H7" s="2294">
        <v>0</v>
      </c>
      <c r="I7" s="2294">
        <v>0</v>
      </c>
      <c r="J7" s="2294">
        <v>0</v>
      </c>
      <c r="K7" s="2294">
        <v>0</v>
      </c>
      <c r="L7" s="2294">
        <v>0</v>
      </c>
      <c r="M7" s="2294">
        <v>1</v>
      </c>
      <c r="N7" s="2295">
        <v>-89200</v>
      </c>
      <c r="O7" s="2296">
        <f>G7+H7+I7+J7+K7+L7+M7-P7</f>
        <v>1</v>
      </c>
      <c r="P7" s="2297">
        <v>0</v>
      </c>
      <c r="Q7" s="1815">
        <v>0</v>
      </c>
    </row>
    <row r="8" spans="1:17" ht="20.100000000000001" customHeight="1">
      <c r="A8" s="2290">
        <v>2</v>
      </c>
      <c r="B8" s="2291" t="s">
        <v>2738</v>
      </c>
      <c r="C8" s="2291" t="s">
        <v>2739</v>
      </c>
      <c r="D8" s="2292" t="s">
        <v>29</v>
      </c>
      <c r="E8" s="2291"/>
      <c r="F8" s="2293" t="s">
        <v>119</v>
      </c>
      <c r="G8" s="2294">
        <v>0</v>
      </c>
      <c r="H8" s="2294">
        <v>0</v>
      </c>
      <c r="I8" s="2294">
        <v>1</v>
      </c>
      <c r="J8" s="2294">
        <v>0</v>
      </c>
      <c r="K8" s="2294">
        <v>0</v>
      </c>
      <c r="L8" s="2294">
        <v>0</v>
      </c>
      <c r="M8" s="2294">
        <v>0</v>
      </c>
      <c r="N8" s="2295">
        <v>1959604.61</v>
      </c>
      <c r="O8" s="2296">
        <f t="shared" ref="O8:O71" si="0">G8+H8+I8+J8+K8+L8+M8-P8</f>
        <v>1</v>
      </c>
      <c r="P8" s="2297">
        <v>0</v>
      </c>
      <c r="Q8" s="2298">
        <v>0</v>
      </c>
    </row>
    <row r="9" spans="1:17" ht="20.100000000000001" customHeight="1">
      <c r="A9" s="2290">
        <v>3</v>
      </c>
      <c r="B9" s="2291" t="s">
        <v>2738</v>
      </c>
      <c r="C9" s="2291" t="s">
        <v>2739</v>
      </c>
      <c r="D9" s="2292" t="s">
        <v>29</v>
      </c>
      <c r="E9" s="2291"/>
      <c r="F9" s="2293" t="s">
        <v>49</v>
      </c>
      <c r="G9" s="2294">
        <v>0</v>
      </c>
      <c r="H9" s="2294">
        <v>0</v>
      </c>
      <c r="I9" s="2294">
        <v>1</v>
      </c>
      <c r="J9" s="2294">
        <v>0</v>
      </c>
      <c r="K9" s="2294">
        <v>0</v>
      </c>
      <c r="L9" s="2294">
        <v>0</v>
      </c>
      <c r="M9" s="2294">
        <v>0</v>
      </c>
      <c r="N9" s="2295">
        <v>3461755.81</v>
      </c>
      <c r="O9" s="2296">
        <f t="shared" si="0"/>
        <v>1</v>
      </c>
      <c r="P9" s="2297">
        <v>0</v>
      </c>
      <c r="Q9" s="2298">
        <v>2202123.88</v>
      </c>
    </row>
    <row r="10" spans="1:17" ht="20.100000000000001" customHeight="1">
      <c r="A10" s="2290">
        <v>4</v>
      </c>
      <c r="B10" s="2291" t="s">
        <v>2738</v>
      </c>
      <c r="C10" s="2291" t="s">
        <v>2739</v>
      </c>
      <c r="D10" s="2292" t="s">
        <v>29</v>
      </c>
      <c r="E10" s="2291"/>
      <c r="F10" s="2293" t="s">
        <v>32</v>
      </c>
      <c r="G10" s="2294">
        <v>0</v>
      </c>
      <c r="H10" s="2294">
        <v>0</v>
      </c>
      <c r="I10" s="2294">
        <v>1</v>
      </c>
      <c r="J10" s="2294">
        <v>0</v>
      </c>
      <c r="K10" s="2294">
        <v>0</v>
      </c>
      <c r="L10" s="2294">
        <v>0</v>
      </c>
      <c r="M10" s="2294">
        <v>0</v>
      </c>
      <c r="N10" s="2295">
        <v>3364.46</v>
      </c>
      <c r="O10" s="2296">
        <f t="shared" si="0"/>
        <v>1</v>
      </c>
      <c r="P10" s="2297">
        <v>0</v>
      </c>
      <c r="Q10" s="2298">
        <v>284919.31</v>
      </c>
    </row>
    <row r="11" spans="1:17" ht="20.100000000000001" customHeight="1">
      <c r="A11" s="2290">
        <v>5</v>
      </c>
      <c r="B11" s="2291" t="s">
        <v>2738</v>
      </c>
      <c r="C11" s="2291" t="s">
        <v>2739</v>
      </c>
      <c r="D11" s="2292" t="s">
        <v>29</v>
      </c>
      <c r="E11" s="2291"/>
      <c r="F11" s="2293" t="s">
        <v>50</v>
      </c>
      <c r="G11" s="2294">
        <v>0</v>
      </c>
      <c r="H11" s="2294">
        <v>0</v>
      </c>
      <c r="I11" s="2294">
        <v>1</v>
      </c>
      <c r="J11" s="2294">
        <v>0</v>
      </c>
      <c r="K11" s="2294">
        <v>0</v>
      </c>
      <c r="L11" s="2294">
        <v>0</v>
      </c>
      <c r="M11" s="2294">
        <v>0</v>
      </c>
      <c r="N11" s="2295">
        <v>692.71</v>
      </c>
      <c r="O11" s="2296">
        <f t="shared" si="0"/>
        <v>1</v>
      </c>
      <c r="P11" s="2297">
        <v>0</v>
      </c>
      <c r="Q11" s="2298">
        <v>0</v>
      </c>
    </row>
    <row r="12" spans="1:17" ht="20.100000000000001" customHeight="1">
      <c r="A12" s="2290">
        <v>6</v>
      </c>
      <c r="B12" s="2291" t="s">
        <v>2738</v>
      </c>
      <c r="C12" s="2291" t="s">
        <v>2739</v>
      </c>
      <c r="D12" s="2292" t="s">
        <v>29</v>
      </c>
      <c r="E12" s="2291"/>
      <c r="F12" s="2293" t="s">
        <v>167</v>
      </c>
      <c r="G12" s="2294">
        <v>0</v>
      </c>
      <c r="H12" s="2294">
        <v>0</v>
      </c>
      <c r="I12" s="2294">
        <v>0</v>
      </c>
      <c r="J12" s="2294">
        <v>0</v>
      </c>
      <c r="K12" s="2294">
        <v>0</v>
      </c>
      <c r="L12" s="2294">
        <v>0</v>
      </c>
      <c r="M12" s="2294">
        <v>4</v>
      </c>
      <c r="N12" s="2295">
        <v>342559.94</v>
      </c>
      <c r="O12" s="2296">
        <f t="shared" si="0"/>
        <v>4</v>
      </c>
      <c r="P12" s="2297">
        <v>0</v>
      </c>
      <c r="Q12" s="2298">
        <v>0</v>
      </c>
    </row>
    <row r="13" spans="1:17" ht="20.100000000000001" customHeight="1">
      <c r="A13" s="2290">
        <v>7</v>
      </c>
      <c r="B13" s="2291" t="s">
        <v>2738</v>
      </c>
      <c r="C13" s="2291" t="s">
        <v>2739</v>
      </c>
      <c r="D13" s="2292" t="s">
        <v>29</v>
      </c>
      <c r="E13" s="2291"/>
      <c r="F13" s="2293" t="s">
        <v>51</v>
      </c>
      <c r="G13" s="2294">
        <v>0</v>
      </c>
      <c r="H13" s="2294">
        <v>0</v>
      </c>
      <c r="I13" s="2294">
        <v>0</v>
      </c>
      <c r="J13" s="2294">
        <v>0</v>
      </c>
      <c r="K13" s="2294">
        <v>0</v>
      </c>
      <c r="L13" s="2294">
        <v>0</v>
      </c>
      <c r="M13" s="2294">
        <v>4</v>
      </c>
      <c r="N13" s="2295">
        <v>1536875.35</v>
      </c>
      <c r="O13" s="2296">
        <f t="shared" si="0"/>
        <v>4</v>
      </c>
      <c r="P13" s="2297">
        <v>0</v>
      </c>
      <c r="Q13" s="2298">
        <v>0</v>
      </c>
    </row>
    <row r="14" spans="1:17" ht="20.100000000000001" customHeight="1">
      <c r="A14" s="2290">
        <v>8</v>
      </c>
      <c r="B14" s="2291" t="s">
        <v>2738</v>
      </c>
      <c r="C14" s="2291" t="s">
        <v>2739</v>
      </c>
      <c r="D14" s="2292" t="s">
        <v>33</v>
      </c>
      <c r="E14" s="2291"/>
      <c r="F14" s="2293" t="s">
        <v>35</v>
      </c>
      <c r="G14" s="2294">
        <v>0</v>
      </c>
      <c r="H14" s="2294">
        <v>0</v>
      </c>
      <c r="I14" s="2294">
        <v>0</v>
      </c>
      <c r="J14" s="2294">
        <v>0</v>
      </c>
      <c r="K14" s="2294">
        <v>9689</v>
      </c>
      <c r="L14" s="2294">
        <v>0</v>
      </c>
      <c r="M14" s="2294">
        <v>0</v>
      </c>
      <c r="N14" s="2295">
        <v>9689</v>
      </c>
      <c r="O14" s="2296">
        <f t="shared" si="0"/>
        <v>9689</v>
      </c>
      <c r="P14" s="2297">
        <v>0</v>
      </c>
      <c r="Q14" s="2298">
        <v>0</v>
      </c>
    </row>
    <row r="15" spans="1:17" ht="20.100000000000001" customHeight="1">
      <c r="A15" s="2290">
        <v>9</v>
      </c>
      <c r="B15" s="2291" t="s">
        <v>2738</v>
      </c>
      <c r="C15" s="2291" t="s">
        <v>2739</v>
      </c>
      <c r="D15" s="2292" t="s">
        <v>36</v>
      </c>
      <c r="E15" s="2291"/>
      <c r="F15" s="2293" t="s">
        <v>52</v>
      </c>
      <c r="G15" s="2294">
        <v>0</v>
      </c>
      <c r="H15" s="2294">
        <v>1644</v>
      </c>
      <c r="I15" s="2294">
        <v>0</v>
      </c>
      <c r="J15" s="2294">
        <v>0</v>
      </c>
      <c r="K15" s="2294">
        <v>0</v>
      </c>
      <c r="L15" s="2294">
        <v>0</v>
      </c>
      <c r="M15" s="2294">
        <v>0</v>
      </c>
      <c r="N15" s="2295">
        <v>0</v>
      </c>
      <c r="O15" s="2296">
        <f t="shared" si="0"/>
        <v>1644</v>
      </c>
      <c r="P15" s="2297">
        <v>0</v>
      </c>
      <c r="Q15" s="2298">
        <v>11320438.57</v>
      </c>
    </row>
    <row r="16" spans="1:17" ht="20.100000000000001" customHeight="1">
      <c r="A16" s="2290">
        <v>10</v>
      </c>
      <c r="B16" s="2291" t="s">
        <v>2740</v>
      </c>
      <c r="C16" s="2291" t="s">
        <v>2739</v>
      </c>
      <c r="D16" s="2292" t="s">
        <v>29</v>
      </c>
      <c r="E16" s="2291"/>
      <c r="F16" s="2293" t="s">
        <v>2741</v>
      </c>
      <c r="G16" s="2294">
        <v>0</v>
      </c>
      <c r="H16" s="2294">
        <v>0</v>
      </c>
      <c r="I16" s="2294">
        <v>0</v>
      </c>
      <c r="J16" s="2294">
        <v>0</v>
      </c>
      <c r="K16" s="2294">
        <v>0</v>
      </c>
      <c r="L16" s="2294">
        <v>0</v>
      </c>
      <c r="M16" s="2294">
        <v>1</v>
      </c>
      <c r="N16" s="2295">
        <v>2975273.15</v>
      </c>
      <c r="O16" s="2296">
        <f t="shared" si="0"/>
        <v>1</v>
      </c>
      <c r="P16" s="2297">
        <v>0</v>
      </c>
      <c r="Q16" s="2298">
        <v>0</v>
      </c>
    </row>
    <row r="17" spans="1:17" ht="20.100000000000001" customHeight="1">
      <c r="A17" s="2290">
        <v>11</v>
      </c>
      <c r="B17" s="2291" t="s">
        <v>2740</v>
      </c>
      <c r="C17" s="2291" t="s">
        <v>2739</v>
      </c>
      <c r="D17" s="2292" t="s">
        <v>38</v>
      </c>
      <c r="E17" s="2291"/>
      <c r="F17" s="2293" t="s">
        <v>2742</v>
      </c>
      <c r="G17" s="2294">
        <v>0</v>
      </c>
      <c r="H17" s="2294">
        <v>0</v>
      </c>
      <c r="I17" s="2294">
        <v>0</v>
      </c>
      <c r="J17" s="2294">
        <v>0</v>
      </c>
      <c r="K17" s="2294">
        <v>0</v>
      </c>
      <c r="L17" s="2294">
        <v>0</v>
      </c>
      <c r="M17" s="2294">
        <v>1</v>
      </c>
      <c r="N17" s="2299">
        <v>120000</v>
      </c>
      <c r="O17" s="2296">
        <f t="shared" si="0"/>
        <v>1</v>
      </c>
      <c r="P17" s="2297">
        <v>0</v>
      </c>
      <c r="Q17" s="2298">
        <v>0</v>
      </c>
    </row>
    <row r="18" spans="1:17" ht="20.100000000000001" customHeight="1">
      <c r="A18" s="2290">
        <v>12</v>
      </c>
      <c r="B18" s="2291" t="s">
        <v>2740</v>
      </c>
      <c r="C18" s="2291" t="s">
        <v>2739</v>
      </c>
      <c r="D18" s="2292" t="s">
        <v>38</v>
      </c>
      <c r="E18" s="2291"/>
      <c r="F18" s="2293" t="s">
        <v>2743</v>
      </c>
      <c r="G18" s="2294">
        <v>0</v>
      </c>
      <c r="H18" s="2294">
        <v>0</v>
      </c>
      <c r="I18" s="2294">
        <v>0</v>
      </c>
      <c r="J18" s="2294">
        <v>0</v>
      </c>
      <c r="K18" s="2294">
        <v>0</v>
      </c>
      <c r="L18" s="2294">
        <v>0</v>
      </c>
      <c r="M18" s="2294">
        <v>1</v>
      </c>
      <c r="N18" s="2299">
        <v>1300</v>
      </c>
      <c r="O18" s="2296">
        <f t="shared" si="0"/>
        <v>1</v>
      </c>
      <c r="P18" s="2297">
        <v>0</v>
      </c>
      <c r="Q18" s="2298">
        <v>908465</v>
      </c>
    </row>
    <row r="19" spans="1:17" ht="20.100000000000001" customHeight="1">
      <c r="A19" s="2290">
        <v>13</v>
      </c>
      <c r="B19" s="2291" t="s">
        <v>2740</v>
      </c>
      <c r="C19" s="2291" t="s">
        <v>2739</v>
      </c>
      <c r="D19" s="2292" t="s">
        <v>38</v>
      </c>
      <c r="E19" s="2291"/>
      <c r="F19" s="2293" t="s">
        <v>2744</v>
      </c>
      <c r="G19" s="2294">
        <v>0</v>
      </c>
      <c r="H19" s="2294">
        <v>0</v>
      </c>
      <c r="I19" s="2294">
        <v>0</v>
      </c>
      <c r="J19" s="2294">
        <v>0</v>
      </c>
      <c r="K19" s="2294">
        <v>0</v>
      </c>
      <c r="L19" s="2294">
        <v>0</v>
      </c>
      <c r="M19" s="2294">
        <v>1</v>
      </c>
      <c r="N19" s="2299">
        <v>150000</v>
      </c>
      <c r="O19" s="2296">
        <f t="shared" si="0"/>
        <v>1</v>
      </c>
      <c r="P19" s="2297">
        <v>0</v>
      </c>
      <c r="Q19" s="2298">
        <v>2247731.34</v>
      </c>
    </row>
    <row r="20" spans="1:17" ht="20.100000000000001" customHeight="1">
      <c r="A20" s="2290">
        <v>14</v>
      </c>
      <c r="B20" s="2291" t="s">
        <v>2740</v>
      </c>
      <c r="C20" s="2291" t="s">
        <v>2739</v>
      </c>
      <c r="D20" s="2292" t="s">
        <v>38</v>
      </c>
      <c r="E20" s="2291"/>
      <c r="F20" s="2293" t="s">
        <v>2745</v>
      </c>
      <c r="G20" s="2294">
        <v>0</v>
      </c>
      <c r="H20" s="2294">
        <v>0</v>
      </c>
      <c r="I20" s="2294">
        <v>0</v>
      </c>
      <c r="J20" s="2294">
        <v>0</v>
      </c>
      <c r="K20" s="2294">
        <v>0</v>
      </c>
      <c r="L20" s="2294">
        <v>0</v>
      </c>
      <c r="M20" s="2294">
        <v>1</v>
      </c>
      <c r="N20" s="2299">
        <v>30000</v>
      </c>
      <c r="O20" s="2296">
        <f t="shared" si="0"/>
        <v>1</v>
      </c>
      <c r="P20" s="2297">
        <v>0</v>
      </c>
      <c r="Q20" s="2298">
        <v>10.08</v>
      </c>
    </row>
    <row r="21" spans="1:17" ht="20.100000000000001" customHeight="1">
      <c r="A21" s="2290">
        <v>15</v>
      </c>
      <c r="B21" s="2291" t="s">
        <v>2746</v>
      </c>
      <c r="C21" s="2291" t="s">
        <v>2739</v>
      </c>
      <c r="D21" s="2291" t="s">
        <v>29</v>
      </c>
      <c r="E21" s="2291"/>
      <c r="F21" s="2293" t="s">
        <v>2747</v>
      </c>
      <c r="G21" s="2294">
        <v>0</v>
      </c>
      <c r="H21" s="2294">
        <v>0</v>
      </c>
      <c r="I21" s="2294">
        <v>1</v>
      </c>
      <c r="J21" s="2294">
        <v>0</v>
      </c>
      <c r="K21" s="2294">
        <v>0</v>
      </c>
      <c r="L21" s="2294">
        <v>0</v>
      </c>
      <c r="M21" s="2294">
        <v>0</v>
      </c>
      <c r="N21" s="2295">
        <v>2274451.98</v>
      </c>
      <c r="O21" s="2296">
        <f t="shared" si="0"/>
        <v>1</v>
      </c>
      <c r="P21" s="2297">
        <v>0</v>
      </c>
      <c r="Q21" s="2298">
        <v>2300</v>
      </c>
    </row>
    <row r="22" spans="1:17" ht="20.100000000000001" customHeight="1">
      <c r="A22" s="2290">
        <v>16</v>
      </c>
      <c r="B22" s="2291" t="s">
        <v>2746</v>
      </c>
      <c r="C22" s="2291" t="s">
        <v>2739</v>
      </c>
      <c r="D22" s="2292" t="s">
        <v>29</v>
      </c>
      <c r="E22" s="2291"/>
      <c r="F22" s="2293" t="s">
        <v>2748</v>
      </c>
      <c r="G22" s="2294">
        <v>0</v>
      </c>
      <c r="H22" s="2294">
        <v>0</v>
      </c>
      <c r="I22" s="2294">
        <v>0</v>
      </c>
      <c r="J22" s="2294">
        <v>0</v>
      </c>
      <c r="K22" s="2294">
        <v>0</v>
      </c>
      <c r="L22" s="2294">
        <v>0</v>
      </c>
      <c r="M22" s="2294">
        <v>1</v>
      </c>
      <c r="N22" s="2295">
        <v>2813575.78</v>
      </c>
      <c r="O22" s="2296">
        <f t="shared" si="0"/>
        <v>1</v>
      </c>
      <c r="P22" s="2297">
        <v>0</v>
      </c>
      <c r="Q22" s="2298">
        <v>143941.49</v>
      </c>
    </row>
    <row r="23" spans="1:17" ht="20.100000000000001" customHeight="1">
      <c r="A23" s="2290">
        <v>17</v>
      </c>
      <c r="B23" s="2291" t="s">
        <v>2746</v>
      </c>
      <c r="C23" s="2291" t="s">
        <v>2739</v>
      </c>
      <c r="D23" s="2292" t="s">
        <v>33</v>
      </c>
      <c r="E23" s="2291"/>
      <c r="F23" s="2293" t="s">
        <v>35</v>
      </c>
      <c r="G23" s="2294">
        <v>0</v>
      </c>
      <c r="H23" s="2294">
        <v>0</v>
      </c>
      <c r="I23" s="2294">
        <v>0</v>
      </c>
      <c r="J23" s="2294">
        <v>0</v>
      </c>
      <c r="K23" s="2294">
        <v>4350</v>
      </c>
      <c r="L23" s="2294">
        <v>0</v>
      </c>
      <c r="M23" s="2294">
        <v>0</v>
      </c>
      <c r="N23" s="2295">
        <v>0</v>
      </c>
      <c r="O23" s="2296">
        <f t="shared" si="0"/>
        <v>4350</v>
      </c>
      <c r="P23" s="2297">
        <v>0</v>
      </c>
      <c r="Q23" s="2298">
        <v>10000</v>
      </c>
    </row>
    <row r="24" spans="1:17" ht="20.100000000000001" customHeight="1">
      <c r="A24" s="2290">
        <v>18</v>
      </c>
      <c r="B24" s="2291" t="s">
        <v>2746</v>
      </c>
      <c r="C24" s="2291" t="s">
        <v>2739</v>
      </c>
      <c r="D24" s="2291" t="s">
        <v>195</v>
      </c>
      <c r="E24" s="2291"/>
      <c r="F24" s="2293" t="s">
        <v>2749</v>
      </c>
      <c r="G24" s="2294">
        <v>0</v>
      </c>
      <c r="H24" s="2294">
        <v>0</v>
      </c>
      <c r="I24" s="2294">
        <v>0</v>
      </c>
      <c r="J24" s="2294">
        <v>0</v>
      </c>
      <c r="K24" s="2294">
        <v>0</v>
      </c>
      <c r="L24" s="2294">
        <v>0</v>
      </c>
      <c r="M24" s="2294">
        <v>3</v>
      </c>
      <c r="N24" s="2295">
        <v>0</v>
      </c>
      <c r="O24" s="2296">
        <f t="shared" si="0"/>
        <v>3</v>
      </c>
      <c r="P24" s="2297">
        <v>0</v>
      </c>
      <c r="Q24" s="2298">
        <v>41079.29</v>
      </c>
    </row>
    <row r="25" spans="1:17" ht="20.100000000000001" customHeight="1">
      <c r="A25" s="2290">
        <v>19</v>
      </c>
      <c r="B25" s="2291" t="s">
        <v>2750</v>
      </c>
      <c r="C25" s="2300" t="s">
        <v>2739</v>
      </c>
      <c r="D25" s="2292" t="s">
        <v>26</v>
      </c>
      <c r="E25" s="2300"/>
      <c r="F25" s="2301" t="s">
        <v>48</v>
      </c>
      <c r="G25" s="2294">
        <v>0</v>
      </c>
      <c r="H25" s="2294">
        <v>0</v>
      </c>
      <c r="I25" s="2294">
        <v>0</v>
      </c>
      <c r="J25" s="2294">
        <v>0</v>
      </c>
      <c r="K25" s="2294">
        <v>0</v>
      </c>
      <c r="L25" s="2294">
        <v>0</v>
      </c>
      <c r="M25" s="2294">
        <v>1</v>
      </c>
      <c r="N25" s="2302">
        <v>7622.51</v>
      </c>
      <c r="O25" s="2296">
        <f t="shared" si="0"/>
        <v>1</v>
      </c>
      <c r="P25" s="2297">
        <v>0</v>
      </c>
      <c r="Q25" s="2298">
        <v>3577</v>
      </c>
    </row>
    <row r="26" spans="1:17" ht="20.100000000000001" customHeight="1">
      <c r="A26" s="2290">
        <v>20</v>
      </c>
      <c r="B26" s="2291" t="s">
        <v>2750</v>
      </c>
      <c r="C26" s="2300" t="s">
        <v>2739</v>
      </c>
      <c r="D26" s="2292" t="s">
        <v>26</v>
      </c>
      <c r="E26" s="2300"/>
      <c r="F26" s="2301" t="s">
        <v>2751</v>
      </c>
      <c r="G26" s="2294">
        <v>0</v>
      </c>
      <c r="H26" s="2294">
        <v>0</v>
      </c>
      <c r="I26" s="2294">
        <v>0</v>
      </c>
      <c r="J26" s="2294">
        <v>0</v>
      </c>
      <c r="K26" s="2294">
        <v>0</v>
      </c>
      <c r="L26" s="2294">
        <v>0</v>
      </c>
      <c r="M26" s="2294">
        <v>1</v>
      </c>
      <c r="N26" s="2302">
        <v>100</v>
      </c>
      <c r="O26" s="2296">
        <f t="shared" si="0"/>
        <v>1</v>
      </c>
      <c r="P26" s="2297">
        <v>0</v>
      </c>
      <c r="Q26" s="2298">
        <v>165480.84</v>
      </c>
    </row>
    <row r="27" spans="1:17" ht="20.100000000000001" customHeight="1">
      <c r="A27" s="2290">
        <v>21</v>
      </c>
      <c r="B27" s="2291" t="s">
        <v>2750</v>
      </c>
      <c r="C27" s="2300" t="s">
        <v>2739</v>
      </c>
      <c r="D27" s="2293" t="s">
        <v>29</v>
      </c>
      <c r="E27" s="2291"/>
      <c r="F27" s="2303" t="s">
        <v>49</v>
      </c>
      <c r="G27" s="2294">
        <v>0</v>
      </c>
      <c r="H27" s="2294">
        <v>0</v>
      </c>
      <c r="I27" s="2294">
        <v>1</v>
      </c>
      <c r="J27" s="2294">
        <v>0</v>
      </c>
      <c r="K27" s="2294">
        <v>0</v>
      </c>
      <c r="L27" s="2294">
        <v>0</v>
      </c>
      <c r="M27" s="2294">
        <v>0</v>
      </c>
      <c r="N27" s="2302">
        <v>9205743.8399999999</v>
      </c>
      <c r="O27" s="2296">
        <f t="shared" si="0"/>
        <v>1</v>
      </c>
      <c r="P27" s="2297">
        <v>0</v>
      </c>
      <c r="Q27" s="2298">
        <v>0</v>
      </c>
    </row>
    <row r="28" spans="1:17" ht="20.100000000000001" customHeight="1">
      <c r="A28" s="2290">
        <v>22</v>
      </c>
      <c r="B28" s="2291" t="s">
        <v>2750</v>
      </c>
      <c r="C28" s="2300" t="s">
        <v>2739</v>
      </c>
      <c r="D28" s="2292" t="s">
        <v>29</v>
      </c>
      <c r="E28" s="2304"/>
      <c r="F28" s="2305" t="s">
        <v>31</v>
      </c>
      <c r="G28" s="2294">
        <v>0</v>
      </c>
      <c r="H28" s="2294">
        <v>0</v>
      </c>
      <c r="I28" s="2294">
        <v>1</v>
      </c>
      <c r="J28" s="2294">
        <v>0</v>
      </c>
      <c r="K28" s="2294">
        <v>0</v>
      </c>
      <c r="L28" s="2294">
        <v>0</v>
      </c>
      <c r="M28" s="2294">
        <v>0</v>
      </c>
      <c r="N28" s="2295">
        <v>750.01</v>
      </c>
      <c r="O28" s="2296">
        <f t="shared" si="0"/>
        <v>1</v>
      </c>
      <c r="P28" s="2297">
        <v>0</v>
      </c>
      <c r="Q28" s="2298">
        <v>0</v>
      </c>
    </row>
    <row r="29" spans="1:17" ht="20.100000000000001" customHeight="1">
      <c r="A29" s="2290">
        <v>23</v>
      </c>
      <c r="B29" s="2291" t="s">
        <v>2750</v>
      </c>
      <c r="C29" s="2300" t="s">
        <v>2739</v>
      </c>
      <c r="D29" s="2292" t="s">
        <v>29</v>
      </c>
      <c r="E29" s="2304"/>
      <c r="F29" s="2305" t="s">
        <v>32</v>
      </c>
      <c r="G29" s="2294">
        <v>0</v>
      </c>
      <c r="H29" s="2294">
        <v>0</v>
      </c>
      <c r="I29" s="2294">
        <v>1</v>
      </c>
      <c r="J29" s="2294">
        <v>0</v>
      </c>
      <c r="K29" s="2294">
        <v>0</v>
      </c>
      <c r="L29" s="2294">
        <v>0</v>
      </c>
      <c r="M29" s="2294">
        <v>0</v>
      </c>
      <c r="N29" s="2302">
        <v>27.47</v>
      </c>
      <c r="O29" s="2296">
        <f t="shared" si="0"/>
        <v>1</v>
      </c>
      <c r="P29" s="2297">
        <v>0</v>
      </c>
      <c r="Q29" s="2298">
        <v>0</v>
      </c>
    </row>
    <row r="30" spans="1:17" ht="20.100000000000001" customHeight="1">
      <c r="A30" s="2290">
        <v>24</v>
      </c>
      <c r="B30" s="2291" t="s">
        <v>2750</v>
      </c>
      <c r="C30" s="2300" t="s">
        <v>2739</v>
      </c>
      <c r="D30" s="2292" t="s">
        <v>29</v>
      </c>
      <c r="E30" s="2306">
        <v>0</v>
      </c>
      <c r="F30" s="2305" t="s">
        <v>50</v>
      </c>
      <c r="G30" s="2294">
        <v>0</v>
      </c>
      <c r="H30" s="2294">
        <v>0</v>
      </c>
      <c r="I30" s="2294">
        <v>1</v>
      </c>
      <c r="J30" s="2294">
        <v>0</v>
      </c>
      <c r="K30" s="2294">
        <v>0</v>
      </c>
      <c r="L30" s="2294">
        <v>0</v>
      </c>
      <c r="M30" s="2294">
        <v>0</v>
      </c>
      <c r="N30" s="2307">
        <v>312.33999999999997</v>
      </c>
      <c r="O30" s="2296">
        <f t="shared" si="0"/>
        <v>1</v>
      </c>
      <c r="P30" s="2297">
        <v>0</v>
      </c>
      <c r="Q30" s="2298">
        <v>0</v>
      </c>
    </row>
    <row r="31" spans="1:17" ht="20.100000000000001" customHeight="1">
      <c r="A31" s="2290">
        <v>25</v>
      </c>
      <c r="B31" s="2291" t="s">
        <v>2750</v>
      </c>
      <c r="C31" s="2300" t="s">
        <v>2739</v>
      </c>
      <c r="D31" s="2292" t="s">
        <v>33</v>
      </c>
      <c r="E31" s="2306">
        <v>0</v>
      </c>
      <c r="F31" s="2305" t="s">
        <v>34</v>
      </c>
      <c r="G31" s="2294">
        <v>0</v>
      </c>
      <c r="H31" s="2294">
        <v>0</v>
      </c>
      <c r="I31" s="2294">
        <v>0</v>
      </c>
      <c r="J31" s="2294">
        <v>83</v>
      </c>
      <c r="K31" s="2294">
        <v>0</v>
      </c>
      <c r="L31" s="2294">
        <v>0</v>
      </c>
      <c r="M31" s="2294">
        <v>0</v>
      </c>
      <c r="N31" s="2307" t="s">
        <v>2752</v>
      </c>
      <c r="O31" s="2296">
        <f t="shared" si="0"/>
        <v>83</v>
      </c>
      <c r="P31" s="2297">
        <v>0</v>
      </c>
      <c r="Q31" s="2298">
        <v>0</v>
      </c>
    </row>
    <row r="32" spans="1:17" ht="20.100000000000001" customHeight="1">
      <c r="A32" s="2290">
        <v>26</v>
      </c>
      <c r="B32" s="2291" t="s">
        <v>2750</v>
      </c>
      <c r="C32" s="2300" t="s">
        <v>2739</v>
      </c>
      <c r="D32" s="2292" t="s">
        <v>33</v>
      </c>
      <c r="E32" s="2306">
        <v>0</v>
      </c>
      <c r="F32" s="2305" t="s">
        <v>35</v>
      </c>
      <c r="G32" s="2294">
        <v>0</v>
      </c>
      <c r="H32" s="2294">
        <v>0</v>
      </c>
      <c r="I32" s="2294">
        <v>0</v>
      </c>
      <c r="J32" s="2294">
        <v>0</v>
      </c>
      <c r="K32" s="2294">
        <v>6158</v>
      </c>
      <c r="L32" s="2294">
        <v>0</v>
      </c>
      <c r="M32" s="2294">
        <v>0</v>
      </c>
      <c r="N32" s="2307">
        <v>2159092.33</v>
      </c>
      <c r="O32" s="2296">
        <f t="shared" si="0"/>
        <v>6158</v>
      </c>
      <c r="P32" s="2297">
        <v>0</v>
      </c>
      <c r="Q32" s="2298">
        <v>956.56</v>
      </c>
    </row>
    <row r="33" spans="1:20" ht="20.100000000000001" customHeight="1">
      <c r="A33" s="2290">
        <v>27</v>
      </c>
      <c r="B33" s="2291" t="s">
        <v>2750</v>
      </c>
      <c r="C33" s="2300" t="s">
        <v>2739</v>
      </c>
      <c r="D33" s="2292" t="s">
        <v>36</v>
      </c>
      <c r="E33" s="2306">
        <v>0</v>
      </c>
      <c r="F33" s="2305" t="s">
        <v>52</v>
      </c>
      <c r="G33" s="2308">
        <v>0</v>
      </c>
      <c r="H33" s="2308">
        <v>20</v>
      </c>
      <c r="I33" s="2294">
        <v>0</v>
      </c>
      <c r="J33" s="2309">
        <v>0</v>
      </c>
      <c r="K33" s="2294">
        <v>0</v>
      </c>
      <c r="L33" s="2294">
        <v>0</v>
      </c>
      <c r="M33" s="2294">
        <v>0</v>
      </c>
      <c r="N33" s="2307">
        <v>0</v>
      </c>
      <c r="O33" s="2296">
        <f t="shared" si="0"/>
        <v>20</v>
      </c>
      <c r="P33" s="2297">
        <v>0</v>
      </c>
      <c r="Q33" s="2298">
        <v>0</v>
      </c>
    </row>
    <row r="34" spans="1:20" ht="20.100000000000001" customHeight="1">
      <c r="A34" s="2290">
        <v>28</v>
      </c>
      <c r="B34" s="2291" t="s">
        <v>2750</v>
      </c>
      <c r="C34" s="2300" t="s">
        <v>2739</v>
      </c>
      <c r="D34" s="2292" t="s">
        <v>36</v>
      </c>
      <c r="E34" s="2306">
        <v>0</v>
      </c>
      <c r="F34" s="2305" t="s">
        <v>1479</v>
      </c>
      <c r="G34" s="2308">
        <v>2</v>
      </c>
      <c r="H34" s="2308">
        <v>0</v>
      </c>
      <c r="I34" s="2294">
        <v>0</v>
      </c>
      <c r="J34" s="2309">
        <v>0</v>
      </c>
      <c r="K34" s="2294">
        <v>0</v>
      </c>
      <c r="L34" s="2294">
        <v>0</v>
      </c>
      <c r="M34" s="2294">
        <v>0</v>
      </c>
      <c r="N34" s="2307">
        <v>0</v>
      </c>
      <c r="O34" s="2296">
        <f t="shared" si="0"/>
        <v>2</v>
      </c>
      <c r="P34" s="2297">
        <v>0</v>
      </c>
      <c r="Q34" s="2298">
        <v>0</v>
      </c>
    </row>
    <row r="35" spans="1:20" ht="20.100000000000001" customHeight="1">
      <c r="A35" s="2290">
        <v>29</v>
      </c>
      <c r="B35" s="2291" t="s">
        <v>2750</v>
      </c>
      <c r="C35" s="2300" t="s">
        <v>2739</v>
      </c>
      <c r="D35" s="2292" t="s">
        <v>33</v>
      </c>
      <c r="E35" s="2306">
        <v>0</v>
      </c>
      <c r="F35" s="2305" t="s">
        <v>283</v>
      </c>
      <c r="G35" s="2294">
        <v>0</v>
      </c>
      <c r="H35" s="2294">
        <v>0</v>
      </c>
      <c r="I35" s="2294">
        <v>0</v>
      </c>
      <c r="J35" s="2309">
        <v>0</v>
      </c>
      <c r="K35" s="2294">
        <v>2764</v>
      </c>
      <c r="L35" s="2294">
        <v>0</v>
      </c>
      <c r="M35" s="2294">
        <v>0</v>
      </c>
      <c r="N35" s="2310">
        <v>721595.76</v>
      </c>
      <c r="O35" s="2296">
        <f t="shared" si="0"/>
        <v>2764</v>
      </c>
      <c r="P35" s="2297">
        <v>0</v>
      </c>
      <c r="Q35" s="2298">
        <v>15300</v>
      </c>
    </row>
    <row r="36" spans="1:20" ht="20.100000000000001" customHeight="1">
      <c r="A36" s="2290">
        <v>30</v>
      </c>
      <c r="B36" s="2291" t="s">
        <v>2753</v>
      </c>
      <c r="C36" s="2300" t="s">
        <v>2739</v>
      </c>
      <c r="D36" s="2292" t="s">
        <v>26</v>
      </c>
      <c r="E36" s="2311">
        <v>20250208</v>
      </c>
      <c r="F36" s="2305" t="s">
        <v>2754</v>
      </c>
      <c r="G36" s="2294">
        <v>0</v>
      </c>
      <c r="H36" s="2294">
        <v>0</v>
      </c>
      <c r="I36" s="2294">
        <v>0</v>
      </c>
      <c r="J36" s="2294">
        <v>0</v>
      </c>
      <c r="K36" s="2294">
        <v>0</v>
      </c>
      <c r="L36" s="2294">
        <v>0</v>
      </c>
      <c r="M36" s="2294">
        <v>1</v>
      </c>
      <c r="N36" s="2302">
        <v>908465</v>
      </c>
      <c r="O36" s="2296">
        <f t="shared" si="0"/>
        <v>1</v>
      </c>
      <c r="P36" s="2297">
        <v>0</v>
      </c>
      <c r="Q36" s="2298">
        <v>15000</v>
      </c>
    </row>
    <row r="37" spans="1:20" ht="20.100000000000001" customHeight="1">
      <c r="A37" s="2290">
        <v>31</v>
      </c>
      <c r="B37" s="2291" t="s">
        <v>2753</v>
      </c>
      <c r="C37" s="2300" t="s">
        <v>2739</v>
      </c>
      <c r="D37" s="2292" t="s">
        <v>29</v>
      </c>
      <c r="E37" s="2312">
        <v>0</v>
      </c>
      <c r="F37" s="2305" t="s">
        <v>2755</v>
      </c>
      <c r="G37" s="2294">
        <v>0</v>
      </c>
      <c r="H37" s="2294">
        <v>0</v>
      </c>
      <c r="I37" s="2294">
        <v>1</v>
      </c>
      <c r="J37" s="2294">
        <v>0</v>
      </c>
      <c r="K37" s="2294">
        <v>0</v>
      </c>
      <c r="L37" s="2294">
        <v>0</v>
      </c>
      <c r="M37" s="2294"/>
      <c r="N37" s="2295">
        <v>-2247731.34</v>
      </c>
      <c r="O37" s="2296">
        <f t="shared" si="0"/>
        <v>1</v>
      </c>
      <c r="P37" s="2297">
        <v>0</v>
      </c>
      <c r="Q37" s="2298">
        <v>2000</v>
      </c>
    </row>
    <row r="38" spans="1:20" ht="20.100000000000001" customHeight="1">
      <c r="A38" s="2290">
        <v>32</v>
      </c>
      <c r="B38" s="2291" t="s">
        <v>2753</v>
      </c>
      <c r="C38" s="2300" t="s">
        <v>2739</v>
      </c>
      <c r="D38" s="2292" t="s">
        <v>29</v>
      </c>
      <c r="E38" s="2312">
        <v>0</v>
      </c>
      <c r="F38" s="2305" t="s">
        <v>2756</v>
      </c>
      <c r="G38" s="2294">
        <v>0</v>
      </c>
      <c r="H38" s="2294">
        <v>0</v>
      </c>
      <c r="I38" s="2294">
        <v>1</v>
      </c>
      <c r="J38" s="2294">
        <v>0</v>
      </c>
      <c r="K38" s="2294">
        <v>0</v>
      </c>
      <c r="L38" s="2294">
        <v>0</v>
      </c>
      <c r="M38" s="2294">
        <v>0</v>
      </c>
      <c r="N38" s="2295">
        <v>10.08</v>
      </c>
      <c r="O38" s="2296">
        <f t="shared" si="0"/>
        <v>1</v>
      </c>
      <c r="P38" s="2297">
        <v>0</v>
      </c>
      <c r="Q38" s="2298">
        <v>5000</v>
      </c>
    </row>
    <row r="39" spans="1:20" ht="20.100000000000001" customHeight="1">
      <c r="A39" s="2290">
        <v>33</v>
      </c>
      <c r="B39" s="2313" t="s">
        <v>2753</v>
      </c>
      <c r="C39" s="2314" t="s">
        <v>2739</v>
      </c>
      <c r="D39" s="2315" t="s">
        <v>29</v>
      </c>
      <c r="E39" s="2316"/>
      <c r="F39" s="2317" t="s">
        <v>2757</v>
      </c>
      <c r="G39" s="2318">
        <v>0</v>
      </c>
      <c r="H39" s="2318">
        <v>0</v>
      </c>
      <c r="I39" s="2318">
        <v>0</v>
      </c>
      <c r="J39" s="2318">
        <v>0</v>
      </c>
      <c r="K39" s="2318">
        <v>0</v>
      </c>
      <c r="L39" s="2318">
        <v>0</v>
      </c>
      <c r="M39" s="2318">
        <v>1</v>
      </c>
      <c r="N39" s="2319">
        <v>1588.01</v>
      </c>
      <c r="O39" s="2320">
        <f t="shared" si="0"/>
        <v>1</v>
      </c>
      <c r="P39" s="2297">
        <v>0</v>
      </c>
      <c r="Q39" s="2321">
        <v>0</v>
      </c>
      <c r="R39" s="2322"/>
      <c r="S39" s="2322"/>
      <c r="T39" s="2322"/>
    </row>
    <row r="40" spans="1:20" ht="20.100000000000001" customHeight="1">
      <c r="A40" s="2290">
        <v>34</v>
      </c>
      <c r="B40" s="2291" t="s">
        <v>2753</v>
      </c>
      <c r="C40" s="2300" t="s">
        <v>2739</v>
      </c>
      <c r="D40" s="2292" t="s">
        <v>68</v>
      </c>
      <c r="E40" s="2323">
        <v>45658</v>
      </c>
      <c r="F40" s="2301" t="s">
        <v>2758</v>
      </c>
      <c r="G40" s="2294">
        <v>0</v>
      </c>
      <c r="H40" s="2294">
        <v>0</v>
      </c>
      <c r="I40" s="2294">
        <v>0</v>
      </c>
      <c r="J40" s="2294">
        <v>0</v>
      </c>
      <c r="K40" s="2294">
        <v>0</v>
      </c>
      <c r="L40" s="2294">
        <v>0</v>
      </c>
      <c r="M40" s="2294">
        <v>1</v>
      </c>
      <c r="N40" s="2302">
        <v>10000</v>
      </c>
      <c r="O40" s="2296">
        <f t="shared" si="0"/>
        <v>1</v>
      </c>
      <c r="P40" s="2297">
        <v>0</v>
      </c>
      <c r="Q40" s="2298">
        <v>0</v>
      </c>
    </row>
    <row r="41" spans="1:20" ht="20.100000000000001" customHeight="1">
      <c r="A41" s="2290">
        <v>35</v>
      </c>
      <c r="B41" s="2291" t="s">
        <v>2753</v>
      </c>
      <c r="C41" s="2300" t="s">
        <v>2739</v>
      </c>
      <c r="D41" s="2292" t="s">
        <v>68</v>
      </c>
      <c r="E41" s="2324"/>
      <c r="F41" s="2301" t="s">
        <v>2759</v>
      </c>
      <c r="G41" s="2294">
        <v>0</v>
      </c>
      <c r="H41" s="2294">
        <v>0</v>
      </c>
      <c r="I41" s="2294">
        <v>0</v>
      </c>
      <c r="J41" s="2294">
        <v>0</v>
      </c>
      <c r="K41" s="2294">
        <v>0</v>
      </c>
      <c r="L41" s="2294">
        <v>0</v>
      </c>
      <c r="M41" s="2294">
        <v>1</v>
      </c>
      <c r="N41" s="2302">
        <v>41079.29</v>
      </c>
      <c r="O41" s="2296">
        <f t="shared" si="0"/>
        <v>1</v>
      </c>
      <c r="P41" s="2297">
        <v>0</v>
      </c>
      <c r="Q41" s="2298">
        <v>57597.5</v>
      </c>
    </row>
    <row r="42" spans="1:20" ht="20.100000000000001" customHeight="1">
      <c r="A42" s="2290">
        <v>36</v>
      </c>
      <c r="B42" s="2291" t="s">
        <v>2753</v>
      </c>
      <c r="C42" s="2300" t="s">
        <v>2739</v>
      </c>
      <c r="D42" s="2292" t="s">
        <v>68</v>
      </c>
      <c r="E42" s="2324"/>
      <c r="F42" s="2305" t="s">
        <v>2760</v>
      </c>
      <c r="G42" s="2294">
        <v>0</v>
      </c>
      <c r="H42" s="2294">
        <v>0</v>
      </c>
      <c r="I42" s="2294">
        <v>0</v>
      </c>
      <c r="J42" s="2294">
        <v>0</v>
      </c>
      <c r="K42" s="2294">
        <v>0</v>
      </c>
      <c r="L42" s="2294">
        <v>0</v>
      </c>
      <c r="M42" s="2294">
        <v>1</v>
      </c>
      <c r="N42" s="2302">
        <v>3577</v>
      </c>
      <c r="O42" s="2296">
        <f t="shared" si="0"/>
        <v>1</v>
      </c>
      <c r="P42" s="2297">
        <v>0</v>
      </c>
      <c r="Q42" s="2298">
        <v>0</v>
      </c>
    </row>
    <row r="43" spans="1:20" ht="20.100000000000001" customHeight="1">
      <c r="A43" s="2290">
        <v>37</v>
      </c>
      <c r="B43" s="2291" t="s">
        <v>2753</v>
      </c>
      <c r="C43" s="2300" t="s">
        <v>2739</v>
      </c>
      <c r="D43" s="2292" t="s">
        <v>33</v>
      </c>
      <c r="E43" s="2324"/>
      <c r="F43" s="2305" t="s">
        <v>2761</v>
      </c>
      <c r="G43" s="2294"/>
      <c r="H43" s="2294"/>
      <c r="I43" s="2294"/>
      <c r="J43" s="2294">
        <v>62</v>
      </c>
      <c r="K43" s="2294"/>
      <c r="L43" s="2294"/>
      <c r="M43" s="2294">
        <v>0</v>
      </c>
      <c r="N43" s="2302"/>
      <c r="O43" s="2296">
        <f t="shared" si="0"/>
        <v>62</v>
      </c>
      <c r="P43" s="2297">
        <v>0</v>
      </c>
      <c r="Q43" s="2298"/>
    </row>
    <row r="44" spans="1:20" ht="20.100000000000001" customHeight="1">
      <c r="A44" s="2290">
        <v>38</v>
      </c>
      <c r="B44" s="2291" t="s">
        <v>2753</v>
      </c>
      <c r="C44" s="2300" t="s">
        <v>2739</v>
      </c>
      <c r="D44" s="2292" t="s">
        <v>33</v>
      </c>
      <c r="E44" s="2324"/>
      <c r="F44" s="2292" t="s">
        <v>35</v>
      </c>
      <c r="G44" s="2294">
        <v>0</v>
      </c>
      <c r="H44" s="2294">
        <v>0</v>
      </c>
      <c r="I44" s="2294">
        <v>0</v>
      </c>
      <c r="J44" s="2294">
        <v>0</v>
      </c>
      <c r="K44" s="2294">
        <v>973</v>
      </c>
      <c r="L44" s="2294">
        <v>0</v>
      </c>
      <c r="M44" s="2294">
        <v>0</v>
      </c>
      <c r="N44" s="2302">
        <v>165480.84</v>
      </c>
      <c r="O44" s="2296">
        <f t="shared" si="0"/>
        <v>973</v>
      </c>
      <c r="P44" s="2297">
        <v>0</v>
      </c>
      <c r="Q44" s="2298">
        <v>0</v>
      </c>
    </row>
    <row r="45" spans="1:20" ht="20.100000000000001" customHeight="1">
      <c r="A45" s="2290">
        <v>39</v>
      </c>
      <c r="B45" s="2300" t="s">
        <v>2753</v>
      </c>
      <c r="C45" s="2292" t="s">
        <v>2739</v>
      </c>
      <c r="D45" s="2291" t="s">
        <v>195</v>
      </c>
      <c r="E45" s="2067"/>
      <c r="F45" s="2305" t="s">
        <v>2762</v>
      </c>
      <c r="G45" s="2325"/>
      <c r="H45" s="2326"/>
      <c r="I45" s="2327"/>
      <c r="J45" s="2327"/>
      <c r="K45" s="2327"/>
      <c r="L45" s="2294"/>
      <c r="M45" s="2294">
        <v>19</v>
      </c>
      <c r="N45" s="2302"/>
      <c r="O45" s="2296">
        <f t="shared" si="0"/>
        <v>19</v>
      </c>
      <c r="P45" s="2297">
        <v>0</v>
      </c>
      <c r="Q45" s="2298"/>
    </row>
    <row r="46" spans="1:20" ht="20.100000000000001" customHeight="1">
      <c r="A46" s="2290">
        <v>40</v>
      </c>
      <c r="B46" s="2291" t="s">
        <v>2753</v>
      </c>
      <c r="C46" s="2300" t="s">
        <v>2739</v>
      </c>
      <c r="D46" s="2291" t="s">
        <v>195</v>
      </c>
      <c r="E46" s="2311"/>
      <c r="F46" s="2305" t="s">
        <v>2763</v>
      </c>
      <c r="G46" s="2294">
        <v>0</v>
      </c>
      <c r="H46" s="2294">
        <v>0</v>
      </c>
      <c r="I46" s="2294">
        <v>0</v>
      </c>
      <c r="J46" s="2294">
        <v>0</v>
      </c>
      <c r="K46" s="2294">
        <v>0</v>
      </c>
      <c r="L46" s="2294">
        <v>0</v>
      </c>
      <c r="M46" s="2294">
        <v>1</v>
      </c>
      <c r="N46" s="2302">
        <v>0</v>
      </c>
      <c r="O46" s="2296">
        <f t="shared" si="0"/>
        <v>1</v>
      </c>
      <c r="P46" s="2297">
        <v>0</v>
      </c>
      <c r="Q46" s="2298">
        <v>0</v>
      </c>
    </row>
    <row r="47" spans="1:20" ht="20.100000000000001" customHeight="1">
      <c r="A47" s="2290">
        <v>41</v>
      </c>
      <c r="B47" s="2300" t="s">
        <v>2753</v>
      </c>
      <c r="C47" s="2300" t="s">
        <v>2739</v>
      </c>
      <c r="D47" s="2292" t="s">
        <v>365</v>
      </c>
      <c r="E47" s="2328"/>
      <c r="F47" s="2305" t="s">
        <v>2764</v>
      </c>
      <c r="G47" s="2294">
        <v>0</v>
      </c>
      <c r="H47" s="2294">
        <v>0</v>
      </c>
      <c r="I47" s="2294">
        <v>0</v>
      </c>
      <c r="J47" s="2294">
        <v>0</v>
      </c>
      <c r="K47" s="2294">
        <v>0</v>
      </c>
      <c r="L47" s="2294">
        <v>0</v>
      </c>
      <c r="M47" s="2294">
        <v>1</v>
      </c>
      <c r="N47" s="2302">
        <v>0</v>
      </c>
      <c r="O47" s="2296">
        <f t="shared" si="0"/>
        <v>1</v>
      </c>
      <c r="P47" s="2297">
        <v>0</v>
      </c>
      <c r="Q47" s="2298">
        <v>7622.51</v>
      </c>
    </row>
    <row r="48" spans="1:20" ht="20.100000000000001" customHeight="1">
      <c r="A48" s="2290">
        <v>42</v>
      </c>
      <c r="B48" s="2314" t="s">
        <v>2753</v>
      </c>
      <c r="C48" s="2314" t="s">
        <v>2739</v>
      </c>
      <c r="D48" s="2292" t="s">
        <v>365</v>
      </c>
      <c r="E48" s="2316"/>
      <c r="F48" s="2329" t="s">
        <v>2765</v>
      </c>
      <c r="G48" s="2318">
        <v>0</v>
      </c>
      <c r="H48" s="2318">
        <v>0</v>
      </c>
      <c r="I48" s="2318">
        <v>0</v>
      </c>
      <c r="J48" s="2318">
        <v>0</v>
      </c>
      <c r="K48" s="2318">
        <v>0</v>
      </c>
      <c r="L48" s="2318">
        <v>0</v>
      </c>
      <c r="M48" s="2318">
        <v>1</v>
      </c>
      <c r="N48" s="2319">
        <v>0</v>
      </c>
      <c r="O48" s="2320">
        <f t="shared" si="0"/>
        <v>1</v>
      </c>
      <c r="P48" s="2297">
        <v>0</v>
      </c>
      <c r="Q48" s="2321">
        <v>100</v>
      </c>
      <c r="R48" s="2322"/>
      <c r="S48" s="2322"/>
      <c r="T48" s="2322"/>
    </row>
    <row r="49" spans="1:20" ht="20.100000000000001" customHeight="1">
      <c r="A49" s="2290">
        <v>43</v>
      </c>
      <c r="B49" s="2314" t="s">
        <v>2753</v>
      </c>
      <c r="C49" s="2314" t="s">
        <v>2739</v>
      </c>
      <c r="D49" s="2315" t="s">
        <v>36</v>
      </c>
      <c r="E49" s="2316"/>
      <c r="F49" s="2329" t="s">
        <v>2766</v>
      </c>
      <c r="G49" s="2318">
        <v>0</v>
      </c>
      <c r="H49" s="2318">
        <v>74</v>
      </c>
      <c r="I49" s="2318">
        <v>0</v>
      </c>
      <c r="J49" s="2318">
        <v>0</v>
      </c>
      <c r="K49" s="2318">
        <v>0</v>
      </c>
      <c r="L49" s="2318">
        <v>0</v>
      </c>
      <c r="M49" s="2318">
        <v>0</v>
      </c>
      <c r="N49" s="2319">
        <v>956.56</v>
      </c>
      <c r="O49" s="2320">
        <f t="shared" si="0"/>
        <v>74</v>
      </c>
      <c r="P49" s="2297">
        <v>0</v>
      </c>
      <c r="Q49" s="2321">
        <v>9205743.8399999999</v>
      </c>
      <c r="R49" s="2322"/>
      <c r="S49" s="2322"/>
      <c r="T49" s="2322"/>
    </row>
    <row r="50" spans="1:20" ht="20.100000000000001" customHeight="1">
      <c r="A50" s="2290">
        <v>44</v>
      </c>
      <c r="B50" s="2314" t="s">
        <v>2753</v>
      </c>
      <c r="C50" s="2314" t="s">
        <v>2739</v>
      </c>
      <c r="D50" s="2315" t="s">
        <v>36</v>
      </c>
      <c r="E50" s="2316"/>
      <c r="F50" s="2329" t="s">
        <v>1479</v>
      </c>
      <c r="G50" s="2318">
        <v>49</v>
      </c>
      <c r="H50" s="2318">
        <v>0</v>
      </c>
      <c r="I50" s="2318">
        <v>0</v>
      </c>
      <c r="J50" s="2318">
        <v>0</v>
      </c>
      <c r="K50" s="2318">
        <v>0</v>
      </c>
      <c r="L50" s="2318">
        <v>0</v>
      </c>
      <c r="M50" s="2318">
        <v>0</v>
      </c>
      <c r="N50" s="2319">
        <v>0</v>
      </c>
      <c r="O50" s="2320">
        <f t="shared" si="0"/>
        <v>49</v>
      </c>
      <c r="P50" s="2297">
        <v>0</v>
      </c>
      <c r="Q50" s="2321">
        <v>750.01</v>
      </c>
      <c r="R50" s="2322"/>
      <c r="S50" s="2322"/>
      <c r="T50" s="2322"/>
    </row>
    <row r="51" spans="1:20" ht="20.100000000000001" customHeight="1">
      <c r="A51" s="2290">
        <v>45</v>
      </c>
      <c r="B51" s="2300" t="s">
        <v>2753</v>
      </c>
      <c r="C51" s="2300" t="s">
        <v>2739</v>
      </c>
      <c r="D51" s="2292" t="s">
        <v>38</v>
      </c>
      <c r="E51" s="2311">
        <v>20260729</v>
      </c>
      <c r="F51" s="2303" t="s">
        <v>2767</v>
      </c>
      <c r="G51" s="2294">
        <v>0</v>
      </c>
      <c r="H51" s="2294">
        <v>0</v>
      </c>
      <c r="I51" s="2294">
        <v>0</v>
      </c>
      <c r="J51" s="2294">
        <v>0</v>
      </c>
      <c r="K51" s="2294">
        <v>0</v>
      </c>
      <c r="L51" s="2294">
        <v>0</v>
      </c>
      <c r="M51" s="2294">
        <v>1</v>
      </c>
      <c r="N51" s="2295">
        <v>15300</v>
      </c>
      <c r="O51" s="2296">
        <f t="shared" si="0"/>
        <v>1</v>
      </c>
      <c r="P51" s="2297">
        <v>0</v>
      </c>
      <c r="Q51" s="2298">
        <v>27.47</v>
      </c>
    </row>
    <row r="52" spans="1:20" ht="20.100000000000001" customHeight="1">
      <c r="A52" s="2290">
        <v>46</v>
      </c>
      <c r="B52" s="2300" t="s">
        <v>2753</v>
      </c>
      <c r="C52" s="2300" t="s">
        <v>2739</v>
      </c>
      <c r="D52" s="2292" t="s">
        <v>38</v>
      </c>
      <c r="E52" s="2330">
        <v>20260721</v>
      </c>
      <c r="F52" s="2305" t="s">
        <v>2768</v>
      </c>
      <c r="G52" s="2294">
        <v>0</v>
      </c>
      <c r="H52" s="2294">
        <v>0</v>
      </c>
      <c r="I52" s="2294">
        <v>0</v>
      </c>
      <c r="J52" s="2294">
        <v>0</v>
      </c>
      <c r="K52" s="2294">
        <v>0</v>
      </c>
      <c r="L52" s="2294">
        <v>0</v>
      </c>
      <c r="M52" s="2294">
        <v>1</v>
      </c>
      <c r="N52" s="2295">
        <v>15000</v>
      </c>
      <c r="O52" s="2296">
        <f t="shared" si="0"/>
        <v>1</v>
      </c>
      <c r="P52" s="2297">
        <v>0</v>
      </c>
      <c r="Q52" s="2298">
        <v>312.33999999999997</v>
      </c>
    </row>
    <row r="53" spans="1:20" ht="20.100000000000001" customHeight="1">
      <c r="A53" s="2290">
        <v>47</v>
      </c>
      <c r="B53" s="2300" t="s">
        <v>2753</v>
      </c>
      <c r="C53" s="2300" t="s">
        <v>2739</v>
      </c>
      <c r="D53" s="2293" t="s">
        <v>38</v>
      </c>
      <c r="E53" s="2312">
        <v>46228</v>
      </c>
      <c r="F53" s="2305" t="s">
        <v>2768</v>
      </c>
      <c r="G53" s="2294">
        <v>0</v>
      </c>
      <c r="H53" s="2294">
        <v>0</v>
      </c>
      <c r="I53" s="2294">
        <v>0</v>
      </c>
      <c r="J53" s="2294">
        <v>0</v>
      </c>
      <c r="K53" s="2294">
        <v>0</v>
      </c>
      <c r="L53" s="2294">
        <v>0</v>
      </c>
      <c r="M53" s="2294">
        <v>1</v>
      </c>
      <c r="N53" s="2295">
        <v>2000</v>
      </c>
      <c r="O53" s="2296">
        <f t="shared" si="0"/>
        <v>1</v>
      </c>
      <c r="P53" s="2297">
        <v>0</v>
      </c>
      <c r="Q53" s="2298" t="s">
        <v>2752</v>
      </c>
    </row>
    <row r="54" spans="1:20" ht="20.100000000000001" customHeight="1">
      <c r="A54" s="2290">
        <v>48</v>
      </c>
      <c r="B54" s="2330" t="s">
        <v>2753</v>
      </c>
      <c r="C54" s="2300" t="s">
        <v>2739</v>
      </c>
      <c r="D54" s="2292" t="s">
        <v>38</v>
      </c>
      <c r="E54" s="2312">
        <v>46235</v>
      </c>
      <c r="F54" s="2303" t="s">
        <v>2768</v>
      </c>
      <c r="G54" s="2294">
        <v>0</v>
      </c>
      <c r="H54" s="2294">
        <v>0</v>
      </c>
      <c r="I54" s="2294">
        <v>0</v>
      </c>
      <c r="J54" s="2294">
        <v>0</v>
      </c>
      <c r="K54" s="2294">
        <v>0</v>
      </c>
      <c r="L54" s="2294">
        <v>0</v>
      </c>
      <c r="M54" s="2294">
        <v>1</v>
      </c>
      <c r="N54" s="2295">
        <v>5000</v>
      </c>
      <c r="O54" s="2296">
        <f t="shared" si="0"/>
        <v>1</v>
      </c>
      <c r="P54" s="2297">
        <v>0</v>
      </c>
      <c r="Q54" s="2298">
        <v>2159092.33</v>
      </c>
    </row>
    <row r="55" spans="1:20" ht="20.100000000000001" customHeight="1">
      <c r="A55" s="2290">
        <v>49</v>
      </c>
      <c r="B55" s="2291" t="s">
        <v>2753</v>
      </c>
      <c r="C55" s="2300" t="s">
        <v>2739</v>
      </c>
      <c r="D55" s="2292" t="s">
        <v>105</v>
      </c>
      <c r="E55" s="2312">
        <v>0</v>
      </c>
      <c r="F55" s="2303" t="s">
        <v>2769</v>
      </c>
      <c r="G55" s="2294">
        <v>0</v>
      </c>
      <c r="H55" s="2294">
        <v>0</v>
      </c>
      <c r="I55" s="2294">
        <v>0</v>
      </c>
      <c r="J55" s="2294">
        <v>0</v>
      </c>
      <c r="K55" s="2294">
        <v>0</v>
      </c>
      <c r="L55" s="2294">
        <v>0</v>
      </c>
      <c r="M55" s="2294">
        <v>1</v>
      </c>
      <c r="N55" s="2295">
        <v>0</v>
      </c>
      <c r="O55" s="2296">
        <f t="shared" si="0"/>
        <v>1</v>
      </c>
      <c r="P55" s="2297">
        <v>0</v>
      </c>
      <c r="Q55" s="2298">
        <v>0</v>
      </c>
    </row>
    <row r="56" spans="1:20" ht="20.100000000000001" customHeight="1">
      <c r="A56" s="2290">
        <v>50</v>
      </c>
      <c r="B56" s="2291" t="s">
        <v>2770</v>
      </c>
      <c r="C56" s="2291" t="s">
        <v>2739</v>
      </c>
      <c r="D56" s="2292" t="s">
        <v>29</v>
      </c>
      <c r="E56" s="2291"/>
      <c r="F56" s="2293" t="s">
        <v>2747</v>
      </c>
      <c r="G56" s="2294">
        <v>0</v>
      </c>
      <c r="H56" s="2294">
        <v>0</v>
      </c>
      <c r="I56" s="2294">
        <v>1</v>
      </c>
      <c r="J56" s="2294">
        <v>0</v>
      </c>
      <c r="K56" s="2294">
        <v>0</v>
      </c>
      <c r="L56" s="2294">
        <v>0</v>
      </c>
      <c r="M56" s="2294">
        <v>0</v>
      </c>
      <c r="N56" s="2295">
        <v>1110559.3</v>
      </c>
      <c r="O56" s="2296">
        <f t="shared" si="0"/>
        <v>1</v>
      </c>
      <c r="P56" s="2297">
        <v>0</v>
      </c>
      <c r="Q56" s="2298">
        <v>721595.76</v>
      </c>
    </row>
    <row r="57" spans="1:20" ht="20.100000000000001" customHeight="1">
      <c r="A57" s="2290">
        <v>51</v>
      </c>
      <c r="B57" s="2291" t="s">
        <v>2770</v>
      </c>
      <c r="C57" s="2291" t="s">
        <v>2739</v>
      </c>
      <c r="D57" s="2292" t="s">
        <v>29</v>
      </c>
      <c r="E57" s="2291"/>
      <c r="F57" s="2293" t="s">
        <v>2748</v>
      </c>
      <c r="G57" s="2294">
        <v>0</v>
      </c>
      <c r="H57" s="2294">
        <v>0</v>
      </c>
      <c r="I57" s="2294">
        <v>0</v>
      </c>
      <c r="J57" s="2294">
        <v>0</v>
      </c>
      <c r="K57" s="2294">
        <v>0</v>
      </c>
      <c r="L57" s="2294">
        <v>0</v>
      </c>
      <c r="M57" s="2294">
        <v>6</v>
      </c>
      <c r="N57" s="2295">
        <v>341361.81</v>
      </c>
      <c r="O57" s="2296">
        <f t="shared" si="0"/>
        <v>6</v>
      </c>
      <c r="P57" s="2297">
        <v>0</v>
      </c>
      <c r="Q57" s="2298">
        <v>0</v>
      </c>
    </row>
    <row r="58" spans="1:20" ht="20.100000000000001" customHeight="1">
      <c r="A58" s="2290">
        <v>52</v>
      </c>
      <c r="B58" s="2291" t="s">
        <v>2770</v>
      </c>
      <c r="C58" s="2291" t="s">
        <v>2739</v>
      </c>
      <c r="D58" s="2292" t="s">
        <v>29</v>
      </c>
      <c r="E58" s="2291"/>
      <c r="F58" s="2293" t="s">
        <v>32</v>
      </c>
      <c r="G58" s="2294">
        <v>0</v>
      </c>
      <c r="H58" s="2294">
        <v>0</v>
      </c>
      <c r="I58" s="2294">
        <v>1</v>
      </c>
      <c r="J58" s="2294">
        <v>0</v>
      </c>
      <c r="K58" s="2294">
        <v>0</v>
      </c>
      <c r="L58" s="2294">
        <v>0</v>
      </c>
      <c r="M58" s="2294">
        <v>0</v>
      </c>
      <c r="N58" s="2295">
        <v>127.86</v>
      </c>
      <c r="O58" s="2296">
        <f t="shared" si="0"/>
        <v>1</v>
      </c>
      <c r="P58" s="2297">
        <v>0</v>
      </c>
      <c r="Q58" s="2298">
        <v>102849.2</v>
      </c>
    </row>
    <row r="59" spans="1:20" ht="20.100000000000001" customHeight="1">
      <c r="A59" s="2290">
        <v>53</v>
      </c>
      <c r="B59" s="2291" t="s">
        <v>2770</v>
      </c>
      <c r="C59" s="2291" t="s">
        <v>2739</v>
      </c>
      <c r="D59" s="2292" t="s">
        <v>33</v>
      </c>
      <c r="E59" s="2291"/>
      <c r="F59" s="2293" t="s">
        <v>35</v>
      </c>
      <c r="G59" s="2294">
        <v>0</v>
      </c>
      <c r="H59" s="2294">
        <v>0</v>
      </c>
      <c r="I59" s="2294">
        <v>0</v>
      </c>
      <c r="J59" s="2294">
        <v>0</v>
      </c>
      <c r="K59" s="2294">
        <v>5692</v>
      </c>
      <c r="L59" s="2294">
        <v>0</v>
      </c>
      <c r="M59" s="2294">
        <v>0</v>
      </c>
      <c r="N59" s="2295">
        <v>0</v>
      </c>
      <c r="O59" s="2296">
        <f t="shared" si="0"/>
        <v>5692</v>
      </c>
      <c r="P59" s="2297">
        <v>0</v>
      </c>
      <c r="Q59" s="2298">
        <v>60958.96</v>
      </c>
    </row>
    <row r="60" spans="1:20" ht="20.100000000000001" customHeight="1">
      <c r="A60" s="2290">
        <v>54</v>
      </c>
      <c r="B60" s="2291" t="s">
        <v>2770</v>
      </c>
      <c r="C60" s="2291" t="s">
        <v>2739</v>
      </c>
      <c r="D60" s="2291" t="s">
        <v>195</v>
      </c>
      <c r="E60" s="2291"/>
      <c r="F60" s="2293" t="s">
        <v>2771</v>
      </c>
      <c r="G60" s="2294">
        <v>0</v>
      </c>
      <c r="H60" s="2294">
        <v>0</v>
      </c>
      <c r="I60" s="2294">
        <v>0</v>
      </c>
      <c r="J60" s="2294">
        <v>0</v>
      </c>
      <c r="K60" s="2294">
        <v>0</v>
      </c>
      <c r="L60" s="2294">
        <v>0</v>
      </c>
      <c r="M60" s="2294">
        <v>4</v>
      </c>
      <c r="N60" s="2295">
        <v>0</v>
      </c>
      <c r="O60" s="2296">
        <f t="shared" si="0"/>
        <v>4</v>
      </c>
      <c r="P60" s="2297">
        <v>0</v>
      </c>
      <c r="Q60" s="2298">
        <v>32500</v>
      </c>
    </row>
    <row r="61" spans="1:20" ht="20.100000000000001" customHeight="1">
      <c r="A61" s="2290">
        <v>55</v>
      </c>
      <c r="B61" s="2291" t="s">
        <v>2772</v>
      </c>
      <c r="C61" s="2291" t="s">
        <v>2739</v>
      </c>
      <c r="D61" s="2292" t="s">
        <v>26</v>
      </c>
      <c r="E61" s="2291"/>
      <c r="F61" s="2293" t="s">
        <v>118</v>
      </c>
      <c r="G61" s="2294">
        <v>0</v>
      </c>
      <c r="H61" s="2294">
        <v>0</v>
      </c>
      <c r="I61" s="2294">
        <v>0</v>
      </c>
      <c r="J61" s="2294">
        <v>0</v>
      </c>
      <c r="K61" s="2294">
        <v>0</v>
      </c>
      <c r="L61" s="2294">
        <v>0</v>
      </c>
      <c r="M61" s="2294">
        <v>1</v>
      </c>
      <c r="N61" s="2295">
        <v>20640.25</v>
      </c>
      <c r="O61" s="2296">
        <f t="shared" si="0"/>
        <v>1</v>
      </c>
      <c r="P61" s="2297">
        <v>0</v>
      </c>
      <c r="Q61" s="2298">
        <v>9700</v>
      </c>
    </row>
    <row r="62" spans="1:20" ht="20.100000000000001" customHeight="1">
      <c r="A62" s="2290">
        <v>56</v>
      </c>
      <c r="B62" s="2291" t="s">
        <v>2772</v>
      </c>
      <c r="C62" s="2291" t="s">
        <v>2739</v>
      </c>
      <c r="D62" s="2292" t="s">
        <v>103</v>
      </c>
      <c r="E62" s="2291"/>
      <c r="F62" s="2293" t="s">
        <v>179</v>
      </c>
      <c r="G62" s="2294">
        <v>0</v>
      </c>
      <c r="H62" s="2294">
        <v>0</v>
      </c>
      <c r="I62" s="2294">
        <v>0</v>
      </c>
      <c r="J62" s="2294">
        <v>0</v>
      </c>
      <c r="K62" s="2294">
        <v>0</v>
      </c>
      <c r="L62" s="2294">
        <v>16</v>
      </c>
      <c r="M62" s="2294">
        <v>0</v>
      </c>
      <c r="N62" s="2295">
        <v>750</v>
      </c>
      <c r="O62" s="2296">
        <f t="shared" si="0"/>
        <v>16</v>
      </c>
      <c r="P62" s="2297">
        <v>0</v>
      </c>
      <c r="Q62" s="2298">
        <v>0</v>
      </c>
    </row>
    <row r="63" spans="1:20" ht="20.100000000000001" customHeight="1">
      <c r="A63" s="2290">
        <v>57</v>
      </c>
      <c r="B63" s="2291" t="s">
        <v>2772</v>
      </c>
      <c r="C63" s="2291" t="s">
        <v>2739</v>
      </c>
      <c r="D63" s="2292" t="s">
        <v>29</v>
      </c>
      <c r="E63" s="2291"/>
      <c r="F63" s="2293" t="s">
        <v>119</v>
      </c>
      <c r="G63" s="2294">
        <v>0</v>
      </c>
      <c r="H63" s="2294">
        <v>0</v>
      </c>
      <c r="I63" s="2294">
        <v>1</v>
      </c>
      <c r="J63" s="2294">
        <v>0</v>
      </c>
      <c r="K63" s="2294">
        <v>0</v>
      </c>
      <c r="L63" s="2294">
        <v>0</v>
      </c>
      <c r="M63" s="2294">
        <v>0</v>
      </c>
      <c r="N63" s="2295">
        <v>4172034.62</v>
      </c>
      <c r="O63" s="2296">
        <f t="shared" si="0"/>
        <v>1</v>
      </c>
      <c r="P63" s="2297">
        <v>0</v>
      </c>
      <c r="Q63" s="2298">
        <v>0</v>
      </c>
    </row>
    <row r="64" spans="1:20" ht="20.100000000000001" customHeight="1">
      <c r="A64" s="2290">
        <v>58</v>
      </c>
      <c r="B64" s="2291" t="s">
        <v>2772</v>
      </c>
      <c r="C64" s="2291" t="s">
        <v>2739</v>
      </c>
      <c r="D64" s="2292" t="s">
        <v>29</v>
      </c>
      <c r="E64" s="2291"/>
      <c r="F64" s="2293" t="s">
        <v>49</v>
      </c>
      <c r="G64" s="2294">
        <v>0</v>
      </c>
      <c r="H64" s="2294">
        <v>0</v>
      </c>
      <c r="I64" s="2294">
        <v>1</v>
      </c>
      <c r="J64" s="2294">
        <v>0</v>
      </c>
      <c r="K64" s="2294">
        <v>0</v>
      </c>
      <c r="L64" s="2294">
        <v>0</v>
      </c>
      <c r="M64" s="2294">
        <v>0</v>
      </c>
      <c r="N64" s="2295">
        <v>800864.01</v>
      </c>
      <c r="O64" s="2296">
        <f t="shared" si="0"/>
        <v>1</v>
      </c>
      <c r="P64" s="2297">
        <v>0</v>
      </c>
      <c r="Q64" s="2298">
        <v>0</v>
      </c>
    </row>
    <row r="65" spans="1:17" ht="20.100000000000001" customHeight="1">
      <c r="A65" s="2290">
        <v>59</v>
      </c>
      <c r="B65" s="2291" t="s">
        <v>2772</v>
      </c>
      <c r="C65" s="2291" t="s">
        <v>2739</v>
      </c>
      <c r="D65" s="2292" t="s">
        <v>29</v>
      </c>
      <c r="E65" s="2291"/>
      <c r="F65" s="2293" t="s">
        <v>32</v>
      </c>
      <c r="G65" s="2294">
        <v>0</v>
      </c>
      <c r="H65" s="2294">
        <v>0</v>
      </c>
      <c r="I65" s="2294">
        <v>1</v>
      </c>
      <c r="J65" s="2294">
        <v>0</v>
      </c>
      <c r="K65" s="2294">
        <v>0</v>
      </c>
      <c r="L65" s="2294">
        <v>0</v>
      </c>
      <c r="M65" s="2294">
        <v>0</v>
      </c>
      <c r="N65" s="2295">
        <v>1613.64</v>
      </c>
      <c r="O65" s="2296">
        <f t="shared" si="0"/>
        <v>1</v>
      </c>
      <c r="P65" s="2297">
        <v>0</v>
      </c>
      <c r="Q65" s="2298">
        <v>0</v>
      </c>
    </row>
    <row r="66" spans="1:17" ht="20.100000000000001" customHeight="1">
      <c r="A66" s="2290">
        <v>60</v>
      </c>
      <c r="B66" s="2291" t="s">
        <v>2772</v>
      </c>
      <c r="C66" s="2291" t="s">
        <v>2739</v>
      </c>
      <c r="D66" s="2292" t="s">
        <v>29</v>
      </c>
      <c r="E66" s="2291"/>
      <c r="F66" s="2293" t="s">
        <v>50</v>
      </c>
      <c r="G66" s="2294">
        <v>0</v>
      </c>
      <c r="H66" s="2294">
        <v>0</v>
      </c>
      <c r="I66" s="2294">
        <v>4</v>
      </c>
      <c r="J66" s="2294">
        <v>0</v>
      </c>
      <c r="K66" s="2294">
        <v>0</v>
      </c>
      <c r="L66" s="2294">
        <v>0</v>
      </c>
      <c r="M66" s="2294">
        <v>0</v>
      </c>
      <c r="N66" s="2295">
        <v>815.16</v>
      </c>
      <c r="O66" s="2296">
        <f t="shared" si="0"/>
        <v>4</v>
      </c>
      <c r="P66" s="2297">
        <v>0</v>
      </c>
      <c r="Q66" s="2298">
        <v>0</v>
      </c>
    </row>
    <row r="67" spans="1:17" ht="20.100000000000001" customHeight="1">
      <c r="A67" s="2290">
        <v>61</v>
      </c>
      <c r="B67" s="2291" t="s">
        <v>2772</v>
      </c>
      <c r="C67" s="2291" t="s">
        <v>2739</v>
      </c>
      <c r="D67" s="2292" t="s">
        <v>29</v>
      </c>
      <c r="E67" s="2291"/>
      <c r="F67" s="2293" t="s">
        <v>2773</v>
      </c>
      <c r="G67" s="2294">
        <v>0</v>
      </c>
      <c r="H67" s="2294">
        <v>0</v>
      </c>
      <c r="I67" s="2294">
        <v>0</v>
      </c>
      <c r="J67" s="2294">
        <v>0</v>
      </c>
      <c r="K67" s="2294">
        <v>0</v>
      </c>
      <c r="L67" s="2294">
        <v>0</v>
      </c>
      <c r="M67" s="2294">
        <v>3</v>
      </c>
      <c r="N67" s="2295">
        <v>46428.75</v>
      </c>
      <c r="O67" s="2296">
        <f t="shared" si="0"/>
        <v>3</v>
      </c>
      <c r="P67" s="2297">
        <v>0</v>
      </c>
      <c r="Q67" s="2298">
        <v>0</v>
      </c>
    </row>
    <row r="68" spans="1:17" ht="20.100000000000001" customHeight="1">
      <c r="A68" s="2290">
        <v>62</v>
      </c>
      <c r="B68" s="2291" t="s">
        <v>2772</v>
      </c>
      <c r="C68" s="2291" t="s">
        <v>2739</v>
      </c>
      <c r="D68" s="2292" t="s">
        <v>29</v>
      </c>
      <c r="E68" s="2291"/>
      <c r="F68" s="2293" t="s">
        <v>167</v>
      </c>
      <c r="G68" s="2294">
        <v>0</v>
      </c>
      <c r="H68" s="2294">
        <v>0</v>
      </c>
      <c r="I68" s="2294">
        <v>0</v>
      </c>
      <c r="J68" s="2294">
        <v>0</v>
      </c>
      <c r="K68" s="2294">
        <v>0</v>
      </c>
      <c r="L68" s="2294">
        <v>0</v>
      </c>
      <c r="M68" s="2294">
        <v>7</v>
      </c>
      <c r="N68" s="2295">
        <v>2661406.23</v>
      </c>
      <c r="O68" s="2296">
        <f t="shared" si="0"/>
        <v>7</v>
      </c>
      <c r="P68" s="2297">
        <v>0</v>
      </c>
      <c r="Q68" s="2298">
        <v>0</v>
      </c>
    </row>
    <row r="69" spans="1:17" ht="20.100000000000001" customHeight="1">
      <c r="A69" s="2290">
        <v>63</v>
      </c>
      <c r="B69" s="2291" t="s">
        <v>2772</v>
      </c>
      <c r="C69" s="2291" t="s">
        <v>2739</v>
      </c>
      <c r="D69" s="2292" t="s">
        <v>29</v>
      </c>
      <c r="E69" s="2291"/>
      <c r="F69" s="2293" t="s">
        <v>51</v>
      </c>
      <c r="G69" s="2294">
        <v>0</v>
      </c>
      <c r="H69" s="2294">
        <v>0</v>
      </c>
      <c r="I69" s="2294">
        <v>0</v>
      </c>
      <c r="J69" s="2294">
        <v>0</v>
      </c>
      <c r="K69" s="2294">
        <v>0</v>
      </c>
      <c r="L69" s="2294">
        <v>0</v>
      </c>
      <c r="M69" s="2294">
        <v>14</v>
      </c>
      <c r="N69" s="2295">
        <v>2656168.25</v>
      </c>
      <c r="O69" s="2296">
        <f t="shared" si="0"/>
        <v>14</v>
      </c>
      <c r="P69" s="2297">
        <v>0</v>
      </c>
      <c r="Q69" s="2298">
        <v>0</v>
      </c>
    </row>
    <row r="70" spans="1:17" ht="20.100000000000001" customHeight="1">
      <c r="A70" s="2290">
        <v>64</v>
      </c>
      <c r="B70" s="2291" t="s">
        <v>2772</v>
      </c>
      <c r="C70" s="2291" t="s">
        <v>2739</v>
      </c>
      <c r="D70" s="2292" t="s">
        <v>33</v>
      </c>
      <c r="E70" s="2291"/>
      <c r="F70" s="2293" t="s">
        <v>34</v>
      </c>
      <c r="G70" s="2294">
        <v>0</v>
      </c>
      <c r="H70" s="2294">
        <v>0</v>
      </c>
      <c r="I70" s="2294">
        <v>0</v>
      </c>
      <c r="J70" s="2294">
        <v>125</v>
      </c>
      <c r="K70" s="2294">
        <v>0</v>
      </c>
      <c r="L70" s="2294">
        <v>0</v>
      </c>
      <c r="M70" s="2294">
        <v>0</v>
      </c>
      <c r="N70" s="2295">
        <v>0</v>
      </c>
      <c r="O70" s="2296">
        <f t="shared" si="0"/>
        <v>125</v>
      </c>
      <c r="P70" s="2297">
        <v>0</v>
      </c>
      <c r="Q70" s="2298">
        <v>0</v>
      </c>
    </row>
    <row r="71" spans="1:17" ht="20.100000000000001" customHeight="1">
      <c r="A71" s="2290">
        <v>65</v>
      </c>
      <c r="B71" s="2291" t="s">
        <v>2772</v>
      </c>
      <c r="C71" s="2291" t="s">
        <v>2739</v>
      </c>
      <c r="D71" s="2292" t="s">
        <v>33</v>
      </c>
      <c r="E71" s="2291"/>
      <c r="F71" s="2293" t="s">
        <v>35</v>
      </c>
      <c r="G71" s="2294">
        <v>0</v>
      </c>
      <c r="H71" s="2294">
        <v>0</v>
      </c>
      <c r="I71" s="2294">
        <v>0</v>
      </c>
      <c r="J71" s="2294">
        <v>0</v>
      </c>
      <c r="K71" s="2294">
        <v>11385</v>
      </c>
      <c r="L71" s="2294">
        <v>0</v>
      </c>
      <c r="M71" s="2294">
        <v>0</v>
      </c>
      <c r="N71" s="2295">
        <v>0</v>
      </c>
      <c r="O71" s="2296">
        <f t="shared" si="0"/>
        <v>11385</v>
      </c>
      <c r="P71" s="2297">
        <v>0</v>
      </c>
      <c r="Q71" s="2298">
        <v>0</v>
      </c>
    </row>
    <row r="72" spans="1:17" ht="20.100000000000001" customHeight="1">
      <c r="A72" s="2290">
        <v>66</v>
      </c>
      <c r="B72" s="2291" t="s">
        <v>2772</v>
      </c>
      <c r="C72" s="2291" t="s">
        <v>2739</v>
      </c>
      <c r="D72" s="2291" t="s">
        <v>195</v>
      </c>
      <c r="E72" s="2291"/>
      <c r="F72" s="2293" t="s">
        <v>196</v>
      </c>
      <c r="G72" s="2294">
        <v>0</v>
      </c>
      <c r="H72" s="2294">
        <v>0</v>
      </c>
      <c r="I72" s="2294">
        <v>0</v>
      </c>
      <c r="J72" s="2294">
        <v>0</v>
      </c>
      <c r="K72" s="2294">
        <v>0</v>
      </c>
      <c r="L72" s="2294">
        <v>0</v>
      </c>
      <c r="M72" s="2294">
        <v>13</v>
      </c>
      <c r="N72" s="2295">
        <v>0</v>
      </c>
      <c r="O72" s="2296">
        <f t="shared" ref="O72:O124" si="1">G72+H72+I72+J72+K72+L72+M72-P72</f>
        <v>13</v>
      </c>
      <c r="P72" s="2297">
        <v>0</v>
      </c>
      <c r="Q72" s="2298">
        <v>0</v>
      </c>
    </row>
    <row r="73" spans="1:17" ht="20.100000000000001" customHeight="1">
      <c r="A73" s="2290">
        <v>67</v>
      </c>
      <c r="B73" s="2291" t="s">
        <v>2772</v>
      </c>
      <c r="C73" s="2291" t="s">
        <v>2739</v>
      </c>
      <c r="D73" s="2292" t="s">
        <v>36</v>
      </c>
      <c r="E73" s="2291"/>
      <c r="F73" s="2293" t="s">
        <v>52</v>
      </c>
      <c r="G73" s="2294">
        <v>0</v>
      </c>
      <c r="H73" s="2294">
        <v>1406</v>
      </c>
      <c r="I73" s="2294">
        <v>0</v>
      </c>
      <c r="J73" s="2294">
        <v>0</v>
      </c>
      <c r="K73" s="2294">
        <v>0</v>
      </c>
      <c r="L73" s="2294">
        <v>0</v>
      </c>
      <c r="M73" s="2294">
        <v>0</v>
      </c>
      <c r="N73" s="2295">
        <v>0</v>
      </c>
      <c r="O73" s="2296">
        <f t="shared" si="1"/>
        <v>1406</v>
      </c>
      <c r="P73" s="2297">
        <v>0</v>
      </c>
      <c r="Q73" s="2298">
        <v>0</v>
      </c>
    </row>
    <row r="74" spans="1:17" ht="20.100000000000001" customHeight="1">
      <c r="A74" s="2290">
        <v>68</v>
      </c>
      <c r="B74" s="2291" t="s">
        <v>2774</v>
      </c>
      <c r="C74" s="2291" t="s">
        <v>2739</v>
      </c>
      <c r="D74" s="2292" t="s">
        <v>29</v>
      </c>
      <c r="E74" s="2291"/>
      <c r="F74" s="2293" t="s">
        <v>2775</v>
      </c>
      <c r="G74" s="2294">
        <v>0</v>
      </c>
      <c r="H74" s="2294">
        <v>0</v>
      </c>
      <c r="I74" s="2294">
        <v>1</v>
      </c>
      <c r="J74" s="2294">
        <v>0</v>
      </c>
      <c r="K74" s="2294">
        <v>0</v>
      </c>
      <c r="L74" s="2294">
        <v>0</v>
      </c>
      <c r="M74" s="2294">
        <v>0</v>
      </c>
      <c r="N74" s="2295">
        <v>37856358.630000003</v>
      </c>
      <c r="O74" s="2296">
        <f t="shared" si="1"/>
        <v>1</v>
      </c>
      <c r="P74" s="2297">
        <v>0</v>
      </c>
      <c r="Q74" s="2298">
        <v>0</v>
      </c>
    </row>
    <row r="75" spans="1:17" ht="20.100000000000001" customHeight="1">
      <c r="A75" s="2290">
        <v>69</v>
      </c>
      <c r="B75" s="2291" t="s">
        <v>2774</v>
      </c>
      <c r="C75" s="2291" t="s">
        <v>2739</v>
      </c>
      <c r="D75" s="2292" t="s">
        <v>29</v>
      </c>
      <c r="E75" s="2291"/>
      <c r="F75" s="2293" t="s">
        <v>2776</v>
      </c>
      <c r="G75" s="2294">
        <v>0</v>
      </c>
      <c r="H75" s="2294">
        <v>0</v>
      </c>
      <c r="I75" s="2294">
        <v>1</v>
      </c>
      <c r="J75" s="2294">
        <v>0</v>
      </c>
      <c r="K75" s="2294">
        <v>0</v>
      </c>
      <c r="L75" s="2294">
        <v>0</v>
      </c>
      <c r="M75" s="2294">
        <v>0</v>
      </c>
      <c r="N75" s="2295">
        <v>1942933.54</v>
      </c>
      <c r="O75" s="2296">
        <f t="shared" si="1"/>
        <v>1</v>
      </c>
      <c r="P75" s="2297">
        <v>0</v>
      </c>
      <c r="Q75" s="2298">
        <v>0</v>
      </c>
    </row>
    <row r="76" spans="1:17" ht="20.100000000000001" customHeight="1">
      <c r="A76" s="2290">
        <v>70</v>
      </c>
      <c r="B76" s="2291" t="s">
        <v>2774</v>
      </c>
      <c r="C76" s="2291" t="s">
        <v>2739</v>
      </c>
      <c r="D76" s="2292" t="s">
        <v>29</v>
      </c>
      <c r="E76" s="2291"/>
      <c r="F76" s="2293" t="s">
        <v>943</v>
      </c>
      <c r="G76" s="2294">
        <v>0</v>
      </c>
      <c r="H76" s="2294">
        <v>0</v>
      </c>
      <c r="I76" s="2294">
        <v>1</v>
      </c>
      <c r="J76" s="2294">
        <v>0</v>
      </c>
      <c r="K76" s="2294">
        <v>0</v>
      </c>
      <c r="L76" s="2294">
        <v>0</v>
      </c>
      <c r="M76" s="2294">
        <v>0</v>
      </c>
      <c r="N76" s="2295">
        <v>25293691.34</v>
      </c>
      <c r="O76" s="2296">
        <f t="shared" si="1"/>
        <v>1</v>
      </c>
      <c r="P76" s="2297">
        <v>0</v>
      </c>
      <c r="Q76" s="2298">
        <v>0</v>
      </c>
    </row>
    <row r="77" spans="1:17" ht="20.100000000000001" customHeight="1">
      <c r="A77" s="2290">
        <v>71</v>
      </c>
      <c r="B77" s="2291" t="s">
        <v>2774</v>
      </c>
      <c r="C77" s="2291" t="s">
        <v>2739</v>
      </c>
      <c r="D77" s="2292" t="s">
        <v>29</v>
      </c>
      <c r="E77" s="2291"/>
      <c r="F77" s="2293" t="s">
        <v>2777</v>
      </c>
      <c r="G77" s="2294">
        <v>0</v>
      </c>
      <c r="H77" s="2294">
        <v>0</v>
      </c>
      <c r="I77" s="2294">
        <v>1</v>
      </c>
      <c r="J77" s="2294">
        <v>0</v>
      </c>
      <c r="K77" s="2294">
        <v>0</v>
      </c>
      <c r="L77" s="2294">
        <v>0</v>
      </c>
      <c r="M77" s="2294">
        <v>0</v>
      </c>
      <c r="N77" s="2295">
        <v>0</v>
      </c>
      <c r="O77" s="2296">
        <f t="shared" si="1"/>
        <v>1</v>
      </c>
      <c r="P77" s="2297">
        <v>0</v>
      </c>
      <c r="Q77" s="2298">
        <v>0</v>
      </c>
    </row>
    <row r="78" spans="1:17" ht="20.100000000000001" customHeight="1">
      <c r="A78" s="2290">
        <v>72</v>
      </c>
      <c r="B78" s="2291" t="s">
        <v>2774</v>
      </c>
      <c r="C78" s="2291" t="s">
        <v>2739</v>
      </c>
      <c r="D78" s="2292" t="s">
        <v>29</v>
      </c>
      <c r="E78" s="2291"/>
      <c r="F78" s="2293" t="s">
        <v>901</v>
      </c>
      <c r="G78" s="2294">
        <v>0</v>
      </c>
      <c r="H78" s="2294">
        <v>0</v>
      </c>
      <c r="I78" s="2294">
        <v>1</v>
      </c>
      <c r="J78" s="2294">
        <v>0</v>
      </c>
      <c r="K78" s="2294">
        <v>0</v>
      </c>
      <c r="L78" s="2294">
        <v>0</v>
      </c>
      <c r="M78" s="2294">
        <v>0</v>
      </c>
      <c r="N78" s="2295">
        <v>0.5</v>
      </c>
      <c r="O78" s="2296">
        <f t="shared" si="1"/>
        <v>1</v>
      </c>
      <c r="P78" s="2297">
        <v>0</v>
      </c>
      <c r="Q78" s="2298">
        <v>0</v>
      </c>
    </row>
    <row r="79" spans="1:17" ht="20.100000000000001" customHeight="1">
      <c r="A79" s="2290">
        <v>73</v>
      </c>
      <c r="B79" s="2291" t="s">
        <v>2774</v>
      </c>
      <c r="C79" s="2291" t="s">
        <v>2739</v>
      </c>
      <c r="D79" s="2292" t="s">
        <v>29</v>
      </c>
      <c r="E79" s="2291"/>
      <c r="F79" s="2293" t="s">
        <v>2778</v>
      </c>
      <c r="G79" s="2294">
        <v>0</v>
      </c>
      <c r="H79" s="2294">
        <v>0</v>
      </c>
      <c r="I79" s="2294">
        <v>0</v>
      </c>
      <c r="J79" s="2294">
        <v>0</v>
      </c>
      <c r="K79" s="2294">
        <v>0</v>
      </c>
      <c r="L79" s="2294">
        <v>0</v>
      </c>
      <c r="M79" s="2294">
        <v>1</v>
      </c>
      <c r="N79" s="2295">
        <v>13125</v>
      </c>
      <c r="O79" s="2296">
        <f t="shared" si="1"/>
        <v>1</v>
      </c>
      <c r="P79" s="2297">
        <v>0</v>
      </c>
      <c r="Q79" s="2298">
        <v>0</v>
      </c>
    </row>
    <row r="80" spans="1:17" ht="20.100000000000001" customHeight="1">
      <c r="A80" s="2290">
        <v>74</v>
      </c>
      <c r="B80" s="2291" t="s">
        <v>2774</v>
      </c>
      <c r="C80" s="2291" t="s">
        <v>2739</v>
      </c>
      <c r="D80" s="2292" t="s">
        <v>29</v>
      </c>
      <c r="E80" s="2291"/>
      <c r="F80" s="2293" t="s">
        <v>2779</v>
      </c>
      <c r="G80" s="2294">
        <v>0</v>
      </c>
      <c r="H80" s="2294">
        <v>0</v>
      </c>
      <c r="I80" s="2294">
        <v>0</v>
      </c>
      <c r="J80" s="2294">
        <v>0</v>
      </c>
      <c r="K80" s="2294">
        <v>0</v>
      </c>
      <c r="L80" s="2294">
        <v>0</v>
      </c>
      <c r="M80" s="2294">
        <v>1</v>
      </c>
      <c r="N80" s="2295">
        <v>174744.16</v>
      </c>
      <c r="O80" s="2296">
        <f t="shared" si="1"/>
        <v>1</v>
      </c>
      <c r="P80" s="2297">
        <v>0</v>
      </c>
      <c r="Q80" s="2298">
        <v>0</v>
      </c>
    </row>
    <row r="81" spans="1:17" ht="20.100000000000001" customHeight="1">
      <c r="A81" s="2290">
        <v>75</v>
      </c>
      <c r="B81" s="2291" t="s">
        <v>2774</v>
      </c>
      <c r="C81" s="2291" t="s">
        <v>2739</v>
      </c>
      <c r="D81" s="2292" t="s">
        <v>29</v>
      </c>
      <c r="E81" s="2291"/>
      <c r="F81" s="2293" t="s">
        <v>2780</v>
      </c>
      <c r="G81" s="2294">
        <v>0</v>
      </c>
      <c r="H81" s="2294">
        <v>0</v>
      </c>
      <c r="I81" s="2294">
        <v>0</v>
      </c>
      <c r="J81" s="2294">
        <v>0</v>
      </c>
      <c r="K81" s="2294">
        <v>0</v>
      </c>
      <c r="L81" s="2294">
        <v>0</v>
      </c>
      <c r="M81" s="2294">
        <v>10</v>
      </c>
      <c r="N81" s="2295">
        <v>469804.95</v>
      </c>
      <c r="O81" s="2296">
        <f t="shared" si="1"/>
        <v>10</v>
      </c>
      <c r="P81" s="2297">
        <v>0</v>
      </c>
      <c r="Q81" s="2298">
        <v>0</v>
      </c>
    </row>
    <row r="82" spans="1:17" ht="20.100000000000001" customHeight="1">
      <c r="A82" s="2290">
        <v>76</v>
      </c>
      <c r="B82" s="2291" t="s">
        <v>2774</v>
      </c>
      <c r="C82" s="2291" t="s">
        <v>2739</v>
      </c>
      <c r="D82" s="2292" t="s">
        <v>29</v>
      </c>
      <c r="E82" s="2291"/>
      <c r="F82" s="2293" t="s">
        <v>2781</v>
      </c>
      <c r="G82" s="2294">
        <v>0</v>
      </c>
      <c r="H82" s="2294">
        <v>0</v>
      </c>
      <c r="I82" s="2294">
        <v>0</v>
      </c>
      <c r="J82" s="2294">
        <v>0</v>
      </c>
      <c r="K82" s="2294">
        <v>0</v>
      </c>
      <c r="L82" s="2294">
        <v>0</v>
      </c>
      <c r="M82" s="2294">
        <v>16</v>
      </c>
      <c r="N82" s="2295">
        <v>2611815.56</v>
      </c>
      <c r="O82" s="2296">
        <f t="shared" si="1"/>
        <v>16</v>
      </c>
      <c r="P82" s="2297">
        <v>0</v>
      </c>
      <c r="Q82" s="2298">
        <v>0</v>
      </c>
    </row>
    <row r="83" spans="1:17" ht="20.100000000000001" customHeight="1">
      <c r="A83" s="2290">
        <v>77</v>
      </c>
      <c r="B83" s="2291" t="s">
        <v>2774</v>
      </c>
      <c r="C83" s="2291" t="s">
        <v>2739</v>
      </c>
      <c r="D83" s="2292" t="s">
        <v>33</v>
      </c>
      <c r="E83" s="2291"/>
      <c r="F83" s="2293" t="s">
        <v>34</v>
      </c>
      <c r="G83" s="2294">
        <v>0</v>
      </c>
      <c r="H83" s="2294">
        <v>0</v>
      </c>
      <c r="I83" s="2294">
        <v>0</v>
      </c>
      <c r="J83" s="2294">
        <v>34</v>
      </c>
      <c r="K83" s="2294">
        <v>0</v>
      </c>
      <c r="L83" s="2294">
        <v>0</v>
      </c>
      <c r="M83" s="2294">
        <v>0</v>
      </c>
      <c r="N83" s="2295">
        <v>0</v>
      </c>
      <c r="O83" s="2296">
        <f t="shared" si="1"/>
        <v>34</v>
      </c>
      <c r="P83" s="2297">
        <v>0</v>
      </c>
      <c r="Q83" s="2298">
        <v>0</v>
      </c>
    </row>
    <row r="84" spans="1:17" ht="20.100000000000001" customHeight="1">
      <c r="A84" s="2290">
        <v>78</v>
      </c>
      <c r="B84" s="2291" t="s">
        <v>2774</v>
      </c>
      <c r="C84" s="2291" t="s">
        <v>2739</v>
      </c>
      <c r="D84" s="2292" t="s">
        <v>33</v>
      </c>
      <c r="E84" s="2291"/>
      <c r="F84" s="2293" t="s">
        <v>35</v>
      </c>
      <c r="G84" s="2294">
        <v>0</v>
      </c>
      <c r="H84" s="2294">
        <v>0</v>
      </c>
      <c r="I84" s="2294">
        <v>0</v>
      </c>
      <c r="J84" s="2294">
        <v>0</v>
      </c>
      <c r="K84" s="2294">
        <v>8678</v>
      </c>
      <c r="L84" s="2294">
        <v>0</v>
      </c>
      <c r="M84" s="2294">
        <v>0</v>
      </c>
      <c r="N84" s="2295">
        <v>0</v>
      </c>
      <c r="O84" s="2296">
        <f t="shared" si="1"/>
        <v>8678</v>
      </c>
      <c r="P84" s="2297">
        <v>0</v>
      </c>
      <c r="Q84" s="2298">
        <v>0</v>
      </c>
    </row>
    <row r="85" spans="1:17" ht="20.100000000000001" customHeight="1">
      <c r="A85" s="2290">
        <v>79</v>
      </c>
      <c r="B85" s="2291" t="s">
        <v>2782</v>
      </c>
      <c r="C85" s="2300" t="s">
        <v>2739</v>
      </c>
      <c r="D85" s="2292" t="s">
        <v>33</v>
      </c>
      <c r="E85" s="2306">
        <v>0</v>
      </c>
      <c r="F85" s="2305" t="s">
        <v>2761</v>
      </c>
      <c r="G85" s="2294">
        <v>0</v>
      </c>
      <c r="H85" s="2294">
        <v>0</v>
      </c>
      <c r="I85" s="2294">
        <v>0</v>
      </c>
      <c r="J85" s="2294">
        <v>74</v>
      </c>
      <c r="K85" s="2294">
        <v>0</v>
      </c>
      <c r="L85" s="2294">
        <v>0</v>
      </c>
      <c r="M85" s="2294">
        <v>0</v>
      </c>
      <c r="N85" s="2331">
        <v>0</v>
      </c>
      <c r="O85" s="2296">
        <f t="shared" si="1"/>
        <v>74</v>
      </c>
      <c r="P85" s="2297">
        <v>0</v>
      </c>
      <c r="Q85" s="2298">
        <v>0</v>
      </c>
    </row>
    <row r="86" spans="1:17" ht="20.100000000000001" customHeight="1">
      <c r="A86" s="2290">
        <v>80</v>
      </c>
      <c r="B86" s="2291" t="s">
        <v>2782</v>
      </c>
      <c r="C86" s="2300" t="s">
        <v>2739</v>
      </c>
      <c r="D86" s="2291" t="s">
        <v>195</v>
      </c>
      <c r="E86" s="2306">
        <v>0</v>
      </c>
      <c r="F86" s="2305" t="s">
        <v>2783</v>
      </c>
      <c r="G86" s="2294">
        <v>0</v>
      </c>
      <c r="H86" s="2294">
        <v>0</v>
      </c>
      <c r="I86" s="2294">
        <v>0</v>
      </c>
      <c r="J86" s="2294">
        <v>0</v>
      </c>
      <c r="K86" s="2294">
        <v>0</v>
      </c>
      <c r="L86" s="2294">
        <v>0</v>
      </c>
      <c r="M86" s="2294">
        <v>4</v>
      </c>
      <c r="N86" s="2310">
        <v>102849.2</v>
      </c>
      <c r="O86" s="2296">
        <f t="shared" si="1"/>
        <v>4</v>
      </c>
      <c r="P86" s="2297">
        <v>0</v>
      </c>
      <c r="Q86" s="2298">
        <v>0</v>
      </c>
    </row>
    <row r="87" spans="1:17" ht="20.100000000000001" customHeight="1">
      <c r="A87" s="2290">
        <v>81</v>
      </c>
      <c r="B87" s="2291" t="s">
        <v>2782</v>
      </c>
      <c r="C87" s="2300" t="s">
        <v>2739</v>
      </c>
      <c r="D87" s="2292" t="s">
        <v>36</v>
      </c>
      <c r="E87" s="2306">
        <v>0</v>
      </c>
      <c r="F87" s="2305" t="s">
        <v>1856</v>
      </c>
      <c r="G87" s="2294">
        <v>0</v>
      </c>
      <c r="H87" s="2294">
        <v>701</v>
      </c>
      <c r="I87" s="2294">
        <v>0</v>
      </c>
      <c r="J87" s="2294">
        <v>0</v>
      </c>
      <c r="K87" s="2294">
        <v>0</v>
      </c>
      <c r="L87" s="2294">
        <v>0</v>
      </c>
      <c r="M87" s="2294">
        <v>0</v>
      </c>
      <c r="N87" s="2295">
        <v>60958.96</v>
      </c>
      <c r="O87" s="2296">
        <f t="shared" si="1"/>
        <v>701</v>
      </c>
      <c r="P87" s="2297">
        <v>0</v>
      </c>
      <c r="Q87" s="2298">
        <v>37856358.630000003</v>
      </c>
    </row>
    <row r="88" spans="1:17" ht="20.100000000000001" customHeight="1">
      <c r="A88" s="2290">
        <v>82</v>
      </c>
      <c r="B88" s="2291" t="s">
        <v>2782</v>
      </c>
      <c r="C88" s="2300" t="s">
        <v>2739</v>
      </c>
      <c r="D88" s="2292" t="s">
        <v>29</v>
      </c>
      <c r="E88" s="2304"/>
      <c r="F88" s="2305" t="s">
        <v>2784</v>
      </c>
      <c r="G88" s="2294">
        <v>0</v>
      </c>
      <c r="H88" s="2294">
        <v>0</v>
      </c>
      <c r="I88" s="2294">
        <v>0</v>
      </c>
      <c r="J88" s="2294">
        <v>0</v>
      </c>
      <c r="K88" s="2294">
        <v>0</v>
      </c>
      <c r="L88" s="2294">
        <v>0</v>
      </c>
      <c r="M88" s="2294">
        <v>4</v>
      </c>
      <c r="N88" s="2295">
        <v>32500</v>
      </c>
      <c r="O88" s="2296">
        <f t="shared" si="1"/>
        <v>4</v>
      </c>
      <c r="P88" s="2297">
        <v>0</v>
      </c>
      <c r="Q88" s="2298">
        <v>1942933.54</v>
      </c>
    </row>
    <row r="89" spans="1:17" ht="20.100000000000001" customHeight="1">
      <c r="A89" s="2290">
        <v>83</v>
      </c>
      <c r="B89" s="2291" t="s">
        <v>2782</v>
      </c>
      <c r="C89" s="2300" t="s">
        <v>2739</v>
      </c>
      <c r="D89" s="2292" t="s">
        <v>29</v>
      </c>
      <c r="E89" s="2304"/>
      <c r="F89" s="2305" t="s">
        <v>1164</v>
      </c>
      <c r="G89" s="2294">
        <v>0</v>
      </c>
      <c r="H89" s="2294">
        <v>0</v>
      </c>
      <c r="I89" s="2294">
        <v>0</v>
      </c>
      <c r="J89" s="2294">
        <v>0</v>
      </c>
      <c r="K89" s="2294">
        <v>0</v>
      </c>
      <c r="L89" s="2294">
        <v>0</v>
      </c>
      <c r="M89" s="2294">
        <v>97</v>
      </c>
      <c r="N89" s="2295">
        <v>9700</v>
      </c>
      <c r="O89" s="2296">
        <f t="shared" si="1"/>
        <v>97</v>
      </c>
      <c r="P89" s="2297">
        <v>0</v>
      </c>
      <c r="Q89" s="2298">
        <v>25293691.34</v>
      </c>
    </row>
    <row r="90" spans="1:17" ht="20.100000000000001" customHeight="1">
      <c r="A90" s="2290">
        <v>84</v>
      </c>
      <c r="B90" s="2291" t="s">
        <v>2785</v>
      </c>
      <c r="C90" s="2300" t="s">
        <v>2739</v>
      </c>
      <c r="D90" s="2292" t="s">
        <v>26</v>
      </c>
      <c r="E90" s="2300"/>
      <c r="F90" s="2305" t="s">
        <v>48</v>
      </c>
      <c r="G90" s="2294">
        <v>0</v>
      </c>
      <c r="H90" s="2294">
        <v>0</v>
      </c>
      <c r="I90" s="2294">
        <v>0</v>
      </c>
      <c r="J90" s="2294">
        <v>0</v>
      </c>
      <c r="K90" s="2294">
        <v>0</v>
      </c>
      <c r="L90" s="2294">
        <v>0</v>
      </c>
      <c r="M90" s="2294">
        <v>1</v>
      </c>
      <c r="N90" s="2302">
        <v>64400</v>
      </c>
      <c r="O90" s="2296">
        <f t="shared" si="1"/>
        <v>1</v>
      </c>
      <c r="P90" s="2297">
        <v>0</v>
      </c>
      <c r="Q90" s="2298">
        <v>0</v>
      </c>
    </row>
    <row r="91" spans="1:17" ht="20.100000000000001" customHeight="1">
      <c r="A91" s="2290">
        <v>85</v>
      </c>
      <c r="B91" s="2291" t="s">
        <v>2785</v>
      </c>
      <c r="C91" s="2300" t="s">
        <v>2739</v>
      </c>
      <c r="D91" s="2292" t="s">
        <v>26</v>
      </c>
      <c r="E91" s="2332">
        <v>0</v>
      </c>
      <c r="F91" s="2305" t="s">
        <v>963</v>
      </c>
      <c r="G91" s="2294">
        <v>0</v>
      </c>
      <c r="H91" s="2294">
        <v>0</v>
      </c>
      <c r="I91" s="2294">
        <v>0</v>
      </c>
      <c r="J91" s="2294">
        <v>0</v>
      </c>
      <c r="K91" s="2294">
        <v>0</v>
      </c>
      <c r="L91" s="2294">
        <v>0</v>
      </c>
      <c r="M91" s="2294">
        <v>2</v>
      </c>
      <c r="N91" s="2302">
        <v>500</v>
      </c>
      <c r="O91" s="2296">
        <f t="shared" si="1"/>
        <v>2</v>
      </c>
      <c r="P91" s="2297">
        <v>0</v>
      </c>
      <c r="Q91" s="2298">
        <v>0.5</v>
      </c>
    </row>
    <row r="92" spans="1:17" ht="20.100000000000001" customHeight="1">
      <c r="A92" s="2290">
        <v>86</v>
      </c>
      <c r="B92" s="2291" t="s">
        <v>2785</v>
      </c>
      <c r="C92" s="2300" t="s">
        <v>2739</v>
      </c>
      <c r="D92" s="2291" t="s">
        <v>29</v>
      </c>
      <c r="E92" s="2304"/>
      <c r="F92" s="2305" t="s">
        <v>119</v>
      </c>
      <c r="G92" s="2294">
        <v>0</v>
      </c>
      <c r="H92" s="2294">
        <v>0</v>
      </c>
      <c r="I92" s="2294">
        <v>1</v>
      </c>
      <c r="J92" s="2294">
        <v>0</v>
      </c>
      <c r="K92" s="2294">
        <v>0</v>
      </c>
      <c r="L92" s="2294">
        <v>0</v>
      </c>
      <c r="M92" s="2294">
        <v>0</v>
      </c>
      <c r="N92" s="2295">
        <v>861228.33</v>
      </c>
      <c r="O92" s="2296">
        <f t="shared" si="1"/>
        <v>1</v>
      </c>
      <c r="P92" s="2297">
        <v>0</v>
      </c>
      <c r="Q92" s="2298">
        <v>13125</v>
      </c>
    </row>
    <row r="93" spans="1:17" ht="20.100000000000001" customHeight="1">
      <c r="A93" s="2290">
        <v>87</v>
      </c>
      <c r="B93" s="2291" t="s">
        <v>2785</v>
      </c>
      <c r="C93" s="2300" t="s">
        <v>2739</v>
      </c>
      <c r="D93" s="2292" t="s">
        <v>33</v>
      </c>
      <c r="E93" s="2304"/>
      <c r="F93" s="2305" t="s">
        <v>34</v>
      </c>
      <c r="G93" s="2294">
        <v>0</v>
      </c>
      <c r="H93" s="2294">
        <v>0</v>
      </c>
      <c r="I93" s="2294">
        <v>0</v>
      </c>
      <c r="J93" s="2294">
        <v>2860</v>
      </c>
      <c r="K93" s="2294">
        <v>0</v>
      </c>
      <c r="L93" s="2294">
        <v>0</v>
      </c>
      <c r="M93" s="2294">
        <v>0</v>
      </c>
      <c r="N93" s="2295">
        <v>0</v>
      </c>
      <c r="O93" s="2296">
        <f t="shared" si="1"/>
        <v>2860</v>
      </c>
      <c r="P93" s="2297">
        <v>0</v>
      </c>
      <c r="Q93" s="2298">
        <v>174744.16</v>
      </c>
    </row>
    <row r="94" spans="1:17" ht="20.100000000000001" customHeight="1">
      <c r="A94" s="2290">
        <v>88</v>
      </c>
      <c r="B94" s="2291" t="s">
        <v>2785</v>
      </c>
      <c r="C94" s="2300" t="s">
        <v>2739</v>
      </c>
      <c r="D94" s="2292" t="s">
        <v>365</v>
      </c>
      <c r="E94" s="2291"/>
      <c r="F94" s="2293" t="s">
        <v>104</v>
      </c>
      <c r="G94" s="2294">
        <v>0</v>
      </c>
      <c r="H94" s="2294">
        <v>0</v>
      </c>
      <c r="I94" s="2294">
        <v>0</v>
      </c>
      <c r="J94" s="2294">
        <v>0</v>
      </c>
      <c r="K94" s="2294">
        <v>0</v>
      </c>
      <c r="L94" s="2294">
        <v>0</v>
      </c>
      <c r="M94" s="2294">
        <v>1</v>
      </c>
      <c r="N94" s="2295">
        <v>0</v>
      </c>
      <c r="O94" s="2296">
        <f t="shared" si="1"/>
        <v>1</v>
      </c>
      <c r="P94" s="2297">
        <v>0</v>
      </c>
      <c r="Q94" s="2298">
        <v>469804.95</v>
      </c>
    </row>
    <row r="95" spans="1:17" ht="20.100000000000001" customHeight="1">
      <c r="A95" s="2290">
        <v>89</v>
      </c>
      <c r="B95" s="2291" t="s">
        <v>2785</v>
      </c>
      <c r="C95" s="2300" t="s">
        <v>2739</v>
      </c>
      <c r="D95" s="2292" t="s">
        <v>29</v>
      </c>
      <c r="E95" s="2291"/>
      <c r="F95" s="2293" t="s">
        <v>49</v>
      </c>
      <c r="G95" s="2294">
        <v>0</v>
      </c>
      <c r="H95" s="2294">
        <v>0</v>
      </c>
      <c r="I95" s="2294">
        <v>1</v>
      </c>
      <c r="J95" s="2294">
        <v>0</v>
      </c>
      <c r="K95" s="2294">
        <v>0</v>
      </c>
      <c r="L95" s="2294">
        <v>0</v>
      </c>
      <c r="M95" s="2294">
        <v>0</v>
      </c>
      <c r="N95" s="2295">
        <v>12476876.75</v>
      </c>
      <c r="O95" s="2296">
        <f t="shared" si="1"/>
        <v>1</v>
      </c>
      <c r="P95" s="2297">
        <v>0</v>
      </c>
      <c r="Q95" s="2298">
        <v>2611815.56</v>
      </c>
    </row>
    <row r="96" spans="1:17" ht="20.100000000000001" customHeight="1">
      <c r="A96" s="2290">
        <v>90</v>
      </c>
      <c r="B96" s="2291" t="s">
        <v>2785</v>
      </c>
      <c r="C96" s="2300" t="s">
        <v>2739</v>
      </c>
      <c r="D96" s="2292" t="s">
        <v>29</v>
      </c>
      <c r="E96" s="2291"/>
      <c r="F96" s="2293" t="s">
        <v>31</v>
      </c>
      <c r="G96" s="2294">
        <v>0</v>
      </c>
      <c r="H96" s="2294">
        <v>0</v>
      </c>
      <c r="I96" s="2294">
        <v>1</v>
      </c>
      <c r="J96" s="2294">
        <v>0</v>
      </c>
      <c r="K96" s="2294">
        <v>0</v>
      </c>
      <c r="L96" s="2294">
        <v>0</v>
      </c>
      <c r="M96" s="2294">
        <v>0</v>
      </c>
      <c r="N96" s="2295">
        <v>5.47</v>
      </c>
      <c r="O96" s="2296">
        <f t="shared" si="1"/>
        <v>1</v>
      </c>
      <c r="P96" s="2297">
        <v>0</v>
      </c>
      <c r="Q96" s="2298">
        <v>0</v>
      </c>
    </row>
    <row r="97" spans="1:17" ht="20.100000000000001" customHeight="1">
      <c r="A97" s="2290">
        <v>91</v>
      </c>
      <c r="B97" s="2291" t="s">
        <v>2785</v>
      </c>
      <c r="C97" s="2300" t="s">
        <v>2739</v>
      </c>
      <c r="D97" s="2292" t="s">
        <v>29</v>
      </c>
      <c r="E97" s="2291"/>
      <c r="F97" s="2293" t="s">
        <v>32</v>
      </c>
      <c r="G97" s="2294">
        <v>0</v>
      </c>
      <c r="H97" s="2294">
        <v>0</v>
      </c>
      <c r="I97" s="2294">
        <v>1</v>
      </c>
      <c r="J97" s="2294">
        <v>0</v>
      </c>
      <c r="K97" s="2294">
        <v>0</v>
      </c>
      <c r="L97" s="2294">
        <v>0</v>
      </c>
      <c r="M97" s="2294">
        <v>0</v>
      </c>
      <c r="N97" s="2295">
        <v>42.45</v>
      </c>
      <c r="O97" s="2296">
        <f t="shared" si="1"/>
        <v>1</v>
      </c>
      <c r="P97" s="2297">
        <v>0</v>
      </c>
      <c r="Q97" s="2298">
        <v>0</v>
      </c>
    </row>
    <row r="98" spans="1:17" ht="20.100000000000001" customHeight="1">
      <c r="A98" s="2290">
        <v>92</v>
      </c>
      <c r="B98" s="2291" t="s">
        <v>2785</v>
      </c>
      <c r="C98" s="2300" t="s">
        <v>2739</v>
      </c>
      <c r="D98" s="2292" t="s">
        <v>26</v>
      </c>
      <c r="E98" s="2291"/>
      <c r="F98" s="2293" t="s">
        <v>2786</v>
      </c>
      <c r="G98" s="2294">
        <v>0</v>
      </c>
      <c r="H98" s="2294">
        <v>0</v>
      </c>
      <c r="I98" s="2294">
        <v>0</v>
      </c>
      <c r="J98" s="2294">
        <v>0</v>
      </c>
      <c r="K98" s="2294">
        <v>0</v>
      </c>
      <c r="L98" s="2294">
        <v>0</v>
      </c>
      <c r="M98" s="2294">
        <v>1</v>
      </c>
      <c r="N98" s="2295">
        <v>26401.08</v>
      </c>
      <c r="O98" s="2296">
        <f t="shared" si="1"/>
        <v>1</v>
      </c>
      <c r="P98" s="2297">
        <v>0</v>
      </c>
      <c r="Q98" s="2298">
        <v>20640.25</v>
      </c>
    </row>
    <row r="99" spans="1:17" ht="20.100000000000001" customHeight="1">
      <c r="A99" s="2290">
        <v>93</v>
      </c>
      <c r="B99" s="2291" t="s">
        <v>2785</v>
      </c>
      <c r="C99" s="2300" t="s">
        <v>2739</v>
      </c>
      <c r="D99" s="2292" t="s">
        <v>29</v>
      </c>
      <c r="E99" s="2291"/>
      <c r="F99" s="2293" t="s">
        <v>119</v>
      </c>
      <c r="G99" s="2294">
        <v>0</v>
      </c>
      <c r="H99" s="2294">
        <v>0</v>
      </c>
      <c r="I99" s="2294">
        <v>1</v>
      </c>
      <c r="J99" s="2294">
        <v>0</v>
      </c>
      <c r="K99" s="2294">
        <v>0</v>
      </c>
      <c r="L99" s="2294">
        <v>0</v>
      </c>
      <c r="M99" s="2294">
        <v>0</v>
      </c>
      <c r="N99" s="2295">
        <v>861228.33</v>
      </c>
      <c r="O99" s="2296">
        <f t="shared" si="1"/>
        <v>1</v>
      </c>
      <c r="P99" s="2297">
        <v>0</v>
      </c>
      <c r="Q99" s="2298">
        <v>750</v>
      </c>
    </row>
    <row r="100" spans="1:17" ht="20.100000000000001" customHeight="1">
      <c r="A100" s="2290">
        <v>94</v>
      </c>
      <c r="B100" s="2291" t="s">
        <v>2785</v>
      </c>
      <c r="C100" s="2300" t="s">
        <v>2739</v>
      </c>
      <c r="D100" s="2292" t="s">
        <v>29</v>
      </c>
      <c r="E100" s="2291"/>
      <c r="F100" s="2293" t="s">
        <v>49</v>
      </c>
      <c r="G100" s="2294">
        <v>0</v>
      </c>
      <c r="H100" s="2294">
        <v>0</v>
      </c>
      <c r="I100" s="2294">
        <v>1</v>
      </c>
      <c r="J100" s="2294">
        <v>0</v>
      </c>
      <c r="K100" s="2294">
        <v>0</v>
      </c>
      <c r="L100" s="2294">
        <v>0</v>
      </c>
      <c r="M100" s="2294">
        <v>0</v>
      </c>
      <c r="N100" s="2295">
        <v>12476876.75</v>
      </c>
      <c r="O100" s="2296">
        <f t="shared" si="1"/>
        <v>1</v>
      </c>
      <c r="P100" s="2297">
        <v>0</v>
      </c>
      <c r="Q100" s="2298">
        <v>4172034.62</v>
      </c>
    </row>
    <row r="101" spans="1:17" ht="20.100000000000001" customHeight="1">
      <c r="A101" s="2290">
        <v>95</v>
      </c>
      <c r="B101" s="2291" t="s">
        <v>2785</v>
      </c>
      <c r="C101" s="2300" t="s">
        <v>2739</v>
      </c>
      <c r="D101" s="2292" t="s">
        <v>29</v>
      </c>
      <c r="E101" s="2291"/>
      <c r="F101" s="2293" t="s">
        <v>51</v>
      </c>
      <c r="G101" s="2294">
        <v>0</v>
      </c>
      <c r="H101" s="2294">
        <v>0</v>
      </c>
      <c r="I101" s="2294">
        <v>0</v>
      </c>
      <c r="J101" s="2294">
        <v>0</v>
      </c>
      <c r="K101" s="2294">
        <v>0</v>
      </c>
      <c r="L101" s="2294">
        <v>0</v>
      </c>
      <c r="M101" s="2294">
        <v>8</v>
      </c>
      <c r="N101" s="2295">
        <v>1666200.77</v>
      </c>
      <c r="O101" s="2296">
        <f t="shared" si="1"/>
        <v>8</v>
      </c>
      <c r="P101" s="2297">
        <v>0</v>
      </c>
      <c r="Q101" s="2298">
        <v>800864.01</v>
      </c>
    </row>
    <row r="102" spans="1:17" ht="20.100000000000001" customHeight="1">
      <c r="A102" s="2290">
        <v>96</v>
      </c>
      <c r="B102" s="2291" t="s">
        <v>2785</v>
      </c>
      <c r="C102" s="2300" t="s">
        <v>2739</v>
      </c>
      <c r="D102" s="2292" t="s">
        <v>365</v>
      </c>
      <c r="E102" s="2291"/>
      <c r="F102" s="2293" t="s">
        <v>2787</v>
      </c>
      <c r="G102" s="2294">
        <v>0</v>
      </c>
      <c r="H102" s="2294">
        <v>0</v>
      </c>
      <c r="I102" s="2294">
        <v>0</v>
      </c>
      <c r="J102" s="2294">
        <v>0</v>
      </c>
      <c r="K102" s="2294">
        <v>0</v>
      </c>
      <c r="L102" s="2294">
        <v>0</v>
      </c>
      <c r="M102" s="2294">
        <v>1</v>
      </c>
      <c r="N102" s="2295">
        <v>0</v>
      </c>
      <c r="O102" s="2296">
        <f t="shared" si="1"/>
        <v>1</v>
      </c>
      <c r="P102" s="2297">
        <v>0</v>
      </c>
      <c r="Q102" s="2298">
        <v>1613.64</v>
      </c>
    </row>
    <row r="103" spans="1:17" ht="20.100000000000001" customHeight="1">
      <c r="A103" s="2290">
        <v>97</v>
      </c>
      <c r="B103" s="2291" t="s">
        <v>2785</v>
      </c>
      <c r="C103" s="2300" t="s">
        <v>2739</v>
      </c>
      <c r="D103" s="2292" t="s">
        <v>29</v>
      </c>
      <c r="E103" s="2291"/>
      <c r="F103" s="2293" t="s">
        <v>167</v>
      </c>
      <c r="G103" s="2294">
        <v>0</v>
      </c>
      <c r="H103" s="2294">
        <v>0</v>
      </c>
      <c r="I103" s="2294">
        <v>0</v>
      </c>
      <c r="J103" s="2294">
        <v>0</v>
      </c>
      <c r="K103" s="2294">
        <v>0</v>
      </c>
      <c r="L103" s="2294">
        <v>0</v>
      </c>
      <c r="M103" s="2294">
        <v>6</v>
      </c>
      <c r="N103" s="2295">
        <v>229907.72</v>
      </c>
      <c r="O103" s="2296">
        <f t="shared" si="1"/>
        <v>6</v>
      </c>
      <c r="P103" s="2297">
        <v>0</v>
      </c>
      <c r="Q103" s="2298">
        <v>815.16</v>
      </c>
    </row>
    <row r="104" spans="1:17" ht="20.100000000000001" customHeight="1">
      <c r="A104" s="2290">
        <v>98</v>
      </c>
      <c r="B104" s="2300" t="s">
        <v>2788</v>
      </c>
      <c r="C104" s="2300" t="s">
        <v>2739</v>
      </c>
      <c r="D104" s="2292" t="s">
        <v>26</v>
      </c>
      <c r="E104" s="2304"/>
      <c r="F104" s="2305" t="s">
        <v>2789</v>
      </c>
      <c r="G104" s="2294">
        <v>0</v>
      </c>
      <c r="H104" s="2294">
        <v>0</v>
      </c>
      <c r="I104" s="2294">
        <v>0</v>
      </c>
      <c r="J104" s="2294">
        <v>0</v>
      </c>
      <c r="K104" s="2294">
        <v>0</v>
      </c>
      <c r="L104" s="2294">
        <v>0</v>
      </c>
      <c r="M104" s="2294">
        <v>1</v>
      </c>
      <c r="N104" s="2295">
        <v>0</v>
      </c>
      <c r="O104" s="2296">
        <f t="shared" si="1"/>
        <v>1</v>
      </c>
      <c r="P104" s="2297">
        <v>0</v>
      </c>
      <c r="Q104" s="2298">
        <v>46428.75</v>
      </c>
    </row>
    <row r="105" spans="1:17" ht="20.100000000000001" customHeight="1">
      <c r="A105" s="2290">
        <v>99</v>
      </c>
      <c r="B105" s="2300" t="s">
        <v>2788</v>
      </c>
      <c r="C105" s="2300" t="s">
        <v>2739</v>
      </c>
      <c r="D105" s="2292" t="s">
        <v>29</v>
      </c>
      <c r="E105" s="2304"/>
      <c r="F105" s="2305" t="s">
        <v>2747</v>
      </c>
      <c r="G105" s="2294">
        <v>0</v>
      </c>
      <c r="H105" s="2294">
        <v>0</v>
      </c>
      <c r="I105" s="2294">
        <v>1</v>
      </c>
      <c r="J105" s="2294">
        <v>0</v>
      </c>
      <c r="K105" s="2294">
        <v>0</v>
      </c>
      <c r="L105" s="2294">
        <v>0</v>
      </c>
      <c r="M105" s="2294">
        <v>0</v>
      </c>
      <c r="N105" s="2295">
        <v>2202123.88</v>
      </c>
      <c r="O105" s="2296">
        <f t="shared" si="1"/>
        <v>1</v>
      </c>
      <c r="P105" s="2297">
        <v>0</v>
      </c>
      <c r="Q105" s="2298">
        <v>2661406.23</v>
      </c>
    </row>
    <row r="106" spans="1:17" ht="20.100000000000001" customHeight="1">
      <c r="A106" s="2290">
        <v>100</v>
      </c>
      <c r="B106" s="2300" t="s">
        <v>2788</v>
      </c>
      <c r="C106" s="2300" t="s">
        <v>2739</v>
      </c>
      <c r="D106" s="2292" t="s">
        <v>29</v>
      </c>
      <c r="E106" s="2300"/>
      <c r="F106" s="2305" t="s">
        <v>2790</v>
      </c>
      <c r="G106" s="2294">
        <v>0</v>
      </c>
      <c r="H106" s="2294">
        <v>0</v>
      </c>
      <c r="I106" s="2294">
        <v>0</v>
      </c>
      <c r="J106" s="2294">
        <v>0</v>
      </c>
      <c r="K106" s="2294">
        <v>0</v>
      </c>
      <c r="L106" s="2294">
        <v>0</v>
      </c>
      <c r="M106" s="2294">
        <v>1</v>
      </c>
      <c r="N106" s="2302">
        <v>1345.65</v>
      </c>
      <c r="O106" s="2296">
        <f t="shared" si="1"/>
        <v>1</v>
      </c>
      <c r="P106" s="2297">
        <v>0</v>
      </c>
      <c r="Q106" s="2298">
        <v>2656168.25</v>
      </c>
    </row>
    <row r="107" spans="1:17" ht="20.100000000000001" customHeight="1">
      <c r="A107" s="2290">
        <v>101</v>
      </c>
      <c r="B107" s="2300" t="s">
        <v>2788</v>
      </c>
      <c r="C107" s="2300" t="s">
        <v>2739</v>
      </c>
      <c r="D107" s="2292" t="s">
        <v>365</v>
      </c>
      <c r="E107" s="2300"/>
      <c r="F107" s="2305" t="s">
        <v>2791</v>
      </c>
      <c r="G107" s="2294">
        <v>0</v>
      </c>
      <c r="H107" s="2294">
        <v>0</v>
      </c>
      <c r="I107" s="2294">
        <v>0</v>
      </c>
      <c r="J107" s="2294">
        <v>0</v>
      </c>
      <c r="K107" s="2294">
        <v>0</v>
      </c>
      <c r="L107" s="2294">
        <v>0</v>
      </c>
      <c r="M107" s="2294">
        <v>1</v>
      </c>
      <c r="N107" s="2302">
        <v>0</v>
      </c>
      <c r="O107" s="2296">
        <f t="shared" si="1"/>
        <v>1</v>
      </c>
      <c r="P107" s="2297">
        <v>0</v>
      </c>
      <c r="Q107" s="2298">
        <v>0</v>
      </c>
    </row>
    <row r="108" spans="1:17" ht="20.100000000000001" customHeight="1">
      <c r="A108" s="2290">
        <v>102</v>
      </c>
      <c r="B108" s="2300" t="s">
        <v>2788</v>
      </c>
      <c r="C108" s="2300" t="s">
        <v>2739</v>
      </c>
      <c r="D108" s="2292" t="s">
        <v>33</v>
      </c>
      <c r="E108" s="2306"/>
      <c r="F108" s="2305" t="s">
        <v>35</v>
      </c>
      <c r="G108" s="2294">
        <v>0</v>
      </c>
      <c r="H108" s="2294">
        <v>0</v>
      </c>
      <c r="I108" s="2294">
        <v>0</v>
      </c>
      <c r="J108" s="2294">
        <v>0</v>
      </c>
      <c r="K108" s="2294">
        <v>2428</v>
      </c>
      <c r="L108" s="2294">
        <v>0</v>
      </c>
      <c r="M108" s="2294">
        <v>0</v>
      </c>
      <c r="N108" s="2295">
        <v>0</v>
      </c>
      <c r="O108" s="2296">
        <f t="shared" si="1"/>
        <v>2428</v>
      </c>
      <c r="P108" s="2297">
        <v>0</v>
      </c>
      <c r="Q108" s="2298">
        <v>0</v>
      </c>
    </row>
    <row r="109" spans="1:17" ht="20.100000000000001" customHeight="1">
      <c r="A109" s="2290">
        <v>103</v>
      </c>
      <c r="B109" s="2300" t="s">
        <v>2788</v>
      </c>
      <c r="C109" s="2300" t="s">
        <v>2739</v>
      </c>
      <c r="D109" s="2291" t="s">
        <v>195</v>
      </c>
      <c r="E109" s="2304" t="s">
        <v>2792</v>
      </c>
      <c r="F109" s="2305" t="s">
        <v>1344</v>
      </c>
      <c r="G109" s="2294">
        <v>0</v>
      </c>
      <c r="H109" s="2294">
        <v>0</v>
      </c>
      <c r="I109" s="2294">
        <v>0</v>
      </c>
      <c r="J109" s="2294">
        <v>0</v>
      </c>
      <c r="K109" s="2294">
        <v>0</v>
      </c>
      <c r="L109" s="2294">
        <v>0</v>
      </c>
      <c r="M109" s="2294">
        <f>5+7+7+1+2+2+2+2</f>
        <v>28</v>
      </c>
      <c r="N109" s="2333">
        <v>0</v>
      </c>
      <c r="O109" s="2296">
        <f t="shared" si="1"/>
        <v>28</v>
      </c>
      <c r="P109" s="2297">
        <v>0</v>
      </c>
      <c r="Q109" s="2298">
        <v>0</v>
      </c>
    </row>
    <row r="110" spans="1:17" ht="20.100000000000001" customHeight="1">
      <c r="A110" s="2290">
        <v>104</v>
      </c>
      <c r="B110" s="2300" t="s">
        <v>2788</v>
      </c>
      <c r="C110" s="2300" t="s">
        <v>2739</v>
      </c>
      <c r="D110" s="2292" t="s">
        <v>29</v>
      </c>
      <c r="E110" s="2300"/>
      <c r="F110" s="2305" t="s">
        <v>2741</v>
      </c>
      <c r="G110" s="2294">
        <v>0</v>
      </c>
      <c r="H110" s="2294">
        <v>0</v>
      </c>
      <c r="I110" s="2294">
        <v>0</v>
      </c>
      <c r="J110" s="2294">
        <v>0</v>
      </c>
      <c r="K110" s="2294">
        <v>0</v>
      </c>
      <c r="L110" s="2294">
        <v>0</v>
      </c>
      <c r="M110" s="2294">
        <v>7</v>
      </c>
      <c r="N110" s="2334">
        <v>11320438.57</v>
      </c>
      <c r="O110" s="2296">
        <f t="shared" si="1"/>
        <v>7</v>
      </c>
      <c r="P110" s="2297">
        <v>0</v>
      </c>
      <c r="Q110" s="2298">
        <v>0</v>
      </c>
    </row>
    <row r="111" spans="1:17" ht="20.100000000000001" customHeight="1">
      <c r="A111" s="2290">
        <v>105</v>
      </c>
      <c r="B111" s="2300" t="s">
        <v>2788</v>
      </c>
      <c r="C111" s="2300" t="s">
        <v>2739</v>
      </c>
      <c r="D111" s="2292" t="s">
        <v>33</v>
      </c>
      <c r="E111" s="2304"/>
      <c r="F111" s="2305" t="s">
        <v>1197</v>
      </c>
      <c r="G111" s="2294">
        <v>0</v>
      </c>
      <c r="H111" s="2294">
        <v>0</v>
      </c>
      <c r="I111" s="2294">
        <v>0</v>
      </c>
      <c r="J111" s="2294">
        <v>0</v>
      </c>
      <c r="K111" s="2294">
        <v>0</v>
      </c>
      <c r="L111" s="2294">
        <v>0</v>
      </c>
      <c r="M111" s="2294">
        <v>1</v>
      </c>
      <c r="N111" s="2333">
        <v>0</v>
      </c>
      <c r="O111" s="2296">
        <f t="shared" si="1"/>
        <v>1</v>
      </c>
      <c r="P111" s="2297">
        <v>0</v>
      </c>
      <c r="Q111" s="2298">
        <v>1110559.3</v>
      </c>
    </row>
    <row r="112" spans="1:17" ht="20.100000000000001" customHeight="1">
      <c r="A112" s="2290">
        <v>106</v>
      </c>
      <c r="B112" s="2300" t="s">
        <v>2788</v>
      </c>
      <c r="C112" s="2300" t="s">
        <v>2739</v>
      </c>
      <c r="D112" s="2292" t="s">
        <v>36</v>
      </c>
      <c r="E112" s="2304"/>
      <c r="F112" s="2305" t="s">
        <v>2793</v>
      </c>
      <c r="G112" s="2294"/>
      <c r="H112" s="2294">
        <v>267</v>
      </c>
      <c r="I112" s="2294">
        <v>0</v>
      </c>
      <c r="J112" s="2294">
        <v>0</v>
      </c>
      <c r="K112" s="2294">
        <v>0</v>
      </c>
      <c r="L112" s="2294">
        <v>0</v>
      </c>
      <c r="M112" s="2294">
        <v>0</v>
      </c>
      <c r="N112" s="2295">
        <v>0</v>
      </c>
      <c r="O112" s="2296">
        <f t="shared" si="1"/>
        <v>267</v>
      </c>
      <c r="P112" s="2297">
        <v>0</v>
      </c>
      <c r="Q112" s="2298">
        <v>341361.81</v>
      </c>
    </row>
    <row r="113" spans="1:17" ht="20.100000000000001" customHeight="1">
      <c r="A113" s="2290">
        <v>107</v>
      </c>
      <c r="B113" s="2300" t="s">
        <v>2788</v>
      </c>
      <c r="C113" s="2300" t="s">
        <v>2739</v>
      </c>
      <c r="D113" s="2292" t="s">
        <v>36</v>
      </c>
      <c r="E113" s="2304"/>
      <c r="F113" s="2305" t="s">
        <v>1479</v>
      </c>
      <c r="G113" s="2294">
        <v>58</v>
      </c>
      <c r="H113" s="2294"/>
      <c r="I113" s="2294"/>
      <c r="J113" s="2294"/>
      <c r="K113" s="2294"/>
      <c r="L113" s="2294"/>
      <c r="M113" s="2294"/>
      <c r="N113" s="2295"/>
      <c r="O113" s="2320">
        <f t="shared" si="1"/>
        <v>58</v>
      </c>
      <c r="P113" s="2297">
        <v>0</v>
      </c>
      <c r="Q113" s="2298"/>
    </row>
    <row r="114" spans="1:17" ht="20.100000000000001" customHeight="1">
      <c r="A114" s="2290">
        <v>108</v>
      </c>
      <c r="B114" s="2291" t="s">
        <v>2794</v>
      </c>
      <c r="C114" s="2300" t="s">
        <v>2739</v>
      </c>
      <c r="D114" s="2292" t="s">
        <v>105</v>
      </c>
      <c r="E114" s="2306" t="s">
        <v>2795</v>
      </c>
      <c r="F114" s="2303" t="s">
        <v>2796</v>
      </c>
      <c r="G114" s="2294">
        <v>0</v>
      </c>
      <c r="H114" s="2294">
        <v>0</v>
      </c>
      <c r="I114" s="2294">
        <v>0</v>
      </c>
      <c r="J114" s="2294">
        <v>0</v>
      </c>
      <c r="K114" s="2294">
        <v>0</v>
      </c>
      <c r="L114" s="2294">
        <v>0</v>
      </c>
      <c r="M114" s="2294">
        <v>1</v>
      </c>
      <c r="N114" s="2295">
        <v>0</v>
      </c>
      <c r="O114" s="2296">
        <f t="shared" si="1"/>
        <v>1</v>
      </c>
      <c r="P114" s="2297">
        <v>0</v>
      </c>
      <c r="Q114" s="2298">
        <v>127.86</v>
      </c>
    </row>
    <row r="115" spans="1:17" ht="20.100000000000001" customHeight="1">
      <c r="A115" s="2290">
        <v>109</v>
      </c>
      <c r="B115" s="2291" t="s">
        <v>2794</v>
      </c>
      <c r="C115" s="2300" t="s">
        <v>2739</v>
      </c>
      <c r="D115" s="2292" t="s">
        <v>105</v>
      </c>
      <c r="E115" s="2312">
        <v>46206</v>
      </c>
      <c r="F115" s="2305" t="s">
        <v>2797</v>
      </c>
      <c r="G115" s="2294">
        <v>0</v>
      </c>
      <c r="H115" s="2294">
        <v>0</v>
      </c>
      <c r="I115" s="2294">
        <v>0</v>
      </c>
      <c r="J115" s="2294">
        <v>0</v>
      </c>
      <c r="K115" s="2294">
        <v>0</v>
      </c>
      <c r="L115" s="2294">
        <v>0</v>
      </c>
      <c r="M115" s="2294">
        <v>1</v>
      </c>
      <c r="N115" s="2302">
        <v>0</v>
      </c>
      <c r="O115" s="2296">
        <f t="shared" si="1"/>
        <v>1</v>
      </c>
      <c r="P115" s="2297">
        <v>0</v>
      </c>
      <c r="Q115" s="2298">
        <v>0</v>
      </c>
    </row>
    <row r="116" spans="1:17" ht="20.100000000000001" customHeight="1">
      <c r="A116" s="2290">
        <v>110</v>
      </c>
      <c r="B116" s="2291" t="s">
        <v>2794</v>
      </c>
      <c r="C116" s="2300" t="s">
        <v>2739</v>
      </c>
      <c r="D116" s="2292" t="s">
        <v>105</v>
      </c>
      <c r="E116" s="2312">
        <v>46211</v>
      </c>
      <c r="F116" s="2305" t="s">
        <v>2798</v>
      </c>
      <c r="G116" s="2294">
        <v>0</v>
      </c>
      <c r="H116" s="2294">
        <v>0</v>
      </c>
      <c r="I116" s="2294">
        <v>0</v>
      </c>
      <c r="J116" s="2294">
        <v>0</v>
      </c>
      <c r="K116" s="2294">
        <v>0</v>
      </c>
      <c r="L116" s="2294">
        <v>0</v>
      </c>
      <c r="M116" s="2294">
        <v>1</v>
      </c>
      <c r="N116" s="2295">
        <v>0</v>
      </c>
      <c r="O116" s="2296">
        <f t="shared" si="1"/>
        <v>1</v>
      </c>
      <c r="P116" s="2297">
        <v>0</v>
      </c>
      <c r="Q116" s="2298">
        <v>0</v>
      </c>
    </row>
    <row r="117" spans="1:17" ht="20.100000000000001" customHeight="1">
      <c r="A117" s="2290">
        <v>111</v>
      </c>
      <c r="B117" s="2291" t="s">
        <v>2794</v>
      </c>
      <c r="C117" s="2300" t="s">
        <v>2739</v>
      </c>
      <c r="D117" s="2292" t="s">
        <v>29</v>
      </c>
      <c r="E117" s="2304">
        <v>46213</v>
      </c>
      <c r="F117" s="2305" t="s">
        <v>2799</v>
      </c>
      <c r="G117" s="2294">
        <v>0</v>
      </c>
      <c r="H117" s="2294">
        <v>0</v>
      </c>
      <c r="I117" s="2294">
        <v>0</v>
      </c>
      <c r="J117" s="2294">
        <v>0</v>
      </c>
      <c r="K117" s="2294">
        <v>0</v>
      </c>
      <c r="L117" s="2294">
        <v>0</v>
      </c>
      <c r="M117" s="2294">
        <v>1</v>
      </c>
      <c r="N117" s="2295">
        <v>57597.5</v>
      </c>
      <c r="O117" s="2296">
        <f t="shared" si="1"/>
        <v>1</v>
      </c>
      <c r="P117" s="2297">
        <v>0</v>
      </c>
      <c r="Q117" s="2298">
        <v>2975273.15</v>
      </c>
    </row>
    <row r="118" spans="1:17" ht="20.100000000000001" customHeight="1">
      <c r="A118" s="2290">
        <v>112</v>
      </c>
      <c r="B118" s="2291" t="s">
        <v>2794</v>
      </c>
      <c r="C118" s="2300" t="s">
        <v>2739</v>
      </c>
      <c r="D118" s="2292" t="s">
        <v>29</v>
      </c>
      <c r="E118" s="2304" t="s">
        <v>2800</v>
      </c>
      <c r="F118" s="2305" t="s">
        <v>2801</v>
      </c>
      <c r="G118" s="2294">
        <v>0</v>
      </c>
      <c r="H118" s="2294">
        <v>0</v>
      </c>
      <c r="I118" s="2294">
        <v>0</v>
      </c>
      <c r="J118" s="2294">
        <v>0</v>
      </c>
      <c r="K118" s="2294">
        <v>0</v>
      </c>
      <c r="L118" s="2294">
        <v>0</v>
      </c>
      <c r="M118" s="2294">
        <v>1</v>
      </c>
      <c r="N118" s="2295">
        <v>37000</v>
      </c>
      <c r="O118" s="2296">
        <f t="shared" si="1"/>
        <v>1</v>
      </c>
      <c r="P118" s="2297">
        <v>0</v>
      </c>
      <c r="Q118" s="2299">
        <v>120000</v>
      </c>
    </row>
    <row r="119" spans="1:17" ht="20.100000000000001" customHeight="1">
      <c r="A119" s="2290">
        <v>113</v>
      </c>
      <c r="B119" s="2291" t="s">
        <v>2794</v>
      </c>
      <c r="C119" s="2300" t="s">
        <v>2739</v>
      </c>
      <c r="D119" s="2292" t="s">
        <v>29</v>
      </c>
      <c r="E119" s="2335"/>
      <c r="F119" s="2305" t="s">
        <v>2802</v>
      </c>
      <c r="G119" s="2294">
        <v>0</v>
      </c>
      <c r="H119" s="2294">
        <v>0</v>
      </c>
      <c r="I119" s="2294">
        <v>0</v>
      </c>
      <c r="J119" s="2294">
        <v>0</v>
      </c>
      <c r="K119" s="2294">
        <v>6886</v>
      </c>
      <c r="L119" s="2294">
        <v>0</v>
      </c>
      <c r="M119" s="2294"/>
      <c r="N119" s="2295">
        <v>6886</v>
      </c>
      <c r="O119" s="2296">
        <f t="shared" si="1"/>
        <v>6886</v>
      </c>
      <c r="P119" s="2297">
        <v>0</v>
      </c>
      <c r="Q119" s="2299">
        <v>1300</v>
      </c>
    </row>
    <row r="120" spans="1:17" ht="20.100000000000001" customHeight="1">
      <c r="A120" s="2290">
        <v>114</v>
      </c>
      <c r="B120" s="2291" t="s">
        <v>2794</v>
      </c>
      <c r="C120" s="2300" t="s">
        <v>2739</v>
      </c>
      <c r="D120" s="2292" t="s">
        <v>26</v>
      </c>
      <c r="E120" s="2304" t="s">
        <v>2803</v>
      </c>
      <c r="F120" s="2305" t="s">
        <v>2804</v>
      </c>
      <c r="G120" s="2294">
        <v>0</v>
      </c>
      <c r="H120" s="2294">
        <v>0</v>
      </c>
      <c r="I120" s="2294">
        <v>0</v>
      </c>
      <c r="J120" s="2294">
        <v>0</v>
      </c>
      <c r="K120" s="2294">
        <v>0</v>
      </c>
      <c r="L120" s="2294">
        <v>0</v>
      </c>
      <c r="M120" s="2294">
        <v>1</v>
      </c>
      <c r="N120" s="2295">
        <v>-50000</v>
      </c>
      <c r="O120" s="2296">
        <f t="shared" si="1"/>
        <v>1</v>
      </c>
      <c r="P120" s="2297">
        <v>0</v>
      </c>
      <c r="Q120" s="2299">
        <v>150000</v>
      </c>
    </row>
    <row r="121" spans="1:17" ht="20.100000000000001" customHeight="1">
      <c r="A121" s="2290">
        <v>115</v>
      </c>
      <c r="B121" s="2291" t="s">
        <v>2794</v>
      </c>
      <c r="C121" s="2300" t="s">
        <v>2739</v>
      </c>
      <c r="D121" s="2292" t="s">
        <v>29</v>
      </c>
      <c r="E121" s="2304" t="s">
        <v>2805</v>
      </c>
      <c r="F121" s="2305" t="s">
        <v>2806</v>
      </c>
      <c r="G121" s="2294">
        <v>0</v>
      </c>
      <c r="H121" s="2294">
        <v>0</v>
      </c>
      <c r="I121" s="2294">
        <v>0</v>
      </c>
      <c r="J121" s="2294">
        <v>0</v>
      </c>
      <c r="K121" s="2294">
        <v>0</v>
      </c>
      <c r="L121" s="2294">
        <v>0</v>
      </c>
      <c r="M121" s="2294">
        <v>1</v>
      </c>
      <c r="N121" s="2295">
        <v>30000</v>
      </c>
      <c r="O121" s="2296">
        <f t="shared" si="1"/>
        <v>1</v>
      </c>
      <c r="P121" s="2297">
        <v>0</v>
      </c>
      <c r="Q121" s="2299">
        <v>30000</v>
      </c>
    </row>
    <row r="122" spans="1:17" ht="20.100000000000001" customHeight="1">
      <c r="A122" s="2290">
        <v>116</v>
      </c>
      <c r="B122" s="2291" t="s">
        <v>2794</v>
      </c>
      <c r="C122" s="2300" t="s">
        <v>2739</v>
      </c>
      <c r="D122" s="2292" t="s">
        <v>38</v>
      </c>
      <c r="E122" s="2304" t="s">
        <v>2807</v>
      </c>
      <c r="F122" s="2305" t="s">
        <v>2808</v>
      </c>
      <c r="G122" s="2294">
        <v>0</v>
      </c>
      <c r="H122" s="2294">
        <v>0</v>
      </c>
      <c r="I122" s="2294">
        <v>0</v>
      </c>
      <c r="J122" s="2294">
        <v>0</v>
      </c>
      <c r="K122" s="2294">
        <v>0</v>
      </c>
      <c r="L122" s="2294">
        <v>0</v>
      </c>
      <c r="M122" s="2294">
        <v>1</v>
      </c>
      <c r="N122" s="2331">
        <v>60000</v>
      </c>
      <c r="O122" s="2296">
        <f t="shared" si="1"/>
        <v>1</v>
      </c>
      <c r="P122" s="2297">
        <v>0</v>
      </c>
      <c r="Q122" s="2298">
        <v>0</v>
      </c>
    </row>
    <row r="123" spans="1:17" ht="20.100000000000001" customHeight="1">
      <c r="A123" s="2290">
        <v>117</v>
      </c>
      <c r="B123" s="2291" t="s">
        <v>2809</v>
      </c>
      <c r="C123" s="2300" t="s">
        <v>2739</v>
      </c>
      <c r="D123" s="2292" t="s">
        <v>36</v>
      </c>
      <c r="E123" s="2304"/>
      <c r="F123" s="2305" t="s">
        <v>2810</v>
      </c>
      <c r="G123" s="2294">
        <v>0</v>
      </c>
      <c r="H123" s="2294">
        <v>2</v>
      </c>
      <c r="I123" s="2294">
        <v>0</v>
      </c>
      <c r="J123" s="2294">
        <v>0</v>
      </c>
      <c r="K123" s="2294">
        <v>0</v>
      </c>
      <c r="L123" s="2294">
        <v>0</v>
      </c>
      <c r="M123" s="2294">
        <v>0</v>
      </c>
      <c r="N123" s="2298">
        <v>0</v>
      </c>
      <c r="O123" s="2296">
        <f t="shared" si="1"/>
        <v>2</v>
      </c>
      <c r="P123" s="2297">
        <v>0</v>
      </c>
      <c r="Q123" s="2298">
        <v>0</v>
      </c>
    </row>
    <row r="124" spans="1:17" ht="20.100000000000001" customHeight="1">
      <c r="A124" s="2290">
        <v>118</v>
      </c>
      <c r="B124" s="2291" t="s">
        <v>2809</v>
      </c>
      <c r="C124" s="2300" t="s">
        <v>2739</v>
      </c>
      <c r="D124" s="2292" t="s">
        <v>36</v>
      </c>
      <c r="E124" s="2304"/>
      <c r="F124" s="2305" t="s">
        <v>1479</v>
      </c>
      <c r="G124" s="2294">
        <v>20</v>
      </c>
      <c r="H124" s="2294">
        <v>0</v>
      </c>
      <c r="I124" s="2294">
        <v>0</v>
      </c>
      <c r="J124" s="2294">
        <v>0</v>
      </c>
      <c r="K124" s="2294">
        <v>0</v>
      </c>
      <c r="L124" s="2294">
        <v>0</v>
      </c>
      <c r="M124" s="2294">
        <v>0</v>
      </c>
      <c r="N124" s="2295">
        <v>0</v>
      </c>
      <c r="O124" s="2296">
        <f t="shared" si="1"/>
        <v>20</v>
      </c>
      <c r="P124" s="2297">
        <v>0</v>
      </c>
      <c r="Q124" s="2298">
        <v>0</v>
      </c>
    </row>
    <row r="125" spans="1:17" ht="20.100000000000001" customHeight="1">
      <c r="A125" s="2290">
        <v>119</v>
      </c>
      <c r="B125" s="2291" t="s">
        <v>2809</v>
      </c>
      <c r="C125" s="2300" t="s">
        <v>2739</v>
      </c>
      <c r="D125" s="2292" t="s">
        <v>33</v>
      </c>
      <c r="E125" s="2304"/>
      <c r="F125" s="2305" t="s">
        <v>35</v>
      </c>
      <c r="G125" s="2294">
        <v>0</v>
      </c>
      <c r="H125" s="2294">
        <v>0</v>
      </c>
      <c r="I125" s="2294">
        <v>0</v>
      </c>
      <c r="J125" s="2294">
        <v>0</v>
      </c>
      <c r="K125" s="2294">
        <v>3261</v>
      </c>
      <c r="L125" s="2294">
        <v>0</v>
      </c>
      <c r="M125" s="2294">
        <v>0</v>
      </c>
      <c r="N125" s="2295">
        <v>0</v>
      </c>
      <c r="O125" s="2296">
        <f>G125+H125+I125+J125+K125+L125+M125-P125</f>
        <v>3261</v>
      </c>
      <c r="P125" s="2297">
        <v>0</v>
      </c>
      <c r="Q125" s="2298">
        <v>0</v>
      </c>
    </row>
    <row r="126" spans="1:17" ht="20.100000000000001" customHeight="1">
      <c r="A126" s="3599" t="s">
        <v>1005</v>
      </c>
      <c r="B126" s="3600"/>
      <c r="C126" s="3600"/>
      <c r="D126" s="3600"/>
      <c r="E126" s="3601"/>
      <c r="F126" s="92"/>
      <c r="G126" s="2336">
        <f t="shared" ref="G126:P126" si="2">SUM(G7:G125)</f>
        <v>129</v>
      </c>
      <c r="H126" s="2336">
        <f t="shared" si="2"/>
        <v>4114</v>
      </c>
      <c r="I126" s="2336">
        <f t="shared" si="2"/>
        <v>32</v>
      </c>
      <c r="J126" s="2336">
        <f t="shared" si="2"/>
        <v>3238</v>
      </c>
      <c r="K126" s="2336">
        <f t="shared" si="2"/>
        <v>62264</v>
      </c>
      <c r="L126" s="2336">
        <f t="shared" si="2"/>
        <v>16</v>
      </c>
      <c r="M126" s="2336">
        <f t="shared" si="2"/>
        <v>300</v>
      </c>
      <c r="N126" s="2337">
        <f t="shared" si="2"/>
        <v>149316223.46000001</v>
      </c>
      <c r="O126" s="2338">
        <f t="shared" si="2"/>
        <v>70093</v>
      </c>
      <c r="P126" s="2339">
        <f t="shared" si="2"/>
        <v>0</v>
      </c>
      <c r="Q126" s="2340">
        <v>0</v>
      </c>
    </row>
    <row r="127" spans="1:17" ht="46.5" customHeight="1">
      <c r="A127" s="3602" t="s">
        <v>764</v>
      </c>
      <c r="B127" s="3603" t="s">
        <v>4</v>
      </c>
      <c r="C127" s="3603" t="s">
        <v>5</v>
      </c>
      <c r="D127" s="3602" t="s">
        <v>6</v>
      </c>
      <c r="E127" s="3602" t="s">
        <v>1585</v>
      </c>
      <c r="F127" s="3603" t="s">
        <v>14</v>
      </c>
      <c r="G127" s="3604" t="s">
        <v>7</v>
      </c>
      <c r="H127" s="3604"/>
      <c r="I127" s="3447" t="s">
        <v>756</v>
      </c>
      <c r="J127" s="3447" t="s">
        <v>2079</v>
      </c>
      <c r="K127" s="3447" t="s">
        <v>2080</v>
      </c>
      <c r="L127" s="3447" t="s">
        <v>758</v>
      </c>
      <c r="M127" s="3609" t="s">
        <v>2811</v>
      </c>
      <c r="N127" s="3611" t="s">
        <v>1022</v>
      </c>
      <c r="O127" s="3607" t="s">
        <v>16</v>
      </c>
      <c r="P127" s="3607"/>
      <c r="Q127" s="3607"/>
    </row>
    <row r="128" spans="1:17" ht="43.5" customHeight="1">
      <c r="A128" s="3602"/>
      <c r="B128" s="3603"/>
      <c r="C128" s="3603"/>
      <c r="D128" s="3602"/>
      <c r="E128" s="3602"/>
      <c r="F128" s="3603" t="s">
        <v>20</v>
      </c>
      <c r="G128" s="1826" t="s">
        <v>17</v>
      </c>
      <c r="H128" s="1826" t="s">
        <v>18</v>
      </c>
      <c r="I128" s="3608"/>
      <c r="J128" s="3608"/>
      <c r="K128" s="3608"/>
      <c r="L128" s="3608"/>
      <c r="M128" s="3610"/>
      <c r="N128" s="3611" t="s">
        <v>15</v>
      </c>
      <c r="O128" s="2343" t="s">
        <v>21</v>
      </c>
      <c r="P128" s="2344" t="s">
        <v>22</v>
      </c>
      <c r="Q128" s="1828" t="s">
        <v>23</v>
      </c>
    </row>
    <row r="129" spans="1:20" ht="20.100000000000001" customHeight="1">
      <c r="A129" s="2345"/>
      <c r="B129" s="2346"/>
      <c r="C129" s="2346"/>
      <c r="D129" s="2346"/>
      <c r="E129" s="2347"/>
      <c r="F129" s="2348"/>
      <c r="G129" s="2349">
        <f>G126</f>
        <v>129</v>
      </c>
      <c r="H129" s="2349">
        <f t="shared" ref="H129:M129" si="3">H126</f>
        <v>4114</v>
      </c>
      <c r="I129" s="2349">
        <f t="shared" si="3"/>
        <v>32</v>
      </c>
      <c r="J129" s="2349">
        <f t="shared" si="3"/>
        <v>3238</v>
      </c>
      <c r="K129" s="2349">
        <f t="shared" si="3"/>
        <v>62264</v>
      </c>
      <c r="L129" s="2349">
        <f t="shared" si="3"/>
        <v>16</v>
      </c>
      <c r="M129" s="2350">
        <f t="shared" si="3"/>
        <v>300</v>
      </c>
      <c r="N129" s="2351">
        <f>N126</f>
        <v>149316223.46000001</v>
      </c>
      <c r="O129" s="2352">
        <f>O126</f>
        <v>70093</v>
      </c>
      <c r="P129" s="2353">
        <v>0</v>
      </c>
      <c r="Q129" s="2354">
        <v>0</v>
      </c>
    </row>
    <row r="130" spans="1:20" ht="20.100000000000001" customHeight="1">
      <c r="A130" s="2345"/>
      <c r="B130" s="2346"/>
      <c r="C130" s="2346"/>
      <c r="D130" s="2346"/>
      <c r="E130" s="2346"/>
      <c r="F130" s="2346"/>
      <c r="G130" s="2346"/>
      <c r="H130" s="2346"/>
      <c r="I130" s="2346"/>
      <c r="J130" s="2346"/>
      <c r="K130" s="2346"/>
      <c r="L130" s="2346"/>
      <c r="M130" s="2355"/>
      <c r="N130" s="2356"/>
      <c r="O130" s="2345"/>
      <c r="P130" s="2357"/>
      <c r="Q130" s="2358">
        <v>0</v>
      </c>
    </row>
    <row r="131" spans="1:20" ht="20.100000000000001" customHeight="1">
      <c r="A131" s="2345"/>
      <c r="B131" s="2346"/>
      <c r="C131" s="2346"/>
      <c r="D131" s="2346"/>
      <c r="E131" s="2346"/>
      <c r="F131" s="2346"/>
      <c r="G131" s="2346"/>
      <c r="H131" s="2346"/>
      <c r="I131" s="2346"/>
      <c r="J131" s="2346"/>
      <c r="K131" s="2346"/>
      <c r="L131" s="2346"/>
      <c r="M131" s="2355"/>
      <c r="N131" s="2356"/>
      <c r="O131" s="2345"/>
      <c r="P131" s="2357"/>
      <c r="Q131" s="2358"/>
    </row>
    <row r="132" spans="1:20" ht="20.100000000000001" customHeight="1">
      <c r="A132" s="2345"/>
      <c r="B132" s="2346"/>
      <c r="C132" s="2346"/>
      <c r="D132" s="2346"/>
      <c r="E132" s="2346"/>
      <c r="F132" s="2346"/>
      <c r="G132" s="2346"/>
      <c r="H132" s="2346"/>
      <c r="I132" s="2346"/>
      <c r="J132" s="2346"/>
      <c r="K132" s="2346"/>
      <c r="L132" s="2346"/>
      <c r="M132" s="2360"/>
      <c r="N132" s="2361"/>
      <c r="O132" s="2359"/>
      <c r="P132" s="2359"/>
      <c r="Q132" s="2358">
        <v>0</v>
      </c>
      <c r="R132" s="2346"/>
      <c r="S132" s="2346"/>
      <c r="T132" s="2346"/>
    </row>
    <row r="133" spans="1:20" ht="20.100000000000001" customHeight="1">
      <c r="A133" s="2345"/>
      <c r="B133" s="2346"/>
      <c r="C133" s="2346"/>
      <c r="D133" s="2346"/>
      <c r="E133" s="2346"/>
      <c r="F133" s="2346"/>
      <c r="G133" s="2346"/>
      <c r="H133" s="2346"/>
      <c r="I133" s="2346"/>
      <c r="J133" s="2346"/>
      <c r="K133" s="2346"/>
      <c r="L133" s="2346"/>
      <c r="M133" s="2355"/>
      <c r="N133" s="2356"/>
      <c r="O133" s="2345"/>
      <c r="P133" s="2357"/>
      <c r="Q133" s="2358"/>
      <c r="R133" s="2346"/>
      <c r="S133" s="2346"/>
      <c r="T133" s="2346"/>
    </row>
    <row r="134" spans="1:20" ht="20.100000000000001" customHeight="1">
      <c r="A134" s="2345"/>
      <c r="B134" s="2346"/>
      <c r="C134" s="2346"/>
      <c r="D134" s="2346"/>
      <c r="E134" s="2346"/>
      <c r="F134" s="2346"/>
      <c r="G134" s="2346"/>
      <c r="H134" s="2346"/>
      <c r="I134" s="2346"/>
      <c r="J134" s="2362"/>
      <c r="K134" s="2363" t="s">
        <v>2812</v>
      </c>
      <c r="L134" s="2364" t="s">
        <v>22</v>
      </c>
      <c r="M134" s="2365" t="s">
        <v>1013</v>
      </c>
      <c r="N134" s="2346"/>
      <c r="O134" s="2345"/>
      <c r="P134" s="2357"/>
      <c r="Q134" s="2358"/>
      <c r="R134" s="2346"/>
      <c r="S134" s="2346"/>
      <c r="T134" s="2346"/>
    </row>
    <row r="135" spans="1:20" ht="20.100000000000001" customHeight="1">
      <c r="A135" s="2345"/>
      <c r="B135" s="2346"/>
      <c r="C135" s="2346"/>
      <c r="D135" s="2346"/>
      <c r="E135" s="2346"/>
      <c r="F135" s="2346"/>
      <c r="G135" s="2346"/>
      <c r="H135" s="2346"/>
      <c r="I135" s="2346"/>
      <c r="J135" s="2366" t="s">
        <v>17</v>
      </c>
      <c r="K135" s="2367">
        <f>G126</f>
        <v>129</v>
      </c>
      <c r="L135" s="2368">
        <f>P34+P50+P113+P124</f>
        <v>0</v>
      </c>
      <c r="M135" s="2369">
        <f t="shared" ref="M135:M141" si="4">K135-L135</f>
        <v>129</v>
      </c>
      <c r="N135" s="2346"/>
      <c r="O135" s="2345"/>
      <c r="P135" s="2357"/>
      <c r="Q135" s="2358"/>
      <c r="R135" s="2346"/>
      <c r="S135" s="2346"/>
      <c r="T135" s="2346"/>
    </row>
    <row r="136" spans="1:20" ht="20.100000000000001" customHeight="1">
      <c r="A136" s="2345"/>
      <c r="B136" s="2346"/>
      <c r="C136" s="2346"/>
      <c r="D136" s="2346"/>
      <c r="E136" s="2346"/>
      <c r="F136" s="2346"/>
      <c r="G136" s="2346"/>
      <c r="H136" s="2346"/>
      <c r="I136" s="2346"/>
      <c r="J136" s="2242" t="s">
        <v>18</v>
      </c>
      <c r="K136" s="2367">
        <f>H126</f>
        <v>4114</v>
      </c>
      <c r="L136" s="2368">
        <f>P15+P33+P49+P73+P87+P112+P123</f>
        <v>0</v>
      </c>
      <c r="M136" s="2369">
        <f t="shared" si="4"/>
        <v>4114</v>
      </c>
      <c r="N136" s="2346"/>
      <c r="O136" s="2345"/>
      <c r="P136" s="2357"/>
      <c r="Q136" s="2358"/>
      <c r="R136" s="2346"/>
      <c r="S136" s="2346"/>
      <c r="T136" s="2346"/>
    </row>
    <row r="137" spans="1:20" ht="20.100000000000001" customHeight="1">
      <c r="A137" s="2345"/>
      <c r="B137" s="2346"/>
      <c r="C137" s="2346"/>
      <c r="D137" s="2346"/>
      <c r="E137" s="2346"/>
      <c r="F137" s="2346"/>
      <c r="G137" s="2346"/>
      <c r="H137" s="2346"/>
      <c r="I137" s="2346"/>
      <c r="J137" s="2366" t="s">
        <v>1007</v>
      </c>
      <c r="K137" s="2367">
        <f>I126</f>
        <v>32</v>
      </c>
      <c r="L137" s="2368">
        <f>P8+P9+P10+P11+P21+P27+P28+P29+P30+P37+P38+P56+P58+P63+P64+P65+P66+P74+P75+P76+P77+P78+P92+P95+P96+P97+P99+P100+P105</f>
        <v>0</v>
      </c>
      <c r="M137" s="2369">
        <f t="shared" si="4"/>
        <v>32</v>
      </c>
      <c r="N137" s="2346"/>
      <c r="O137" s="2345"/>
      <c r="P137" s="2357"/>
      <c r="Q137" s="2358"/>
      <c r="R137" s="2346"/>
      <c r="S137" s="2346"/>
      <c r="T137" s="2346"/>
    </row>
    <row r="138" spans="1:20" ht="20.100000000000001" customHeight="1">
      <c r="A138" s="2345"/>
      <c r="B138" s="2346"/>
      <c r="C138" s="2346"/>
      <c r="D138" s="2346"/>
      <c r="E138" s="2346"/>
      <c r="F138" s="2346"/>
      <c r="G138" s="2346"/>
      <c r="H138" s="2346"/>
      <c r="I138" s="2346"/>
      <c r="J138" s="2366" t="s">
        <v>9</v>
      </c>
      <c r="K138" s="2367">
        <f>J126</f>
        <v>3238</v>
      </c>
      <c r="L138" s="2368">
        <f>P31+P43+P70+P83+P85+P93</f>
        <v>0</v>
      </c>
      <c r="M138" s="2369">
        <f t="shared" si="4"/>
        <v>3238</v>
      </c>
      <c r="N138" s="2346"/>
      <c r="O138" s="2345"/>
      <c r="P138" s="2357"/>
      <c r="Q138" s="2358"/>
      <c r="R138" s="2346"/>
      <c r="S138" s="2346"/>
      <c r="T138" s="2346"/>
    </row>
    <row r="139" spans="1:20" ht="20.100000000000001" customHeight="1">
      <c r="A139" s="2345"/>
      <c r="B139" s="2346"/>
      <c r="C139" s="2346"/>
      <c r="D139" s="2346"/>
      <c r="E139" s="2346"/>
      <c r="F139" s="2346"/>
      <c r="G139" s="2346"/>
      <c r="H139" s="2346"/>
      <c r="I139" s="2346"/>
      <c r="J139" s="2242" t="s">
        <v>10</v>
      </c>
      <c r="K139" s="2367">
        <f>K126</f>
        <v>62264</v>
      </c>
      <c r="L139" s="2368">
        <f>P14+P23+P32+P35+P44+P59+P71+P84+P108+P119+P125</f>
        <v>0</v>
      </c>
      <c r="M139" s="2369">
        <f t="shared" si="4"/>
        <v>62264</v>
      </c>
      <c r="N139" s="2346"/>
      <c r="O139" s="2345"/>
      <c r="P139" s="2357"/>
      <c r="Q139" s="2358"/>
      <c r="R139" s="2346"/>
      <c r="S139" s="2346"/>
      <c r="T139" s="2346"/>
    </row>
    <row r="140" spans="1:20" ht="33" customHeight="1">
      <c r="A140" s="2345"/>
      <c r="B140" s="2346"/>
      <c r="C140" s="2346"/>
      <c r="D140" s="2346"/>
      <c r="E140" s="2346"/>
      <c r="F140" s="2346"/>
      <c r="G140" s="2346"/>
      <c r="H140" s="2346"/>
      <c r="I140" s="2346"/>
      <c r="J140" s="2242" t="s">
        <v>2813</v>
      </c>
      <c r="K140" s="2367">
        <f>L126</f>
        <v>16</v>
      </c>
      <c r="L140" s="2368">
        <f>P62</f>
        <v>0</v>
      </c>
      <c r="M140" s="2369">
        <f t="shared" si="4"/>
        <v>16</v>
      </c>
      <c r="N140" s="2346"/>
      <c r="O140" s="2345"/>
      <c r="P140" s="2357"/>
      <c r="Q140" s="2358"/>
      <c r="R140" s="2346"/>
      <c r="S140" s="2346"/>
      <c r="T140" s="2346"/>
    </row>
    <row r="141" spans="1:20" ht="20.100000000000001" customHeight="1">
      <c r="A141" s="2345"/>
      <c r="B141" s="2346"/>
      <c r="C141" s="2346"/>
      <c r="D141" s="2346"/>
      <c r="E141" s="2346"/>
      <c r="F141" s="2346"/>
      <c r="G141" s="2346"/>
      <c r="H141" s="2346"/>
      <c r="I141" s="2346"/>
      <c r="J141" s="2370" t="s">
        <v>1010</v>
      </c>
      <c r="K141" s="2367">
        <f>M126</f>
        <v>300</v>
      </c>
      <c r="L141" s="2368">
        <f>P7+P12+P13+P16+P17+P18+P19+P20+P22+P24+P25+P26+P36+P39+P40+P41+P42+P45+P46+P47+P48+P51+P52+P53+P54+P55+P57+P60+P61+P67+P68+P69+P72+P79+P80+P81+P82+P86+P88+P89+P90+P91+P94+P98+P101+P102+P103+P104+P106+P107+P109+P110+P111+P114+P115+P116+P117+P118+P120+P121+P122</f>
        <v>0</v>
      </c>
      <c r="M141" s="2369">
        <f t="shared" si="4"/>
        <v>300</v>
      </c>
      <c r="N141" s="2346"/>
      <c r="O141" s="2345"/>
      <c r="P141" s="2357"/>
      <c r="Q141" s="2358"/>
      <c r="R141" s="2346"/>
      <c r="S141" s="2346"/>
      <c r="T141" s="2346"/>
    </row>
    <row r="142" spans="1:20" ht="20.100000000000001" customHeight="1">
      <c r="A142" s="2345"/>
      <c r="B142" s="2346"/>
      <c r="C142" s="2346"/>
      <c r="D142" s="2346"/>
      <c r="E142" s="2346"/>
      <c r="F142" s="2346"/>
      <c r="G142" s="2346"/>
      <c r="H142" s="2346"/>
      <c r="I142" s="2346"/>
      <c r="J142" s="2370" t="s">
        <v>1005</v>
      </c>
      <c r="K142" s="2371">
        <f>SUM(K135:K141)</f>
        <v>70093</v>
      </c>
      <c r="L142" s="2369">
        <f>SUM(L135:L141)</f>
        <v>0</v>
      </c>
      <c r="M142" s="2369">
        <f>SUM(M135:M141)</f>
        <v>70093</v>
      </c>
      <c r="N142" s="2346"/>
      <c r="O142" s="2345"/>
      <c r="P142" s="2357"/>
      <c r="Q142" s="2358"/>
      <c r="R142" s="2346"/>
      <c r="S142" s="2346"/>
      <c r="T142" s="2346"/>
    </row>
    <row r="143" spans="1:20" ht="20.100000000000001" customHeight="1">
      <c r="A143" s="2345"/>
      <c r="B143" s="2346"/>
      <c r="C143" s="2346"/>
      <c r="D143" s="2346"/>
      <c r="E143" s="2346"/>
      <c r="F143" s="2346"/>
      <c r="G143" s="2346"/>
      <c r="H143" s="2346"/>
      <c r="I143" s="2346"/>
      <c r="J143" s="2346"/>
      <c r="K143" s="2346"/>
      <c r="L143" s="2346"/>
      <c r="M143" s="2355"/>
      <c r="N143" s="2356"/>
      <c r="O143" s="2345"/>
      <c r="P143" s="2357"/>
      <c r="Q143" s="2358"/>
      <c r="R143" s="2346"/>
      <c r="S143" s="2346"/>
      <c r="T143" s="2346"/>
    </row>
  </sheetData>
  <mergeCells count="33">
    <mergeCell ref="O127:Q127"/>
    <mergeCell ref="I127:I128"/>
    <mergeCell ref="J127:J128"/>
    <mergeCell ref="K127:K128"/>
    <mergeCell ref="L127:L128"/>
    <mergeCell ref="M127:M128"/>
    <mergeCell ref="N127:N128"/>
    <mergeCell ref="F127:F128"/>
    <mergeCell ref="G127:H127"/>
    <mergeCell ref="G5:H5"/>
    <mergeCell ref="I5:I6"/>
    <mergeCell ref="J5:J6"/>
    <mergeCell ref="A126:E126"/>
    <mergeCell ref="A127:A128"/>
    <mergeCell ref="B127:B128"/>
    <mergeCell ref="C127:C128"/>
    <mergeCell ref="D127:D128"/>
    <mergeCell ref="E127:E128"/>
    <mergeCell ref="A1:Q1"/>
    <mergeCell ref="A2:Q2"/>
    <mergeCell ref="A3:Q3"/>
    <mergeCell ref="A4:Q4"/>
    <mergeCell ref="A5:A6"/>
    <mergeCell ref="B5:B6"/>
    <mergeCell ref="C5:C6"/>
    <mergeCell ref="D5:D6"/>
    <mergeCell ref="E5:E6"/>
    <mergeCell ref="F5:F6"/>
    <mergeCell ref="N5:N6"/>
    <mergeCell ref="O5:Q5"/>
    <mergeCell ref="K5:K6"/>
    <mergeCell ref="L5:L6"/>
    <mergeCell ref="M5:M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5"/>
  <sheetViews>
    <sheetView topLeftCell="A155" workbookViewId="0">
      <selection activeCell="L171" sqref="L171"/>
    </sheetView>
  </sheetViews>
  <sheetFormatPr defaultRowHeight="15"/>
  <cols>
    <col min="13" max="13" width="13" customWidth="1"/>
  </cols>
  <sheetData>
    <row r="1" spans="1:17" ht="20.100000000000001" customHeight="1">
      <c r="A1" s="3406" t="s">
        <v>0</v>
      </c>
      <c r="B1" s="3406"/>
      <c r="C1" s="3406"/>
      <c r="D1" s="3406"/>
      <c r="E1" s="3406"/>
      <c r="F1" s="3406"/>
      <c r="G1" s="3406"/>
      <c r="H1" s="3406"/>
      <c r="I1" s="3406"/>
      <c r="J1" s="3406"/>
      <c r="K1" s="3406"/>
      <c r="L1" s="3406"/>
      <c r="M1" s="3406"/>
      <c r="N1" s="3406"/>
      <c r="O1" s="3406"/>
      <c r="P1" s="3406"/>
      <c r="Q1" s="3406"/>
    </row>
    <row r="2" spans="1:17" ht="20.100000000000001" customHeight="1">
      <c r="A2" s="3406" t="s">
        <v>1844</v>
      </c>
      <c r="B2" s="3406"/>
      <c r="C2" s="3406"/>
      <c r="D2" s="3406"/>
      <c r="E2" s="3406"/>
      <c r="F2" s="3406"/>
      <c r="G2" s="3406"/>
      <c r="H2" s="3406"/>
      <c r="I2" s="3406"/>
      <c r="J2" s="3406"/>
      <c r="K2" s="3406"/>
      <c r="L2" s="3406"/>
      <c r="M2" s="3406"/>
      <c r="N2" s="3406"/>
      <c r="O2" s="3406"/>
      <c r="P2" s="3406"/>
      <c r="Q2" s="3406"/>
    </row>
    <row r="3" spans="1:17" ht="20.100000000000001" customHeight="1">
      <c r="A3" s="3406" t="s">
        <v>770</v>
      </c>
      <c r="B3" s="3406"/>
      <c r="C3" s="3406"/>
      <c r="D3" s="3406"/>
      <c r="E3" s="3406"/>
      <c r="F3" s="3406"/>
      <c r="G3" s="3406"/>
      <c r="H3" s="3406"/>
      <c r="I3" s="3406"/>
      <c r="J3" s="3406"/>
      <c r="K3" s="3406"/>
      <c r="L3" s="3406"/>
      <c r="M3" s="3406"/>
      <c r="N3" s="3406"/>
      <c r="O3" s="3406"/>
      <c r="P3" s="3406"/>
      <c r="Q3" s="3406"/>
    </row>
    <row r="4" spans="1:17" ht="20.100000000000001" customHeight="1">
      <c r="A4" s="3406" t="s">
        <v>2855</v>
      </c>
      <c r="B4" s="3406"/>
      <c r="C4" s="3406" t="s">
        <v>1846</v>
      </c>
      <c r="D4" s="3406"/>
      <c r="E4" s="3406"/>
      <c r="F4" s="3406"/>
      <c r="G4" s="3406"/>
      <c r="H4" s="3406"/>
      <c r="I4" s="3406"/>
      <c r="J4" s="3406"/>
      <c r="K4" s="3406"/>
      <c r="L4" s="3406"/>
      <c r="M4" s="3406"/>
      <c r="N4" s="3406"/>
      <c r="O4" s="3406"/>
      <c r="P4" s="3406"/>
      <c r="Q4" s="3406"/>
    </row>
    <row r="5" spans="1:17" ht="20.100000000000001" customHeight="1">
      <c r="A5" s="3445" t="s">
        <v>1579</v>
      </c>
      <c r="B5" s="3414" t="s">
        <v>1847</v>
      </c>
      <c r="C5" s="3538" t="s">
        <v>5</v>
      </c>
      <c r="D5" s="1866"/>
      <c r="E5" s="3445" t="s">
        <v>1848</v>
      </c>
      <c r="F5" s="3438" t="s">
        <v>775</v>
      </c>
      <c r="G5" s="3439"/>
      <c r="H5" s="1823"/>
      <c r="I5" s="1823"/>
      <c r="J5" s="1823"/>
      <c r="K5" s="1823"/>
      <c r="L5" s="3612" t="s">
        <v>776</v>
      </c>
      <c r="M5" s="3542" t="s">
        <v>777</v>
      </c>
      <c r="N5" s="3438" t="s">
        <v>16</v>
      </c>
      <c r="O5" s="3530"/>
      <c r="P5" s="3439"/>
    </row>
    <row r="6" spans="1:17" ht="20.100000000000001" customHeight="1">
      <c r="A6" s="3446"/>
      <c r="B6" s="3415"/>
      <c r="C6" s="3539"/>
      <c r="D6" s="1867" t="s">
        <v>1849</v>
      </c>
      <c r="E6" s="3446"/>
      <c r="F6" s="1352" t="s">
        <v>779</v>
      </c>
      <c r="G6" s="1824" t="s">
        <v>780</v>
      </c>
      <c r="H6" s="1824" t="s">
        <v>781</v>
      </c>
      <c r="I6" s="1824" t="s">
        <v>782</v>
      </c>
      <c r="J6" s="1824" t="s">
        <v>10</v>
      </c>
      <c r="K6" s="1824" t="s">
        <v>1850</v>
      </c>
      <c r="L6" s="3613"/>
      <c r="M6" s="3543"/>
      <c r="N6" s="1354" t="s">
        <v>21</v>
      </c>
      <c r="O6" s="1354" t="s">
        <v>22</v>
      </c>
      <c r="P6" s="1355" t="s">
        <v>23</v>
      </c>
    </row>
    <row r="7" spans="1:17" ht="20.100000000000001" customHeight="1">
      <c r="A7" s="2410">
        <v>1</v>
      </c>
      <c r="B7" s="2411" t="s">
        <v>2856</v>
      </c>
      <c r="C7" s="2411" t="s">
        <v>2857</v>
      </c>
      <c r="D7" s="2412"/>
      <c r="E7" s="2413" t="s">
        <v>2858</v>
      </c>
      <c r="F7" s="2414">
        <v>0</v>
      </c>
      <c r="G7" s="2414">
        <v>0</v>
      </c>
      <c r="H7" s="2414">
        <v>0</v>
      </c>
      <c r="I7" s="2414">
        <v>0</v>
      </c>
      <c r="J7" s="2414">
        <v>0</v>
      </c>
      <c r="K7" s="2414">
        <v>0</v>
      </c>
      <c r="L7" s="2415">
        <v>1</v>
      </c>
      <c r="M7" s="2416">
        <v>489.99</v>
      </c>
      <c r="N7" s="1365">
        <f>F7+G7+H7+I7+J7+K7+L7-O7</f>
        <v>1</v>
      </c>
      <c r="O7" s="2410"/>
      <c r="P7" s="2410"/>
      <c r="Q7" s="1367"/>
    </row>
    <row r="8" spans="1:17" ht="20.100000000000001" customHeight="1">
      <c r="A8" s="2410">
        <v>2</v>
      </c>
      <c r="B8" s="2411" t="s">
        <v>2856</v>
      </c>
      <c r="C8" s="2411" t="s">
        <v>2857</v>
      </c>
      <c r="D8" s="2412"/>
      <c r="E8" s="2417" t="s">
        <v>2859</v>
      </c>
      <c r="F8" s="2414">
        <v>0</v>
      </c>
      <c r="G8" s="2414">
        <v>0</v>
      </c>
      <c r="H8" s="2414">
        <v>0</v>
      </c>
      <c r="I8" s="2414">
        <v>0</v>
      </c>
      <c r="J8" s="2414">
        <v>0</v>
      </c>
      <c r="K8" s="2414">
        <v>0</v>
      </c>
      <c r="L8" s="2119">
        <v>1</v>
      </c>
      <c r="M8" s="2418">
        <v>5887.25</v>
      </c>
      <c r="N8" s="1365">
        <f t="shared" ref="N8:N71" si="0">F8+G8+H8+I8+J8+K8+L8-O8</f>
        <v>1</v>
      </c>
      <c r="O8" s="2410"/>
      <c r="P8" s="2410"/>
      <c r="Q8" s="1367"/>
    </row>
    <row r="9" spans="1:17" ht="20.100000000000001" customHeight="1">
      <c r="A9" s="2410">
        <v>3</v>
      </c>
      <c r="B9" s="2411" t="s">
        <v>2856</v>
      </c>
      <c r="C9" s="2411" t="s">
        <v>2857</v>
      </c>
      <c r="D9" s="2412"/>
      <c r="E9" s="2419" t="s">
        <v>602</v>
      </c>
      <c r="F9" s="2414">
        <v>0</v>
      </c>
      <c r="G9" s="2414">
        <v>0</v>
      </c>
      <c r="H9" s="2414">
        <v>0</v>
      </c>
      <c r="I9" s="2414">
        <v>0</v>
      </c>
      <c r="J9" s="2414">
        <v>0</v>
      </c>
      <c r="K9" s="2414">
        <v>0</v>
      </c>
      <c r="L9" s="2119">
        <v>1</v>
      </c>
      <c r="M9" s="2418">
        <v>800</v>
      </c>
      <c r="N9" s="1365">
        <f t="shared" si="0"/>
        <v>1</v>
      </c>
      <c r="O9" s="2410"/>
      <c r="P9" s="2410"/>
      <c r="Q9" s="1367"/>
    </row>
    <row r="10" spans="1:17" ht="20.100000000000001" customHeight="1">
      <c r="A10" s="2410">
        <v>4</v>
      </c>
      <c r="B10" s="2411" t="s">
        <v>2856</v>
      </c>
      <c r="C10" s="2411" t="s">
        <v>2857</v>
      </c>
      <c r="D10" s="2412"/>
      <c r="E10" s="2419" t="s">
        <v>2860</v>
      </c>
      <c r="F10" s="2414">
        <v>0</v>
      </c>
      <c r="G10" s="2414">
        <v>0</v>
      </c>
      <c r="H10" s="2414">
        <v>0</v>
      </c>
      <c r="I10" s="2414">
        <v>0</v>
      </c>
      <c r="J10" s="2414">
        <v>0</v>
      </c>
      <c r="K10" s="2414">
        <v>0</v>
      </c>
      <c r="L10" s="2119">
        <v>1</v>
      </c>
      <c r="M10" s="2418">
        <v>200000</v>
      </c>
      <c r="N10" s="1365">
        <f t="shared" si="0"/>
        <v>0</v>
      </c>
      <c r="O10" s="2410">
        <v>1</v>
      </c>
      <c r="P10" s="2410"/>
      <c r="Q10" s="1367"/>
    </row>
    <row r="11" spans="1:17" ht="20.100000000000001" customHeight="1">
      <c r="A11" s="2410">
        <v>5</v>
      </c>
      <c r="B11" s="2411" t="s">
        <v>2856</v>
      </c>
      <c r="C11" s="2411" t="s">
        <v>2857</v>
      </c>
      <c r="D11" s="1903"/>
      <c r="E11" s="2419" t="s">
        <v>2861</v>
      </c>
      <c r="F11" s="2414">
        <v>0</v>
      </c>
      <c r="G11" s="2414">
        <v>0</v>
      </c>
      <c r="H11" s="2414">
        <v>0</v>
      </c>
      <c r="I11" s="2414">
        <v>0</v>
      </c>
      <c r="J11" s="2414">
        <v>0</v>
      </c>
      <c r="K11" s="2414">
        <v>0</v>
      </c>
      <c r="L11" s="2119">
        <v>6</v>
      </c>
      <c r="M11" s="2420">
        <v>20799.23</v>
      </c>
      <c r="N11" s="1365">
        <f t="shared" si="0"/>
        <v>6</v>
      </c>
      <c r="O11" s="1903"/>
      <c r="P11" s="1903"/>
    </row>
    <row r="12" spans="1:17" ht="20.100000000000001" customHeight="1">
      <c r="A12" s="2410">
        <v>6</v>
      </c>
      <c r="B12" s="2411" t="s">
        <v>2856</v>
      </c>
      <c r="C12" s="2411" t="s">
        <v>2857</v>
      </c>
      <c r="D12" s="1903"/>
      <c r="E12" s="2421" t="s">
        <v>49</v>
      </c>
      <c r="F12" s="2414">
        <v>0</v>
      </c>
      <c r="G12" s="2414">
        <v>0</v>
      </c>
      <c r="H12" s="2422">
        <v>1</v>
      </c>
      <c r="I12" s="2414">
        <v>0</v>
      </c>
      <c r="J12" s="2414">
        <v>0</v>
      </c>
      <c r="K12" s="2414">
        <v>0</v>
      </c>
      <c r="L12" s="2423">
        <v>0</v>
      </c>
      <c r="M12" s="2424">
        <v>29842</v>
      </c>
      <c r="N12" s="1365">
        <f t="shared" si="0"/>
        <v>1</v>
      </c>
      <c r="O12" s="1903"/>
      <c r="P12" s="1903"/>
    </row>
    <row r="13" spans="1:17" ht="20.100000000000001" customHeight="1">
      <c r="A13" s="2410">
        <v>7</v>
      </c>
      <c r="B13" s="2411" t="s">
        <v>2856</v>
      </c>
      <c r="C13" s="2411" t="s">
        <v>2857</v>
      </c>
      <c r="D13" s="1903"/>
      <c r="E13" s="1903" t="s">
        <v>708</v>
      </c>
      <c r="F13" s="2414">
        <v>0</v>
      </c>
      <c r="G13" s="2414">
        <v>0</v>
      </c>
      <c r="H13" s="2422">
        <v>1</v>
      </c>
      <c r="I13" s="2414">
        <v>0</v>
      </c>
      <c r="J13" s="2414">
        <v>0</v>
      </c>
      <c r="K13" s="2414">
        <v>0</v>
      </c>
      <c r="L13" s="2423">
        <v>0</v>
      </c>
      <c r="M13" s="1911">
        <v>12.83</v>
      </c>
      <c r="N13" s="1365">
        <f t="shared" si="0"/>
        <v>1</v>
      </c>
      <c r="O13" s="1903"/>
      <c r="P13" s="1903"/>
    </row>
    <row r="14" spans="1:17" ht="20.100000000000001" customHeight="1">
      <c r="A14" s="2410">
        <v>8</v>
      </c>
      <c r="B14" s="2411" t="s">
        <v>2856</v>
      </c>
      <c r="C14" s="2411" t="s">
        <v>2857</v>
      </c>
      <c r="D14" s="1903"/>
      <c r="E14" s="2421" t="s">
        <v>32</v>
      </c>
      <c r="F14" s="2414">
        <v>0</v>
      </c>
      <c r="G14" s="2414">
        <v>0</v>
      </c>
      <c r="H14" s="2422">
        <v>1</v>
      </c>
      <c r="I14" s="2414">
        <v>0</v>
      </c>
      <c r="J14" s="2414">
        <v>0</v>
      </c>
      <c r="K14" s="2414">
        <v>0</v>
      </c>
      <c r="L14" s="2423">
        <v>0</v>
      </c>
      <c r="M14" s="2424">
        <v>946754.61</v>
      </c>
      <c r="N14" s="1365">
        <f t="shared" si="0"/>
        <v>1</v>
      </c>
      <c r="O14" s="1903"/>
      <c r="P14" s="1903"/>
    </row>
    <row r="15" spans="1:17" ht="20.100000000000001" customHeight="1">
      <c r="A15" s="2410">
        <v>9</v>
      </c>
      <c r="B15" s="2411" t="s">
        <v>2856</v>
      </c>
      <c r="C15" s="2411" t="s">
        <v>2857</v>
      </c>
      <c r="D15" s="1903"/>
      <c r="E15" s="2421" t="s">
        <v>279</v>
      </c>
      <c r="F15" s="2414">
        <v>0</v>
      </c>
      <c r="G15" s="2414">
        <v>0</v>
      </c>
      <c r="H15" s="2425">
        <v>1</v>
      </c>
      <c r="I15" s="2414">
        <v>0</v>
      </c>
      <c r="J15" s="2414">
        <v>0</v>
      </c>
      <c r="K15" s="2414">
        <v>0</v>
      </c>
      <c r="L15" s="2423">
        <v>0</v>
      </c>
      <c r="M15" s="2426">
        <v>59.56</v>
      </c>
      <c r="N15" s="1365">
        <f t="shared" si="0"/>
        <v>1</v>
      </c>
      <c r="O15" s="1903"/>
      <c r="P15" s="1903"/>
    </row>
    <row r="16" spans="1:17" ht="20.100000000000001" customHeight="1">
      <c r="A16" s="2410">
        <v>10</v>
      </c>
      <c r="B16" s="2411" t="s">
        <v>2856</v>
      </c>
      <c r="C16" s="2411" t="s">
        <v>2857</v>
      </c>
      <c r="D16" s="1903"/>
      <c r="E16" s="2427" t="s">
        <v>2862</v>
      </c>
      <c r="F16" s="2414">
        <v>0</v>
      </c>
      <c r="G16" s="2414">
        <v>0</v>
      </c>
      <c r="H16" s="2414">
        <v>0</v>
      </c>
      <c r="I16" s="2414">
        <v>0</v>
      </c>
      <c r="J16" s="2414">
        <v>0</v>
      </c>
      <c r="K16" s="2414">
        <v>0</v>
      </c>
      <c r="L16" s="2428">
        <v>7</v>
      </c>
      <c r="M16" s="2420">
        <v>-9880750.3200000003</v>
      </c>
      <c r="N16" s="1365">
        <f t="shared" si="0"/>
        <v>3</v>
      </c>
      <c r="O16" s="1903">
        <v>4</v>
      </c>
      <c r="P16" s="1903"/>
    </row>
    <row r="17" spans="1:16" ht="20.100000000000001" customHeight="1">
      <c r="A17" s="2410">
        <v>11</v>
      </c>
      <c r="B17" s="2411" t="s">
        <v>2856</v>
      </c>
      <c r="C17" s="2411" t="s">
        <v>2857</v>
      </c>
      <c r="D17" s="1903"/>
      <c r="E17" s="2429" t="s">
        <v>2863</v>
      </c>
      <c r="F17" s="2414">
        <v>0</v>
      </c>
      <c r="G17" s="2414">
        <v>0</v>
      </c>
      <c r="H17" s="2414">
        <v>0</v>
      </c>
      <c r="I17" s="2414">
        <v>0</v>
      </c>
      <c r="J17" s="2414">
        <v>0</v>
      </c>
      <c r="K17" s="2414">
        <v>0</v>
      </c>
      <c r="L17" s="2430">
        <v>1</v>
      </c>
      <c r="M17" s="1911">
        <v>50</v>
      </c>
      <c r="N17" s="1365">
        <f t="shared" si="0"/>
        <v>1</v>
      </c>
      <c r="O17" s="1903"/>
      <c r="P17" s="1903"/>
    </row>
    <row r="18" spans="1:16" ht="20.100000000000001" customHeight="1">
      <c r="A18" s="2410">
        <v>12</v>
      </c>
      <c r="B18" s="2411" t="s">
        <v>2856</v>
      </c>
      <c r="C18" s="2411" t="s">
        <v>2857</v>
      </c>
      <c r="D18" s="1903"/>
      <c r="E18" s="2429" t="s">
        <v>2864</v>
      </c>
      <c r="F18" s="2414">
        <v>0</v>
      </c>
      <c r="G18" s="2414">
        <v>0</v>
      </c>
      <c r="H18" s="2414">
        <v>0</v>
      </c>
      <c r="I18" s="2414">
        <v>0</v>
      </c>
      <c r="J18" s="2414">
        <v>0</v>
      </c>
      <c r="K18" s="2414">
        <v>0</v>
      </c>
      <c r="L18" s="2430">
        <v>1</v>
      </c>
      <c r="M18" s="1911">
        <v>177487.8</v>
      </c>
      <c r="N18" s="1365">
        <f t="shared" si="0"/>
        <v>0</v>
      </c>
      <c r="O18" s="1903">
        <v>1</v>
      </c>
      <c r="P18" s="1903"/>
    </row>
    <row r="19" spans="1:16" ht="20.100000000000001" customHeight="1">
      <c r="A19" s="2410">
        <v>13</v>
      </c>
      <c r="B19" s="2411" t="s">
        <v>2856</v>
      </c>
      <c r="C19" s="2411" t="s">
        <v>2857</v>
      </c>
      <c r="D19" s="1903"/>
      <c r="E19" s="2431" t="s">
        <v>2865</v>
      </c>
      <c r="F19" s="2414">
        <v>0</v>
      </c>
      <c r="G19" s="2414">
        <v>0</v>
      </c>
      <c r="H19" s="2414">
        <v>0</v>
      </c>
      <c r="I19" s="2414">
        <v>0</v>
      </c>
      <c r="J19" s="2414">
        <v>0</v>
      </c>
      <c r="K19" s="2414">
        <v>0</v>
      </c>
      <c r="L19" s="2432">
        <v>11</v>
      </c>
      <c r="M19" s="2433">
        <v>2788321.17</v>
      </c>
      <c r="N19" s="1365">
        <f t="shared" si="0"/>
        <v>8</v>
      </c>
      <c r="O19" s="1903">
        <v>3</v>
      </c>
      <c r="P19" s="1903"/>
    </row>
    <row r="20" spans="1:16" ht="20.100000000000001" customHeight="1">
      <c r="A20" s="2410">
        <v>14</v>
      </c>
      <c r="B20" s="2411" t="s">
        <v>2856</v>
      </c>
      <c r="C20" s="2411" t="s">
        <v>2857</v>
      </c>
      <c r="D20" s="1903"/>
      <c r="E20" s="2431" t="s">
        <v>2866</v>
      </c>
      <c r="F20" s="2414">
        <v>0</v>
      </c>
      <c r="G20" s="2414">
        <v>0</v>
      </c>
      <c r="H20" s="2414">
        <v>0</v>
      </c>
      <c r="I20" s="2414">
        <v>0</v>
      </c>
      <c r="J20" s="2414">
        <v>0</v>
      </c>
      <c r="K20" s="2414">
        <v>0</v>
      </c>
      <c r="L20" s="2432">
        <v>10</v>
      </c>
      <c r="M20" s="2433">
        <v>570000</v>
      </c>
      <c r="N20" s="1365">
        <f t="shared" si="0"/>
        <v>10</v>
      </c>
      <c r="O20" s="1903"/>
      <c r="P20" s="1903"/>
    </row>
    <row r="21" spans="1:16" ht="20.100000000000001" customHeight="1">
      <c r="A21" s="2410">
        <v>15</v>
      </c>
      <c r="B21" s="2411" t="s">
        <v>2856</v>
      </c>
      <c r="C21" s="2411" t="s">
        <v>2857</v>
      </c>
      <c r="D21" s="1903"/>
      <c r="E21" s="2431" t="s">
        <v>2867</v>
      </c>
      <c r="F21" s="2414">
        <v>0</v>
      </c>
      <c r="G21" s="2414">
        <v>0</v>
      </c>
      <c r="H21" s="2414">
        <v>0</v>
      </c>
      <c r="I21" s="2414">
        <v>0</v>
      </c>
      <c r="J21" s="2414">
        <v>0</v>
      </c>
      <c r="K21" s="2414">
        <v>0</v>
      </c>
      <c r="L21" s="2432">
        <v>1</v>
      </c>
      <c r="M21" s="2433">
        <v>1200</v>
      </c>
      <c r="N21" s="1365">
        <f t="shared" si="0"/>
        <v>1</v>
      </c>
      <c r="O21" s="1903"/>
      <c r="P21" s="1903"/>
    </row>
    <row r="22" spans="1:16" ht="20.100000000000001" customHeight="1">
      <c r="A22" s="2410">
        <v>16</v>
      </c>
      <c r="B22" s="2411" t="s">
        <v>2856</v>
      </c>
      <c r="C22" s="2411" t="s">
        <v>2857</v>
      </c>
      <c r="D22" s="1903"/>
      <c r="E22" s="2431" t="s">
        <v>2868</v>
      </c>
      <c r="F22" s="2414">
        <v>0</v>
      </c>
      <c r="G22" s="2414">
        <v>0</v>
      </c>
      <c r="H22" s="2414">
        <v>0</v>
      </c>
      <c r="I22" s="2414">
        <v>0</v>
      </c>
      <c r="J22" s="2414">
        <v>0</v>
      </c>
      <c r="K22" s="2414">
        <v>0</v>
      </c>
      <c r="L22" s="2432">
        <v>1</v>
      </c>
      <c r="M22" s="2433">
        <v>10152.700000000001</v>
      </c>
      <c r="N22" s="1365">
        <f t="shared" si="0"/>
        <v>1</v>
      </c>
      <c r="O22" s="1903"/>
      <c r="P22" s="1903"/>
    </row>
    <row r="23" spans="1:16" ht="20.100000000000001" customHeight="1">
      <c r="A23" s="2410">
        <v>17</v>
      </c>
      <c r="B23" s="2411" t="s">
        <v>2856</v>
      </c>
      <c r="C23" s="2411" t="s">
        <v>2857</v>
      </c>
      <c r="D23" s="1903"/>
      <c r="E23" s="2431" t="s">
        <v>2869</v>
      </c>
      <c r="F23" s="2414">
        <v>0</v>
      </c>
      <c r="G23" s="2414">
        <v>0</v>
      </c>
      <c r="H23" s="2414">
        <v>0</v>
      </c>
      <c r="I23" s="2414">
        <v>0</v>
      </c>
      <c r="J23" s="2414">
        <v>0</v>
      </c>
      <c r="K23" s="2414">
        <v>0</v>
      </c>
      <c r="L23" s="2432">
        <v>1</v>
      </c>
      <c r="M23" s="2433">
        <v>125802.7</v>
      </c>
      <c r="N23" s="1365">
        <f t="shared" si="0"/>
        <v>1</v>
      </c>
      <c r="O23" s="1903"/>
      <c r="P23" s="1903"/>
    </row>
    <row r="24" spans="1:16" ht="20.100000000000001" customHeight="1">
      <c r="A24" s="2410">
        <v>18</v>
      </c>
      <c r="B24" s="2411" t="s">
        <v>2856</v>
      </c>
      <c r="C24" s="2411" t="s">
        <v>2857</v>
      </c>
      <c r="D24" s="1903"/>
      <c r="E24" s="2431" t="s">
        <v>2870</v>
      </c>
      <c r="F24" s="2414">
        <v>0</v>
      </c>
      <c r="G24" s="2414">
        <v>0</v>
      </c>
      <c r="H24" s="2414">
        <v>0</v>
      </c>
      <c r="I24" s="2414">
        <v>0</v>
      </c>
      <c r="J24" s="2414">
        <v>0</v>
      </c>
      <c r="K24" s="2414">
        <v>0</v>
      </c>
      <c r="L24" s="2432">
        <v>1</v>
      </c>
      <c r="M24" s="2433">
        <v>1070.0999999999999</v>
      </c>
      <c r="N24" s="1365">
        <f t="shared" si="0"/>
        <v>1</v>
      </c>
      <c r="O24" s="1903"/>
      <c r="P24" s="1903"/>
    </row>
    <row r="25" spans="1:16" ht="20.100000000000001" customHeight="1">
      <c r="A25" s="2410">
        <v>19</v>
      </c>
      <c r="B25" s="2411" t="s">
        <v>2856</v>
      </c>
      <c r="C25" s="2411" t="s">
        <v>2857</v>
      </c>
      <c r="D25" s="1903"/>
      <c r="E25" s="2434" t="s">
        <v>2871</v>
      </c>
      <c r="F25" s="2414">
        <v>0</v>
      </c>
      <c r="G25" s="2414">
        <v>0</v>
      </c>
      <c r="H25" s="2414">
        <v>0</v>
      </c>
      <c r="I25" s="2414">
        <v>0</v>
      </c>
      <c r="J25" s="2414">
        <v>0</v>
      </c>
      <c r="K25" s="2435">
        <v>1</v>
      </c>
      <c r="L25" s="2423">
        <v>0</v>
      </c>
      <c r="M25" s="2424">
        <v>2179.12</v>
      </c>
      <c r="N25" s="1365">
        <f t="shared" si="0"/>
        <v>1</v>
      </c>
      <c r="O25" s="1903"/>
      <c r="P25" s="1903"/>
    </row>
    <row r="26" spans="1:16" ht="20.100000000000001" customHeight="1">
      <c r="A26" s="2410">
        <v>20</v>
      </c>
      <c r="B26" s="2411" t="s">
        <v>2856</v>
      </c>
      <c r="C26" s="2411" t="s">
        <v>2857</v>
      </c>
      <c r="D26" s="1903"/>
      <c r="E26" s="2434" t="s">
        <v>2872</v>
      </c>
      <c r="F26" s="2414">
        <v>0</v>
      </c>
      <c r="G26" s="2414">
        <v>0</v>
      </c>
      <c r="H26" s="2414">
        <v>0</v>
      </c>
      <c r="I26" s="2414">
        <v>0</v>
      </c>
      <c r="J26" s="2414">
        <v>0</v>
      </c>
      <c r="K26" s="2414">
        <v>0</v>
      </c>
      <c r="L26" s="2428">
        <v>1</v>
      </c>
      <c r="M26" s="2424">
        <v>45759.53</v>
      </c>
      <c r="N26" s="1365">
        <f t="shared" si="0"/>
        <v>1</v>
      </c>
      <c r="O26" s="1903"/>
      <c r="P26" s="1903"/>
    </row>
    <row r="27" spans="1:16" ht="20.100000000000001" customHeight="1">
      <c r="A27" s="2410">
        <v>21</v>
      </c>
      <c r="B27" s="2411" t="s">
        <v>2856</v>
      </c>
      <c r="C27" s="2411" t="s">
        <v>2857</v>
      </c>
      <c r="D27" s="1903"/>
      <c r="E27" s="2059" t="s">
        <v>34</v>
      </c>
      <c r="F27" s="2414">
        <v>0</v>
      </c>
      <c r="G27" s="2414">
        <v>0</v>
      </c>
      <c r="H27" s="2414">
        <v>0</v>
      </c>
      <c r="I27" s="2436">
        <v>41</v>
      </c>
      <c r="J27" s="2414">
        <v>0</v>
      </c>
      <c r="K27" s="2414">
        <v>0</v>
      </c>
      <c r="L27" s="2423">
        <v>0</v>
      </c>
      <c r="M27" s="2426"/>
      <c r="N27" s="1365">
        <f t="shared" si="0"/>
        <v>11</v>
      </c>
      <c r="O27" s="1903">
        <v>30</v>
      </c>
      <c r="P27" s="1903"/>
    </row>
    <row r="28" spans="1:16" ht="20.100000000000001" customHeight="1">
      <c r="A28" s="2410">
        <v>22</v>
      </c>
      <c r="B28" s="2411" t="s">
        <v>2856</v>
      </c>
      <c r="C28" s="2411" t="s">
        <v>2857</v>
      </c>
      <c r="D28" s="1903"/>
      <c r="E28" s="2059" t="s">
        <v>35</v>
      </c>
      <c r="F28" s="2414">
        <v>0</v>
      </c>
      <c r="G28" s="2414">
        <v>0</v>
      </c>
      <c r="H28" s="2414">
        <v>0</v>
      </c>
      <c r="I28" s="2414">
        <v>0</v>
      </c>
      <c r="J28" s="2437">
        <v>4955</v>
      </c>
      <c r="K28" s="2414">
        <v>0</v>
      </c>
      <c r="L28" s="2423">
        <v>0</v>
      </c>
      <c r="M28" s="2438">
        <v>7475549.4299999997</v>
      </c>
      <c r="N28" s="1365">
        <f t="shared" si="0"/>
        <v>4951</v>
      </c>
      <c r="O28" s="1903">
        <v>4</v>
      </c>
      <c r="P28" s="1903"/>
    </row>
    <row r="29" spans="1:16" ht="20.100000000000001" customHeight="1">
      <c r="A29" s="2410">
        <v>23</v>
      </c>
      <c r="B29" s="2411" t="s">
        <v>2856</v>
      </c>
      <c r="C29" s="2411" t="s">
        <v>2857</v>
      </c>
      <c r="D29" s="1903"/>
      <c r="E29" s="1959" t="s">
        <v>196</v>
      </c>
      <c r="F29" s="2414">
        <v>0</v>
      </c>
      <c r="G29" s="2414">
        <v>0</v>
      </c>
      <c r="H29" s="2414">
        <v>0</v>
      </c>
      <c r="I29" s="2414">
        <v>0</v>
      </c>
      <c r="J29" s="2414">
        <v>0</v>
      </c>
      <c r="K29" s="2414">
        <v>0</v>
      </c>
      <c r="L29" s="2439">
        <v>1</v>
      </c>
      <c r="M29" s="2440">
        <v>562882.35</v>
      </c>
      <c r="N29" s="1365">
        <f t="shared" si="0"/>
        <v>0</v>
      </c>
      <c r="O29" s="1903">
        <v>1</v>
      </c>
      <c r="P29" s="1903"/>
    </row>
    <row r="30" spans="1:16" ht="20.100000000000001" customHeight="1">
      <c r="A30" s="2410">
        <v>24</v>
      </c>
      <c r="B30" s="2411" t="s">
        <v>2856</v>
      </c>
      <c r="C30" s="2411" t="s">
        <v>2857</v>
      </c>
      <c r="D30" s="1903"/>
      <c r="E30" s="2063" t="s">
        <v>52</v>
      </c>
      <c r="F30" s="2414">
        <v>0</v>
      </c>
      <c r="G30" s="2113">
        <v>670</v>
      </c>
      <c r="H30" s="2414">
        <v>0</v>
      </c>
      <c r="I30" s="2414">
        <v>0</v>
      </c>
      <c r="J30" s="2414">
        <v>0</v>
      </c>
      <c r="K30" s="2414">
        <v>0</v>
      </c>
      <c r="L30" s="2423">
        <v>0</v>
      </c>
      <c r="M30" s="2426"/>
      <c r="N30" s="1365">
        <f t="shared" si="0"/>
        <v>670</v>
      </c>
      <c r="O30" s="1903"/>
      <c r="P30" s="1903"/>
    </row>
    <row r="31" spans="1:16" ht="20.100000000000001" customHeight="1">
      <c r="A31" s="2410">
        <v>25</v>
      </c>
      <c r="B31" s="2411" t="s">
        <v>2856</v>
      </c>
      <c r="C31" s="2411" t="s">
        <v>2857</v>
      </c>
      <c r="D31" s="1903"/>
      <c r="E31" s="2421" t="s">
        <v>2873</v>
      </c>
      <c r="F31" s="2434">
        <v>247</v>
      </c>
      <c r="G31" s="2435">
        <v>0</v>
      </c>
      <c r="H31" s="2414">
        <v>0</v>
      </c>
      <c r="I31" s="2414">
        <v>0</v>
      </c>
      <c r="J31" s="2414">
        <v>0</v>
      </c>
      <c r="K31" s="2414">
        <v>0</v>
      </c>
      <c r="L31" s="2423">
        <v>0</v>
      </c>
      <c r="M31" s="2114"/>
      <c r="N31" s="1365">
        <f t="shared" si="0"/>
        <v>247</v>
      </c>
      <c r="O31" s="1903"/>
      <c r="P31" s="1903"/>
    </row>
    <row r="32" spans="1:16" ht="20.100000000000001" customHeight="1">
      <c r="A32" s="2410">
        <v>26</v>
      </c>
      <c r="B32" s="2441" t="s">
        <v>2874</v>
      </c>
      <c r="C32" s="2411" t="s">
        <v>2857</v>
      </c>
      <c r="D32" s="1903"/>
      <c r="E32" s="2442" t="s">
        <v>118</v>
      </c>
      <c r="F32" s="2113">
        <v>0</v>
      </c>
      <c r="G32" s="2435">
        <v>0</v>
      </c>
      <c r="H32" s="2414">
        <v>0</v>
      </c>
      <c r="I32" s="2414">
        <v>0</v>
      </c>
      <c r="J32" s="2414">
        <v>0</v>
      </c>
      <c r="K32" s="2414">
        <v>0</v>
      </c>
      <c r="L32" s="2443">
        <v>1</v>
      </c>
      <c r="M32" s="2114">
        <v>37167.949999999997</v>
      </c>
      <c r="N32" s="1365">
        <f t="shared" si="0"/>
        <v>1</v>
      </c>
      <c r="O32" s="1903"/>
      <c r="P32" s="1903"/>
    </row>
    <row r="33" spans="1:16" ht="20.100000000000001" customHeight="1">
      <c r="A33" s="2410">
        <v>27</v>
      </c>
      <c r="B33" s="2441" t="s">
        <v>2874</v>
      </c>
      <c r="C33" s="2411" t="s">
        <v>2857</v>
      </c>
      <c r="D33" s="1903"/>
      <c r="E33" s="2444" t="s">
        <v>2875</v>
      </c>
      <c r="F33" s="2113">
        <v>0</v>
      </c>
      <c r="G33" s="2435">
        <v>0</v>
      </c>
      <c r="H33" s="2414">
        <v>0</v>
      </c>
      <c r="I33" s="2414">
        <v>0</v>
      </c>
      <c r="J33" s="2414">
        <v>0</v>
      </c>
      <c r="K33" s="2414">
        <v>0</v>
      </c>
      <c r="L33" s="2445">
        <v>1</v>
      </c>
      <c r="M33" s="2446">
        <v>960630.46</v>
      </c>
      <c r="N33" s="1365">
        <f t="shared" si="0"/>
        <v>1</v>
      </c>
      <c r="O33" s="1903"/>
      <c r="P33" s="1903"/>
    </row>
    <row r="34" spans="1:16" ht="20.100000000000001" customHeight="1">
      <c r="A34" s="2410">
        <v>28</v>
      </c>
      <c r="B34" s="2441" t="s">
        <v>2874</v>
      </c>
      <c r="C34" s="2411" t="s">
        <v>2857</v>
      </c>
      <c r="D34" s="1903"/>
      <c r="E34" s="2444" t="s">
        <v>2876</v>
      </c>
      <c r="F34" s="2113">
        <v>0</v>
      </c>
      <c r="G34" s="2435">
        <v>0</v>
      </c>
      <c r="H34" s="2414">
        <v>0</v>
      </c>
      <c r="I34" s="2414">
        <v>0</v>
      </c>
      <c r="J34" s="2414">
        <v>0</v>
      </c>
      <c r="K34" s="2414">
        <v>0</v>
      </c>
      <c r="L34" s="2445">
        <v>1</v>
      </c>
      <c r="M34" s="2446">
        <v>2.62</v>
      </c>
      <c r="N34" s="1365">
        <f t="shared" si="0"/>
        <v>1</v>
      </c>
      <c r="O34" s="1903"/>
      <c r="P34" s="1903"/>
    </row>
    <row r="35" spans="1:16" ht="20.100000000000001" customHeight="1">
      <c r="A35" s="2410">
        <v>29</v>
      </c>
      <c r="B35" s="2441" t="s">
        <v>2874</v>
      </c>
      <c r="C35" s="2411" t="s">
        <v>2857</v>
      </c>
      <c r="D35" s="1903"/>
      <c r="E35" s="2444" t="s">
        <v>2877</v>
      </c>
      <c r="F35" s="2113">
        <v>0</v>
      </c>
      <c r="G35" s="2435">
        <v>0</v>
      </c>
      <c r="H35" s="2414">
        <v>0</v>
      </c>
      <c r="I35" s="2414">
        <v>0</v>
      </c>
      <c r="J35" s="2414">
        <v>0</v>
      </c>
      <c r="K35" s="2414">
        <v>0</v>
      </c>
      <c r="L35" s="2445">
        <v>1</v>
      </c>
      <c r="M35" s="2447">
        <v>17162.09</v>
      </c>
      <c r="N35" s="1365">
        <f t="shared" si="0"/>
        <v>0</v>
      </c>
      <c r="O35" s="1903">
        <v>1</v>
      </c>
      <c r="P35" s="1903"/>
    </row>
    <row r="36" spans="1:16" ht="20.100000000000001" customHeight="1">
      <c r="A36" s="2410">
        <v>30</v>
      </c>
      <c r="B36" s="2441" t="s">
        <v>2874</v>
      </c>
      <c r="C36" s="2411" t="s">
        <v>2857</v>
      </c>
      <c r="D36" s="1903"/>
      <c r="E36" s="2444" t="s">
        <v>2878</v>
      </c>
      <c r="F36" s="2113">
        <v>0</v>
      </c>
      <c r="G36" s="2435">
        <v>0</v>
      </c>
      <c r="H36" s="2414">
        <v>0</v>
      </c>
      <c r="I36" s="2414">
        <v>0</v>
      </c>
      <c r="J36" s="2414">
        <v>0</v>
      </c>
      <c r="K36" s="2414">
        <v>0</v>
      </c>
      <c r="L36" s="2445">
        <v>1</v>
      </c>
      <c r="M36" s="2446">
        <v>4318.33</v>
      </c>
      <c r="N36" s="1365">
        <f t="shared" si="0"/>
        <v>1</v>
      </c>
      <c r="O36" s="1903"/>
      <c r="P36" s="1903"/>
    </row>
    <row r="37" spans="1:16" ht="20.100000000000001" customHeight="1">
      <c r="A37" s="2410">
        <v>31</v>
      </c>
      <c r="B37" s="2441" t="s">
        <v>2874</v>
      </c>
      <c r="C37" s="2411" t="s">
        <v>2857</v>
      </c>
      <c r="D37" s="1903"/>
      <c r="E37" s="2444" t="s">
        <v>2879</v>
      </c>
      <c r="F37" s="2113">
        <v>0</v>
      </c>
      <c r="G37" s="2435">
        <v>0</v>
      </c>
      <c r="H37" s="2414">
        <v>0</v>
      </c>
      <c r="I37" s="2414">
        <v>0</v>
      </c>
      <c r="J37" s="2414">
        <v>0</v>
      </c>
      <c r="K37" s="2414">
        <v>0</v>
      </c>
      <c r="L37" s="2445">
        <v>1</v>
      </c>
      <c r="M37" s="2446">
        <v>1250</v>
      </c>
      <c r="N37" s="1365">
        <f t="shared" si="0"/>
        <v>1</v>
      </c>
      <c r="O37" s="1903"/>
      <c r="P37" s="1903"/>
    </row>
    <row r="38" spans="1:16" ht="20.100000000000001" customHeight="1">
      <c r="A38" s="2410">
        <v>32</v>
      </c>
      <c r="B38" s="2441" t="s">
        <v>2874</v>
      </c>
      <c r="C38" s="2411" t="s">
        <v>2857</v>
      </c>
      <c r="D38" s="1903"/>
      <c r="E38" s="2444" t="s">
        <v>2880</v>
      </c>
      <c r="F38" s="2113">
        <v>0</v>
      </c>
      <c r="G38" s="2435">
        <v>0</v>
      </c>
      <c r="H38" s="2414">
        <v>0</v>
      </c>
      <c r="I38" s="2414">
        <v>0</v>
      </c>
      <c r="J38" s="2414">
        <v>0</v>
      </c>
      <c r="K38" s="2414">
        <v>0</v>
      </c>
      <c r="L38" s="2445">
        <v>1</v>
      </c>
      <c r="M38" s="2446">
        <v>12467.69</v>
      </c>
      <c r="N38" s="1365">
        <f t="shared" si="0"/>
        <v>0</v>
      </c>
      <c r="O38" s="1903">
        <v>1</v>
      </c>
      <c r="P38" s="1903"/>
    </row>
    <row r="39" spans="1:16" ht="20.100000000000001" customHeight="1">
      <c r="A39" s="2410">
        <v>33</v>
      </c>
      <c r="B39" s="2441" t="s">
        <v>2874</v>
      </c>
      <c r="C39" s="2411" t="s">
        <v>2857</v>
      </c>
      <c r="D39" s="1903"/>
      <c r="E39" s="2444" t="s">
        <v>2881</v>
      </c>
      <c r="F39" s="2113">
        <v>0</v>
      </c>
      <c r="G39" s="2435">
        <v>0</v>
      </c>
      <c r="H39" s="2414">
        <v>0</v>
      </c>
      <c r="I39" s="2414">
        <v>0</v>
      </c>
      <c r="J39" s="2414">
        <v>0</v>
      </c>
      <c r="K39" s="2414">
        <v>0</v>
      </c>
      <c r="L39" s="2445">
        <v>1</v>
      </c>
      <c r="M39" s="2446">
        <v>7775.04</v>
      </c>
      <c r="N39" s="1365">
        <f t="shared" si="0"/>
        <v>1</v>
      </c>
      <c r="O39" s="1903"/>
      <c r="P39" s="1903"/>
    </row>
    <row r="40" spans="1:16" ht="20.100000000000001" customHeight="1">
      <c r="A40" s="2410">
        <v>34</v>
      </c>
      <c r="B40" s="2441" t="s">
        <v>2874</v>
      </c>
      <c r="C40" s="2411" t="s">
        <v>2857</v>
      </c>
      <c r="D40" s="1903"/>
      <c r="E40" s="2444" t="s">
        <v>49</v>
      </c>
      <c r="F40" s="2113">
        <v>0</v>
      </c>
      <c r="G40" s="2435">
        <v>0</v>
      </c>
      <c r="H40" s="2448">
        <v>1</v>
      </c>
      <c r="I40" s="2414">
        <v>0</v>
      </c>
      <c r="J40" s="2414">
        <v>0</v>
      </c>
      <c r="K40" s="2414">
        <v>0</v>
      </c>
      <c r="L40" s="2423">
        <v>0</v>
      </c>
      <c r="M40" s="2446">
        <v>25523354.199999999</v>
      </c>
      <c r="N40" s="1365">
        <f t="shared" si="0"/>
        <v>1</v>
      </c>
      <c r="O40" s="1903"/>
      <c r="P40" s="1903"/>
    </row>
    <row r="41" spans="1:16" ht="20.100000000000001" customHeight="1">
      <c r="A41" s="2410">
        <v>35</v>
      </c>
      <c r="B41" s="2441" t="s">
        <v>2874</v>
      </c>
      <c r="C41" s="2411" t="s">
        <v>2857</v>
      </c>
      <c r="D41" s="1903"/>
      <c r="E41" s="2444" t="s">
        <v>32</v>
      </c>
      <c r="F41" s="2113">
        <v>0</v>
      </c>
      <c r="G41" s="2435">
        <v>0</v>
      </c>
      <c r="H41" s="2448">
        <v>1</v>
      </c>
      <c r="I41" s="2414">
        <v>0</v>
      </c>
      <c r="J41" s="2414">
        <v>0</v>
      </c>
      <c r="K41" s="2414">
        <v>0</v>
      </c>
      <c r="L41" s="2423">
        <v>0</v>
      </c>
      <c r="M41" s="2446">
        <v>9.7899999999999991</v>
      </c>
      <c r="N41" s="1365">
        <f t="shared" si="0"/>
        <v>1</v>
      </c>
      <c r="O41" s="1903"/>
      <c r="P41" s="1903"/>
    </row>
    <row r="42" spans="1:16" ht="20.100000000000001" customHeight="1">
      <c r="A42" s="2410">
        <v>36</v>
      </c>
      <c r="B42" s="2441" t="s">
        <v>2874</v>
      </c>
      <c r="C42" s="2411" t="s">
        <v>2857</v>
      </c>
      <c r="D42" s="1903"/>
      <c r="E42" s="2449" t="s">
        <v>34</v>
      </c>
      <c r="F42" s="2113">
        <v>0</v>
      </c>
      <c r="G42" s="2435">
        <v>0</v>
      </c>
      <c r="H42" s="2435">
        <v>0</v>
      </c>
      <c r="I42" s="2450">
        <v>101</v>
      </c>
      <c r="J42" s="2414">
        <v>0</v>
      </c>
      <c r="K42" s="2414">
        <v>0</v>
      </c>
      <c r="L42" s="2423">
        <v>0</v>
      </c>
      <c r="M42" s="2446"/>
      <c r="N42" s="1365">
        <f t="shared" si="0"/>
        <v>101</v>
      </c>
      <c r="O42" s="1903"/>
      <c r="P42" s="1903"/>
    </row>
    <row r="43" spans="1:16" ht="20.100000000000001" customHeight="1">
      <c r="A43" s="2410">
        <v>37</v>
      </c>
      <c r="B43" s="2441" t="s">
        <v>2874</v>
      </c>
      <c r="C43" s="2411" t="s">
        <v>2857</v>
      </c>
      <c r="D43" s="1903"/>
      <c r="E43" s="2451" t="s">
        <v>35</v>
      </c>
      <c r="F43" s="2113">
        <v>0</v>
      </c>
      <c r="G43" s="2435">
        <v>0</v>
      </c>
      <c r="H43" s="2435">
        <v>0</v>
      </c>
      <c r="I43" s="2435">
        <v>0</v>
      </c>
      <c r="J43" s="2452">
        <v>1690</v>
      </c>
      <c r="K43" s="2414">
        <v>0</v>
      </c>
      <c r="L43" s="2423">
        <v>0</v>
      </c>
      <c r="M43" s="2446">
        <v>2304802.44</v>
      </c>
      <c r="N43" s="1365">
        <f t="shared" si="0"/>
        <v>1690</v>
      </c>
      <c r="O43" s="1903"/>
      <c r="P43" s="1903"/>
    </row>
    <row r="44" spans="1:16" ht="20.100000000000001" customHeight="1">
      <c r="A44" s="2410">
        <v>38</v>
      </c>
      <c r="B44" s="2441" t="s">
        <v>2874</v>
      </c>
      <c r="C44" s="2411" t="s">
        <v>2857</v>
      </c>
      <c r="D44" s="1903"/>
      <c r="E44" s="2449" t="s">
        <v>52</v>
      </c>
      <c r="F44" s="2113">
        <v>0</v>
      </c>
      <c r="G44" s="2113">
        <v>254</v>
      </c>
      <c r="H44" s="2435">
        <v>0</v>
      </c>
      <c r="I44" s="2435">
        <v>0</v>
      </c>
      <c r="J44" s="2435">
        <v>0</v>
      </c>
      <c r="K44" s="2414">
        <v>0</v>
      </c>
      <c r="L44" s="2423">
        <v>0</v>
      </c>
      <c r="M44" s="2114"/>
      <c r="N44" s="1365">
        <f t="shared" si="0"/>
        <v>254</v>
      </c>
      <c r="O44" s="1903"/>
      <c r="P44" s="1903"/>
    </row>
    <row r="45" spans="1:16" ht="20.100000000000001" customHeight="1">
      <c r="A45" s="2410">
        <v>39</v>
      </c>
      <c r="B45" s="2441" t="s">
        <v>2874</v>
      </c>
      <c r="C45" s="2411" t="s">
        <v>2857</v>
      </c>
      <c r="D45" s="1903"/>
      <c r="E45" s="2449" t="s">
        <v>2882</v>
      </c>
      <c r="F45" s="2113">
        <v>95</v>
      </c>
      <c r="G45" s="2113">
        <v>0</v>
      </c>
      <c r="H45" s="2435">
        <v>0</v>
      </c>
      <c r="I45" s="2435">
        <v>0</v>
      </c>
      <c r="J45" s="2435">
        <v>0</v>
      </c>
      <c r="K45" s="2414">
        <v>0</v>
      </c>
      <c r="L45" s="2423">
        <v>0</v>
      </c>
      <c r="M45" s="2114"/>
      <c r="N45" s="1365">
        <f t="shared" si="0"/>
        <v>95</v>
      </c>
      <c r="O45" s="1903"/>
      <c r="P45" s="1903"/>
    </row>
    <row r="46" spans="1:16" ht="20.100000000000001" customHeight="1">
      <c r="A46" s="2410">
        <v>40</v>
      </c>
      <c r="B46" s="2441" t="s">
        <v>2874</v>
      </c>
      <c r="C46" s="2411" t="s">
        <v>2857</v>
      </c>
      <c r="D46" s="1903"/>
      <c r="E46" s="2449" t="s">
        <v>2883</v>
      </c>
      <c r="F46" s="2113">
        <v>0</v>
      </c>
      <c r="G46" s="2113">
        <v>0</v>
      </c>
      <c r="H46" s="2435">
        <v>0</v>
      </c>
      <c r="I46" s="2435">
        <v>0</v>
      </c>
      <c r="J46" s="2435">
        <v>0</v>
      </c>
      <c r="K46" s="2414">
        <v>0</v>
      </c>
      <c r="L46" s="2119">
        <v>1</v>
      </c>
      <c r="M46" s="2114">
        <v>1000</v>
      </c>
      <c r="N46" s="1365">
        <f t="shared" si="0"/>
        <v>1</v>
      </c>
      <c r="O46" s="1903"/>
      <c r="P46" s="1903"/>
    </row>
    <row r="47" spans="1:16" ht="20.100000000000001" customHeight="1">
      <c r="A47" s="2410">
        <v>41</v>
      </c>
      <c r="B47" s="2441" t="s">
        <v>2874</v>
      </c>
      <c r="C47" s="2411" t="s">
        <v>2857</v>
      </c>
      <c r="D47" s="1903"/>
      <c r="E47" s="2449" t="s">
        <v>792</v>
      </c>
      <c r="F47" s="2113">
        <v>0</v>
      </c>
      <c r="G47" s="2113">
        <v>0</v>
      </c>
      <c r="H47" s="2435">
        <v>0</v>
      </c>
      <c r="I47" s="2435">
        <v>0</v>
      </c>
      <c r="J47" s="2435">
        <v>0</v>
      </c>
      <c r="K47" s="2414">
        <v>0</v>
      </c>
      <c r="L47" s="2443">
        <v>12</v>
      </c>
      <c r="M47" s="2453"/>
      <c r="N47" s="1365">
        <f t="shared" si="0"/>
        <v>12</v>
      </c>
      <c r="O47" s="1903"/>
      <c r="P47" s="1903"/>
    </row>
    <row r="48" spans="1:16" ht="20.100000000000001" customHeight="1">
      <c r="A48" s="2410">
        <v>42</v>
      </c>
      <c r="B48" s="2441" t="s">
        <v>2874</v>
      </c>
      <c r="C48" s="2411" t="s">
        <v>2857</v>
      </c>
      <c r="D48" s="1903"/>
      <c r="E48" s="2449" t="s">
        <v>196</v>
      </c>
      <c r="F48" s="2113">
        <v>0</v>
      </c>
      <c r="G48" s="2113">
        <v>0</v>
      </c>
      <c r="H48" s="2435">
        <v>0</v>
      </c>
      <c r="I48" s="2435">
        <v>0</v>
      </c>
      <c r="J48" s="2435">
        <v>0</v>
      </c>
      <c r="K48" s="2414">
        <v>0</v>
      </c>
      <c r="L48" s="2454">
        <v>11</v>
      </c>
      <c r="M48" s="2453"/>
      <c r="N48" s="1365">
        <f t="shared" si="0"/>
        <v>11</v>
      </c>
      <c r="O48" s="1903"/>
      <c r="P48" s="1903"/>
    </row>
    <row r="49" spans="1:16" ht="20.100000000000001" customHeight="1">
      <c r="A49" s="2410">
        <v>43</v>
      </c>
      <c r="B49" s="2441" t="s">
        <v>2874</v>
      </c>
      <c r="C49" s="2411" t="s">
        <v>2857</v>
      </c>
      <c r="D49" s="1903"/>
      <c r="E49" s="2455" t="s">
        <v>179</v>
      </c>
      <c r="F49" s="2113">
        <v>0</v>
      </c>
      <c r="G49" s="2113">
        <v>0</v>
      </c>
      <c r="H49" s="2435">
        <v>0</v>
      </c>
      <c r="I49" s="2435">
        <v>0</v>
      </c>
      <c r="J49" s="2435">
        <v>0</v>
      </c>
      <c r="K49" s="2414">
        <v>0</v>
      </c>
      <c r="L49" s="2456">
        <v>2</v>
      </c>
      <c r="M49" s="2457"/>
      <c r="N49" s="1365">
        <f t="shared" si="0"/>
        <v>0</v>
      </c>
      <c r="O49" s="1903">
        <v>2</v>
      </c>
      <c r="P49" s="1903"/>
    </row>
    <row r="50" spans="1:16" ht="20.100000000000001" customHeight="1">
      <c r="A50" s="2410">
        <v>44</v>
      </c>
      <c r="B50" s="2441" t="s">
        <v>2874</v>
      </c>
      <c r="C50" s="2411" t="s">
        <v>2857</v>
      </c>
      <c r="D50" s="1903"/>
      <c r="E50" s="2458" t="s">
        <v>2884</v>
      </c>
      <c r="F50" s="2113">
        <v>0</v>
      </c>
      <c r="G50" s="2113">
        <v>0</v>
      </c>
      <c r="H50" s="2435">
        <v>0</v>
      </c>
      <c r="I50" s="2435">
        <v>0</v>
      </c>
      <c r="J50" s="2435">
        <v>0</v>
      </c>
      <c r="K50" s="2414">
        <v>0</v>
      </c>
      <c r="L50" s="2112">
        <v>11</v>
      </c>
      <c r="M50" s="2459"/>
      <c r="N50" s="1365">
        <f t="shared" si="0"/>
        <v>11</v>
      </c>
      <c r="O50" s="1903"/>
      <c r="P50" s="1903"/>
    </row>
    <row r="51" spans="1:16" ht="20.100000000000001" customHeight="1">
      <c r="A51" s="2410">
        <v>45</v>
      </c>
      <c r="B51" s="2460" t="s">
        <v>2885</v>
      </c>
      <c r="C51" s="2461" t="s">
        <v>2886</v>
      </c>
      <c r="D51" s="2462"/>
      <c r="E51" s="2442" t="s">
        <v>118</v>
      </c>
      <c r="F51" s="2113">
        <v>0</v>
      </c>
      <c r="G51" s="2113">
        <v>0</v>
      </c>
      <c r="H51" s="2435">
        <v>0</v>
      </c>
      <c r="I51" s="2435">
        <v>0</v>
      </c>
      <c r="J51" s="2435">
        <v>0</v>
      </c>
      <c r="K51" s="2414">
        <v>0</v>
      </c>
      <c r="L51" s="2443">
        <v>1</v>
      </c>
      <c r="M51" s="2114">
        <v>41250</v>
      </c>
      <c r="N51" s="1365">
        <f t="shared" si="0"/>
        <v>1</v>
      </c>
      <c r="O51" s="1903"/>
      <c r="P51" s="1903"/>
    </row>
    <row r="52" spans="1:16" ht="20.100000000000001" customHeight="1">
      <c r="A52" s="2410">
        <v>46</v>
      </c>
      <c r="B52" s="2460" t="s">
        <v>2885</v>
      </c>
      <c r="C52" s="2461" t="s">
        <v>2886</v>
      </c>
      <c r="D52" s="2463"/>
      <c r="E52" s="2444" t="s">
        <v>119</v>
      </c>
      <c r="F52" s="2113">
        <v>0</v>
      </c>
      <c r="G52" s="2113">
        <v>0</v>
      </c>
      <c r="H52" s="2464">
        <v>1</v>
      </c>
      <c r="I52" s="2435">
        <v>0</v>
      </c>
      <c r="J52" s="2435">
        <v>0</v>
      </c>
      <c r="K52" s="2414">
        <v>0</v>
      </c>
      <c r="L52" s="2423">
        <v>0</v>
      </c>
      <c r="M52" s="2446">
        <v>1775909.76</v>
      </c>
      <c r="N52" s="1365">
        <f t="shared" si="0"/>
        <v>0</v>
      </c>
      <c r="O52" s="1903">
        <v>1</v>
      </c>
      <c r="P52" s="1903"/>
    </row>
    <row r="53" spans="1:16" ht="20.100000000000001" customHeight="1">
      <c r="A53" s="2410">
        <v>47</v>
      </c>
      <c r="B53" s="2460" t="s">
        <v>2885</v>
      </c>
      <c r="C53" s="2461" t="s">
        <v>2886</v>
      </c>
      <c r="D53" s="2463"/>
      <c r="E53" s="2444" t="s">
        <v>49</v>
      </c>
      <c r="F53" s="2113">
        <v>0</v>
      </c>
      <c r="G53" s="2113">
        <v>0</v>
      </c>
      <c r="H53" s="2465">
        <v>1</v>
      </c>
      <c r="I53" s="2435">
        <v>0</v>
      </c>
      <c r="J53" s="2435">
        <v>0</v>
      </c>
      <c r="K53" s="2414">
        <v>0</v>
      </c>
      <c r="L53" s="2423">
        <v>0</v>
      </c>
      <c r="M53" s="2446">
        <v>41567415.469999999</v>
      </c>
      <c r="N53" s="1365">
        <f t="shared" si="0"/>
        <v>1</v>
      </c>
      <c r="O53" s="1903"/>
      <c r="P53" s="1903"/>
    </row>
    <row r="54" spans="1:16" ht="20.100000000000001" customHeight="1">
      <c r="A54" s="2410">
        <v>48</v>
      </c>
      <c r="B54" s="2460" t="s">
        <v>2885</v>
      </c>
      <c r="C54" s="2461" t="s">
        <v>2886</v>
      </c>
      <c r="D54" s="2463"/>
      <c r="E54" s="2444" t="s">
        <v>32</v>
      </c>
      <c r="F54" s="2113">
        <v>0</v>
      </c>
      <c r="G54" s="2113">
        <v>0</v>
      </c>
      <c r="H54" s="2465">
        <v>1</v>
      </c>
      <c r="I54" s="2435">
        <v>0</v>
      </c>
      <c r="J54" s="2435">
        <v>0</v>
      </c>
      <c r="K54" s="2414">
        <v>0</v>
      </c>
      <c r="L54" s="2423">
        <v>0</v>
      </c>
      <c r="M54" s="2446">
        <v>110136.56</v>
      </c>
      <c r="N54" s="1365">
        <f t="shared" si="0"/>
        <v>1</v>
      </c>
      <c r="O54" s="1903"/>
      <c r="P54" s="1903"/>
    </row>
    <row r="55" spans="1:16" ht="20.100000000000001" customHeight="1">
      <c r="A55" s="2410">
        <v>49</v>
      </c>
      <c r="B55" s="2460" t="s">
        <v>2885</v>
      </c>
      <c r="C55" s="2461" t="s">
        <v>2886</v>
      </c>
      <c r="D55" s="2462"/>
      <c r="E55" s="2449" t="s">
        <v>34</v>
      </c>
      <c r="F55" s="2113">
        <v>0</v>
      </c>
      <c r="G55" s="2113">
        <v>0</v>
      </c>
      <c r="H55" s="2113">
        <v>0</v>
      </c>
      <c r="I55" s="2466">
        <v>9</v>
      </c>
      <c r="J55" s="2435">
        <v>0</v>
      </c>
      <c r="K55" s="2414">
        <v>0</v>
      </c>
      <c r="L55" s="2423">
        <v>0</v>
      </c>
      <c r="M55" s="2467"/>
      <c r="N55" s="1365">
        <f t="shared" si="0"/>
        <v>0</v>
      </c>
      <c r="O55" s="1903">
        <v>9</v>
      </c>
      <c r="P55" s="1903"/>
    </row>
    <row r="56" spans="1:16" ht="20.100000000000001" customHeight="1">
      <c r="A56" s="2410">
        <v>50</v>
      </c>
      <c r="B56" s="2460" t="s">
        <v>2885</v>
      </c>
      <c r="C56" s="2461" t="s">
        <v>2886</v>
      </c>
      <c r="D56" s="2462"/>
      <c r="E56" s="2451" t="s">
        <v>35</v>
      </c>
      <c r="F56" s="2113">
        <v>0</v>
      </c>
      <c r="G56" s="2113">
        <v>0</v>
      </c>
      <c r="H56" s="2113">
        <v>0</v>
      </c>
      <c r="I56" s="2113">
        <v>0</v>
      </c>
      <c r="J56" s="2452">
        <v>469</v>
      </c>
      <c r="K56" s="2414">
        <v>0</v>
      </c>
      <c r="L56" s="2423">
        <v>0</v>
      </c>
      <c r="M56" s="2446">
        <v>198650</v>
      </c>
      <c r="N56" s="1365">
        <f t="shared" si="0"/>
        <v>464</v>
      </c>
      <c r="O56" s="1903">
        <v>5</v>
      </c>
      <c r="P56" s="1903"/>
    </row>
    <row r="57" spans="1:16" ht="20.100000000000001" customHeight="1">
      <c r="A57" s="2410">
        <v>51</v>
      </c>
      <c r="B57" s="2460" t="s">
        <v>2885</v>
      </c>
      <c r="C57" s="2461" t="s">
        <v>2886</v>
      </c>
      <c r="D57" s="2462"/>
      <c r="E57" s="2468" t="s">
        <v>2887</v>
      </c>
      <c r="F57" s="2113">
        <v>0</v>
      </c>
      <c r="G57" s="2113">
        <v>0</v>
      </c>
      <c r="H57" s="2113">
        <v>0</v>
      </c>
      <c r="I57" s="2113">
        <v>0</v>
      </c>
      <c r="J57" s="2113">
        <v>0</v>
      </c>
      <c r="K57" s="2414">
        <v>0</v>
      </c>
      <c r="L57" s="2469">
        <v>4</v>
      </c>
      <c r="M57" s="2114">
        <v>900000</v>
      </c>
      <c r="N57" s="1365">
        <f t="shared" si="0"/>
        <v>0</v>
      </c>
      <c r="O57" s="1903">
        <v>4</v>
      </c>
      <c r="P57" s="1903"/>
    </row>
    <row r="58" spans="1:16" ht="20.100000000000001" customHeight="1">
      <c r="A58" s="2410">
        <v>52</v>
      </c>
      <c r="B58" s="2460" t="s">
        <v>2885</v>
      </c>
      <c r="C58" s="2461" t="s">
        <v>2886</v>
      </c>
      <c r="D58" s="2463"/>
      <c r="E58" s="2444" t="s">
        <v>2089</v>
      </c>
      <c r="F58" s="2113">
        <v>0</v>
      </c>
      <c r="G58" s="2113">
        <v>0</v>
      </c>
      <c r="H58" s="2470">
        <v>1</v>
      </c>
      <c r="I58" s="2113">
        <v>0</v>
      </c>
      <c r="J58" s="2113">
        <v>0</v>
      </c>
      <c r="K58" s="2414">
        <v>0</v>
      </c>
      <c r="L58" s="2423">
        <v>0</v>
      </c>
      <c r="M58" s="2060">
        <v>1257540.47</v>
      </c>
      <c r="N58" s="1365">
        <f t="shared" si="0"/>
        <v>0</v>
      </c>
      <c r="O58" s="1903">
        <v>1</v>
      </c>
      <c r="P58" s="1903"/>
    </row>
    <row r="59" spans="1:16" ht="20.100000000000001" customHeight="1">
      <c r="A59" s="2410">
        <v>53</v>
      </c>
      <c r="B59" s="2460" t="s">
        <v>2885</v>
      </c>
      <c r="C59" s="2461" t="s">
        <v>2886</v>
      </c>
      <c r="D59" s="2463"/>
      <c r="E59" s="2444" t="s">
        <v>50</v>
      </c>
      <c r="F59" s="2113">
        <v>0</v>
      </c>
      <c r="G59" s="2113">
        <v>0</v>
      </c>
      <c r="H59" s="2471">
        <v>1</v>
      </c>
      <c r="I59" s="2113">
        <v>0</v>
      </c>
      <c r="J59" s="2113">
        <v>0</v>
      </c>
      <c r="K59" s="2414">
        <v>0</v>
      </c>
      <c r="L59" s="2423">
        <v>0</v>
      </c>
      <c r="M59" s="2459">
        <v>612.75</v>
      </c>
      <c r="N59" s="1365">
        <f t="shared" si="0"/>
        <v>1</v>
      </c>
      <c r="O59" s="1903"/>
      <c r="P59" s="1903"/>
    </row>
    <row r="60" spans="1:16" ht="20.100000000000001" customHeight="1">
      <c r="A60" s="2410">
        <v>54</v>
      </c>
      <c r="B60" s="2460" t="s">
        <v>2885</v>
      </c>
      <c r="C60" s="2461" t="s">
        <v>2886</v>
      </c>
      <c r="D60" s="2461"/>
      <c r="E60" s="2449" t="s">
        <v>52</v>
      </c>
      <c r="F60" s="2113">
        <v>0</v>
      </c>
      <c r="G60" s="2472">
        <v>314</v>
      </c>
      <c r="H60" s="2113">
        <v>0</v>
      </c>
      <c r="I60" s="2113">
        <v>0</v>
      </c>
      <c r="J60" s="2113">
        <v>0</v>
      </c>
      <c r="K60" s="2414">
        <v>0</v>
      </c>
      <c r="L60" s="2423">
        <v>0</v>
      </c>
      <c r="M60" s="2114"/>
      <c r="N60" s="1365">
        <f t="shared" si="0"/>
        <v>311</v>
      </c>
      <c r="O60" s="1903">
        <v>3</v>
      </c>
      <c r="P60" s="1903"/>
    </row>
    <row r="61" spans="1:16" ht="20.100000000000001" customHeight="1">
      <c r="A61" s="2410">
        <v>55</v>
      </c>
      <c r="B61" s="2460"/>
      <c r="C61" s="2461"/>
      <c r="D61" s="2461"/>
      <c r="E61" s="2449" t="s">
        <v>2888</v>
      </c>
      <c r="F61" s="2113">
        <v>67</v>
      </c>
      <c r="G61" s="2113">
        <v>0</v>
      </c>
      <c r="H61" s="2113">
        <v>0</v>
      </c>
      <c r="I61" s="2113">
        <v>0</v>
      </c>
      <c r="J61" s="2113">
        <v>0</v>
      </c>
      <c r="K61" s="2414">
        <v>0</v>
      </c>
      <c r="L61" s="2423">
        <v>0</v>
      </c>
      <c r="M61" s="2114"/>
      <c r="N61" s="1365">
        <f t="shared" si="0"/>
        <v>67</v>
      </c>
      <c r="O61" s="1903"/>
      <c r="P61" s="1903"/>
    </row>
    <row r="62" spans="1:16" ht="20.100000000000001" customHeight="1">
      <c r="A62" s="2410">
        <v>56</v>
      </c>
      <c r="B62" s="2460" t="s">
        <v>2885</v>
      </c>
      <c r="C62" s="2461" t="s">
        <v>2886</v>
      </c>
      <c r="D62" s="2441"/>
      <c r="E62" s="2449" t="s">
        <v>2118</v>
      </c>
      <c r="F62" s="2113">
        <v>0</v>
      </c>
      <c r="G62" s="2113">
        <v>0</v>
      </c>
      <c r="H62" s="2113">
        <v>0</v>
      </c>
      <c r="I62" s="2113">
        <v>0</v>
      </c>
      <c r="J62" s="2113">
        <v>0</v>
      </c>
      <c r="K62" s="2414">
        <v>0</v>
      </c>
      <c r="L62" s="2473">
        <v>14</v>
      </c>
      <c r="M62" s="2474"/>
      <c r="N62" s="1365">
        <f t="shared" si="0"/>
        <v>0</v>
      </c>
      <c r="O62" s="1903">
        <v>14</v>
      </c>
      <c r="P62" s="1903"/>
    </row>
    <row r="63" spans="1:16" ht="20.100000000000001" customHeight="1">
      <c r="A63" s="2410">
        <v>57</v>
      </c>
      <c r="B63" s="2460" t="s">
        <v>2885</v>
      </c>
      <c r="C63" s="2461" t="s">
        <v>2886</v>
      </c>
      <c r="D63" s="2413"/>
      <c r="E63" s="2444" t="s">
        <v>2889</v>
      </c>
      <c r="F63" s="2113">
        <v>0</v>
      </c>
      <c r="G63" s="2113">
        <v>0</v>
      </c>
      <c r="H63" s="2475">
        <v>1</v>
      </c>
      <c r="I63" s="2113">
        <v>0</v>
      </c>
      <c r="J63" s="2113">
        <v>0</v>
      </c>
      <c r="K63" s="2414">
        <v>0</v>
      </c>
      <c r="L63" s="2423">
        <v>0</v>
      </c>
      <c r="M63" s="2476">
        <v>7</v>
      </c>
      <c r="N63" s="1365">
        <f t="shared" si="0"/>
        <v>1</v>
      </c>
      <c r="O63" s="1903"/>
      <c r="P63" s="1903"/>
    </row>
    <row r="64" spans="1:16" ht="20.100000000000001" customHeight="1">
      <c r="A64" s="2410">
        <v>58</v>
      </c>
      <c r="B64" s="2460" t="s">
        <v>2885</v>
      </c>
      <c r="C64" s="2461" t="s">
        <v>2886</v>
      </c>
      <c r="D64" s="2441"/>
      <c r="E64" s="2459" t="s">
        <v>2087</v>
      </c>
      <c r="F64" s="2113">
        <v>0</v>
      </c>
      <c r="G64" s="2113">
        <v>0</v>
      </c>
      <c r="H64" s="2113">
        <v>0</v>
      </c>
      <c r="I64" s="2113">
        <v>0</v>
      </c>
      <c r="J64" s="2113">
        <v>0</v>
      </c>
      <c r="K64" s="2414">
        <v>0</v>
      </c>
      <c r="L64" s="2477">
        <v>5</v>
      </c>
      <c r="M64" s="2476">
        <v>300000</v>
      </c>
      <c r="N64" s="1365">
        <f t="shared" si="0"/>
        <v>3</v>
      </c>
      <c r="O64" s="1903">
        <v>2</v>
      </c>
      <c r="P64" s="1903"/>
    </row>
    <row r="65" spans="1:16" ht="20.100000000000001" customHeight="1">
      <c r="A65" s="2410">
        <v>59</v>
      </c>
      <c r="B65" s="2460" t="s">
        <v>2885</v>
      </c>
      <c r="C65" s="2461" t="s">
        <v>2886</v>
      </c>
      <c r="D65" s="2441"/>
      <c r="E65" s="2478" t="s">
        <v>2890</v>
      </c>
      <c r="F65" s="2113">
        <v>0</v>
      </c>
      <c r="G65" s="2113">
        <v>0</v>
      </c>
      <c r="H65" s="2113">
        <v>0</v>
      </c>
      <c r="I65" s="2113">
        <v>0</v>
      </c>
      <c r="J65" s="2113">
        <v>0</v>
      </c>
      <c r="K65" s="2414">
        <v>0</v>
      </c>
      <c r="L65" s="2445">
        <v>1</v>
      </c>
      <c r="M65" s="2459">
        <v>184717.67</v>
      </c>
      <c r="N65" s="1365">
        <f t="shared" si="0"/>
        <v>1</v>
      </c>
      <c r="O65" s="1903"/>
      <c r="P65" s="1903"/>
    </row>
    <row r="66" spans="1:16" ht="20.100000000000001" customHeight="1">
      <c r="A66" s="2410">
        <v>60</v>
      </c>
      <c r="B66" s="2441" t="s">
        <v>2891</v>
      </c>
      <c r="C66" s="2461" t="s">
        <v>2886</v>
      </c>
      <c r="D66" s="1903"/>
      <c r="E66" s="2479" t="s">
        <v>2892</v>
      </c>
      <c r="F66" s="2113">
        <v>0</v>
      </c>
      <c r="G66" s="2113">
        <v>0</v>
      </c>
      <c r="H66" s="2113">
        <v>0</v>
      </c>
      <c r="I66" s="2113">
        <v>0</v>
      </c>
      <c r="J66" s="2113">
        <v>0</v>
      </c>
      <c r="K66" s="2414">
        <v>0</v>
      </c>
      <c r="L66" s="2480">
        <v>1</v>
      </c>
      <c r="M66" s="2481">
        <v>5350</v>
      </c>
      <c r="N66" s="1365">
        <f t="shared" si="0"/>
        <v>1</v>
      </c>
      <c r="O66" s="1903"/>
      <c r="P66" s="1903"/>
    </row>
    <row r="67" spans="1:16" ht="20.100000000000001" customHeight="1">
      <c r="A67" s="2410">
        <v>61</v>
      </c>
      <c r="B67" s="2441" t="s">
        <v>2891</v>
      </c>
      <c r="C67" s="2461" t="s">
        <v>2886</v>
      </c>
      <c r="D67" s="1903"/>
      <c r="E67" s="2479" t="s">
        <v>2893</v>
      </c>
      <c r="F67" s="2113">
        <v>0</v>
      </c>
      <c r="G67" s="2113">
        <v>0</v>
      </c>
      <c r="H67" s="2113">
        <v>0</v>
      </c>
      <c r="I67" s="2113">
        <v>0</v>
      </c>
      <c r="J67" s="2113">
        <v>0</v>
      </c>
      <c r="K67" s="2414">
        <v>0</v>
      </c>
      <c r="L67" s="2480">
        <v>1</v>
      </c>
      <c r="M67" s="2481">
        <v>2122985.52</v>
      </c>
      <c r="N67" s="1365">
        <f t="shared" si="0"/>
        <v>1</v>
      </c>
      <c r="O67" s="1903"/>
      <c r="P67" s="1903"/>
    </row>
    <row r="68" spans="1:16" ht="20.100000000000001" customHeight="1">
      <c r="A68" s="2410">
        <v>62</v>
      </c>
      <c r="B68" s="2441" t="s">
        <v>2891</v>
      </c>
      <c r="C68" s="2461" t="s">
        <v>2886</v>
      </c>
      <c r="D68" s="1903"/>
      <c r="E68" s="2482" t="s">
        <v>2894</v>
      </c>
      <c r="F68" s="2113">
        <v>0</v>
      </c>
      <c r="G68" s="2113">
        <v>0</v>
      </c>
      <c r="H68" s="2113">
        <v>0</v>
      </c>
      <c r="I68" s="2113">
        <v>0</v>
      </c>
      <c r="J68" s="2113">
        <v>0</v>
      </c>
      <c r="K68" s="2414">
        <v>0</v>
      </c>
      <c r="L68" s="2480">
        <v>1</v>
      </c>
      <c r="M68" s="2483">
        <v>2000</v>
      </c>
      <c r="N68" s="1365">
        <f t="shared" si="0"/>
        <v>1</v>
      </c>
      <c r="O68" s="1903"/>
      <c r="P68" s="1903"/>
    </row>
    <row r="69" spans="1:16" ht="20.100000000000001" customHeight="1">
      <c r="A69" s="2410">
        <v>63</v>
      </c>
      <c r="B69" s="2441" t="s">
        <v>2891</v>
      </c>
      <c r="C69" s="2461" t="s">
        <v>2886</v>
      </c>
      <c r="D69" s="1903"/>
      <c r="E69" s="2482" t="s">
        <v>2895</v>
      </c>
      <c r="F69" s="2113">
        <v>0</v>
      </c>
      <c r="G69" s="2113">
        <v>0</v>
      </c>
      <c r="H69" s="2479">
        <v>1</v>
      </c>
      <c r="I69" s="2113">
        <v>0</v>
      </c>
      <c r="J69" s="2113">
        <v>0</v>
      </c>
      <c r="K69" s="2414">
        <v>0</v>
      </c>
      <c r="L69" s="2423">
        <v>0</v>
      </c>
      <c r="M69" s="2484">
        <v>2425767.7400000002</v>
      </c>
      <c r="N69" s="1365">
        <f t="shared" si="0"/>
        <v>1</v>
      </c>
      <c r="O69" s="1903"/>
      <c r="P69" s="1903"/>
    </row>
    <row r="70" spans="1:16" ht="20.100000000000001" customHeight="1">
      <c r="A70" s="2410">
        <v>64</v>
      </c>
      <c r="B70" s="2441" t="s">
        <v>2891</v>
      </c>
      <c r="C70" s="2461" t="s">
        <v>2886</v>
      </c>
      <c r="D70" s="1903"/>
      <c r="E70" s="2482" t="s">
        <v>899</v>
      </c>
      <c r="F70" s="2113">
        <v>0</v>
      </c>
      <c r="G70" s="2113">
        <v>0</v>
      </c>
      <c r="H70" s="2479">
        <v>1</v>
      </c>
      <c r="I70" s="2113">
        <v>0</v>
      </c>
      <c r="J70" s="2113">
        <v>0</v>
      </c>
      <c r="K70" s="2414">
        <v>0</v>
      </c>
      <c r="L70" s="2423">
        <v>0</v>
      </c>
      <c r="M70" s="2483">
        <v>8067374.3300000001</v>
      </c>
      <c r="N70" s="1365">
        <f t="shared" si="0"/>
        <v>1</v>
      </c>
      <c r="O70" s="1903"/>
      <c r="P70" s="1903"/>
    </row>
    <row r="71" spans="1:16" ht="20.100000000000001" customHeight="1">
      <c r="A71" s="2410">
        <v>65</v>
      </c>
      <c r="B71" s="2441" t="s">
        <v>2891</v>
      </c>
      <c r="C71" s="2461" t="s">
        <v>2886</v>
      </c>
      <c r="D71" s="1903"/>
      <c r="E71" s="2059" t="s">
        <v>35</v>
      </c>
      <c r="F71" s="2113">
        <v>0</v>
      </c>
      <c r="G71" s="2113">
        <v>0</v>
      </c>
      <c r="H71" s="2113">
        <v>0</v>
      </c>
      <c r="I71" s="2113">
        <v>0</v>
      </c>
      <c r="J71" s="2485">
        <v>2000</v>
      </c>
      <c r="K71" s="2414">
        <v>0</v>
      </c>
      <c r="L71" s="2423">
        <v>0</v>
      </c>
      <c r="M71" s="2481"/>
      <c r="N71" s="1365">
        <f t="shared" si="0"/>
        <v>1828</v>
      </c>
      <c r="O71" s="1903">
        <v>172</v>
      </c>
      <c r="P71" s="1903"/>
    </row>
    <row r="72" spans="1:16" ht="20.100000000000001" customHeight="1">
      <c r="A72" s="2410">
        <v>66</v>
      </c>
      <c r="B72" s="2441" t="s">
        <v>2891</v>
      </c>
      <c r="C72" s="2461" t="s">
        <v>2886</v>
      </c>
      <c r="D72" s="1903"/>
      <c r="E72" s="2486" t="s">
        <v>2896</v>
      </c>
      <c r="F72" s="2113">
        <v>0</v>
      </c>
      <c r="G72" s="2113">
        <v>0</v>
      </c>
      <c r="H72" s="2113">
        <v>0</v>
      </c>
      <c r="I72" s="2113">
        <v>0</v>
      </c>
      <c r="J72" s="2113">
        <v>0</v>
      </c>
      <c r="K72" s="2414">
        <v>0</v>
      </c>
      <c r="L72" s="2487">
        <v>1</v>
      </c>
      <c r="M72" s="2488">
        <v>19234.5</v>
      </c>
      <c r="N72" s="1365">
        <f t="shared" ref="N72:N135" si="1">F72+G72+H72+I72+J72+K72+L72-O72</f>
        <v>0</v>
      </c>
      <c r="O72" s="1903">
        <v>1</v>
      </c>
      <c r="P72" s="1903"/>
    </row>
    <row r="73" spans="1:16" ht="20.100000000000001" customHeight="1">
      <c r="A73" s="2410">
        <v>67</v>
      </c>
      <c r="B73" s="2441" t="s">
        <v>2891</v>
      </c>
      <c r="C73" s="2461" t="s">
        <v>2886</v>
      </c>
      <c r="D73" s="1903"/>
      <c r="E73" s="2489" t="s">
        <v>52</v>
      </c>
      <c r="F73" s="2113">
        <v>0</v>
      </c>
      <c r="G73" s="2490">
        <v>120</v>
      </c>
      <c r="H73" s="2113">
        <v>0</v>
      </c>
      <c r="I73" s="2113">
        <v>0</v>
      </c>
      <c r="J73" s="2113">
        <v>0</v>
      </c>
      <c r="K73" s="2414">
        <v>0</v>
      </c>
      <c r="L73" s="2423">
        <v>0</v>
      </c>
      <c r="M73" s="2481"/>
      <c r="N73" s="1365">
        <f t="shared" si="1"/>
        <v>120</v>
      </c>
      <c r="O73" s="1903"/>
      <c r="P73" s="1903"/>
    </row>
    <row r="74" spans="1:16" ht="20.100000000000001" customHeight="1">
      <c r="A74" s="2410">
        <v>68</v>
      </c>
      <c r="B74" s="2491" t="s">
        <v>2897</v>
      </c>
      <c r="C74" s="2461" t="s">
        <v>2886</v>
      </c>
      <c r="D74" s="2462"/>
      <c r="E74" s="2449" t="s">
        <v>34</v>
      </c>
      <c r="F74" s="2113">
        <v>0</v>
      </c>
      <c r="G74" s="2113">
        <v>0</v>
      </c>
      <c r="H74" s="2113">
        <v>0</v>
      </c>
      <c r="I74" s="2492">
        <v>2</v>
      </c>
      <c r="J74" s="2113">
        <v>0</v>
      </c>
      <c r="K74" s="2414">
        <v>0</v>
      </c>
      <c r="L74" s="2423">
        <v>0</v>
      </c>
      <c r="M74" s="2446"/>
      <c r="N74" s="1365">
        <f t="shared" si="1"/>
        <v>2</v>
      </c>
      <c r="O74" s="1903"/>
      <c r="P74" s="1903"/>
    </row>
    <row r="75" spans="1:16" ht="20.100000000000001" customHeight="1">
      <c r="A75" s="2410">
        <v>69</v>
      </c>
      <c r="B75" s="2491" t="s">
        <v>2897</v>
      </c>
      <c r="C75" s="2461" t="s">
        <v>2886</v>
      </c>
      <c r="D75" s="2461"/>
      <c r="E75" s="2449" t="s">
        <v>52</v>
      </c>
      <c r="F75" s="2113">
        <v>0</v>
      </c>
      <c r="G75" s="1959">
        <v>369</v>
      </c>
      <c r="H75" s="2113">
        <v>0</v>
      </c>
      <c r="I75" s="2113">
        <v>0</v>
      </c>
      <c r="J75" s="2113">
        <v>0</v>
      </c>
      <c r="K75" s="2414">
        <v>0</v>
      </c>
      <c r="L75" s="2423">
        <v>0</v>
      </c>
      <c r="M75" s="2114"/>
      <c r="N75" s="1365">
        <f t="shared" si="1"/>
        <v>352</v>
      </c>
      <c r="O75" s="1903">
        <v>17</v>
      </c>
      <c r="P75" s="1903"/>
    </row>
    <row r="76" spans="1:16" ht="20.100000000000001" customHeight="1">
      <c r="A76" s="2410">
        <v>70</v>
      </c>
      <c r="B76" s="2491" t="s">
        <v>2897</v>
      </c>
      <c r="C76" s="2461"/>
      <c r="D76" s="2461"/>
      <c r="E76" s="2449" t="s">
        <v>2898</v>
      </c>
      <c r="F76" s="2493">
        <v>65</v>
      </c>
      <c r="G76" s="2113">
        <v>0</v>
      </c>
      <c r="H76" s="2113">
        <v>0</v>
      </c>
      <c r="I76" s="2113">
        <v>0</v>
      </c>
      <c r="J76" s="2113">
        <v>0</v>
      </c>
      <c r="K76" s="2414">
        <v>0</v>
      </c>
      <c r="L76" s="2423">
        <v>0</v>
      </c>
      <c r="M76" s="2114"/>
      <c r="N76" s="1365">
        <f t="shared" si="1"/>
        <v>65</v>
      </c>
      <c r="O76" s="1903"/>
      <c r="P76" s="1903"/>
    </row>
    <row r="77" spans="1:16" ht="20.100000000000001" customHeight="1">
      <c r="A77" s="2410">
        <v>71</v>
      </c>
      <c r="B77" s="2491" t="s">
        <v>2897</v>
      </c>
      <c r="C77" s="2461" t="s">
        <v>2886</v>
      </c>
      <c r="D77" s="2461"/>
      <c r="E77" s="2449" t="s">
        <v>2899</v>
      </c>
      <c r="F77" s="2494">
        <v>0</v>
      </c>
      <c r="G77" s="2113">
        <v>0</v>
      </c>
      <c r="H77" s="2113">
        <v>0</v>
      </c>
      <c r="I77" s="2113">
        <v>0</v>
      </c>
      <c r="J77" s="2113">
        <v>0</v>
      </c>
      <c r="K77" s="2414">
        <v>0</v>
      </c>
      <c r="L77" s="2495">
        <v>1</v>
      </c>
      <c r="M77" s="2453"/>
      <c r="N77" s="1365">
        <f t="shared" si="1"/>
        <v>0</v>
      </c>
      <c r="O77" s="1903">
        <v>1</v>
      </c>
      <c r="P77" s="1903"/>
    </row>
    <row r="78" spans="1:16" ht="20.100000000000001" customHeight="1">
      <c r="A78" s="2410">
        <v>72</v>
      </c>
      <c r="B78" s="2491" t="s">
        <v>2897</v>
      </c>
      <c r="C78" s="2461" t="s">
        <v>2886</v>
      </c>
      <c r="D78" s="2496"/>
      <c r="E78" s="2497" t="s">
        <v>2900</v>
      </c>
      <c r="F78" s="2494">
        <v>0</v>
      </c>
      <c r="G78" s="2113">
        <v>0</v>
      </c>
      <c r="H78" s="2113">
        <v>0</v>
      </c>
      <c r="I78" s="2113">
        <v>0</v>
      </c>
      <c r="J78" s="2113">
        <v>0</v>
      </c>
      <c r="K78" s="2414">
        <v>0</v>
      </c>
      <c r="L78" s="2454">
        <v>4</v>
      </c>
      <c r="M78" s="2116"/>
      <c r="N78" s="1365">
        <f t="shared" si="1"/>
        <v>4</v>
      </c>
      <c r="O78" s="1903"/>
      <c r="P78" s="1903"/>
    </row>
    <row r="79" spans="1:16" ht="20.100000000000001" customHeight="1">
      <c r="A79" s="2410">
        <v>73</v>
      </c>
      <c r="B79" s="2491" t="s">
        <v>2897</v>
      </c>
      <c r="C79" s="2461" t="s">
        <v>2886</v>
      </c>
      <c r="D79" s="2441"/>
      <c r="E79" s="2478" t="s">
        <v>2896</v>
      </c>
      <c r="F79" s="2494">
        <v>0</v>
      </c>
      <c r="G79" s="2113">
        <v>0</v>
      </c>
      <c r="H79" s="2113">
        <v>0</v>
      </c>
      <c r="I79" s="2113">
        <v>0</v>
      </c>
      <c r="J79" s="2113">
        <v>0</v>
      </c>
      <c r="K79" s="2414">
        <v>0</v>
      </c>
      <c r="L79" s="2498">
        <v>1</v>
      </c>
      <c r="M79" s="2499">
        <v>13188.53</v>
      </c>
      <c r="N79" s="1365">
        <f t="shared" si="1"/>
        <v>0</v>
      </c>
      <c r="O79" s="1903">
        <v>1</v>
      </c>
      <c r="P79" s="1903"/>
    </row>
    <row r="80" spans="1:16" ht="20.100000000000001" customHeight="1">
      <c r="A80" s="2410">
        <v>74</v>
      </c>
      <c r="B80" s="2491" t="s">
        <v>2897</v>
      </c>
      <c r="C80" s="2461" t="s">
        <v>2886</v>
      </c>
      <c r="D80" s="2441"/>
      <c r="E80" s="2458" t="s">
        <v>2901</v>
      </c>
      <c r="F80" s="2494">
        <v>0</v>
      </c>
      <c r="G80" s="2113">
        <v>0</v>
      </c>
      <c r="H80" s="2113">
        <v>0</v>
      </c>
      <c r="I80" s="2113">
        <v>0</v>
      </c>
      <c r="J80" s="2113">
        <v>0</v>
      </c>
      <c r="K80" s="2414">
        <v>0</v>
      </c>
      <c r="L80" s="2112">
        <v>4</v>
      </c>
      <c r="M80" s="2459"/>
      <c r="N80" s="1365">
        <f t="shared" si="1"/>
        <v>4</v>
      </c>
      <c r="O80" s="1903"/>
      <c r="P80" s="1903"/>
    </row>
    <row r="81" spans="1:16" ht="20.100000000000001" customHeight="1">
      <c r="A81" s="2410">
        <v>75</v>
      </c>
      <c r="B81" s="2491" t="s">
        <v>2897</v>
      </c>
      <c r="C81" s="2461" t="s">
        <v>2886</v>
      </c>
      <c r="D81" s="2441"/>
      <c r="E81" s="2500" t="s">
        <v>2902</v>
      </c>
      <c r="F81" s="2494">
        <v>0</v>
      </c>
      <c r="G81" s="2113">
        <v>0</v>
      </c>
      <c r="H81" s="2113">
        <v>0</v>
      </c>
      <c r="I81" s="2113">
        <v>0</v>
      </c>
      <c r="J81" s="2113">
        <v>0</v>
      </c>
      <c r="K81" s="2414">
        <v>0</v>
      </c>
      <c r="L81" s="2445">
        <v>1</v>
      </c>
      <c r="M81" s="2114">
        <v>2441.6799999999998</v>
      </c>
      <c r="N81" s="1365">
        <f t="shared" si="1"/>
        <v>1</v>
      </c>
      <c r="O81" s="1903"/>
      <c r="P81" s="1903"/>
    </row>
    <row r="82" spans="1:16" ht="20.100000000000001" customHeight="1">
      <c r="A82" s="2410">
        <v>76</v>
      </c>
      <c r="B82" s="2491" t="s">
        <v>2897</v>
      </c>
      <c r="C82" s="2461" t="s">
        <v>2886</v>
      </c>
      <c r="D82" s="2441"/>
      <c r="E82" s="2478" t="s">
        <v>2903</v>
      </c>
      <c r="F82" s="2494">
        <v>0</v>
      </c>
      <c r="G82" s="2113">
        <v>0</v>
      </c>
      <c r="H82" s="2113">
        <v>0</v>
      </c>
      <c r="I82" s="2113">
        <v>0</v>
      </c>
      <c r="J82" s="2113">
        <v>0</v>
      </c>
      <c r="K82" s="2414">
        <v>0</v>
      </c>
      <c r="L82" s="2445">
        <v>3</v>
      </c>
      <c r="M82" s="2114">
        <v>94188.53</v>
      </c>
      <c r="N82" s="1365">
        <f t="shared" si="1"/>
        <v>3</v>
      </c>
      <c r="O82" s="1903"/>
      <c r="P82" s="1903"/>
    </row>
    <row r="83" spans="1:16" ht="20.100000000000001" customHeight="1">
      <c r="A83" s="2410">
        <v>77</v>
      </c>
      <c r="B83" s="2501" t="s">
        <v>2904</v>
      </c>
      <c r="C83" s="2461" t="s">
        <v>2886</v>
      </c>
      <c r="D83" s="2463"/>
      <c r="E83" s="2444" t="s">
        <v>119</v>
      </c>
      <c r="F83" s="2494">
        <v>0</v>
      </c>
      <c r="G83" s="2113">
        <v>0</v>
      </c>
      <c r="H83" s="2445">
        <v>1</v>
      </c>
      <c r="I83" s="2113">
        <v>0</v>
      </c>
      <c r="J83" s="2113">
        <v>0</v>
      </c>
      <c r="K83" s="2414">
        <v>0</v>
      </c>
      <c r="L83" s="2423">
        <v>0</v>
      </c>
      <c r="M83" s="2447">
        <v>2134061.71</v>
      </c>
      <c r="N83" s="1365">
        <f t="shared" si="1"/>
        <v>1</v>
      </c>
      <c r="O83" s="1903"/>
      <c r="P83" s="1903"/>
    </row>
    <row r="84" spans="1:16" ht="20.100000000000001" customHeight="1">
      <c r="A84" s="2410">
        <v>78</v>
      </c>
      <c r="B84" s="2501" t="s">
        <v>2904</v>
      </c>
      <c r="C84" s="2461" t="s">
        <v>2886</v>
      </c>
      <c r="D84" s="2462"/>
      <c r="E84" s="2449" t="s">
        <v>34</v>
      </c>
      <c r="F84" s="2494">
        <v>0</v>
      </c>
      <c r="G84" s="2113">
        <v>0</v>
      </c>
      <c r="H84" s="2113">
        <v>0</v>
      </c>
      <c r="I84" s="2466">
        <v>2</v>
      </c>
      <c r="J84" s="2113">
        <v>0</v>
      </c>
      <c r="K84" s="2414">
        <v>0</v>
      </c>
      <c r="L84" s="2423">
        <v>0</v>
      </c>
      <c r="M84" s="2446"/>
      <c r="N84" s="1365">
        <f t="shared" si="1"/>
        <v>0</v>
      </c>
      <c r="O84" s="1903">
        <v>2</v>
      </c>
      <c r="P84" s="1903"/>
    </row>
    <row r="85" spans="1:16" ht="20.100000000000001" customHeight="1">
      <c r="A85" s="2410">
        <v>79</v>
      </c>
      <c r="B85" s="2501" t="s">
        <v>2904</v>
      </c>
      <c r="C85" s="2461" t="s">
        <v>2886</v>
      </c>
      <c r="D85" s="2462"/>
      <c r="E85" s="2451" t="s">
        <v>35</v>
      </c>
      <c r="F85" s="2494">
        <v>0</v>
      </c>
      <c r="G85" s="2113">
        <v>0</v>
      </c>
      <c r="H85" s="2113">
        <v>0</v>
      </c>
      <c r="I85" s="2113">
        <v>0</v>
      </c>
      <c r="J85" s="2436">
        <v>123</v>
      </c>
      <c r="K85" s="2414">
        <v>0</v>
      </c>
      <c r="L85" s="2423">
        <v>0</v>
      </c>
      <c r="M85" s="2446">
        <v>14519.31</v>
      </c>
      <c r="N85" s="1365">
        <f t="shared" si="1"/>
        <v>118</v>
      </c>
      <c r="O85" s="1903">
        <v>5</v>
      </c>
      <c r="P85" s="1903"/>
    </row>
    <row r="86" spans="1:16" ht="20.100000000000001" customHeight="1">
      <c r="A86" s="2410">
        <v>80</v>
      </c>
      <c r="B86" s="2501" t="s">
        <v>2904</v>
      </c>
      <c r="C86" s="2461" t="s">
        <v>2886</v>
      </c>
      <c r="D86" s="2462"/>
      <c r="E86" s="2502" t="s">
        <v>2887</v>
      </c>
      <c r="F86" s="2494">
        <v>0</v>
      </c>
      <c r="G86" s="2113">
        <v>0</v>
      </c>
      <c r="H86" s="2113">
        <v>0</v>
      </c>
      <c r="I86" s="2113">
        <v>0</v>
      </c>
      <c r="J86" s="2113">
        <v>0</v>
      </c>
      <c r="K86" s="2414">
        <v>0</v>
      </c>
      <c r="L86" s="2503">
        <v>5</v>
      </c>
      <c r="M86" s="2114">
        <v>165500</v>
      </c>
      <c r="N86" s="1365">
        <f t="shared" si="1"/>
        <v>0</v>
      </c>
      <c r="O86" s="1903">
        <v>5</v>
      </c>
      <c r="P86" s="1903"/>
    </row>
    <row r="87" spans="1:16" ht="20.100000000000001" customHeight="1">
      <c r="A87" s="2410">
        <v>81</v>
      </c>
      <c r="B87" s="2501" t="s">
        <v>2904</v>
      </c>
      <c r="C87" s="2461" t="s">
        <v>2886</v>
      </c>
      <c r="D87" s="2461"/>
      <c r="E87" s="2449" t="s">
        <v>1197</v>
      </c>
      <c r="F87" s="2494">
        <v>0</v>
      </c>
      <c r="G87" s="2113">
        <v>0</v>
      </c>
      <c r="H87" s="2113">
        <v>0</v>
      </c>
      <c r="I87" s="2113">
        <v>0</v>
      </c>
      <c r="J87" s="2113">
        <v>0</v>
      </c>
      <c r="K87" s="2414">
        <v>0</v>
      </c>
      <c r="L87" s="2504">
        <v>9</v>
      </c>
      <c r="M87" s="2474"/>
      <c r="N87" s="1365">
        <f t="shared" si="1"/>
        <v>9</v>
      </c>
      <c r="O87" s="1903"/>
      <c r="P87" s="1903"/>
    </row>
    <row r="88" spans="1:16" ht="20.100000000000001" customHeight="1">
      <c r="A88" s="2410">
        <v>82</v>
      </c>
      <c r="B88" s="2501" t="s">
        <v>2904</v>
      </c>
      <c r="C88" s="2461" t="s">
        <v>2886</v>
      </c>
      <c r="D88" s="2461"/>
      <c r="E88" s="2449" t="s">
        <v>792</v>
      </c>
      <c r="F88" s="2494">
        <v>0</v>
      </c>
      <c r="G88" s="2113">
        <v>0</v>
      </c>
      <c r="H88" s="2113">
        <v>0</v>
      </c>
      <c r="I88" s="2113">
        <v>0</v>
      </c>
      <c r="J88" s="2113">
        <v>0</v>
      </c>
      <c r="K88" s="2414">
        <v>0</v>
      </c>
      <c r="L88" s="2505">
        <v>43</v>
      </c>
      <c r="M88" s="2418"/>
      <c r="N88" s="1365">
        <f t="shared" si="1"/>
        <v>43</v>
      </c>
      <c r="O88" s="1903"/>
      <c r="P88" s="1903"/>
    </row>
    <row r="89" spans="1:16" ht="20.100000000000001" customHeight="1">
      <c r="A89" s="2410">
        <v>83</v>
      </c>
      <c r="B89" s="2501" t="s">
        <v>2904</v>
      </c>
      <c r="C89" s="2461" t="s">
        <v>2886</v>
      </c>
      <c r="D89" s="2461"/>
      <c r="E89" s="2449" t="s">
        <v>196</v>
      </c>
      <c r="F89" s="2494">
        <v>0</v>
      </c>
      <c r="G89" s="2113">
        <v>0</v>
      </c>
      <c r="H89" s="2113">
        <v>0</v>
      </c>
      <c r="I89" s="2113">
        <v>0</v>
      </c>
      <c r="J89" s="2113">
        <v>0</v>
      </c>
      <c r="K89" s="2414">
        <v>0</v>
      </c>
      <c r="L89" s="2454">
        <v>3</v>
      </c>
      <c r="M89" s="2453"/>
      <c r="N89" s="1365">
        <f t="shared" si="1"/>
        <v>3</v>
      </c>
      <c r="O89" s="1903"/>
      <c r="P89" s="1903"/>
    </row>
    <row r="90" spans="1:16" ht="20.100000000000001" customHeight="1">
      <c r="A90" s="2410">
        <v>84</v>
      </c>
      <c r="B90" s="2501" t="s">
        <v>2904</v>
      </c>
      <c r="C90" s="2461" t="s">
        <v>2886</v>
      </c>
      <c r="D90" s="2496"/>
      <c r="E90" s="2497" t="s">
        <v>2905</v>
      </c>
      <c r="F90" s="2494">
        <v>0</v>
      </c>
      <c r="G90" s="2113">
        <v>0</v>
      </c>
      <c r="H90" s="2113">
        <v>0</v>
      </c>
      <c r="I90" s="2113">
        <v>0</v>
      </c>
      <c r="J90" s="2113">
        <v>0</v>
      </c>
      <c r="K90" s="2414">
        <v>0</v>
      </c>
      <c r="L90" s="2454">
        <v>2</v>
      </c>
      <c r="M90" s="2116"/>
      <c r="N90" s="1365">
        <f t="shared" si="1"/>
        <v>2</v>
      </c>
      <c r="O90" s="1903"/>
      <c r="P90" s="1903"/>
    </row>
    <row r="91" spans="1:16" ht="20.100000000000001" customHeight="1">
      <c r="A91" s="2410">
        <v>85</v>
      </c>
      <c r="B91" s="2501" t="s">
        <v>2904</v>
      </c>
      <c r="C91" s="2461" t="s">
        <v>2886</v>
      </c>
      <c r="D91" s="2441"/>
      <c r="E91" s="2449" t="s">
        <v>2118</v>
      </c>
      <c r="F91" s="2494">
        <v>0</v>
      </c>
      <c r="G91" s="2113">
        <v>0</v>
      </c>
      <c r="H91" s="2113">
        <v>0</v>
      </c>
      <c r="I91" s="2113">
        <v>0</v>
      </c>
      <c r="J91" s="2113">
        <v>0</v>
      </c>
      <c r="K91" s="2414">
        <v>0</v>
      </c>
      <c r="L91" s="2473">
        <v>10</v>
      </c>
      <c r="M91" s="2506"/>
      <c r="N91" s="1365">
        <f t="shared" si="1"/>
        <v>10</v>
      </c>
      <c r="O91" s="1903"/>
      <c r="P91" s="1903"/>
    </row>
    <row r="92" spans="1:16" ht="20.100000000000001" customHeight="1">
      <c r="A92" s="2410">
        <v>86</v>
      </c>
      <c r="B92" s="2501" t="s">
        <v>2904</v>
      </c>
      <c r="C92" s="2461" t="s">
        <v>2886</v>
      </c>
      <c r="D92" s="2441"/>
      <c r="E92" s="2458" t="s">
        <v>2884</v>
      </c>
      <c r="F92" s="2494">
        <v>0</v>
      </c>
      <c r="G92" s="2113">
        <v>0</v>
      </c>
      <c r="H92" s="2113">
        <v>0</v>
      </c>
      <c r="I92" s="2113">
        <v>0</v>
      </c>
      <c r="J92" s="2113">
        <v>0</v>
      </c>
      <c r="K92" s="2414">
        <v>0</v>
      </c>
      <c r="L92" s="2112">
        <v>3</v>
      </c>
      <c r="M92" s="2459"/>
      <c r="N92" s="1365">
        <f t="shared" si="1"/>
        <v>3</v>
      </c>
      <c r="O92" s="1903"/>
      <c r="P92" s="1903"/>
    </row>
    <row r="93" spans="1:16" ht="20.100000000000001" customHeight="1">
      <c r="A93" s="2410">
        <v>87</v>
      </c>
      <c r="B93" s="2501" t="s">
        <v>2904</v>
      </c>
      <c r="C93" s="2461" t="s">
        <v>2886</v>
      </c>
      <c r="D93" s="2441"/>
      <c r="E93" s="2468" t="s">
        <v>2906</v>
      </c>
      <c r="F93" s="2494">
        <v>0</v>
      </c>
      <c r="G93" s="2113">
        <v>0</v>
      </c>
      <c r="H93" s="2113">
        <v>0</v>
      </c>
      <c r="I93" s="2113">
        <v>0</v>
      </c>
      <c r="J93" s="2113">
        <v>0</v>
      </c>
      <c r="K93" s="2414">
        <v>0</v>
      </c>
      <c r="L93" s="2445">
        <v>1</v>
      </c>
      <c r="M93" s="2459"/>
      <c r="N93" s="1365">
        <f t="shared" si="1"/>
        <v>1</v>
      </c>
      <c r="O93" s="1903"/>
      <c r="P93" s="1903"/>
    </row>
    <row r="94" spans="1:16" ht="20.100000000000001" customHeight="1">
      <c r="A94" s="2410">
        <v>89</v>
      </c>
      <c r="B94" s="2501" t="s">
        <v>2904</v>
      </c>
      <c r="C94" s="2461" t="s">
        <v>2886</v>
      </c>
      <c r="D94" s="2441"/>
      <c r="E94" s="2478" t="s">
        <v>2890</v>
      </c>
      <c r="F94" s="2494">
        <v>0</v>
      </c>
      <c r="G94" s="2113">
        <v>0</v>
      </c>
      <c r="H94" s="2113">
        <v>0</v>
      </c>
      <c r="I94" s="2113">
        <v>0</v>
      </c>
      <c r="J94" s="2113">
        <v>0</v>
      </c>
      <c r="K94" s="2414">
        <v>0</v>
      </c>
      <c r="L94" s="2445">
        <v>1</v>
      </c>
      <c r="M94" s="2507"/>
      <c r="N94" s="1365">
        <f t="shared" si="1"/>
        <v>1</v>
      </c>
      <c r="O94" s="1903"/>
      <c r="P94" s="1903"/>
    </row>
    <row r="95" spans="1:16" ht="20.100000000000001" customHeight="1">
      <c r="A95" s="2410">
        <v>90</v>
      </c>
      <c r="B95" s="2460" t="s">
        <v>2907</v>
      </c>
      <c r="C95" s="2461" t="s">
        <v>2886</v>
      </c>
      <c r="D95" s="2508"/>
      <c r="E95" s="2509" t="s">
        <v>2908</v>
      </c>
      <c r="F95" s="2494">
        <v>0</v>
      </c>
      <c r="G95" s="2113">
        <v>0</v>
      </c>
      <c r="H95" s="2113">
        <v>0</v>
      </c>
      <c r="I95" s="2113">
        <v>0</v>
      </c>
      <c r="J95" s="2113">
        <v>0</v>
      </c>
      <c r="K95" s="2414">
        <v>0</v>
      </c>
      <c r="L95" s="2510">
        <v>1</v>
      </c>
      <c r="M95" s="2484">
        <v>2360767.4700000002</v>
      </c>
      <c r="N95" s="1365">
        <f t="shared" si="1"/>
        <v>1</v>
      </c>
      <c r="O95" s="1903"/>
      <c r="P95" s="1903"/>
    </row>
    <row r="96" spans="1:16" ht="20.100000000000001" customHeight="1">
      <c r="A96" s="2410">
        <v>91</v>
      </c>
      <c r="B96" s="2460" t="s">
        <v>2907</v>
      </c>
      <c r="C96" s="2461" t="s">
        <v>2886</v>
      </c>
      <c r="D96" s="2462"/>
      <c r="E96" s="2442" t="s">
        <v>2909</v>
      </c>
      <c r="F96" s="2494">
        <v>0</v>
      </c>
      <c r="G96" s="2113">
        <v>0</v>
      </c>
      <c r="H96" s="2113">
        <v>0</v>
      </c>
      <c r="I96" s="2113">
        <v>0</v>
      </c>
      <c r="J96" s="2113">
        <v>0</v>
      </c>
      <c r="K96" s="2414">
        <v>0</v>
      </c>
      <c r="L96" s="2505">
        <v>1</v>
      </c>
      <c r="M96" s="2114">
        <v>3890</v>
      </c>
      <c r="N96" s="1365">
        <f t="shared" si="1"/>
        <v>1</v>
      </c>
      <c r="O96" s="1903"/>
      <c r="P96" s="1903"/>
    </row>
    <row r="97" spans="1:16" ht="20.100000000000001" customHeight="1">
      <c r="A97" s="2410">
        <v>92</v>
      </c>
      <c r="B97" s="2460" t="s">
        <v>2907</v>
      </c>
      <c r="C97" s="2461" t="s">
        <v>2886</v>
      </c>
      <c r="D97" s="2463"/>
      <c r="E97" s="2444" t="s">
        <v>119</v>
      </c>
      <c r="F97" s="2494">
        <v>0</v>
      </c>
      <c r="G97" s="2113">
        <v>0</v>
      </c>
      <c r="H97" s="2511">
        <v>1</v>
      </c>
      <c r="I97" s="2113">
        <v>0</v>
      </c>
      <c r="J97" s="2113">
        <v>0</v>
      </c>
      <c r="K97" s="2414">
        <v>0</v>
      </c>
      <c r="L97" s="2423">
        <v>0</v>
      </c>
      <c r="M97" s="2484">
        <v>1997103</v>
      </c>
      <c r="N97" s="1365">
        <f t="shared" si="1"/>
        <v>1</v>
      </c>
      <c r="O97" s="1903"/>
      <c r="P97" s="1903"/>
    </row>
    <row r="98" spans="1:16" ht="20.100000000000001" customHeight="1">
      <c r="A98" s="2410">
        <v>93</v>
      </c>
      <c r="B98" s="2460" t="s">
        <v>2907</v>
      </c>
      <c r="C98" s="2461" t="s">
        <v>2886</v>
      </c>
      <c r="D98" s="2463"/>
      <c r="E98" s="2444" t="s">
        <v>49</v>
      </c>
      <c r="F98" s="2494">
        <v>0</v>
      </c>
      <c r="G98" s="2113">
        <v>0</v>
      </c>
      <c r="H98" s="2511">
        <v>1</v>
      </c>
      <c r="I98" s="2113">
        <v>0</v>
      </c>
      <c r="J98" s="2113">
        <v>0</v>
      </c>
      <c r="K98" s="2414">
        <v>0</v>
      </c>
      <c r="L98" s="2423">
        <v>0</v>
      </c>
      <c r="M98" s="2512">
        <v>-6490405.8499999996</v>
      </c>
      <c r="N98" s="1365">
        <f t="shared" si="1"/>
        <v>1</v>
      </c>
      <c r="O98" s="1903"/>
      <c r="P98" s="1903"/>
    </row>
    <row r="99" spans="1:16" ht="20.100000000000001" customHeight="1">
      <c r="A99" s="2410">
        <v>94</v>
      </c>
      <c r="B99" s="2460" t="s">
        <v>2907</v>
      </c>
      <c r="C99" s="2461" t="s">
        <v>2886</v>
      </c>
      <c r="D99" s="2463"/>
      <c r="E99" s="2444" t="s">
        <v>32</v>
      </c>
      <c r="F99" s="2494">
        <v>0</v>
      </c>
      <c r="G99" s="2113">
        <v>0</v>
      </c>
      <c r="H99" s="2513">
        <v>1</v>
      </c>
      <c r="I99" s="2113">
        <v>0</v>
      </c>
      <c r="J99" s="2113">
        <v>0</v>
      </c>
      <c r="K99" s="2414">
        <v>0</v>
      </c>
      <c r="L99" s="2423">
        <v>0</v>
      </c>
      <c r="M99" s="2446">
        <v>-11574.37</v>
      </c>
      <c r="N99" s="1365">
        <f t="shared" si="1"/>
        <v>1</v>
      </c>
      <c r="O99" s="1903"/>
      <c r="P99" s="1903"/>
    </row>
    <row r="100" spans="1:16" ht="20.100000000000001" customHeight="1">
      <c r="A100" s="2410">
        <v>95</v>
      </c>
      <c r="B100" s="2460" t="s">
        <v>2907</v>
      </c>
      <c r="C100" s="2461" t="s">
        <v>2886</v>
      </c>
      <c r="D100" s="2462"/>
      <c r="E100" s="2451" t="s">
        <v>35</v>
      </c>
      <c r="F100" s="2494">
        <v>0</v>
      </c>
      <c r="G100" s="2113">
        <v>0</v>
      </c>
      <c r="H100" s="2113">
        <v>0</v>
      </c>
      <c r="I100" s="2113">
        <v>3086</v>
      </c>
      <c r="J100" s="2113">
        <v>0</v>
      </c>
      <c r="K100" s="2414">
        <v>0</v>
      </c>
      <c r="L100" s="2423">
        <v>0</v>
      </c>
      <c r="M100" s="2446">
        <v>1195235.1100000001</v>
      </c>
      <c r="N100" s="1365">
        <f t="shared" si="1"/>
        <v>3086</v>
      </c>
      <c r="O100" s="1903"/>
      <c r="P100" s="1903"/>
    </row>
    <row r="101" spans="1:16" ht="20.100000000000001" customHeight="1">
      <c r="A101" s="2410">
        <v>96</v>
      </c>
      <c r="B101" s="2460" t="s">
        <v>2907</v>
      </c>
      <c r="C101" s="2461" t="s">
        <v>2886</v>
      </c>
      <c r="D101" s="2463"/>
      <c r="E101" s="2444" t="s">
        <v>2089</v>
      </c>
      <c r="F101" s="2494">
        <v>0</v>
      </c>
      <c r="G101" s="2113">
        <v>0</v>
      </c>
      <c r="H101" s="2113">
        <v>0</v>
      </c>
      <c r="I101" s="2113">
        <v>0</v>
      </c>
      <c r="J101" s="2113">
        <v>0</v>
      </c>
      <c r="K101" s="2414">
        <v>0</v>
      </c>
      <c r="L101" s="2477">
        <v>1</v>
      </c>
      <c r="M101" s="2060">
        <v>21822.23</v>
      </c>
      <c r="N101" s="1365">
        <f t="shared" si="1"/>
        <v>1</v>
      </c>
      <c r="O101" s="1903"/>
      <c r="P101" s="1903"/>
    </row>
    <row r="102" spans="1:16" ht="20.100000000000001" customHeight="1">
      <c r="A102" s="2410">
        <v>97</v>
      </c>
      <c r="B102" s="2460" t="s">
        <v>2907</v>
      </c>
      <c r="C102" s="2461" t="s">
        <v>2886</v>
      </c>
      <c r="D102" s="2463"/>
      <c r="E102" s="2444" t="s">
        <v>80</v>
      </c>
      <c r="F102" s="2494">
        <v>0</v>
      </c>
      <c r="G102" s="2413">
        <v>306</v>
      </c>
      <c r="H102" s="2113">
        <v>0</v>
      </c>
      <c r="I102" s="2113">
        <v>0</v>
      </c>
      <c r="J102" s="2113">
        <v>0</v>
      </c>
      <c r="K102" s="2414">
        <v>0</v>
      </c>
      <c r="L102" s="2423">
        <v>0</v>
      </c>
      <c r="M102" s="2060"/>
      <c r="N102" s="1365">
        <f t="shared" si="1"/>
        <v>306</v>
      </c>
      <c r="O102" s="1903"/>
      <c r="P102" s="1903"/>
    </row>
    <row r="103" spans="1:16" ht="20.100000000000001" customHeight="1">
      <c r="A103" s="2410">
        <v>98</v>
      </c>
      <c r="B103" s="2460" t="s">
        <v>2907</v>
      </c>
      <c r="C103" s="2461" t="s">
        <v>2886</v>
      </c>
      <c r="D103" s="2461"/>
      <c r="E103" s="2514" t="s">
        <v>2910</v>
      </c>
      <c r="F103" s="2515">
        <v>249</v>
      </c>
      <c r="G103" s="2113">
        <v>0</v>
      </c>
      <c r="H103" s="2113">
        <v>0</v>
      </c>
      <c r="I103" s="2113">
        <v>0</v>
      </c>
      <c r="J103" s="2113">
        <v>0</v>
      </c>
      <c r="K103" s="2414">
        <v>0</v>
      </c>
      <c r="L103" s="2423">
        <v>0</v>
      </c>
      <c r="M103" s="2114">
        <v>0</v>
      </c>
      <c r="N103" s="1365">
        <f t="shared" si="1"/>
        <v>249</v>
      </c>
      <c r="O103" s="1903"/>
      <c r="P103" s="1903"/>
    </row>
    <row r="104" spans="1:16" ht="20.100000000000001" customHeight="1">
      <c r="A104" s="2410">
        <v>99</v>
      </c>
      <c r="B104" s="2460" t="s">
        <v>2907</v>
      </c>
      <c r="C104" s="2461" t="s">
        <v>2886</v>
      </c>
      <c r="D104" s="2461"/>
      <c r="E104" s="2449" t="s">
        <v>196</v>
      </c>
      <c r="F104" s="2494">
        <v>0</v>
      </c>
      <c r="G104" s="2113">
        <v>0</v>
      </c>
      <c r="H104" s="2113">
        <v>0</v>
      </c>
      <c r="I104" s="2113">
        <v>0</v>
      </c>
      <c r="J104" s="2113">
        <v>0</v>
      </c>
      <c r="K104" s="2414">
        <v>0</v>
      </c>
      <c r="L104" s="2516">
        <v>4</v>
      </c>
      <c r="M104" s="2418">
        <v>25030</v>
      </c>
      <c r="N104" s="1365">
        <f t="shared" si="1"/>
        <v>4</v>
      </c>
      <c r="O104" s="1903"/>
      <c r="P104" s="1903"/>
    </row>
    <row r="105" spans="1:16" ht="20.100000000000001" customHeight="1">
      <c r="A105" s="2410">
        <v>100</v>
      </c>
      <c r="B105" s="2460" t="s">
        <v>2907</v>
      </c>
      <c r="C105" s="2461" t="s">
        <v>2886</v>
      </c>
      <c r="D105" s="2461"/>
      <c r="E105" s="2517" t="s">
        <v>104</v>
      </c>
      <c r="F105" s="2494">
        <v>0</v>
      </c>
      <c r="G105" s="2113">
        <v>0</v>
      </c>
      <c r="H105" s="2113">
        <v>0</v>
      </c>
      <c r="I105" s="2113">
        <v>0</v>
      </c>
      <c r="J105" s="2113">
        <v>0</v>
      </c>
      <c r="K105" s="2414">
        <v>0</v>
      </c>
      <c r="L105" s="2505">
        <v>1</v>
      </c>
      <c r="M105" s="2418"/>
      <c r="N105" s="1365">
        <f t="shared" si="1"/>
        <v>1</v>
      </c>
      <c r="O105" s="1903"/>
      <c r="P105" s="1903"/>
    </row>
    <row r="106" spans="1:16" ht="20.100000000000001" customHeight="1">
      <c r="A106" s="2410">
        <v>101</v>
      </c>
      <c r="B106" s="2460" t="s">
        <v>2907</v>
      </c>
      <c r="C106" s="2461" t="s">
        <v>2886</v>
      </c>
      <c r="D106" s="2441"/>
      <c r="E106" s="2518" t="s">
        <v>2911</v>
      </c>
      <c r="F106" s="2494">
        <v>0</v>
      </c>
      <c r="G106" s="2113">
        <v>0</v>
      </c>
      <c r="H106" s="2113">
        <v>0</v>
      </c>
      <c r="I106" s="2113">
        <v>0</v>
      </c>
      <c r="J106" s="2113">
        <v>0</v>
      </c>
      <c r="K106" s="2414">
        <v>0</v>
      </c>
      <c r="L106" s="2519">
        <v>1</v>
      </c>
      <c r="M106" s="2520">
        <v>1500</v>
      </c>
      <c r="N106" s="1365">
        <f t="shared" si="1"/>
        <v>1</v>
      </c>
      <c r="O106" s="1903"/>
      <c r="P106" s="1903"/>
    </row>
    <row r="107" spans="1:16" ht="20.100000000000001" customHeight="1">
      <c r="A107" s="2410">
        <v>102</v>
      </c>
      <c r="B107" s="2460" t="s">
        <v>2907</v>
      </c>
      <c r="C107" s="2461" t="s">
        <v>2886</v>
      </c>
      <c r="D107" s="2441"/>
      <c r="E107" s="2518" t="s">
        <v>2912</v>
      </c>
      <c r="F107" s="2494">
        <v>0</v>
      </c>
      <c r="G107" s="2113">
        <v>0</v>
      </c>
      <c r="H107" s="2113">
        <v>0</v>
      </c>
      <c r="I107" s="2113">
        <v>0</v>
      </c>
      <c r="J107" s="2113">
        <v>0</v>
      </c>
      <c r="K107" s="2414">
        <v>0</v>
      </c>
      <c r="L107" s="2519">
        <v>1</v>
      </c>
      <c r="M107" s="2521">
        <v>8874.16</v>
      </c>
      <c r="N107" s="1365">
        <f t="shared" si="1"/>
        <v>1</v>
      </c>
      <c r="O107" s="1903"/>
      <c r="P107" s="1903"/>
    </row>
    <row r="108" spans="1:16" ht="20.100000000000001" customHeight="1">
      <c r="A108" s="2410">
        <v>103</v>
      </c>
      <c r="B108" s="2460" t="s">
        <v>2907</v>
      </c>
      <c r="C108" s="2461" t="s">
        <v>2886</v>
      </c>
      <c r="D108" s="2441"/>
      <c r="E108" s="2518" t="s">
        <v>2913</v>
      </c>
      <c r="F108" s="2494">
        <v>0</v>
      </c>
      <c r="G108" s="2113">
        <v>0</v>
      </c>
      <c r="H108" s="2113">
        <v>0</v>
      </c>
      <c r="I108" s="2113">
        <v>0</v>
      </c>
      <c r="J108" s="2113">
        <v>0</v>
      </c>
      <c r="K108" s="2414">
        <v>0</v>
      </c>
      <c r="L108" s="2519">
        <v>1</v>
      </c>
      <c r="M108" s="2518">
        <v>507.91</v>
      </c>
      <c r="N108" s="1365">
        <f t="shared" si="1"/>
        <v>1</v>
      </c>
      <c r="O108" s="1903"/>
      <c r="P108" s="1903"/>
    </row>
    <row r="109" spans="1:16" ht="20.100000000000001" customHeight="1">
      <c r="A109" s="2410">
        <v>104</v>
      </c>
      <c r="B109" s="2460" t="s">
        <v>2907</v>
      </c>
      <c r="C109" s="2461" t="s">
        <v>2886</v>
      </c>
      <c r="D109" s="2441"/>
      <c r="E109" s="2518" t="s">
        <v>2914</v>
      </c>
      <c r="F109" s="2494">
        <v>0</v>
      </c>
      <c r="G109" s="2113">
        <v>0</v>
      </c>
      <c r="H109" s="2113">
        <v>0</v>
      </c>
      <c r="I109" s="2113">
        <v>0</v>
      </c>
      <c r="J109" s="2113">
        <v>0</v>
      </c>
      <c r="K109" s="2414">
        <v>0</v>
      </c>
      <c r="L109" s="2519">
        <v>1</v>
      </c>
      <c r="M109" s="2518">
        <v>2.0299999999999998</v>
      </c>
      <c r="N109" s="2522">
        <f t="shared" si="1"/>
        <v>1</v>
      </c>
      <c r="O109" s="92"/>
      <c r="P109" s="92"/>
    </row>
    <row r="110" spans="1:16" ht="20.100000000000001" customHeight="1">
      <c r="A110" s="2410">
        <v>105</v>
      </c>
      <c r="B110" s="2460" t="s">
        <v>2907</v>
      </c>
      <c r="C110" s="2461" t="s">
        <v>2886</v>
      </c>
      <c r="D110" s="1829"/>
      <c r="E110" s="2449" t="s">
        <v>2915</v>
      </c>
      <c r="F110" s="2494">
        <v>0</v>
      </c>
      <c r="G110" s="2113">
        <v>0</v>
      </c>
      <c r="H110" s="2113">
        <v>0</v>
      </c>
      <c r="I110" s="2113">
        <v>0</v>
      </c>
      <c r="J110" s="2113">
        <v>0</v>
      </c>
      <c r="K110" s="2414">
        <v>0</v>
      </c>
      <c r="L110" s="2523">
        <v>1</v>
      </c>
      <c r="M110" s="2521">
        <v>131226.82999999999</v>
      </c>
      <c r="N110" s="2522">
        <f t="shared" si="1"/>
        <v>1</v>
      </c>
      <c r="O110" s="92"/>
      <c r="P110" s="92"/>
    </row>
    <row r="111" spans="1:16" ht="20.100000000000001" customHeight="1">
      <c r="A111" s="2410">
        <v>106</v>
      </c>
      <c r="B111" s="2460" t="s">
        <v>2907</v>
      </c>
      <c r="C111" s="2461" t="s">
        <v>2886</v>
      </c>
      <c r="D111" s="1829"/>
      <c r="E111" s="2449" t="s">
        <v>2916</v>
      </c>
      <c r="F111" s="2494">
        <v>0</v>
      </c>
      <c r="G111" s="2113">
        <v>0</v>
      </c>
      <c r="H111" s="2113">
        <v>0</v>
      </c>
      <c r="I111" s="2113">
        <v>0</v>
      </c>
      <c r="J111" s="2113">
        <v>0</v>
      </c>
      <c r="K111" s="2414">
        <v>0</v>
      </c>
      <c r="L111" s="2523">
        <v>1</v>
      </c>
      <c r="M111" s="2459">
        <v>55238.94</v>
      </c>
      <c r="N111" s="2522">
        <f t="shared" si="1"/>
        <v>1</v>
      </c>
      <c r="O111" s="92"/>
      <c r="P111" s="92"/>
    </row>
    <row r="112" spans="1:16" ht="20.100000000000001" customHeight="1">
      <c r="A112" s="2410">
        <v>107</v>
      </c>
      <c r="B112" s="2460" t="s">
        <v>2907</v>
      </c>
      <c r="C112" s="2461" t="s">
        <v>2886</v>
      </c>
      <c r="D112" s="1903"/>
      <c r="E112" s="2518" t="s">
        <v>675</v>
      </c>
      <c r="F112" s="2494">
        <v>0</v>
      </c>
      <c r="G112" s="2113">
        <v>0</v>
      </c>
      <c r="H112" s="2524">
        <v>1</v>
      </c>
      <c r="I112" s="2113">
        <v>0</v>
      </c>
      <c r="J112" s="2113">
        <v>0</v>
      </c>
      <c r="K112" s="2414">
        <v>0</v>
      </c>
      <c r="L112" s="2423">
        <v>0</v>
      </c>
      <c r="M112" s="2518">
        <v>5.5</v>
      </c>
      <c r="N112" s="2522">
        <f t="shared" si="1"/>
        <v>1</v>
      </c>
      <c r="O112" s="92"/>
      <c r="P112" s="92"/>
    </row>
    <row r="113" spans="1:16" ht="20.100000000000001" customHeight="1">
      <c r="A113" s="2410">
        <v>108</v>
      </c>
      <c r="B113" s="2525" t="s">
        <v>2917</v>
      </c>
      <c r="C113" s="2526" t="s">
        <v>2886</v>
      </c>
      <c r="D113" s="2526"/>
      <c r="E113" s="2451" t="s">
        <v>48</v>
      </c>
      <c r="F113" s="2494">
        <v>0</v>
      </c>
      <c r="G113" s="2113">
        <v>0</v>
      </c>
      <c r="H113" s="2113">
        <v>0</v>
      </c>
      <c r="I113" s="2113">
        <v>0</v>
      </c>
      <c r="J113" s="2113">
        <v>0</v>
      </c>
      <c r="K113" s="2414">
        <v>0</v>
      </c>
      <c r="L113" s="2498">
        <v>1</v>
      </c>
      <c r="M113" s="2527">
        <v>12911.03</v>
      </c>
      <c r="N113" s="2522">
        <f t="shared" si="1"/>
        <v>1</v>
      </c>
      <c r="O113" s="92"/>
      <c r="P113" s="92"/>
    </row>
    <row r="114" spans="1:16" ht="20.100000000000001" customHeight="1">
      <c r="A114" s="2410">
        <v>109</v>
      </c>
      <c r="B114" s="2528" t="s">
        <v>2917</v>
      </c>
      <c r="C114" s="2526" t="s">
        <v>2886</v>
      </c>
      <c r="D114" s="2117"/>
      <c r="E114" s="2529" t="s">
        <v>49</v>
      </c>
      <c r="F114" s="2494">
        <v>0</v>
      </c>
      <c r="G114" s="2113">
        <v>0</v>
      </c>
      <c r="H114" s="2530">
        <v>1</v>
      </c>
      <c r="I114" s="2113">
        <v>0</v>
      </c>
      <c r="J114" s="2113">
        <v>0</v>
      </c>
      <c r="K114" s="2414">
        <v>0</v>
      </c>
      <c r="L114" s="2423">
        <v>0</v>
      </c>
      <c r="M114" s="2531">
        <v>10285028.789999999</v>
      </c>
      <c r="N114" s="2522">
        <f t="shared" si="1"/>
        <v>1</v>
      </c>
      <c r="O114" s="92"/>
      <c r="P114" s="92"/>
    </row>
    <row r="115" spans="1:16" ht="20.100000000000001" customHeight="1">
      <c r="A115" s="2410">
        <v>110</v>
      </c>
      <c r="B115" s="2528" t="s">
        <v>2917</v>
      </c>
      <c r="C115" s="2526" t="s">
        <v>2886</v>
      </c>
      <c r="D115" s="2532"/>
      <c r="E115" s="2451" t="s">
        <v>34</v>
      </c>
      <c r="F115" s="2494">
        <v>0</v>
      </c>
      <c r="G115" s="2113">
        <v>0</v>
      </c>
      <c r="H115" s="2113">
        <v>0</v>
      </c>
      <c r="I115" s="2533">
        <v>168</v>
      </c>
      <c r="J115" s="2113">
        <v>0</v>
      </c>
      <c r="K115" s="2414">
        <v>0</v>
      </c>
      <c r="L115" s="2423">
        <v>0</v>
      </c>
      <c r="M115" s="2445"/>
      <c r="N115" s="2522">
        <f t="shared" si="1"/>
        <v>160</v>
      </c>
      <c r="O115" s="92">
        <v>8</v>
      </c>
      <c r="P115" s="92"/>
    </row>
    <row r="116" spans="1:16" ht="20.100000000000001" customHeight="1">
      <c r="A116" s="2410">
        <v>111</v>
      </c>
      <c r="B116" s="2528" t="s">
        <v>2917</v>
      </c>
      <c r="C116" s="2526" t="s">
        <v>2886</v>
      </c>
      <c r="D116" s="2532"/>
      <c r="E116" s="2451" t="s">
        <v>35</v>
      </c>
      <c r="F116" s="2494">
        <v>0</v>
      </c>
      <c r="G116" s="2113">
        <v>0</v>
      </c>
      <c r="H116" s="2113">
        <v>0</v>
      </c>
      <c r="I116" s="2113">
        <v>0</v>
      </c>
      <c r="J116" s="2534">
        <v>214</v>
      </c>
      <c r="K116" s="2414">
        <v>0</v>
      </c>
      <c r="L116" s="2423">
        <v>0</v>
      </c>
      <c r="M116" s="2535">
        <v>16527.259999999998</v>
      </c>
      <c r="N116" s="2522">
        <f t="shared" si="1"/>
        <v>195</v>
      </c>
      <c r="O116" s="92">
        <v>19</v>
      </c>
      <c r="P116" s="92"/>
    </row>
    <row r="117" spans="1:16" ht="20.100000000000001" customHeight="1">
      <c r="A117" s="2410">
        <v>112</v>
      </c>
      <c r="B117" s="2528" t="s">
        <v>2917</v>
      </c>
      <c r="C117" s="2526" t="s">
        <v>2886</v>
      </c>
      <c r="D117" s="2526"/>
      <c r="E117" s="2536" t="s">
        <v>52</v>
      </c>
      <c r="F117" s="2494">
        <v>0</v>
      </c>
      <c r="G117" s="2515">
        <v>267</v>
      </c>
      <c r="H117" s="2113">
        <v>0</v>
      </c>
      <c r="I117" s="2113">
        <v>0</v>
      </c>
      <c r="J117" s="2113">
        <v>0</v>
      </c>
      <c r="K117" s="2414">
        <v>0</v>
      </c>
      <c r="L117" s="2423">
        <v>0</v>
      </c>
      <c r="M117" s="2114"/>
      <c r="N117" s="2522">
        <f t="shared" si="1"/>
        <v>267</v>
      </c>
      <c r="O117" s="92"/>
      <c r="P117" s="92"/>
    </row>
    <row r="118" spans="1:16" ht="20.100000000000001" customHeight="1">
      <c r="A118" s="2410">
        <v>113</v>
      </c>
      <c r="B118" s="2528" t="s">
        <v>2917</v>
      </c>
      <c r="C118" s="2526" t="s">
        <v>2886</v>
      </c>
      <c r="D118" s="2526"/>
      <c r="E118" s="2451" t="s">
        <v>196</v>
      </c>
      <c r="F118" s="2494">
        <v>0</v>
      </c>
      <c r="G118" s="2494">
        <v>0</v>
      </c>
      <c r="H118" s="2113">
        <v>0</v>
      </c>
      <c r="I118" s="2113">
        <v>0</v>
      </c>
      <c r="J118" s="2113">
        <v>0</v>
      </c>
      <c r="K118" s="2414">
        <v>0</v>
      </c>
      <c r="L118" s="2454">
        <v>1</v>
      </c>
      <c r="M118" s="2418"/>
      <c r="N118" s="2522">
        <f t="shared" si="1"/>
        <v>1</v>
      </c>
      <c r="O118" s="92"/>
      <c r="P118" s="92"/>
    </row>
    <row r="119" spans="1:16" ht="20.100000000000001" customHeight="1">
      <c r="A119" s="2410">
        <v>114</v>
      </c>
      <c r="B119" s="2528" t="s">
        <v>2917</v>
      </c>
      <c r="C119" s="2526" t="s">
        <v>2886</v>
      </c>
      <c r="D119" s="2526"/>
      <c r="E119" s="2537" t="s">
        <v>104</v>
      </c>
      <c r="F119" s="2494">
        <v>0</v>
      </c>
      <c r="G119" s="2494">
        <v>0</v>
      </c>
      <c r="H119" s="2113">
        <v>0</v>
      </c>
      <c r="I119" s="2113">
        <v>0</v>
      </c>
      <c r="J119" s="2113">
        <v>0</v>
      </c>
      <c r="K119" s="2414">
        <v>0</v>
      </c>
      <c r="L119" s="2119">
        <v>1</v>
      </c>
      <c r="M119" s="2418"/>
      <c r="N119" s="2522">
        <f t="shared" si="1"/>
        <v>1</v>
      </c>
      <c r="O119" s="92"/>
      <c r="P119" s="92"/>
    </row>
    <row r="120" spans="1:16" ht="20.100000000000001" customHeight="1">
      <c r="A120" s="2410">
        <v>115</v>
      </c>
      <c r="B120" s="2460" t="s">
        <v>2918</v>
      </c>
      <c r="C120" s="2461" t="s">
        <v>2886</v>
      </c>
      <c r="D120" s="2508"/>
      <c r="E120" s="2509" t="s">
        <v>2908</v>
      </c>
      <c r="F120" s="2494">
        <v>0</v>
      </c>
      <c r="G120" s="2494">
        <v>0</v>
      </c>
      <c r="H120" s="2113">
        <v>0</v>
      </c>
      <c r="I120" s="2113">
        <v>0</v>
      </c>
      <c r="J120" s="2113">
        <v>0</v>
      </c>
      <c r="K120" s="2414">
        <v>0</v>
      </c>
      <c r="L120" s="2510">
        <v>1</v>
      </c>
      <c r="M120" s="2538">
        <v>-167775.08</v>
      </c>
      <c r="N120" s="2522">
        <f t="shared" si="1"/>
        <v>1</v>
      </c>
      <c r="O120" s="92"/>
      <c r="P120" s="92"/>
    </row>
    <row r="121" spans="1:16" ht="20.100000000000001" customHeight="1">
      <c r="A121" s="2410">
        <v>116</v>
      </c>
      <c r="B121" s="2460" t="s">
        <v>2918</v>
      </c>
      <c r="C121" s="2461" t="s">
        <v>2886</v>
      </c>
      <c r="D121" s="2462"/>
      <c r="E121" s="2442" t="s">
        <v>2909</v>
      </c>
      <c r="F121" s="2494">
        <v>0</v>
      </c>
      <c r="G121" s="2494">
        <v>0</v>
      </c>
      <c r="H121" s="2113">
        <v>0</v>
      </c>
      <c r="I121" s="2113">
        <v>0</v>
      </c>
      <c r="J121" s="2113">
        <v>0</v>
      </c>
      <c r="K121" s="2414">
        <v>0</v>
      </c>
      <c r="L121" s="2505">
        <v>1</v>
      </c>
      <c r="M121" s="2114">
        <v>30818.47</v>
      </c>
      <c r="N121" s="2522">
        <f t="shared" si="1"/>
        <v>1</v>
      </c>
      <c r="O121" s="92"/>
      <c r="P121" s="92"/>
    </row>
    <row r="122" spans="1:16" ht="20.100000000000001" customHeight="1">
      <c r="A122" s="2410">
        <v>117</v>
      </c>
      <c r="B122" s="2460" t="s">
        <v>2918</v>
      </c>
      <c r="C122" s="2461" t="s">
        <v>2886</v>
      </c>
      <c r="D122" s="2463"/>
      <c r="E122" s="2444" t="s">
        <v>119</v>
      </c>
      <c r="F122" s="2494">
        <v>0</v>
      </c>
      <c r="G122" s="2494">
        <v>0</v>
      </c>
      <c r="H122" s="2113">
        <v>0</v>
      </c>
      <c r="I122" s="2113">
        <v>0</v>
      </c>
      <c r="J122" s="2113">
        <v>0</v>
      </c>
      <c r="K122" s="2414">
        <v>0</v>
      </c>
      <c r="L122" s="2445">
        <v>1</v>
      </c>
      <c r="M122" s="2539">
        <v>-1670792.33</v>
      </c>
      <c r="N122" s="2522">
        <f t="shared" si="1"/>
        <v>1</v>
      </c>
      <c r="O122" s="92"/>
      <c r="P122" s="92"/>
    </row>
    <row r="123" spans="1:16" ht="20.100000000000001" customHeight="1">
      <c r="A123" s="2410">
        <v>118</v>
      </c>
      <c r="B123" s="2460" t="s">
        <v>2918</v>
      </c>
      <c r="C123" s="2461" t="s">
        <v>2886</v>
      </c>
      <c r="D123" s="2463"/>
      <c r="E123" s="2444" t="s">
        <v>49</v>
      </c>
      <c r="F123" s="2494">
        <v>0</v>
      </c>
      <c r="G123" s="2494">
        <v>0</v>
      </c>
      <c r="H123" s="2113">
        <v>0</v>
      </c>
      <c r="I123" s="2113">
        <v>0</v>
      </c>
      <c r="J123" s="2113">
        <v>0</v>
      </c>
      <c r="K123" s="2414">
        <v>0</v>
      </c>
      <c r="L123" s="2445">
        <v>1</v>
      </c>
      <c r="M123" s="2512">
        <v>-6702021.9199999999</v>
      </c>
      <c r="N123" s="2522">
        <f t="shared" si="1"/>
        <v>1</v>
      </c>
      <c r="O123" s="92"/>
      <c r="P123" s="92"/>
    </row>
    <row r="124" spans="1:16" ht="20.100000000000001" customHeight="1">
      <c r="A124" s="2410">
        <v>119</v>
      </c>
      <c r="B124" s="2460" t="s">
        <v>2918</v>
      </c>
      <c r="C124" s="2461" t="s">
        <v>2886</v>
      </c>
      <c r="D124" s="2463"/>
      <c r="E124" s="2444" t="s">
        <v>32</v>
      </c>
      <c r="F124" s="2494">
        <v>0</v>
      </c>
      <c r="G124" s="2494">
        <v>0</v>
      </c>
      <c r="H124" s="2540">
        <v>1</v>
      </c>
      <c r="I124" s="2113">
        <v>0</v>
      </c>
      <c r="J124" s="2113">
        <v>0</v>
      </c>
      <c r="K124" s="2414">
        <v>0</v>
      </c>
      <c r="L124" s="2423">
        <v>0</v>
      </c>
      <c r="M124" s="2446">
        <v>0.33</v>
      </c>
      <c r="N124" s="2522">
        <f t="shared" si="1"/>
        <v>1</v>
      </c>
      <c r="O124" s="92"/>
      <c r="P124" s="92"/>
    </row>
    <row r="125" spans="1:16" ht="20.100000000000001" customHeight="1">
      <c r="A125" s="2410">
        <v>120</v>
      </c>
      <c r="B125" s="2460" t="s">
        <v>2918</v>
      </c>
      <c r="C125" s="2461" t="s">
        <v>2886</v>
      </c>
      <c r="D125" s="2462"/>
      <c r="E125" s="2451" t="s">
        <v>35</v>
      </c>
      <c r="F125" s="2494">
        <v>0</v>
      </c>
      <c r="G125" s="2494">
        <v>0</v>
      </c>
      <c r="H125" s="2494">
        <v>0</v>
      </c>
      <c r="I125" s="2113">
        <v>0</v>
      </c>
      <c r="J125" s="2113">
        <v>4296</v>
      </c>
      <c r="K125" s="2414">
        <v>0</v>
      </c>
      <c r="L125" s="2423">
        <v>0</v>
      </c>
      <c r="M125" s="2446">
        <v>881141.44000000728</v>
      </c>
      <c r="N125" s="2522">
        <f t="shared" si="1"/>
        <v>4296</v>
      </c>
      <c r="O125" s="92"/>
      <c r="P125" s="92"/>
    </row>
    <row r="126" spans="1:16" ht="20.100000000000001" customHeight="1">
      <c r="A126" s="2410">
        <v>121</v>
      </c>
      <c r="B126" s="2460" t="s">
        <v>2918</v>
      </c>
      <c r="C126" s="2461" t="s">
        <v>2886</v>
      </c>
      <c r="D126" s="2463"/>
      <c r="E126" s="2444" t="s">
        <v>2089</v>
      </c>
      <c r="F126" s="2494">
        <v>0</v>
      </c>
      <c r="G126" s="2494">
        <v>0</v>
      </c>
      <c r="H126" s="2494">
        <v>0</v>
      </c>
      <c r="I126" s="2113">
        <v>0</v>
      </c>
      <c r="J126" s="2113">
        <v>0</v>
      </c>
      <c r="K126" s="2414">
        <v>0</v>
      </c>
      <c r="L126" s="2477">
        <v>1</v>
      </c>
      <c r="M126" s="2060">
        <v>8343.65</v>
      </c>
      <c r="N126" s="2522">
        <f t="shared" si="1"/>
        <v>0</v>
      </c>
      <c r="O126" s="92">
        <v>1</v>
      </c>
      <c r="P126" s="92"/>
    </row>
    <row r="127" spans="1:16" ht="20.100000000000001" customHeight="1">
      <c r="A127" s="2410">
        <v>122</v>
      </c>
      <c r="B127" s="2460" t="s">
        <v>2918</v>
      </c>
      <c r="C127" s="2461" t="s">
        <v>2886</v>
      </c>
      <c r="D127" s="2463"/>
      <c r="E127" s="2444" t="s">
        <v>80</v>
      </c>
      <c r="F127" s="2494">
        <v>0</v>
      </c>
      <c r="G127" s="2541">
        <v>360</v>
      </c>
      <c r="H127" s="2494">
        <v>0</v>
      </c>
      <c r="I127" s="2113">
        <v>0</v>
      </c>
      <c r="J127" s="2113">
        <v>0</v>
      </c>
      <c r="K127" s="2414">
        <v>0</v>
      </c>
      <c r="L127" s="2423">
        <v>0</v>
      </c>
      <c r="M127" s="2060"/>
      <c r="N127" s="2522">
        <f t="shared" si="1"/>
        <v>360</v>
      </c>
      <c r="O127" s="92"/>
      <c r="P127" s="92"/>
    </row>
    <row r="128" spans="1:16" ht="20.100000000000001" customHeight="1">
      <c r="A128" s="2410">
        <v>123</v>
      </c>
      <c r="B128" s="2460" t="s">
        <v>2918</v>
      </c>
      <c r="C128" s="2461" t="s">
        <v>2886</v>
      </c>
      <c r="D128" s="2461"/>
      <c r="E128" s="2451" t="s">
        <v>2910</v>
      </c>
      <c r="F128" s="2542">
        <v>382</v>
      </c>
      <c r="G128" s="2113">
        <v>0</v>
      </c>
      <c r="H128" s="2494">
        <v>0</v>
      </c>
      <c r="I128" s="2113">
        <v>0</v>
      </c>
      <c r="J128" s="2113">
        <v>0</v>
      </c>
      <c r="K128" s="2414">
        <v>0</v>
      </c>
      <c r="L128" s="2423">
        <v>0</v>
      </c>
      <c r="M128" s="2114">
        <v>0</v>
      </c>
      <c r="N128" s="2522">
        <f t="shared" si="1"/>
        <v>382</v>
      </c>
      <c r="O128" s="92"/>
      <c r="P128" s="92"/>
    </row>
    <row r="129" spans="1:16" ht="20.100000000000001" customHeight="1">
      <c r="A129" s="2410">
        <v>124</v>
      </c>
      <c r="B129" s="2460" t="s">
        <v>2918</v>
      </c>
      <c r="C129" s="2461" t="s">
        <v>2886</v>
      </c>
      <c r="D129" s="2461"/>
      <c r="E129" s="2449" t="s">
        <v>196</v>
      </c>
      <c r="F129" s="2494">
        <v>0</v>
      </c>
      <c r="G129" s="2113">
        <v>0</v>
      </c>
      <c r="H129" s="2494">
        <v>0</v>
      </c>
      <c r="I129" s="2113">
        <v>0</v>
      </c>
      <c r="J129" s="2113">
        <v>0</v>
      </c>
      <c r="K129" s="2414">
        <v>0</v>
      </c>
      <c r="L129" s="2516">
        <v>1</v>
      </c>
      <c r="M129" s="2418">
        <v>125111.24</v>
      </c>
      <c r="N129" s="2522">
        <f t="shared" si="1"/>
        <v>1</v>
      </c>
      <c r="O129" s="92"/>
      <c r="P129" s="92"/>
    </row>
    <row r="130" spans="1:16" ht="20.100000000000001" customHeight="1">
      <c r="A130" s="2410">
        <v>125</v>
      </c>
      <c r="B130" s="2460" t="s">
        <v>2918</v>
      </c>
      <c r="C130" s="2461" t="s">
        <v>2886</v>
      </c>
      <c r="D130" s="2461"/>
      <c r="E130" s="2517" t="s">
        <v>104</v>
      </c>
      <c r="F130" s="2494">
        <v>0</v>
      </c>
      <c r="G130" s="2113">
        <v>0</v>
      </c>
      <c r="H130" s="2494">
        <v>0</v>
      </c>
      <c r="I130" s="2113">
        <v>0</v>
      </c>
      <c r="J130" s="2113">
        <v>0</v>
      </c>
      <c r="K130" s="2414">
        <v>0</v>
      </c>
      <c r="L130" s="2505">
        <v>1</v>
      </c>
      <c r="M130" s="2418"/>
      <c r="N130" s="2522">
        <f t="shared" si="1"/>
        <v>1</v>
      </c>
      <c r="O130" s="92"/>
      <c r="P130" s="92"/>
    </row>
    <row r="131" spans="1:16" ht="20.100000000000001" customHeight="1">
      <c r="A131" s="2410">
        <v>126</v>
      </c>
      <c r="B131" s="2460" t="s">
        <v>2918</v>
      </c>
      <c r="C131" s="2461" t="s">
        <v>2886</v>
      </c>
      <c r="D131" s="2441"/>
      <c r="E131" s="2518" t="s">
        <v>2911</v>
      </c>
      <c r="F131" s="2494">
        <v>0</v>
      </c>
      <c r="G131" s="2113">
        <v>0</v>
      </c>
      <c r="H131" s="2494">
        <v>0</v>
      </c>
      <c r="I131" s="2113">
        <v>0</v>
      </c>
      <c r="J131" s="2113">
        <v>0</v>
      </c>
      <c r="K131" s="2414">
        <v>0</v>
      </c>
      <c r="L131" s="2519">
        <v>1</v>
      </c>
      <c r="M131" s="2520">
        <v>442.27</v>
      </c>
      <c r="N131" s="2522">
        <f t="shared" si="1"/>
        <v>1</v>
      </c>
      <c r="O131" s="92"/>
      <c r="P131" s="92"/>
    </row>
    <row r="132" spans="1:16" ht="20.100000000000001" customHeight="1">
      <c r="A132" s="2410">
        <v>127</v>
      </c>
      <c r="B132" s="2460" t="s">
        <v>2918</v>
      </c>
      <c r="C132" s="2461" t="s">
        <v>2886</v>
      </c>
      <c r="D132" s="2441"/>
      <c r="E132" s="2518" t="s">
        <v>2912</v>
      </c>
      <c r="F132" s="2494">
        <v>0</v>
      </c>
      <c r="G132" s="2113">
        <v>0</v>
      </c>
      <c r="H132" s="2494">
        <v>0</v>
      </c>
      <c r="I132" s="2113">
        <v>0</v>
      </c>
      <c r="J132" s="2113">
        <v>0</v>
      </c>
      <c r="K132" s="2414">
        <v>0</v>
      </c>
      <c r="L132" s="2519">
        <v>1</v>
      </c>
      <c r="M132" s="2521">
        <v>19560.669999999998</v>
      </c>
      <c r="N132" s="2522">
        <f t="shared" si="1"/>
        <v>0</v>
      </c>
      <c r="O132" s="92">
        <v>1</v>
      </c>
      <c r="P132" s="92"/>
    </row>
    <row r="133" spans="1:16" ht="20.100000000000001" customHeight="1">
      <c r="A133" s="2410">
        <v>128</v>
      </c>
      <c r="B133" s="2460" t="s">
        <v>2918</v>
      </c>
      <c r="C133" s="2461" t="s">
        <v>2886</v>
      </c>
      <c r="D133" s="2441"/>
      <c r="E133" s="2518" t="s">
        <v>2913</v>
      </c>
      <c r="F133" s="2494">
        <v>0</v>
      </c>
      <c r="G133" s="2113">
        <v>0</v>
      </c>
      <c r="H133" s="2494">
        <v>0</v>
      </c>
      <c r="I133" s="2113">
        <v>0</v>
      </c>
      <c r="J133" s="2113">
        <v>0</v>
      </c>
      <c r="K133" s="2414">
        <v>0</v>
      </c>
      <c r="L133" s="2519">
        <v>1</v>
      </c>
      <c r="M133" s="2518">
        <v>743.22</v>
      </c>
      <c r="N133" s="2522">
        <f t="shared" si="1"/>
        <v>1</v>
      </c>
      <c r="O133" s="92"/>
      <c r="P133" s="92"/>
    </row>
    <row r="134" spans="1:16" ht="20.100000000000001" customHeight="1">
      <c r="A134" s="2410">
        <v>129</v>
      </c>
      <c r="B134" s="2460" t="s">
        <v>2918</v>
      </c>
      <c r="C134" s="2461" t="s">
        <v>2886</v>
      </c>
      <c r="D134" s="2441"/>
      <c r="E134" s="2518" t="s">
        <v>2914</v>
      </c>
      <c r="F134" s="2494">
        <v>0</v>
      </c>
      <c r="G134" s="2113">
        <v>0</v>
      </c>
      <c r="H134" s="2494">
        <v>0</v>
      </c>
      <c r="I134" s="2113">
        <v>0</v>
      </c>
      <c r="J134" s="2113">
        <v>0</v>
      </c>
      <c r="K134" s="2414">
        <v>0</v>
      </c>
      <c r="L134" s="2519">
        <v>1</v>
      </c>
      <c r="M134" s="2518">
        <v>4.51</v>
      </c>
      <c r="N134" s="2522">
        <f t="shared" si="1"/>
        <v>1</v>
      </c>
      <c r="O134" s="92"/>
      <c r="P134" s="92"/>
    </row>
    <row r="135" spans="1:16" ht="20.100000000000001" customHeight="1">
      <c r="A135" s="2410">
        <v>130</v>
      </c>
      <c r="B135" s="2460" t="s">
        <v>2918</v>
      </c>
      <c r="C135" s="2461" t="s">
        <v>2886</v>
      </c>
      <c r="D135" s="2441"/>
      <c r="E135" s="2449" t="s">
        <v>2915</v>
      </c>
      <c r="F135" s="2494">
        <v>0</v>
      </c>
      <c r="G135" s="2113">
        <v>0</v>
      </c>
      <c r="H135" s="2494">
        <v>0</v>
      </c>
      <c r="I135" s="2113">
        <v>0</v>
      </c>
      <c r="J135" s="2113">
        <v>0</v>
      </c>
      <c r="K135" s="2414">
        <v>0</v>
      </c>
      <c r="L135" s="2523">
        <v>1</v>
      </c>
      <c r="M135" s="2543">
        <v>129507.66</v>
      </c>
      <c r="N135" s="2522">
        <f t="shared" si="1"/>
        <v>0</v>
      </c>
      <c r="O135" s="92">
        <v>1</v>
      </c>
      <c r="P135" s="92"/>
    </row>
    <row r="136" spans="1:16" ht="20.100000000000001" customHeight="1">
      <c r="A136" s="2410">
        <v>131</v>
      </c>
      <c r="B136" s="2460" t="s">
        <v>2918</v>
      </c>
      <c r="C136" s="2461" t="s">
        <v>2886</v>
      </c>
      <c r="D136" s="2441"/>
      <c r="E136" s="2449" t="s">
        <v>2916</v>
      </c>
      <c r="F136" s="2494">
        <v>0</v>
      </c>
      <c r="G136" s="2113">
        <v>0</v>
      </c>
      <c r="H136" s="2494">
        <v>0</v>
      </c>
      <c r="I136" s="2113">
        <v>0</v>
      </c>
      <c r="J136" s="2113">
        <v>0</v>
      </c>
      <c r="K136" s="2414">
        <v>0</v>
      </c>
      <c r="L136" s="2523">
        <v>1</v>
      </c>
      <c r="M136" s="2459">
        <v>50284.62</v>
      </c>
      <c r="N136" s="2522">
        <f t="shared" ref="N136:N160" si="2">F136+G136+H136+I136+J136+K136+L136-O136</f>
        <v>0</v>
      </c>
      <c r="O136" s="92">
        <v>1</v>
      </c>
      <c r="P136" s="92"/>
    </row>
    <row r="137" spans="1:16" ht="20.100000000000001" customHeight="1">
      <c r="A137" s="2410">
        <v>132</v>
      </c>
      <c r="B137" s="2460" t="s">
        <v>2918</v>
      </c>
      <c r="C137" s="2461" t="s">
        <v>2886</v>
      </c>
      <c r="D137" s="2441"/>
      <c r="E137" s="2518" t="s">
        <v>675</v>
      </c>
      <c r="F137" s="2494">
        <v>0</v>
      </c>
      <c r="G137" s="2113">
        <v>0</v>
      </c>
      <c r="H137" s="2441">
        <v>1</v>
      </c>
      <c r="I137" s="2113">
        <v>0</v>
      </c>
      <c r="J137" s="2113">
        <v>0</v>
      </c>
      <c r="K137" s="2414">
        <v>0</v>
      </c>
      <c r="L137" s="2423">
        <v>0</v>
      </c>
      <c r="M137" s="2518">
        <v>46.5</v>
      </c>
      <c r="N137" s="2522">
        <f t="shared" si="2"/>
        <v>1</v>
      </c>
      <c r="O137" s="92"/>
      <c r="P137" s="92"/>
    </row>
    <row r="138" spans="1:16" ht="20.100000000000001" customHeight="1">
      <c r="A138" s="2410">
        <v>133</v>
      </c>
      <c r="B138" s="2501" t="s">
        <v>2919</v>
      </c>
      <c r="C138" s="2461" t="s">
        <v>2886</v>
      </c>
      <c r="D138" s="2463"/>
      <c r="E138" s="2444" t="s">
        <v>119</v>
      </c>
      <c r="F138" s="2494">
        <v>0</v>
      </c>
      <c r="G138" s="2113">
        <v>0</v>
      </c>
      <c r="H138" s="2445">
        <v>1</v>
      </c>
      <c r="I138" s="2113">
        <v>0</v>
      </c>
      <c r="J138" s="2113">
        <v>0</v>
      </c>
      <c r="K138" s="2414">
        <v>0</v>
      </c>
      <c r="L138" s="2423">
        <v>0</v>
      </c>
      <c r="M138" s="2426">
        <v>2399.9699999999998</v>
      </c>
      <c r="N138" s="2522">
        <f t="shared" si="2"/>
        <v>1</v>
      </c>
      <c r="O138" s="92"/>
      <c r="P138" s="92"/>
    </row>
    <row r="139" spans="1:16" ht="20.100000000000001" customHeight="1">
      <c r="A139" s="2410">
        <v>134</v>
      </c>
      <c r="B139" s="2501" t="s">
        <v>2919</v>
      </c>
      <c r="C139" s="2461" t="s">
        <v>2886</v>
      </c>
      <c r="D139" s="2463"/>
      <c r="E139" s="2444" t="s">
        <v>49</v>
      </c>
      <c r="F139" s="2494">
        <v>0</v>
      </c>
      <c r="G139" s="2113">
        <v>0</v>
      </c>
      <c r="H139" s="2445">
        <v>1</v>
      </c>
      <c r="I139" s="2113">
        <v>0</v>
      </c>
      <c r="J139" s="2113">
        <v>0</v>
      </c>
      <c r="K139" s="2414">
        <v>0</v>
      </c>
      <c r="L139" s="2423">
        <v>0</v>
      </c>
      <c r="M139" s="2484">
        <v>5323465.7300000004</v>
      </c>
      <c r="N139" s="2522">
        <f t="shared" si="2"/>
        <v>1</v>
      </c>
      <c r="O139" s="92"/>
      <c r="P139" s="92"/>
    </row>
    <row r="140" spans="1:16" ht="20.100000000000001" customHeight="1">
      <c r="A140" s="2410">
        <v>135</v>
      </c>
      <c r="B140" s="2501" t="s">
        <v>2919</v>
      </c>
      <c r="C140" s="2461" t="s">
        <v>2886</v>
      </c>
      <c r="D140" s="2463"/>
      <c r="E140" s="2444" t="s">
        <v>32</v>
      </c>
      <c r="F140" s="2494">
        <v>0</v>
      </c>
      <c r="G140" s="2113">
        <v>0</v>
      </c>
      <c r="H140" s="2445">
        <v>1</v>
      </c>
      <c r="I140" s="2113">
        <v>0</v>
      </c>
      <c r="J140" s="2113">
        <v>0</v>
      </c>
      <c r="K140" s="2414">
        <v>0</v>
      </c>
      <c r="L140" s="2423">
        <v>0</v>
      </c>
      <c r="M140" s="2446"/>
      <c r="N140" s="2522">
        <f t="shared" si="2"/>
        <v>1</v>
      </c>
      <c r="O140" s="92"/>
      <c r="P140" s="92"/>
    </row>
    <row r="141" spans="1:16" ht="20.100000000000001" customHeight="1">
      <c r="A141" s="2410">
        <v>136</v>
      </c>
      <c r="B141" s="2501" t="s">
        <v>2919</v>
      </c>
      <c r="C141" s="2461" t="s">
        <v>2886</v>
      </c>
      <c r="D141" s="2441"/>
      <c r="E141" s="2478" t="s">
        <v>2920</v>
      </c>
      <c r="F141" s="2494">
        <v>0</v>
      </c>
      <c r="G141" s="2113">
        <v>0</v>
      </c>
      <c r="H141" s="2113">
        <v>0</v>
      </c>
      <c r="I141" s="2113">
        <v>0</v>
      </c>
      <c r="J141" s="2113">
        <v>0</v>
      </c>
      <c r="K141" s="2414">
        <v>0</v>
      </c>
      <c r="L141" s="2445">
        <v>2</v>
      </c>
      <c r="M141" s="2114">
        <v>2907885.15</v>
      </c>
      <c r="N141" s="2522">
        <f t="shared" si="2"/>
        <v>1</v>
      </c>
      <c r="O141" s="92">
        <v>1</v>
      </c>
      <c r="P141" s="92"/>
    </row>
    <row r="142" spans="1:16" ht="20.100000000000001" customHeight="1">
      <c r="A142" s="2410">
        <v>137</v>
      </c>
      <c r="B142" s="2501" t="s">
        <v>2919</v>
      </c>
      <c r="C142" s="2461" t="s">
        <v>2886</v>
      </c>
      <c r="D142" s="2544"/>
      <c r="E142" s="2449" t="s">
        <v>2921</v>
      </c>
      <c r="F142" s="2494">
        <v>0</v>
      </c>
      <c r="G142" s="2113">
        <v>0</v>
      </c>
      <c r="H142" s="2113">
        <v>0</v>
      </c>
      <c r="I142" s="2113">
        <v>0</v>
      </c>
      <c r="J142" s="2113">
        <v>0</v>
      </c>
      <c r="K142" s="2414">
        <v>0</v>
      </c>
      <c r="L142" s="2112">
        <v>1</v>
      </c>
      <c r="M142" s="2545">
        <v>2807885.15</v>
      </c>
      <c r="N142" s="2522">
        <f t="shared" si="2"/>
        <v>1</v>
      </c>
      <c r="O142" s="92"/>
      <c r="P142" s="92"/>
    </row>
    <row r="143" spans="1:16" ht="20.100000000000001" customHeight="1">
      <c r="A143" s="2410">
        <v>138</v>
      </c>
      <c r="B143" s="2501" t="s">
        <v>2919</v>
      </c>
      <c r="C143" s="2441" t="s">
        <v>2886</v>
      </c>
      <c r="D143" s="2441"/>
      <c r="E143" s="1951" t="s">
        <v>2922</v>
      </c>
      <c r="F143" s="2494">
        <v>0</v>
      </c>
      <c r="G143" s="2113">
        <v>0</v>
      </c>
      <c r="H143" s="2113">
        <v>0</v>
      </c>
      <c r="I143" s="2113">
        <v>0</v>
      </c>
      <c r="J143" s="2113">
        <v>0</v>
      </c>
      <c r="K143" s="2414">
        <v>0</v>
      </c>
      <c r="L143" s="2519">
        <v>1</v>
      </c>
      <c r="M143" s="2520">
        <v>100000</v>
      </c>
      <c r="N143" s="2522">
        <f t="shared" si="2"/>
        <v>1</v>
      </c>
      <c r="O143" s="92"/>
      <c r="P143" s="92"/>
    </row>
    <row r="144" spans="1:16" ht="20.100000000000001" customHeight="1">
      <c r="A144" s="2410">
        <v>139</v>
      </c>
      <c r="B144" s="2461" t="s">
        <v>2923</v>
      </c>
      <c r="C144" s="2461" t="s">
        <v>2886</v>
      </c>
      <c r="D144" s="2461"/>
      <c r="E144" s="2444" t="s">
        <v>119</v>
      </c>
      <c r="F144" s="2494">
        <v>0</v>
      </c>
      <c r="G144" s="2113">
        <v>0</v>
      </c>
      <c r="H144" s="2445">
        <v>1</v>
      </c>
      <c r="I144" s="2113">
        <v>0</v>
      </c>
      <c r="J144" s="2113">
        <v>0</v>
      </c>
      <c r="K144" s="2414">
        <v>0</v>
      </c>
      <c r="L144" s="2423">
        <v>0</v>
      </c>
      <c r="M144" s="2484">
        <v>1112019.44</v>
      </c>
      <c r="N144" s="2522">
        <f t="shared" si="2"/>
        <v>1</v>
      </c>
      <c r="O144" s="92"/>
      <c r="P144" s="92"/>
    </row>
    <row r="145" spans="1:16" ht="20.100000000000001" customHeight="1">
      <c r="A145" s="2410">
        <v>140</v>
      </c>
      <c r="B145" s="2461" t="s">
        <v>2923</v>
      </c>
      <c r="C145" s="2461" t="s">
        <v>2886</v>
      </c>
      <c r="D145" s="2461"/>
      <c r="E145" s="2449" t="s">
        <v>34</v>
      </c>
      <c r="F145" s="2494">
        <v>0</v>
      </c>
      <c r="G145" s="2113">
        <v>0</v>
      </c>
      <c r="H145" s="2113">
        <v>0</v>
      </c>
      <c r="I145" s="2492">
        <v>10</v>
      </c>
      <c r="J145" s="2113">
        <v>0</v>
      </c>
      <c r="K145" s="2414">
        <v>0</v>
      </c>
      <c r="L145" s="2423">
        <v>0</v>
      </c>
      <c r="M145" s="2446"/>
      <c r="N145" s="2522">
        <f t="shared" si="2"/>
        <v>7</v>
      </c>
      <c r="O145" s="92">
        <v>3</v>
      </c>
      <c r="P145" s="92"/>
    </row>
    <row r="146" spans="1:16" ht="20.100000000000001" customHeight="1">
      <c r="A146" s="2410">
        <v>141</v>
      </c>
      <c r="B146" s="2461" t="s">
        <v>2923</v>
      </c>
      <c r="C146" s="2461" t="s">
        <v>2886</v>
      </c>
      <c r="D146" s="2461"/>
      <c r="E146" s="2451" t="s">
        <v>35</v>
      </c>
      <c r="F146" s="2494">
        <v>0</v>
      </c>
      <c r="G146" s="2113">
        <v>0</v>
      </c>
      <c r="H146" s="2113">
        <v>0</v>
      </c>
      <c r="I146" s="2113">
        <v>0</v>
      </c>
      <c r="J146" s="2436">
        <v>68</v>
      </c>
      <c r="K146" s="2414">
        <v>0</v>
      </c>
      <c r="L146" s="2423">
        <v>0</v>
      </c>
      <c r="M146" s="2441">
        <v>37760</v>
      </c>
      <c r="N146" s="2522">
        <f t="shared" si="2"/>
        <v>33</v>
      </c>
      <c r="O146" s="92">
        <v>35</v>
      </c>
      <c r="P146" s="92"/>
    </row>
    <row r="147" spans="1:16" ht="20.100000000000001" customHeight="1">
      <c r="A147" s="2410">
        <v>142</v>
      </c>
      <c r="B147" s="2461" t="s">
        <v>2923</v>
      </c>
      <c r="C147" s="2461" t="s">
        <v>2886</v>
      </c>
      <c r="D147" s="2461"/>
      <c r="E147" s="2497" t="s">
        <v>2905</v>
      </c>
      <c r="F147" s="2494">
        <v>0</v>
      </c>
      <c r="G147" s="2113">
        <v>0</v>
      </c>
      <c r="H147" s="2113">
        <v>0</v>
      </c>
      <c r="I147" s="2113">
        <v>0</v>
      </c>
      <c r="J147" s="2113">
        <v>0</v>
      </c>
      <c r="K147" s="2414">
        <v>0</v>
      </c>
      <c r="L147" s="2454">
        <v>2</v>
      </c>
      <c r="M147" s="2116"/>
      <c r="N147" s="2522">
        <f t="shared" si="2"/>
        <v>0</v>
      </c>
      <c r="O147" s="92">
        <v>2</v>
      </c>
      <c r="P147" s="92"/>
    </row>
    <row r="148" spans="1:16" ht="20.100000000000001" customHeight="1">
      <c r="A148" s="2410">
        <v>143</v>
      </c>
      <c r="B148" s="2546" t="s">
        <v>2924</v>
      </c>
      <c r="C148" s="2547" t="s">
        <v>2886</v>
      </c>
      <c r="D148" s="2548"/>
      <c r="E148" s="2444" t="s">
        <v>119</v>
      </c>
      <c r="F148" s="2494">
        <v>0</v>
      </c>
      <c r="G148" s="2113">
        <v>0</v>
      </c>
      <c r="H148" s="2464">
        <v>1</v>
      </c>
      <c r="I148" s="2113">
        <v>0</v>
      </c>
      <c r="J148" s="2113">
        <v>0</v>
      </c>
      <c r="K148" s="2414">
        <v>0</v>
      </c>
      <c r="L148" s="2423">
        <v>0</v>
      </c>
      <c r="M148" s="2521">
        <v>1946022.5</v>
      </c>
      <c r="N148" s="2522">
        <f t="shared" si="2"/>
        <v>1</v>
      </c>
      <c r="O148" s="92"/>
      <c r="P148" s="92"/>
    </row>
    <row r="149" spans="1:16" ht="20.100000000000001" customHeight="1">
      <c r="A149" s="2410">
        <v>144</v>
      </c>
      <c r="B149" s="2546" t="s">
        <v>2924</v>
      </c>
      <c r="C149" s="2547" t="s">
        <v>2886</v>
      </c>
      <c r="D149" s="2548"/>
      <c r="E149" s="2444" t="s">
        <v>49</v>
      </c>
      <c r="F149" s="2494">
        <v>0</v>
      </c>
      <c r="G149" s="2113">
        <v>0</v>
      </c>
      <c r="H149" s="2513">
        <v>1</v>
      </c>
      <c r="I149" s="2113">
        <v>0</v>
      </c>
      <c r="J149" s="2113">
        <v>0</v>
      </c>
      <c r="K149" s="2414">
        <v>0</v>
      </c>
      <c r="L149" s="2423">
        <v>0</v>
      </c>
      <c r="M149" s="2521">
        <v>1946022.5</v>
      </c>
      <c r="N149" s="2522">
        <f t="shared" si="2"/>
        <v>1</v>
      </c>
      <c r="O149" s="92"/>
      <c r="P149" s="92"/>
    </row>
    <row r="150" spans="1:16" ht="20.100000000000001" customHeight="1">
      <c r="A150" s="2410">
        <v>145</v>
      </c>
      <c r="B150" s="2546" t="s">
        <v>2924</v>
      </c>
      <c r="C150" s="2547" t="s">
        <v>2886</v>
      </c>
      <c r="D150" s="2549"/>
      <c r="E150" s="2449" t="s">
        <v>34</v>
      </c>
      <c r="F150" s="2494">
        <v>0</v>
      </c>
      <c r="G150" s="2113">
        <v>0</v>
      </c>
      <c r="H150" s="2113">
        <v>0</v>
      </c>
      <c r="I150" s="2492">
        <v>15</v>
      </c>
      <c r="J150" s="2113">
        <v>0</v>
      </c>
      <c r="K150" s="2414">
        <v>0</v>
      </c>
      <c r="L150" s="2423">
        <v>0</v>
      </c>
      <c r="M150" s="2550"/>
      <c r="N150" s="2522">
        <f t="shared" si="2"/>
        <v>15</v>
      </c>
      <c r="O150" s="92"/>
      <c r="P150" s="92"/>
    </row>
    <row r="151" spans="1:16" ht="20.100000000000001" customHeight="1">
      <c r="A151" s="2410">
        <v>146</v>
      </c>
      <c r="B151" s="2546" t="s">
        <v>2924</v>
      </c>
      <c r="C151" s="2547" t="s">
        <v>2886</v>
      </c>
      <c r="D151" s="2551"/>
      <c r="E151" s="2449" t="s">
        <v>792</v>
      </c>
      <c r="F151" s="2494">
        <v>0</v>
      </c>
      <c r="G151" s="2113">
        <v>0</v>
      </c>
      <c r="H151" s="2113">
        <v>0</v>
      </c>
      <c r="I151" s="2113">
        <v>0</v>
      </c>
      <c r="J151" s="2113">
        <v>0</v>
      </c>
      <c r="K151" s="2414">
        <v>0</v>
      </c>
      <c r="L151" s="2552">
        <v>3</v>
      </c>
      <c r="M151" s="2474">
        <v>0</v>
      </c>
      <c r="N151" s="2522">
        <f t="shared" si="2"/>
        <v>3</v>
      </c>
      <c r="O151" s="92"/>
      <c r="P151" s="92"/>
    </row>
    <row r="152" spans="1:16" ht="20.100000000000001" customHeight="1">
      <c r="A152" s="2410">
        <v>147</v>
      </c>
      <c r="B152" s="2546" t="s">
        <v>2924</v>
      </c>
      <c r="C152" s="2547" t="s">
        <v>2886</v>
      </c>
      <c r="D152" s="2551"/>
      <c r="E152" s="2449" t="s">
        <v>196</v>
      </c>
      <c r="F152" s="2494">
        <v>0</v>
      </c>
      <c r="G152" s="2113">
        <v>0</v>
      </c>
      <c r="H152" s="2113">
        <v>0</v>
      </c>
      <c r="I152" s="2113">
        <v>0</v>
      </c>
      <c r="J152" s="2113">
        <v>0</v>
      </c>
      <c r="K152" s="2414">
        <v>0</v>
      </c>
      <c r="L152" s="2553">
        <v>5</v>
      </c>
      <c r="M152" s="2554">
        <v>30000</v>
      </c>
      <c r="N152" s="2522">
        <f t="shared" si="2"/>
        <v>5</v>
      </c>
      <c r="O152" s="92"/>
      <c r="P152" s="92"/>
    </row>
    <row r="153" spans="1:16" ht="20.100000000000001" customHeight="1">
      <c r="A153" s="2410">
        <v>148</v>
      </c>
      <c r="B153" s="2546" t="s">
        <v>2924</v>
      </c>
      <c r="C153" s="2547" t="s">
        <v>2886</v>
      </c>
      <c r="D153" s="2555"/>
      <c r="E153" s="2444" t="s">
        <v>207</v>
      </c>
      <c r="F153" s="2494">
        <v>0</v>
      </c>
      <c r="G153" s="2113">
        <v>0</v>
      </c>
      <c r="H153" s="2113">
        <v>0</v>
      </c>
      <c r="I153" s="2113">
        <v>0</v>
      </c>
      <c r="J153" s="2113">
        <v>0</v>
      </c>
      <c r="K153" s="2414">
        <v>0</v>
      </c>
      <c r="L153" s="2556">
        <v>6</v>
      </c>
      <c r="M153" s="2521">
        <v>130134.57</v>
      </c>
      <c r="N153" s="2522">
        <f t="shared" si="2"/>
        <v>6</v>
      </c>
      <c r="O153" s="92"/>
      <c r="P153" s="92"/>
    </row>
    <row r="154" spans="1:16" ht="20.100000000000001" customHeight="1">
      <c r="A154" s="2410">
        <v>149</v>
      </c>
      <c r="B154" s="2546" t="s">
        <v>2924</v>
      </c>
      <c r="C154" s="2547" t="s">
        <v>2886</v>
      </c>
      <c r="D154" s="2557"/>
      <c r="E154" s="2558" t="s">
        <v>2925</v>
      </c>
      <c r="F154" s="2494">
        <v>0</v>
      </c>
      <c r="G154" s="2113">
        <v>0</v>
      </c>
      <c r="H154" s="2113">
        <v>0</v>
      </c>
      <c r="I154" s="2113">
        <v>0</v>
      </c>
      <c r="J154" s="2113">
        <v>0</v>
      </c>
      <c r="K154" s="2414">
        <v>0</v>
      </c>
      <c r="L154" s="2559">
        <v>1</v>
      </c>
      <c r="M154" s="2521">
        <v>40381.379999999997</v>
      </c>
      <c r="N154" s="2522">
        <f t="shared" si="2"/>
        <v>1</v>
      </c>
      <c r="O154" s="92"/>
      <c r="P154" s="92"/>
    </row>
    <row r="155" spans="1:16" ht="20.100000000000001" customHeight="1">
      <c r="A155" s="2410">
        <v>150</v>
      </c>
      <c r="B155" s="2546" t="s">
        <v>2924</v>
      </c>
      <c r="C155" s="2547" t="s">
        <v>2886</v>
      </c>
      <c r="D155" s="2560"/>
      <c r="E155" s="2449" t="s">
        <v>2118</v>
      </c>
      <c r="F155" s="2494">
        <v>0</v>
      </c>
      <c r="G155" s="2113">
        <v>0</v>
      </c>
      <c r="H155" s="2113">
        <v>0</v>
      </c>
      <c r="I155" s="2113">
        <v>0</v>
      </c>
      <c r="J155" s="2113">
        <v>0</v>
      </c>
      <c r="K155" s="2414">
        <v>0</v>
      </c>
      <c r="L155" s="2561">
        <v>1</v>
      </c>
      <c r="M155" s="2418">
        <v>400</v>
      </c>
      <c r="N155" s="2522">
        <f t="shared" si="2"/>
        <v>1</v>
      </c>
      <c r="O155" s="92"/>
      <c r="P155" s="92"/>
    </row>
    <row r="156" spans="1:16" ht="20.100000000000001" customHeight="1">
      <c r="A156" s="2410">
        <v>151</v>
      </c>
      <c r="B156" s="2546" t="s">
        <v>2924</v>
      </c>
      <c r="C156" s="2547" t="s">
        <v>2886</v>
      </c>
      <c r="D156" s="2560"/>
      <c r="E156" s="2458" t="s">
        <v>2926</v>
      </c>
      <c r="F156" s="2494">
        <v>0</v>
      </c>
      <c r="G156" s="2113">
        <v>0</v>
      </c>
      <c r="H156" s="2113">
        <v>0</v>
      </c>
      <c r="I156" s="2113">
        <v>0</v>
      </c>
      <c r="J156" s="2113">
        <v>0</v>
      </c>
      <c r="K156" s="2414">
        <v>0</v>
      </c>
      <c r="L156" s="2562">
        <v>1</v>
      </c>
      <c r="M156" s="2550"/>
      <c r="N156" s="2522">
        <f t="shared" si="2"/>
        <v>1</v>
      </c>
      <c r="O156" s="92"/>
      <c r="P156" s="92"/>
    </row>
    <row r="157" spans="1:16" ht="20.100000000000001" customHeight="1">
      <c r="A157" s="2410">
        <v>152</v>
      </c>
      <c r="B157" s="2546" t="s">
        <v>2924</v>
      </c>
      <c r="C157" s="2547" t="s">
        <v>2886</v>
      </c>
      <c r="D157" s="2560"/>
      <c r="E157" s="2478" t="s">
        <v>2927</v>
      </c>
      <c r="F157" s="2494">
        <v>0</v>
      </c>
      <c r="G157" s="2113">
        <v>0</v>
      </c>
      <c r="H157" s="2113">
        <v>0</v>
      </c>
      <c r="I157" s="2113">
        <v>0</v>
      </c>
      <c r="J157" s="2113">
        <v>0</v>
      </c>
      <c r="K157" s="2414">
        <v>0</v>
      </c>
      <c r="L157" s="2563">
        <v>1</v>
      </c>
      <c r="M157" s="2518">
        <v>148.77000000000001</v>
      </c>
      <c r="N157" s="2522">
        <f t="shared" si="2"/>
        <v>1</v>
      </c>
      <c r="O157" s="92"/>
      <c r="P157" s="92"/>
    </row>
    <row r="158" spans="1:16" ht="20.100000000000001" customHeight="1">
      <c r="A158" s="2410">
        <v>153</v>
      </c>
      <c r="B158" s="2501" t="s">
        <v>2928</v>
      </c>
      <c r="C158" s="2461" t="s">
        <v>2886</v>
      </c>
      <c r="D158" s="2441"/>
      <c r="E158" s="2478" t="s">
        <v>2929</v>
      </c>
      <c r="F158" s="2494">
        <v>0</v>
      </c>
      <c r="G158" s="2113">
        <v>0</v>
      </c>
      <c r="H158" s="2113">
        <v>0</v>
      </c>
      <c r="I158" s="2113">
        <v>0</v>
      </c>
      <c r="J158" s="2113">
        <v>0</v>
      </c>
      <c r="K158" s="2414">
        <v>0</v>
      </c>
      <c r="L158" s="2454">
        <v>1</v>
      </c>
      <c r="M158" s="2458">
        <v>11000</v>
      </c>
      <c r="N158" s="2522">
        <f t="shared" si="2"/>
        <v>1</v>
      </c>
      <c r="O158" s="92"/>
      <c r="P158" s="92"/>
    </row>
    <row r="159" spans="1:16" ht="20.100000000000001" customHeight="1">
      <c r="A159" s="2410">
        <v>154</v>
      </c>
      <c r="B159" s="2501" t="s">
        <v>2928</v>
      </c>
      <c r="C159" s="2461" t="s">
        <v>2886</v>
      </c>
      <c r="D159" s="2441"/>
      <c r="E159" s="2564" t="s">
        <v>2930</v>
      </c>
      <c r="F159" s="2494">
        <v>0</v>
      </c>
      <c r="G159" s="2113">
        <v>0</v>
      </c>
      <c r="H159" s="2113">
        <v>0</v>
      </c>
      <c r="I159" s="2113">
        <v>0</v>
      </c>
      <c r="J159" s="2113">
        <v>0</v>
      </c>
      <c r="K159" s="2414">
        <v>0</v>
      </c>
      <c r="L159" s="2498">
        <v>1</v>
      </c>
      <c r="M159" s="2565">
        <v>6063.9</v>
      </c>
      <c r="N159" s="2522">
        <f t="shared" si="2"/>
        <v>1</v>
      </c>
      <c r="O159" s="92"/>
      <c r="P159" s="92"/>
    </row>
    <row r="160" spans="1:16" ht="20.100000000000001" customHeight="1">
      <c r="A160" s="2410">
        <v>155</v>
      </c>
      <c r="B160" s="2501" t="s">
        <v>2928</v>
      </c>
      <c r="C160" s="2461" t="s">
        <v>2886</v>
      </c>
      <c r="D160" s="2441"/>
      <c r="E160" s="2449" t="s">
        <v>2931</v>
      </c>
      <c r="F160" s="2494">
        <v>0</v>
      </c>
      <c r="G160" s="2113">
        <v>0</v>
      </c>
      <c r="H160" s="2113">
        <v>0</v>
      </c>
      <c r="I160" s="2113">
        <v>0</v>
      </c>
      <c r="J160" s="2113">
        <v>0</v>
      </c>
      <c r="K160" s="2414">
        <v>0</v>
      </c>
      <c r="L160" s="2566">
        <v>1</v>
      </c>
      <c r="M160" s="2545">
        <v>3000</v>
      </c>
      <c r="N160" s="2522">
        <f t="shared" si="2"/>
        <v>1</v>
      </c>
      <c r="O160" s="92"/>
      <c r="P160" s="92"/>
    </row>
    <row r="161" spans="1:16" ht="20.100000000000001" customHeight="1">
      <c r="A161" s="1819"/>
      <c r="B161" s="1819"/>
      <c r="C161" s="1819"/>
      <c r="D161" s="1819"/>
      <c r="E161" s="1819" t="s">
        <v>2069</v>
      </c>
      <c r="F161" s="1819">
        <f t="shared" ref="F161:O161" si="3">SUM(F7:F160)</f>
        <v>1105</v>
      </c>
      <c r="G161" s="1819">
        <f t="shared" si="3"/>
        <v>2660</v>
      </c>
      <c r="H161" s="1819">
        <f t="shared" si="3"/>
        <v>28</v>
      </c>
      <c r="I161" s="1819">
        <f t="shared" si="3"/>
        <v>3434</v>
      </c>
      <c r="J161" s="1819">
        <f t="shared" si="3"/>
        <v>13815</v>
      </c>
      <c r="K161" s="1819">
        <f t="shared" si="3"/>
        <v>1</v>
      </c>
      <c r="L161" s="1819">
        <f t="shared" si="3"/>
        <v>268</v>
      </c>
      <c r="M161" s="1819">
        <f t="shared" si="3"/>
        <v>112080836.54000002</v>
      </c>
      <c r="N161" s="1819">
        <f t="shared" si="3"/>
        <v>20948</v>
      </c>
      <c r="O161" s="1819">
        <f t="shared" si="3"/>
        <v>363</v>
      </c>
      <c r="P161" s="92"/>
    </row>
    <row r="162" spans="1:16" ht="20.100000000000001" customHeight="1">
      <c r="A162" s="1819"/>
      <c r="B162" s="1819"/>
      <c r="C162" s="1819"/>
      <c r="D162" s="1819"/>
      <c r="E162" s="1819"/>
      <c r="F162" s="1819" t="s">
        <v>779</v>
      </c>
      <c r="G162" s="1819" t="s">
        <v>780</v>
      </c>
      <c r="H162" s="1819" t="s">
        <v>781</v>
      </c>
      <c r="I162" s="1819" t="s">
        <v>782</v>
      </c>
      <c r="J162" s="1819" t="s">
        <v>10</v>
      </c>
      <c r="K162" s="1819" t="s">
        <v>1850</v>
      </c>
      <c r="L162" s="2567" t="s">
        <v>776</v>
      </c>
      <c r="M162" s="1819"/>
      <c r="N162" s="1819"/>
      <c r="O162" s="92"/>
      <c r="P162" s="92"/>
    </row>
    <row r="163" spans="1:16" ht="20.100000000000001" customHeight="1">
      <c r="L163" s="1816"/>
    </row>
    <row r="164" spans="1:16" ht="20.100000000000001" customHeight="1">
      <c r="L164" s="1816"/>
    </row>
    <row r="165" spans="1:16" ht="20.100000000000001" customHeight="1">
      <c r="L165" s="1816"/>
    </row>
    <row r="166" spans="1:16" ht="20.100000000000001" customHeight="1">
      <c r="E166" s="1818" t="s">
        <v>2070</v>
      </c>
      <c r="F166" s="2568" t="s">
        <v>2071</v>
      </c>
      <c r="G166" s="2568" t="s">
        <v>22</v>
      </c>
      <c r="H166" s="2568" t="s">
        <v>1013</v>
      </c>
      <c r="L166" s="1816"/>
    </row>
    <row r="167" spans="1:16" ht="20.100000000000001" customHeight="1">
      <c r="E167" s="1819" t="str">
        <f>F162</f>
        <v>Mismatch</v>
      </c>
      <c r="F167" s="1819">
        <f>F161</f>
        <v>1105</v>
      </c>
      <c r="G167" s="1819">
        <f>O31+O45+O61+O76+O103+O128</f>
        <v>0</v>
      </c>
      <c r="H167" s="1819">
        <f>F167-G167</f>
        <v>1105</v>
      </c>
      <c r="L167" s="1816"/>
    </row>
    <row r="168" spans="1:16" ht="20.100000000000001" customHeight="1">
      <c r="E168" s="1819" t="str">
        <f>G162</f>
        <v>Long O/S</v>
      </c>
      <c r="F168" s="1819">
        <f>G161</f>
        <v>2660</v>
      </c>
      <c r="G168" s="1819">
        <f>O30+O44+O60+O73+O75+O102+O127</f>
        <v>20</v>
      </c>
      <c r="H168" s="1819">
        <f t="shared" ref="H168:H174" si="4">F168-G168</f>
        <v>2640</v>
      </c>
      <c r="L168" s="1816"/>
    </row>
    <row r="169" spans="1:16" ht="20.100000000000001" customHeight="1">
      <c r="E169" s="1819" t="str">
        <f>H162</f>
        <v>IT Cases</v>
      </c>
      <c r="F169" s="1819">
        <f>H161</f>
        <v>28</v>
      </c>
      <c r="G169" s="1819">
        <f>O12+O13+O14+O15+O40+O41+O52+O53+O54+O58+O59+O63+O69+O70+O83+O97+O98+O99+O112+O114+O124+O137+O138+O139+O140+O144+O148+O149</f>
        <v>2</v>
      </c>
      <c r="H169" s="1819">
        <f t="shared" si="4"/>
        <v>26</v>
      </c>
      <c r="L169" s="1816"/>
    </row>
    <row r="170" spans="1:16" ht="20.100000000000001" customHeight="1">
      <c r="E170" s="1819" t="str">
        <f>I162</f>
        <v>Zero Bal.</v>
      </c>
      <c r="F170" s="1819">
        <f>I161</f>
        <v>3434</v>
      </c>
      <c r="G170" s="1819">
        <f>O27+O42+O55+O74+O84+O100+O115+O145+O150</f>
        <v>52</v>
      </c>
      <c r="H170" s="1819">
        <f t="shared" si="4"/>
        <v>3382</v>
      </c>
      <c r="L170" s="1816"/>
    </row>
    <row r="171" spans="1:16" ht="20.100000000000001" customHeight="1">
      <c r="E171" s="1819" t="str">
        <f>J162</f>
        <v>Dormant A/C</v>
      </c>
      <c r="F171" s="1819">
        <f>J161</f>
        <v>13815</v>
      </c>
      <c r="G171" s="1819">
        <f>O28+O43+O56+O71+O85+O116+O125+O146</f>
        <v>240</v>
      </c>
      <c r="H171" s="1819">
        <f t="shared" si="4"/>
        <v>13575</v>
      </c>
      <c r="L171" s="1816"/>
    </row>
    <row r="172" spans="1:16" ht="20.100000000000001" customHeight="1">
      <c r="E172" s="1819" t="str">
        <f>K162</f>
        <v>CK Book stock</v>
      </c>
      <c r="F172" s="1819">
        <f>K161</f>
        <v>1</v>
      </c>
      <c r="G172" s="1819">
        <f>O25</f>
        <v>0</v>
      </c>
      <c r="H172" s="1819">
        <f t="shared" si="4"/>
        <v>1</v>
      </c>
      <c r="L172" s="1816"/>
    </row>
    <row r="173" spans="1:16" ht="20.100000000000001" customHeight="1">
      <c r="E173" s="1819" t="str">
        <f>L162</f>
        <v xml:space="preserve">Other Case No. </v>
      </c>
      <c r="F173" s="1822">
        <f>L161</f>
        <v>268</v>
      </c>
      <c r="G173" s="1819">
        <f>O7+O8+O9+O10+O11+O16+O17+O18+O19+O20+O21+O22+O23+O24+O26+O29+O33+O34+O35+O36+O37+O38+O39+O46+O47+O48+O49+O50+O51+O57+O62+O64+O65+O66+O67+O68+O72+O77+O78+O79+O80+O81+O82+O86+O87+O88+O89+O90+O91+O92+O93+O94+O95+O96+O101+O104+O105+O106+O107+O108+O109+O110+O111+O113+O117+O118+O119+O120+O121+O122+O123+O126+O129+O130+O131+O132+O133+O134+O135+O136+O141+O142+O143+O147+O151+O152+O153+O154+O155+O156+O157+O158+O159+O160</f>
        <v>49</v>
      </c>
      <c r="H173" s="1819">
        <f t="shared" si="4"/>
        <v>219</v>
      </c>
      <c r="L173" s="1816"/>
    </row>
    <row r="174" spans="1:16" ht="20.100000000000001" customHeight="1">
      <c r="E174" s="1819" t="s">
        <v>2069</v>
      </c>
      <c r="F174" s="1819">
        <f>SUM(F167:F173)</f>
        <v>21311</v>
      </c>
      <c r="G174" s="1819">
        <f>SUM(G167:G173)</f>
        <v>363</v>
      </c>
      <c r="H174" s="1819">
        <f t="shared" si="4"/>
        <v>20948</v>
      </c>
      <c r="L174" s="1816"/>
    </row>
    <row r="175" spans="1:16" ht="20.100000000000001" customHeight="1">
      <c r="L175" s="1816"/>
    </row>
  </sheetData>
  <mergeCells count="12">
    <mergeCell ref="M5:M6"/>
    <mergeCell ref="N5:P5"/>
    <mergeCell ref="A1:Q1"/>
    <mergeCell ref="A2:Q2"/>
    <mergeCell ref="A3:Q3"/>
    <mergeCell ref="A4:Q4"/>
    <mergeCell ref="A5:A6"/>
    <mergeCell ref="B5:B6"/>
    <mergeCell ref="C5:C6"/>
    <mergeCell ref="E5:E6"/>
    <mergeCell ref="F5:G5"/>
    <mergeCell ref="L5: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Uncovered Branches</vt:lpstr>
      <vt:lpstr>Case Summarised</vt:lpstr>
      <vt:lpstr>Summarised</vt:lpstr>
      <vt:lpstr>East</vt:lpstr>
      <vt:lpstr>North</vt:lpstr>
      <vt:lpstr>South</vt:lpstr>
      <vt:lpstr>West</vt:lpstr>
      <vt:lpstr>Hawassa</vt:lpstr>
      <vt:lpstr>B-Dar</vt:lpstr>
      <vt:lpstr>Adama</vt:lpstr>
      <vt:lpstr>Hossaena</vt:lpstr>
      <vt:lpstr>Wolkite</vt:lpstr>
      <vt:lpstr>Dire Dawa</vt:lpstr>
      <vt:lpstr>Mekelle</vt:lpstr>
      <vt:lpstr>Jimma</vt:lpstr>
      <vt:lpstr>Desie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2026-09-30T14:11:17Z</dcterms:modified>
</cp:coreProperties>
</file>